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sachitsharma/Downloads/Projects-Actuary/"/>
    </mc:Choice>
  </mc:AlternateContent>
  <xr:revisionPtr revIDLastSave="0" documentId="8_{5A9B5A41-1DFB-4E4B-A6F1-DFD5D263282A}" xr6:coauthVersionLast="47" xr6:coauthVersionMax="47" xr10:uidLastSave="{00000000-0000-0000-0000-000000000000}"/>
  <bookViews>
    <workbookView xWindow="4840" yWindow="2040" windowWidth="16640" windowHeight="15960" tabRatio="500" firstSheet="5" activeTab="11" xr2:uid="{00000000-000D-0000-FFFF-FFFF00000000}"/>
  </bookViews>
  <sheets>
    <sheet name="README" sheetId="1" r:id="rId1"/>
    <sheet name="Mortality_Table_Male" sheetId="2" r:id="rId2"/>
    <sheet name="Mortality_Table_Female" sheetId="3" r:id="rId3"/>
    <sheet name="Lapse_Assumptions" sheetId="4" r:id="rId4"/>
    <sheet name="Expense_Assumptions" sheetId="5" r:id="rId5"/>
    <sheet name="Premium Calculation" sheetId="6" r:id="rId6"/>
    <sheet name="Reserve Calculation" sheetId="7" r:id="rId7"/>
    <sheet name="Premium Calculation (2)" sheetId="8" r:id="rId8"/>
    <sheet name="Policy_Data" sheetId="9" r:id="rId9"/>
    <sheet name="Experience Study" sheetId="10" r:id="rId10"/>
    <sheet name="Detail1" sheetId="15" r:id="rId11"/>
    <sheet name="Sheet1" sheetId="12" r:id="rId12"/>
    <sheet name="Experience_Study_Synthetic" sheetId="11" r:id="rId13"/>
  </sheets>
  <definedNames>
    <definedName name="Slicer_Gender">#N/A</definedName>
  </definedNames>
  <calcPr calcId="191029" iterateDelta="1E-4"/>
  <pivotCaches>
    <pivotCache cacheId="7"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01" i="11" l="1"/>
  <c r="J5000" i="11"/>
  <c r="J4999" i="11"/>
  <c r="J4998" i="11"/>
  <c r="J4997" i="11"/>
  <c r="J4996" i="11"/>
  <c r="J4995" i="11"/>
  <c r="J4994" i="11"/>
  <c r="J4993" i="11"/>
  <c r="J4992" i="11"/>
  <c r="J4991" i="11"/>
  <c r="J4990" i="11"/>
  <c r="J4989" i="11"/>
  <c r="J4988" i="11"/>
  <c r="J4987" i="11"/>
  <c r="J4986" i="11"/>
  <c r="J4985" i="11"/>
  <c r="J4984" i="11"/>
  <c r="J4983" i="11"/>
  <c r="J4982" i="11"/>
  <c r="J4981" i="11"/>
  <c r="J4980" i="11"/>
  <c r="J4979" i="11"/>
  <c r="J4978" i="11"/>
  <c r="J4977" i="11"/>
  <c r="J4976" i="11"/>
  <c r="J4975" i="11"/>
  <c r="J4974" i="11"/>
  <c r="J4973" i="11"/>
  <c r="J4972" i="11"/>
  <c r="J4971" i="11"/>
  <c r="J4970" i="11"/>
  <c r="J4969" i="11"/>
  <c r="J4968" i="11"/>
  <c r="J4967" i="11"/>
  <c r="J4966" i="11"/>
  <c r="J4965" i="11"/>
  <c r="J4964" i="11"/>
  <c r="J4963" i="11"/>
  <c r="J4962" i="11"/>
  <c r="J4961" i="11"/>
  <c r="J4960" i="11"/>
  <c r="J4959" i="11"/>
  <c r="J4958" i="11"/>
  <c r="J4957" i="11"/>
  <c r="J4956" i="11"/>
  <c r="J4955" i="11"/>
  <c r="J4954" i="11"/>
  <c r="J4953" i="11"/>
  <c r="J4952" i="11"/>
  <c r="J4951" i="11"/>
  <c r="J4950" i="11"/>
  <c r="J4949" i="11"/>
  <c r="J4948" i="11"/>
  <c r="J4947" i="11"/>
  <c r="J4946" i="11"/>
  <c r="J4945" i="11"/>
  <c r="J4944" i="11"/>
  <c r="J4943" i="11"/>
  <c r="J4942" i="11"/>
  <c r="J4941" i="11"/>
  <c r="J4940" i="11"/>
  <c r="J4939" i="11"/>
  <c r="J4938" i="11"/>
  <c r="J4937" i="11"/>
  <c r="J4936" i="11"/>
  <c r="J4935" i="11"/>
  <c r="J4934" i="11"/>
  <c r="J4933" i="11"/>
  <c r="J4932" i="11"/>
  <c r="J4931" i="11"/>
  <c r="J4930" i="11"/>
  <c r="J4929" i="11"/>
  <c r="J4928" i="11"/>
  <c r="J4927" i="11"/>
  <c r="J4926" i="11"/>
  <c r="J4925" i="11"/>
  <c r="J4924" i="11"/>
  <c r="J4923" i="11"/>
  <c r="J4922" i="11"/>
  <c r="J4921" i="11"/>
  <c r="J4920" i="11"/>
  <c r="J4919" i="11"/>
  <c r="J4918" i="11"/>
  <c r="J4917" i="11"/>
  <c r="J4916" i="11"/>
  <c r="J4915" i="11"/>
  <c r="J4914" i="11"/>
  <c r="J4913" i="11"/>
  <c r="J4912" i="11"/>
  <c r="J4911" i="11"/>
  <c r="J4910" i="11"/>
  <c r="J4909" i="11"/>
  <c r="J4908" i="11"/>
  <c r="J4907" i="11"/>
  <c r="J4906" i="11"/>
  <c r="J4905" i="11"/>
  <c r="J4904" i="11"/>
  <c r="J4903" i="11"/>
  <c r="J4902" i="11"/>
  <c r="J4901" i="11"/>
  <c r="J4900" i="11"/>
  <c r="J4899" i="11"/>
  <c r="J4898" i="11"/>
  <c r="J4897" i="11"/>
  <c r="J4896" i="11"/>
  <c r="J4895" i="11"/>
  <c r="J4894" i="11"/>
  <c r="J4893" i="11"/>
  <c r="J4892" i="11"/>
  <c r="J4891" i="11"/>
  <c r="J4890" i="11"/>
  <c r="J4889" i="11"/>
  <c r="J4888" i="11"/>
  <c r="J4887" i="11"/>
  <c r="J4886" i="11"/>
  <c r="J4885" i="11"/>
  <c r="J4884" i="11"/>
  <c r="J4883" i="11"/>
  <c r="J4882" i="11"/>
  <c r="J4881" i="11"/>
  <c r="J4880" i="11"/>
  <c r="J4879" i="11"/>
  <c r="J4878" i="11"/>
  <c r="J4877" i="11"/>
  <c r="J4876" i="11"/>
  <c r="J4875" i="11"/>
  <c r="J4874" i="11"/>
  <c r="J4873" i="11"/>
  <c r="J4872" i="11"/>
  <c r="J4871" i="11"/>
  <c r="J4870" i="11"/>
  <c r="J4869" i="11"/>
  <c r="J4868" i="11"/>
  <c r="J4867" i="11"/>
  <c r="J4866" i="11"/>
  <c r="J4865" i="11"/>
  <c r="J4864" i="11"/>
  <c r="J4863" i="11"/>
  <c r="J4862" i="11"/>
  <c r="J4861" i="11"/>
  <c r="J4860" i="11"/>
  <c r="J4859" i="11"/>
  <c r="J4858" i="11"/>
  <c r="J4857" i="11"/>
  <c r="J4856" i="11"/>
  <c r="J4855" i="11"/>
  <c r="J4854" i="11"/>
  <c r="J4853" i="11"/>
  <c r="J4852" i="11"/>
  <c r="J4851" i="11"/>
  <c r="J4850" i="11"/>
  <c r="J4849" i="11"/>
  <c r="J4848" i="11"/>
  <c r="J4847" i="11"/>
  <c r="J4846" i="11"/>
  <c r="J4845" i="11"/>
  <c r="J4844" i="11"/>
  <c r="J4843" i="11"/>
  <c r="J4842" i="11"/>
  <c r="J4841" i="11"/>
  <c r="J4840" i="11"/>
  <c r="J4839" i="11"/>
  <c r="J4838" i="11"/>
  <c r="J4837" i="11"/>
  <c r="J4836" i="11"/>
  <c r="J4835" i="11"/>
  <c r="J4834" i="11"/>
  <c r="J4833" i="11"/>
  <c r="J4832" i="11"/>
  <c r="J4831" i="11"/>
  <c r="J4830" i="11"/>
  <c r="J4829" i="11"/>
  <c r="J4828" i="11"/>
  <c r="J4827" i="11"/>
  <c r="J4826" i="11"/>
  <c r="J4825" i="11"/>
  <c r="J4824" i="11"/>
  <c r="J4823" i="11"/>
  <c r="J4822" i="11"/>
  <c r="J4821" i="11"/>
  <c r="J4820" i="11"/>
  <c r="J4819" i="11"/>
  <c r="J4818" i="11"/>
  <c r="J4817" i="11"/>
  <c r="J4816" i="11"/>
  <c r="J4815" i="11"/>
  <c r="J4814" i="11"/>
  <c r="J4813" i="11"/>
  <c r="J4812" i="11"/>
  <c r="J4811" i="11"/>
  <c r="J4810" i="11"/>
  <c r="J4809" i="11"/>
  <c r="J4808" i="11"/>
  <c r="J4807" i="11"/>
  <c r="J4806" i="11"/>
  <c r="J4805" i="11"/>
  <c r="J4804" i="11"/>
  <c r="J4803" i="11"/>
  <c r="J4802" i="11"/>
  <c r="J4801" i="11"/>
  <c r="J4800" i="11"/>
  <c r="J4799" i="11"/>
  <c r="J4798" i="11"/>
  <c r="J4797" i="11"/>
  <c r="J4796" i="11"/>
  <c r="J4795" i="11"/>
  <c r="J4794" i="11"/>
  <c r="J4793" i="11"/>
  <c r="J4792" i="11"/>
  <c r="J4791" i="11"/>
  <c r="J4790" i="11"/>
  <c r="J4789" i="11"/>
  <c r="J4788" i="11"/>
  <c r="J4787" i="11"/>
  <c r="J4786" i="11"/>
  <c r="J4785" i="11"/>
  <c r="J4784" i="11"/>
  <c r="J4783" i="11"/>
  <c r="J4782" i="11"/>
  <c r="J4781" i="11"/>
  <c r="J4780" i="11"/>
  <c r="J4779" i="11"/>
  <c r="J4778" i="11"/>
  <c r="J4777" i="11"/>
  <c r="J4776" i="11"/>
  <c r="J4775" i="11"/>
  <c r="J4774" i="11"/>
  <c r="J4773" i="11"/>
  <c r="J4772" i="11"/>
  <c r="J4771" i="11"/>
  <c r="J4770" i="11"/>
  <c r="J4769" i="11"/>
  <c r="J4768" i="11"/>
  <c r="J4767" i="11"/>
  <c r="J4766" i="11"/>
  <c r="J4765" i="11"/>
  <c r="J4764" i="11"/>
  <c r="J4763" i="11"/>
  <c r="J4762" i="11"/>
  <c r="J4761" i="11"/>
  <c r="J4760" i="11"/>
  <c r="J4759" i="11"/>
  <c r="J4758" i="11"/>
  <c r="J4757" i="11"/>
  <c r="J4756" i="11"/>
  <c r="J4755" i="11"/>
  <c r="J4754" i="11"/>
  <c r="J4753" i="11"/>
  <c r="J4752" i="11"/>
  <c r="J4751" i="11"/>
  <c r="J4750" i="11"/>
  <c r="J4749" i="11"/>
  <c r="J4748" i="11"/>
  <c r="J4747" i="11"/>
  <c r="J4746" i="11"/>
  <c r="J4745" i="11"/>
  <c r="J4744" i="11"/>
  <c r="J4743" i="11"/>
  <c r="J4742" i="11"/>
  <c r="J4741" i="11"/>
  <c r="J4740" i="11"/>
  <c r="J4739" i="11"/>
  <c r="J4738" i="11"/>
  <c r="J4737" i="11"/>
  <c r="J4736" i="11"/>
  <c r="J4735" i="11"/>
  <c r="J4734" i="11"/>
  <c r="J4733" i="11"/>
  <c r="J4732" i="11"/>
  <c r="J4731" i="11"/>
  <c r="J4730" i="11"/>
  <c r="J4729" i="11"/>
  <c r="J4728" i="11"/>
  <c r="J4727" i="11"/>
  <c r="J4726" i="11"/>
  <c r="J4725" i="11"/>
  <c r="J4724" i="11"/>
  <c r="J4723" i="11"/>
  <c r="J4722" i="11"/>
  <c r="J4721" i="11"/>
  <c r="J4720" i="11"/>
  <c r="J4719" i="11"/>
  <c r="J4718" i="11"/>
  <c r="J4717" i="11"/>
  <c r="J4716" i="11"/>
  <c r="J4715" i="11"/>
  <c r="J4714" i="11"/>
  <c r="J4713" i="11"/>
  <c r="J4712" i="11"/>
  <c r="J4711" i="11"/>
  <c r="J4710" i="11"/>
  <c r="J4709" i="11"/>
  <c r="J4708" i="11"/>
  <c r="J4707" i="11"/>
  <c r="J4706" i="11"/>
  <c r="J4705" i="11"/>
  <c r="J4704" i="11"/>
  <c r="J4703" i="11"/>
  <c r="J4702" i="11"/>
  <c r="J4701" i="11"/>
  <c r="J4700" i="11"/>
  <c r="J4699" i="11"/>
  <c r="J4698" i="11"/>
  <c r="J4697" i="11"/>
  <c r="J4696" i="11"/>
  <c r="J4695" i="11"/>
  <c r="J4694" i="11"/>
  <c r="J4693" i="11"/>
  <c r="J4692" i="11"/>
  <c r="J4691" i="11"/>
  <c r="J4690" i="11"/>
  <c r="J4689" i="11"/>
  <c r="J4688" i="11"/>
  <c r="J4687" i="11"/>
  <c r="J4686" i="11"/>
  <c r="J4685" i="11"/>
  <c r="J4684" i="11"/>
  <c r="J4683" i="11"/>
  <c r="J4682" i="11"/>
  <c r="J4681" i="11"/>
  <c r="J4680" i="11"/>
  <c r="J4679" i="11"/>
  <c r="J4678" i="11"/>
  <c r="J4677" i="11"/>
  <c r="J4676" i="11"/>
  <c r="J4675" i="11"/>
  <c r="J4674" i="11"/>
  <c r="J4673" i="11"/>
  <c r="J4672" i="11"/>
  <c r="J4671" i="11"/>
  <c r="J4670" i="11"/>
  <c r="J4669" i="11"/>
  <c r="J4668" i="11"/>
  <c r="J4667" i="11"/>
  <c r="J4666" i="11"/>
  <c r="J4665" i="11"/>
  <c r="J4664" i="11"/>
  <c r="J4663" i="11"/>
  <c r="J4662" i="11"/>
  <c r="J4661" i="11"/>
  <c r="J4660" i="11"/>
  <c r="J4659" i="11"/>
  <c r="J4658" i="11"/>
  <c r="J4657" i="11"/>
  <c r="J4656" i="11"/>
  <c r="J4655" i="11"/>
  <c r="J4654" i="11"/>
  <c r="J4653" i="11"/>
  <c r="J4652" i="11"/>
  <c r="J4651" i="11"/>
  <c r="J4650" i="11"/>
  <c r="J4649" i="11"/>
  <c r="J4648" i="11"/>
  <c r="J4647" i="11"/>
  <c r="J4646" i="11"/>
  <c r="J4645" i="11"/>
  <c r="J4644" i="11"/>
  <c r="J4643" i="11"/>
  <c r="J4642" i="11"/>
  <c r="J4641" i="11"/>
  <c r="J4640" i="11"/>
  <c r="J4639" i="11"/>
  <c r="J4638" i="11"/>
  <c r="J4637" i="11"/>
  <c r="J4636" i="11"/>
  <c r="J4635" i="11"/>
  <c r="J4634" i="11"/>
  <c r="J4633" i="11"/>
  <c r="J4632" i="11"/>
  <c r="J4631" i="11"/>
  <c r="J4630" i="11"/>
  <c r="J4629" i="11"/>
  <c r="J4628" i="11"/>
  <c r="J4627" i="11"/>
  <c r="J4626" i="11"/>
  <c r="J4625" i="11"/>
  <c r="J4624" i="11"/>
  <c r="J4623" i="11"/>
  <c r="J4622" i="11"/>
  <c r="J4621" i="11"/>
  <c r="J4620" i="11"/>
  <c r="J4619" i="11"/>
  <c r="J4618" i="11"/>
  <c r="J4617" i="11"/>
  <c r="J4616" i="11"/>
  <c r="J4615" i="11"/>
  <c r="J4614" i="11"/>
  <c r="J4613" i="11"/>
  <c r="J4612" i="11"/>
  <c r="J4611" i="11"/>
  <c r="J4610" i="11"/>
  <c r="J4609" i="11"/>
  <c r="J4608" i="11"/>
  <c r="J4607" i="11"/>
  <c r="J4606" i="11"/>
  <c r="J4605" i="11"/>
  <c r="J4604" i="11"/>
  <c r="J4603" i="11"/>
  <c r="J4602" i="11"/>
  <c r="J4601" i="11"/>
  <c r="J4600" i="11"/>
  <c r="J4599" i="11"/>
  <c r="J4598" i="11"/>
  <c r="J4597" i="11"/>
  <c r="J4596" i="11"/>
  <c r="J4595" i="11"/>
  <c r="J4594" i="11"/>
  <c r="J4593" i="11"/>
  <c r="J4592" i="11"/>
  <c r="J4591" i="11"/>
  <c r="J4590" i="11"/>
  <c r="J4589" i="11"/>
  <c r="J4588" i="11"/>
  <c r="J4587" i="11"/>
  <c r="J4586" i="11"/>
  <c r="J4585" i="11"/>
  <c r="J4584" i="11"/>
  <c r="J4583" i="11"/>
  <c r="J4582" i="11"/>
  <c r="J4581" i="11"/>
  <c r="J4580" i="11"/>
  <c r="J4579" i="11"/>
  <c r="J4578" i="11"/>
  <c r="J4577" i="11"/>
  <c r="J4576" i="11"/>
  <c r="J4575" i="11"/>
  <c r="J4574" i="11"/>
  <c r="J4573" i="11"/>
  <c r="J4572" i="11"/>
  <c r="J4571" i="11"/>
  <c r="J4570" i="11"/>
  <c r="J4569" i="11"/>
  <c r="J4568" i="11"/>
  <c r="J4567" i="11"/>
  <c r="J4566" i="11"/>
  <c r="J4565" i="11"/>
  <c r="J4564" i="11"/>
  <c r="J4563" i="11"/>
  <c r="J4562" i="11"/>
  <c r="J4561" i="11"/>
  <c r="J4560" i="11"/>
  <c r="J4559" i="11"/>
  <c r="J4558" i="11"/>
  <c r="J4557" i="11"/>
  <c r="J4556" i="11"/>
  <c r="J4555" i="11"/>
  <c r="J4554" i="11"/>
  <c r="J4553" i="11"/>
  <c r="J4552" i="11"/>
  <c r="J4551" i="11"/>
  <c r="J4550" i="11"/>
  <c r="J4549" i="11"/>
  <c r="J4548" i="11"/>
  <c r="J4547" i="11"/>
  <c r="J4546" i="11"/>
  <c r="J4545" i="11"/>
  <c r="J4544" i="11"/>
  <c r="J4543" i="11"/>
  <c r="J4542" i="11"/>
  <c r="J4541" i="11"/>
  <c r="J4540" i="11"/>
  <c r="J4539" i="11"/>
  <c r="J4538" i="11"/>
  <c r="J4537" i="11"/>
  <c r="J4536" i="11"/>
  <c r="J4535" i="11"/>
  <c r="J4534" i="11"/>
  <c r="J4533" i="11"/>
  <c r="J4532" i="11"/>
  <c r="J4531" i="11"/>
  <c r="J4530" i="11"/>
  <c r="J4529" i="11"/>
  <c r="J4528" i="11"/>
  <c r="J4527" i="11"/>
  <c r="J4526" i="11"/>
  <c r="J4525" i="11"/>
  <c r="J4524" i="11"/>
  <c r="J4523" i="11"/>
  <c r="J4522" i="11"/>
  <c r="J4521" i="11"/>
  <c r="J4520" i="11"/>
  <c r="J4519" i="11"/>
  <c r="J4518" i="11"/>
  <c r="J4517" i="11"/>
  <c r="J4516" i="11"/>
  <c r="J4515" i="11"/>
  <c r="J4514" i="11"/>
  <c r="J4513" i="11"/>
  <c r="J4512" i="11"/>
  <c r="J4511" i="11"/>
  <c r="J4510" i="11"/>
  <c r="J4509" i="11"/>
  <c r="J4508" i="11"/>
  <c r="J4507" i="11"/>
  <c r="J4506" i="11"/>
  <c r="J4505" i="11"/>
  <c r="J4504" i="11"/>
  <c r="J4503" i="11"/>
  <c r="J4502" i="11"/>
  <c r="J4501" i="11"/>
  <c r="J4500" i="11"/>
  <c r="J4499" i="11"/>
  <c r="J4498" i="11"/>
  <c r="J4497" i="11"/>
  <c r="J4496" i="11"/>
  <c r="J4495" i="11"/>
  <c r="J4494" i="11"/>
  <c r="J4493" i="11"/>
  <c r="J4492" i="11"/>
  <c r="J4491" i="11"/>
  <c r="J4490" i="11"/>
  <c r="J4489" i="11"/>
  <c r="J4488" i="11"/>
  <c r="J4487" i="11"/>
  <c r="J4486" i="11"/>
  <c r="J4485" i="11"/>
  <c r="J4484" i="11"/>
  <c r="J4483" i="11"/>
  <c r="J4482" i="11"/>
  <c r="J4481" i="11"/>
  <c r="J4480" i="11"/>
  <c r="J4479" i="11"/>
  <c r="J4478" i="11"/>
  <c r="J4477" i="11"/>
  <c r="J4476" i="11"/>
  <c r="J4475" i="11"/>
  <c r="J4474" i="11"/>
  <c r="J4473" i="11"/>
  <c r="J4472" i="11"/>
  <c r="J4471" i="11"/>
  <c r="J4470" i="11"/>
  <c r="J4469" i="11"/>
  <c r="J4468" i="11"/>
  <c r="J4467" i="11"/>
  <c r="J4466" i="11"/>
  <c r="J4465" i="11"/>
  <c r="J4464" i="11"/>
  <c r="J4463" i="11"/>
  <c r="J4462" i="11"/>
  <c r="J4461" i="11"/>
  <c r="J4460" i="11"/>
  <c r="J4459" i="11"/>
  <c r="J4458" i="11"/>
  <c r="J4457" i="11"/>
  <c r="J4456" i="11"/>
  <c r="J4455" i="11"/>
  <c r="J4454" i="11"/>
  <c r="J4453" i="11"/>
  <c r="J4452" i="11"/>
  <c r="J4451" i="11"/>
  <c r="J4450" i="11"/>
  <c r="J4449" i="11"/>
  <c r="J4448" i="11"/>
  <c r="J4447" i="11"/>
  <c r="J4446" i="11"/>
  <c r="J4445" i="11"/>
  <c r="J4444" i="11"/>
  <c r="J4443" i="11"/>
  <c r="J4442" i="11"/>
  <c r="J4441" i="11"/>
  <c r="J4440" i="11"/>
  <c r="J4439" i="11"/>
  <c r="J4438" i="11"/>
  <c r="J4437" i="11"/>
  <c r="J4436" i="11"/>
  <c r="J4435" i="11"/>
  <c r="J4434" i="11"/>
  <c r="J4433" i="11"/>
  <c r="J4432" i="11"/>
  <c r="J4431" i="11"/>
  <c r="J4430" i="11"/>
  <c r="J4429" i="11"/>
  <c r="J4428" i="11"/>
  <c r="J4427" i="11"/>
  <c r="J4426" i="11"/>
  <c r="J4425" i="11"/>
  <c r="J4424" i="11"/>
  <c r="J4423" i="11"/>
  <c r="J4422" i="11"/>
  <c r="J4421" i="11"/>
  <c r="J4420" i="11"/>
  <c r="J4419" i="11"/>
  <c r="J4418" i="11"/>
  <c r="J4417" i="11"/>
  <c r="J4416" i="11"/>
  <c r="J4415" i="11"/>
  <c r="J4414" i="11"/>
  <c r="J4413" i="11"/>
  <c r="J4412" i="11"/>
  <c r="J4411" i="11"/>
  <c r="J4410" i="11"/>
  <c r="J4409" i="11"/>
  <c r="J4408" i="11"/>
  <c r="J4407" i="11"/>
  <c r="J4406" i="11"/>
  <c r="J4405" i="11"/>
  <c r="J4404" i="11"/>
  <c r="J4403" i="11"/>
  <c r="J4402" i="11"/>
  <c r="J4401" i="11"/>
  <c r="J4400" i="11"/>
  <c r="J4399" i="11"/>
  <c r="J4398" i="11"/>
  <c r="J4397" i="11"/>
  <c r="J4396" i="11"/>
  <c r="J4395" i="11"/>
  <c r="J4394" i="11"/>
  <c r="J4393" i="11"/>
  <c r="J4392" i="11"/>
  <c r="J4391" i="11"/>
  <c r="J4390" i="11"/>
  <c r="J4389" i="11"/>
  <c r="J4388" i="11"/>
  <c r="J4387" i="11"/>
  <c r="J4386" i="11"/>
  <c r="J4385" i="11"/>
  <c r="J4384" i="11"/>
  <c r="J4383" i="11"/>
  <c r="J4382" i="11"/>
  <c r="J4381" i="11"/>
  <c r="J4380" i="11"/>
  <c r="J4379" i="11"/>
  <c r="J4378" i="11"/>
  <c r="J4377" i="11"/>
  <c r="J4376" i="11"/>
  <c r="J4375" i="11"/>
  <c r="J4374" i="11"/>
  <c r="J4373" i="11"/>
  <c r="J4372" i="11"/>
  <c r="J4371" i="11"/>
  <c r="J4370" i="11"/>
  <c r="J4369" i="11"/>
  <c r="J4368" i="11"/>
  <c r="J4367" i="11"/>
  <c r="J4366" i="11"/>
  <c r="J4365" i="11"/>
  <c r="J4364" i="11"/>
  <c r="J4363" i="11"/>
  <c r="J4362" i="11"/>
  <c r="J4361" i="11"/>
  <c r="J4360" i="11"/>
  <c r="J4359" i="11"/>
  <c r="J4358" i="11"/>
  <c r="J4357" i="11"/>
  <c r="J4356" i="11"/>
  <c r="J4355" i="11"/>
  <c r="J4354" i="11"/>
  <c r="J4353" i="11"/>
  <c r="J4352" i="11"/>
  <c r="J4351" i="11"/>
  <c r="J4350" i="11"/>
  <c r="J4349" i="11"/>
  <c r="J4348" i="11"/>
  <c r="J4347" i="11"/>
  <c r="J4346" i="11"/>
  <c r="J4345" i="11"/>
  <c r="J4344" i="11"/>
  <c r="J4343" i="11"/>
  <c r="J4342" i="11"/>
  <c r="J4341" i="11"/>
  <c r="J4340" i="11"/>
  <c r="J4339" i="11"/>
  <c r="J4338" i="11"/>
  <c r="J4337" i="11"/>
  <c r="J4336" i="11"/>
  <c r="J4335" i="11"/>
  <c r="J4334" i="11"/>
  <c r="J4333" i="11"/>
  <c r="J4332" i="11"/>
  <c r="J4331" i="11"/>
  <c r="J4330" i="11"/>
  <c r="J4329" i="11"/>
  <c r="J4328" i="11"/>
  <c r="J4327" i="11"/>
  <c r="J4326" i="11"/>
  <c r="J4325" i="11"/>
  <c r="J4324" i="11"/>
  <c r="J4323" i="11"/>
  <c r="J4322" i="11"/>
  <c r="J4321" i="11"/>
  <c r="J4320" i="11"/>
  <c r="J4319" i="11"/>
  <c r="J4318" i="11"/>
  <c r="J4317" i="11"/>
  <c r="J4316" i="11"/>
  <c r="J4315" i="11"/>
  <c r="J4314" i="11"/>
  <c r="J4313" i="11"/>
  <c r="J4312" i="11"/>
  <c r="J4311" i="11"/>
  <c r="J4310" i="11"/>
  <c r="J4309" i="11"/>
  <c r="J4308" i="11"/>
  <c r="J4307" i="11"/>
  <c r="J4306" i="11"/>
  <c r="J4305" i="11"/>
  <c r="J4304" i="11"/>
  <c r="J4303" i="11"/>
  <c r="J4302" i="11"/>
  <c r="J4301" i="11"/>
  <c r="J4300" i="11"/>
  <c r="J4299" i="11"/>
  <c r="J4298" i="11"/>
  <c r="J4297" i="11"/>
  <c r="J4296" i="11"/>
  <c r="J4295" i="11"/>
  <c r="J4294" i="11"/>
  <c r="J4293" i="11"/>
  <c r="J4292" i="11"/>
  <c r="J4291" i="11"/>
  <c r="J4290" i="11"/>
  <c r="J4289" i="11"/>
  <c r="J4288" i="11"/>
  <c r="J4287" i="11"/>
  <c r="J4286" i="11"/>
  <c r="J4285" i="11"/>
  <c r="J4284" i="11"/>
  <c r="J4283" i="11"/>
  <c r="J4282" i="11"/>
  <c r="J4281" i="11"/>
  <c r="J4280" i="11"/>
  <c r="J4279" i="11"/>
  <c r="J4278" i="11"/>
  <c r="J4277" i="11"/>
  <c r="J4276" i="11"/>
  <c r="J4275" i="11"/>
  <c r="J4274" i="11"/>
  <c r="J4273" i="11"/>
  <c r="J4272" i="11"/>
  <c r="J4271" i="11"/>
  <c r="J4270" i="11"/>
  <c r="J4269" i="11"/>
  <c r="J4268" i="11"/>
  <c r="J4267" i="11"/>
  <c r="J4266" i="11"/>
  <c r="J4265" i="11"/>
  <c r="J4264" i="11"/>
  <c r="J4263" i="11"/>
  <c r="J4262" i="11"/>
  <c r="J4261" i="11"/>
  <c r="J4260" i="11"/>
  <c r="J4259" i="11"/>
  <c r="J4258" i="11"/>
  <c r="J4257" i="11"/>
  <c r="J4256" i="11"/>
  <c r="J4255" i="11"/>
  <c r="J4254" i="11"/>
  <c r="J4253" i="11"/>
  <c r="J4252" i="11"/>
  <c r="J4251" i="11"/>
  <c r="J4250" i="11"/>
  <c r="J4249" i="11"/>
  <c r="J4248" i="11"/>
  <c r="J4247" i="11"/>
  <c r="J4246" i="11"/>
  <c r="J4245" i="11"/>
  <c r="J4244" i="11"/>
  <c r="J4243" i="11"/>
  <c r="J4242" i="11"/>
  <c r="J4241" i="11"/>
  <c r="J4240" i="11"/>
  <c r="J4239" i="11"/>
  <c r="J4238" i="11"/>
  <c r="J4237" i="11"/>
  <c r="J4236" i="11"/>
  <c r="J4235" i="11"/>
  <c r="J4234" i="11"/>
  <c r="J4233" i="11"/>
  <c r="J4232" i="11"/>
  <c r="J4231" i="11"/>
  <c r="J4230" i="11"/>
  <c r="J4229" i="11"/>
  <c r="J4228" i="11"/>
  <c r="J4227" i="11"/>
  <c r="J4226" i="11"/>
  <c r="J4225" i="11"/>
  <c r="J4224" i="11"/>
  <c r="J4223" i="11"/>
  <c r="J4222" i="11"/>
  <c r="J4221" i="11"/>
  <c r="J4220" i="11"/>
  <c r="J4219" i="11"/>
  <c r="J4218" i="11"/>
  <c r="J4217" i="11"/>
  <c r="J4216" i="11"/>
  <c r="J4215" i="11"/>
  <c r="J4214" i="11"/>
  <c r="J4213" i="11"/>
  <c r="J4212" i="11"/>
  <c r="J4211" i="11"/>
  <c r="J4210" i="11"/>
  <c r="J4209" i="11"/>
  <c r="J4208" i="11"/>
  <c r="J4207" i="11"/>
  <c r="J4206" i="11"/>
  <c r="J4205" i="11"/>
  <c r="J4204" i="11"/>
  <c r="J4203" i="11"/>
  <c r="J4202" i="11"/>
  <c r="J4201" i="11"/>
  <c r="J4200" i="11"/>
  <c r="J4199" i="11"/>
  <c r="J4198" i="11"/>
  <c r="J4197" i="11"/>
  <c r="J4196" i="11"/>
  <c r="J4195" i="11"/>
  <c r="J4194" i="11"/>
  <c r="J4193" i="11"/>
  <c r="J4192" i="11"/>
  <c r="J4191" i="11"/>
  <c r="J4190" i="11"/>
  <c r="J4189" i="11"/>
  <c r="J4188" i="11"/>
  <c r="J4187" i="11"/>
  <c r="J4186" i="11"/>
  <c r="J4185" i="11"/>
  <c r="J4184" i="11"/>
  <c r="J4183" i="11"/>
  <c r="J4182" i="11"/>
  <c r="J4181" i="11"/>
  <c r="J4180" i="11"/>
  <c r="J4179" i="11"/>
  <c r="J4178" i="11"/>
  <c r="J4177" i="11"/>
  <c r="J4176" i="11"/>
  <c r="J4175" i="11"/>
  <c r="J4174" i="11"/>
  <c r="J4173" i="11"/>
  <c r="J4172" i="11"/>
  <c r="J4171" i="11"/>
  <c r="J4170" i="11"/>
  <c r="J4169" i="11"/>
  <c r="J4168" i="11"/>
  <c r="J4167" i="11"/>
  <c r="J4166" i="11"/>
  <c r="J4165" i="11"/>
  <c r="J4164" i="11"/>
  <c r="J4163" i="11"/>
  <c r="J4162" i="11"/>
  <c r="J4161" i="11"/>
  <c r="J4160" i="11"/>
  <c r="J4159" i="11"/>
  <c r="J4158" i="11"/>
  <c r="J4157" i="11"/>
  <c r="J4156" i="11"/>
  <c r="J4155" i="11"/>
  <c r="J4154" i="11"/>
  <c r="J4153" i="11"/>
  <c r="J4152" i="11"/>
  <c r="J4151" i="11"/>
  <c r="J4150" i="11"/>
  <c r="J4149" i="11"/>
  <c r="J4148" i="11"/>
  <c r="J4147" i="11"/>
  <c r="J4146" i="11"/>
  <c r="J4145" i="11"/>
  <c r="J4144" i="11"/>
  <c r="J4143" i="11"/>
  <c r="J4142" i="11"/>
  <c r="J4141" i="11"/>
  <c r="J4140" i="11"/>
  <c r="J4139" i="11"/>
  <c r="J4138" i="11"/>
  <c r="J4137" i="11"/>
  <c r="J4136" i="11"/>
  <c r="J4135" i="11"/>
  <c r="J4134" i="11"/>
  <c r="J4133" i="11"/>
  <c r="J4132" i="11"/>
  <c r="J4131" i="11"/>
  <c r="J4130" i="11"/>
  <c r="J4129" i="11"/>
  <c r="J4128" i="11"/>
  <c r="J4127" i="11"/>
  <c r="J4126" i="11"/>
  <c r="J4125" i="11"/>
  <c r="J4124" i="11"/>
  <c r="J4123" i="11"/>
  <c r="J4122" i="11"/>
  <c r="J4121" i="11"/>
  <c r="J4120" i="11"/>
  <c r="J4119" i="11"/>
  <c r="J4118" i="11"/>
  <c r="J4117" i="11"/>
  <c r="J4116" i="11"/>
  <c r="J4115" i="11"/>
  <c r="J4114" i="11"/>
  <c r="J4113" i="11"/>
  <c r="J4112" i="11"/>
  <c r="J4111" i="11"/>
  <c r="J4110" i="11"/>
  <c r="J4109" i="11"/>
  <c r="J4108" i="11"/>
  <c r="J4107" i="11"/>
  <c r="J4106" i="11"/>
  <c r="J4105" i="11"/>
  <c r="J4104" i="11"/>
  <c r="J4103" i="11"/>
  <c r="J4102" i="11"/>
  <c r="J4101" i="11"/>
  <c r="J4100" i="11"/>
  <c r="J4099" i="11"/>
  <c r="J4098" i="11"/>
  <c r="J4097" i="11"/>
  <c r="J4096" i="11"/>
  <c r="J4095" i="11"/>
  <c r="J4094" i="11"/>
  <c r="J4093" i="11"/>
  <c r="J4092" i="11"/>
  <c r="J4091" i="11"/>
  <c r="J4090" i="11"/>
  <c r="J4089" i="11"/>
  <c r="J4088" i="11"/>
  <c r="J4087" i="11"/>
  <c r="J4086" i="11"/>
  <c r="J4085" i="11"/>
  <c r="J4084" i="11"/>
  <c r="J4083" i="11"/>
  <c r="J4082" i="11"/>
  <c r="J4081" i="11"/>
  <c r="J4080" i="11"/>
  <c r="J4079" i="11"/>
  <c r="J4078" i="11"/>
  <c r="J4077" i="11"/>
  <c r="J4076" i="11"/>
  <c r="J4075" i="11"/>
  <c r="J4074" i="11"/>
  <c r="J4073" i="11"/>
  <c r="J4072" i="11"/>
  <c r="J4071" i="11"/>
  <c r="J4070" i="11"/>
  <c r="J4069" i="11"/>
  <c r="J4068" i="11"/>
  <c r="J4067" i="11"/>
  <c r="J4066" i="11"/>
  <c r="J4065" i="11"/>
  <c r="J4064" i="11"/>
  <c r="J4063" i="11"/>
  <c r="J4062" i="11"/>
  <c r="J4061" i="11"/>
  <c r="J4060" i="11"/>
  <c r="J4059" i="11"/>
  <c r="J4058" i="11"/>
  <c r="J4057" i="11"/>
  <c r="J4056" i="11"/>
  <c r="J4055" i="11"/>
  <c r="J4054" i="11"/>
  <c r="J4053" i="11"/>
  <c r="J4052" i="11"/>
  <c r="J4051" i="11"/>
  <c r="J4050" i="11"/>
  <c r="J4049" i="11"/>
  <c r="J4048" i="11"/>
  <c r="J4047" i="11"/>
  <c r="J4046" i="11"/>
  <c r="J4045" i="11"/>
  <c r="J4044" i="11"/>
  <c r="J4043" i="11"/>
  <c r="J4042" i="11"/>
  <c r="J4041" i="11"/>
  <c r="J4040" i="11"/>
  <c r="J4039" i="11"/>
  <c r="J4038" i="11"/>
  <c r="J4037" i="11"/>
  <c r="J4036" i="11"/>
  <c r="J4035" i="11"/>
  <c r="J4034" i="11"/>
  <c r="J4033" i="11"/>
  <c r="J4032" i="11"/>
  <c r="J4031" i="11"/>
  <c r="J4030" i="11"/>
  <c r="J4029" i="11"/>
  <c r="J4028" i="11"/>
  <c r="J4027" i="11"/>
  <c r="J4026" i="11"/>
  <c r="J4025" i="11"/>
  <c r="J4024" i="11"/>
  <c r="J4023" i="11"/>
  <c r="J4022" i="11"/>
  <c r="J4021" i="11"/>
  <c r="J4020" i="11"/>
  <c r="J4019" i="11"/>
  <c r="J4018" i="11"/>
  <c r="J4017" i="11"/>
  <c r="J4016" i="11"/>
  <c r="J4015" i="11"/>
  <c r="J4014" i="11"/>
  <c r="J4013" i="11"/>
  <c r="J4012" i="11"/>
  <c r="J4011" i="11"/>
  <c r="J4010" i="11"/>
  <c r="J4009" i="11"/>
  <c r="J4008" i="11"/>
  <c r="J4007" i="11"/>
  <c r="J4006" i="11"/>
  <c r="J4005" i="11"/>
  <c r="J4004" i="11"/>
  <c r="J4003" i="11"/>
  <c r="J4002" i="11"/>
  <c r="J4001" i="11"/>
  <c r="J4000" i="11"/>
  <c r="J3999" i="11"/>
  <c r="J3998" i="11"/>
  <c r="J3997" i="11"/>
  <c r="J3996" i="11"/>
  <c r="J3995" i="11"/>
  <c r="J3994" i="11"/>
  <c r="J3993" i="11"/>
  <c r="J3992" i="11"/>
  <c r="J3991" i="11"/>
  <c r="J3990" i="11"/>
  <c r="J3989" i="11"/>
  <c r="J3988" i="11"/>
  <c r="J3987" i="11"/>
  <c r="J3986" i="11"/>
  <c r="J3985" i="11"/>
  <c r="J3984" i="11"/>
  <c r="J3983" i="11"/>
  <c r="J3982" i="11"/>
  <c r="J3981" i="11"/>
  <c r="J3980" i="11"/>
  <c r="J3979" i="11"/>
  <c r="J3978" i="11"/>
  <c r="J3977" i="11"/>
  <c r="J3976" i="11"/>
  <c r="J3975" i="11"/>
  <c r="J3974" i="11"/>
  <c r="J3973" i="11"/>
  <c r="J3972" i="11"/>
  <c r="J3971" i="11"/>
  <c r="J3970" i="11"/>
  <c r="J3969" i="11"/>
  <c r="J3968" i="11"/>
  <c r="J3967" i="11"/>
  <c r="J3966" i="11"/>
  <c r="J3965" i="11"/>
  <c r="J3964" i="11"/>
  <c r="J3963" i="11"/>
  <c r="J3962" i="11"/>
  <c r="J3961" i="11"/>
  <c r="J3960" i="11"/>
  <c r="J3959" i="11"/>
  <c r="J3958" i="11"/>
  <c r="J3957" i="11"/>
  <c r="J3956" i="11"/>
  <c r="J3955" i="11"/>
  <c r="J3954" i="11"/>
  <c r="J3953" i="11"/>
  <c r="J3952" i="11"/>
  <c r="J3951" i="11"/>
  <c r="J3950" i="11"/>
  <c r="J3949" i="11"/>
  <c r="J3948" i="11"/>
  <c r="J3947" i="11"/>
  <c r="J3946" i="11"/>
  <c r="J3945" i="11"/>
  <c r="J3944" i="11"/>
  <c r="J3943" i="11"/>
  <c r="J3942" i="11"/>
  <c r="J3941" i="11"/>
  <c r="J3940" i="11"/>
  <c r="J3939" i="11"/>
  <c r="J3938" i="11"/>
  <c r="J3937" i="11"/>
  <c r="J3936" i="11"/>
  <c r="J3935" i="11"/>
  <c r="J3934" i="11"/>
  <c r="J3933" i="11"/>
  <c r="J3932" i="11"/>
  <c r="J3931" i="11"/>
  <c r="J3930" i="11"/>
  <c r="J3929" i="11"/>
  <c r="J3928" i="11"/>
  <c r="J3927" i="11"/>
  <c r="J3926" i="11"/>
  <c r="J3925" i="11"/>
  <c r="J3924" i="11"/>
  <c r="J3923" i="11"/>
  <c r="J3922" i="11"/>
  <c r="J3921" i="11"/>
  <c r="J3920" i="11"/>
  <c r="J3919" i="11"/>
  <c r="J3918" i="11"/>
  <c r="J3917" i="11"/>
  <c r="J3916" i="11"/>
  <c r="J3915" i="11"/>
  <c r="J3914" i="11"/>
  <c r="J3913" i="11"/>
  <c r="J3912" i="11"/>
  <c r="J3911" i="11"/>
  <c r="J3910" i="11"/>
  <c r="J3909" i="11"/>
  <c r="J3908" i="11"/>
  <c r="J3907" i="11"/>
  <c r="J3906" i="11"/>
  <c r="J3905" i="11"/>
  <c r="J3904" i="11"/>
  <c r="J3903" i="11"/>
  <c r="J3902" i="11"/>
  <c r="J3901" i="11"/>
  <c r="J3900" i="11"/>
  <c r="J3899" i="11"/>
  <c r="J3898" i="11"/>
  <c r="J3897" i="11"/>
  <c r="J3896" i="11"/>
  <c r="J3895" i="11"/>
  <c r="J3894" i="11"/>
  <c r="J3893" i="11"/>
  <c r="J3892" i="11"/>
  <c r="J3891" i="11"/>
  <c r="J3890" i="11"/>
  <c r="J3889" i="11"/>
  <c r="J3888" i="11"/>
  <c r="J3887" i="11"/>
  <c r="J3886" i="11"/>
  <c r="J3885" i="11"/>
  <c r="J3884" i="11"/>
  <c r="J3883" i="11"/>
  <c r="J3882" i="11"/>
  <c r="J3881" i="11"/>
  <c r="J3880" i="11"/>
  <c r="J3879" i="11"/>
  <c r="J3878" i="11"/>
  <c r="J3877" i="11"/>
  <c r="J3876" i="11"/>
  <c r="J3875" i="11"/>
  <c r="J3874" i="11"/>
  <c r="J3873" i="11"/>
  <c r="J3872" i="11"/>
  <c r="J3871" i="11"/>
  <c r="J3870" i="11"/>
  <c r="J3869" i="11"/>
  <c r="J3868" i="11"/>
  <c r="J3867" i="11"/>
  <c r="J3866" i="11"/>
  <c r="J3865" i="11"/>
  <c r="J3864" i="11"/>
  <c r="J3863" i="11"/>
  <c r="J3862" i="11"/>
  <c r="J3861" i="11"/>
  <c r="J3860" i="11"/>
  <c r="J3859" i="11"/>
  <c r="J3858" i="11"/>
  <c r="J3857" i="11"/>
  <c r="J3856" i="11"/>
  <c r="J3855" i="11"/>
  <c r="J3854" i="11"/>
  <c r="J3853" i="11"/>
  <c r="J3852" i="11"/>
  <c r="J3851" i="11"/>
  <c r="J3850" i="11"/>
  <c r="J3849" i="11"/>
  <c r="J3848" i="11"/>
  <c r="J3847" i="11"/>
  <c r="J3846" i="11"/>
  <c r="J3845" i="11"/>
  <c r="J3844" i="11"/>
  <c r="J3843" i="11"/>
  <c r="J3842" i="11"/>
  <c r="J3841" i="11"/>
  <c r="J3840" i="11"/>
  <c r="J3839" i="11"/>
  <c r="J3838" i="11"/>
  <c r="J3837" i="11"/>
  <c r="J3836" i="11"/>
  <c r="J3835" i="11"/>
  <c r="J3834" i="11"/>
  <c r="J3833" i="11"/>
  <c r="J3832" i="11"/>
  <c r="J3831" i="11"/>
  <c r="J3830" i="11"/>
  <c r="J3829" i="11"/>
  <c r="J3828" i="11"/>
  <c r="J3827" i="11"/>
  <c r="J3826" i="11"/>
  <c r="J3825" i="11"/>
  <c r="J3824" i="11"/>
  <c r="J3823" i="11"/>
  <c r="J3822" i="11"/>
  <c r="J3821" i="11"/>
  <c r="J3820" i="11"/>
  <c r="J3819" i="11"/>
  <c r="J3818" i="11"/>
  <c r="J3817" i="11"/>
  <c r="J3816" i="11"/>
  <c r="J3815" i="11"/>
  <c r="J3814" i="11"/>
  <c r="J3813" i="11"/>
  <c r="J3812" i="11"/>
  <c r="J3811" i="11"/>
  <c r="J3810" i="11"/>
  <c r="J3809" i="11"/>
  <c r="J3808" i="11"/>
  <c r="J3807" i="11"/>
  <c r="J3806" i="11"/>
  <c r="J3805" i="11"/>
  <c r="J3804" i="11"/>
  <c r="J3803" i="11"/>
  <c r="J3802" i="11"/>
  <c r="J3801" i="11"/>
  <c r="J3800" i="11"/>
  <c r="J3799" i="11"/>
  <c r="J3798" i="11"/>
  <c r="J3797" i="11"/>
  <c r="J3796" i="11"/>
  <c r="J3795" i="11"/>
  <c r="J3794" i="11"/>
  <c r="J3793" i="11"/>
  <c r="J3792" i="11"/>
  <c r="J3791" i="11"/>
  <c r="J3790" i="11"/>
  <c r="J3789" i="11"/>
  <c r="J3788" i="11"/>
  <c r="J3787" i="11"/>
  <c r="J3786" i="11"/>
  <c r="J3785" i="11"/>
  <c r="J3784" i="11"/>
  <c r="J3783" i="11"/>
  <c r="J3782" i="11"/>
  <c r="J3781" i="11"/>
  <c r="J3780" i="11"/>
  <c r="J3779" i="11"/>
  <c r="J3778" i="11"/>
  <c r="J3777" i="11"/>
  <c r="J3776" i="11"/>
  <c r="J3775" i="11"/>
  <c r="J3774" i="11"/>
  <c r="J3773" i="11"/>
  <c r="J3772" i="11"/>
  <c r="J3771" i="11"/>
  <c r="J3770" i="11"/>
  <c r="J3769" i="11"/>
  <c r="J3768" i="11"/>
  <c r="J3767" i="11"/>
  <c r="J3766" i="11"/>
  <c r="J3765" i="11"/>
  <c r="J3764" i="11"/>
  <c r="J3763" i="11"/>
  <c r="J3762" i="11"/>
  <c r="J3761" i="11"/>
  <c r="J3760" i="11"/>
  <c r="J3759" i="11"/>
  <c r="J3758" i="11"/>
  <c r="J3757" i="11"/>
  <c r="J3756" i="11"/>
  <c r="J3755" i="11"/>
  <c r="J3754" i="11"/>
  <c r="J3753" i="11"/>
  <c r="J3752" i="11"/>
  <c r="J3751" i="11"/>
  <c r="J3750" i="11"/>
  <c r="J3749" i="11"/>
  <c r="J3748" i="11"/>
  <c r="J3747" i="11"/>
  <c r="J3746" i="11"/>
  <c r="J3745" i="11"/>
  <c r="J3744" i="11"/>
  <c r="J3743" i="11"/>
  <c r="J3742" i="11"/>
  <c r="J3741" i="11"/>
  <c r="J3740" i="11"/>
  <c r="J3739" i="11"/>
  <c r="J3738" i="11"/>
  <c r="J3737" i="11"/>
  <c r="J3736" i="11"/>
  <c r="J3735" i="11"/>
  <c r="J3734" i="11"/>
  <c r="J3733" i="11"/>
  <c r="J3732" i="11"/>
  <c r="J3731" i="11"/>
  <c r="J3730" i="11"/>
  <c r="J3729" i="11"/>
  <c r="J3728" i="11"/>
  <c r="J3727" i="11"/>
  <c r="J3726" i="11"/>
  <c r="J3725" i="11"/>
  <c r="J3724" i="11"/>
  <c r="J3723" i="11"/>
  <c r="J3722" i="11"/>
  <c r="J3721" i="11"/>
  <c r="J3720" i="11"/>
  <c r="J3719" i="11"/>
  <c r="J3718" i="11"/>
  <c r="J3717" i="11"/>
  <c r="J3716" i="11"/>
  <c r="J3715" i="11"/>
  <c r="J3714" i="11"/>
  <c r="J3713" i="11"/>
  <c r="J3712" i="11"/>
  <c r="J3711" i="11"/>
  <c r="J3710" i="11"/>
  <c r="J3709" i="11"/>
  <c r="J3708" i="11"/>
  <c r="J3707" i="11"/>
  <c r="J3706" i="11"/>
  <c r="J3705" i="11"/>
  <c r="J3704" i="11"/>
  <c r="J3703" i="11"/>
  <c r="J3702" i="11"/>
  <c r="J3701" i="11"/>
  <c r="J3700" i="11"/>
  <c r="J3699" i="11"/>
  <c r="J3698" i="11"/>
  <c r="J3697" i="11"/>
  <c r="J3696" i="11"/>
  <c r="J3695" i="11"/>
  <c r="J3694" i="11"/>
  <c r="J3693" i="11"/>
  <c r="J3692" i="11"/>
  <c r="J3691" i="11"/>
  <c r="J3690" i="11"/>
  <c r="J3689" i="11"/>
  <c r="J3688" i="11"/>
  <c r="J3687" i="11"/>
  <c r="J3686" i="11"/>
  <c r="J3685" i="11"/>
  <c r="J3684" i="11"/>
  <c r="J3683" i="11"/>
  <c r="J3682" i="11"/>
  <c r="J3681" i="11"/>
  <c r="J3680" i="11"/>
  <c r="J3679" i="11"/>
  <c r="J3678" i="11"/>
  <c r="J3677" i="11"/>
  <c r="J3676" i="11"/>
  <c r="J3675" i="11"/>
  <c r="J3674" i="11"/>
  <c r="J3673" i="11"/>
  <c r="J3672" i="11"/>
  <c r="J3671" i="11"/>
  <c r="J3670" i="11"/>
  <c r="J3669" i="11"/>
  <c r="J3668" i="11"/>
  <c r="J3667" i="11"/>
  <c r="J3666" i="11"/>
  <c r="J3665" i="11"/>
  <c r="J3664" i="11"/>
  <c r="J3663" i="11"/>
  <c r="J3662" i="11"/>
  <c r="J3661" i="11"/>
  <c r="J3660" i="11"/>
  <c r="J3659" i="11"/>
  <c r="J3658" i="11"/>
  <c r="J3657" i="11"/>
  <c r="J3656" i="11"/>
  <c r="J3655" i="11"/>
  <c r="J3654" i="11"/>
  <c r="J3653" i="11"/>
  <c r="J3652" i="11"/>
  <c r="J3651" i="11"/>
  <c r="J3650" i="11"/>
  <c r="J3649" i="11"/>
  <c r="J3648" i="11"/>
  <c r="J3647" i="11"/>
  <c r="J3646" i="11"/>
  <c r="J3645" i="11"/>
  <c r="J3644" i="11"/>
  <c r="J3643" i="11"/>
  <c r="J3642" i="11"/>
  <c r="J3641" i="11"/>
  <c r="J3640" i="11"/>
  <c r="J3639" i="11"/>
  <c r="J3638" i="11"/>
  <c r="J3637" i="11"/>
  <c r="J3636" i="11"/>
  <c r="J3635" i="11"/>
  <c r="J3634" i="11"/>
  <c r="J3633" i="11"/>
  <c r="J3632" i="11"/>
  <c r="J3631" i="11"/>
  <c r="J3630" i="11"/>
  <c r="J3629" i="11"/>
  <c r="J3628" i="11"/>
  <c r="J3627" i="11"/>
  <c r="J3626" i="11"/>
  <c r="J3625" i="11"/>
  <c r="J3624" i="11"/>
  <c r="J3623" i="11"/>
  <c r="J3622" i="11"/>
  <c r="J3621" i="11"/>
  <c r="J3620" i="11"/>
  <c r="J3619" i="11"/>
  <c r="J3618" i="11"/>
  <c r="J3617" i="11"/>
  <c r="J3616" i="11"/>
  <c r="J3615" i="11"/>
  <c r="J3614" i="11"/>
  <c r="J3613" i="11"/>
  <c r="J3612" i="11"/>
  <c r="J3611" i="11"/>
  <c r="J3610" i="11"/>
  <c r="J3609" i="11"/>
  <c r="J3608" i="11"/>
  <c r="J3607" i="11"/>
  <c r="J3606" i="11"/>
  <c r="J3605" i="11"/>
  <c r="J3604" i="11"/>
  <c r="J3603" i="11"/>
  <c r="J3602" i="11"/>
  <c r="J3601" i="11"/>
  <c r="J3600" i="11"/>
  <c r="J3599" i="11"/>
  <c r="J3598" i="11"/>
  <c r="J3597" i="11"/>
  <c r="J3596" i="11"/>
  <c r="J3595" i="11"/>
  <c r="J3594" i="11"/>
  <c r="J3593" i="11"/>
  <c r="J3592" i="11"/>
  <c r="J3591" i="11"/>
  <c r="J3590" i="11"/>
  <c r="J3589" i="11"/>
  <c r="J3588" i="11"/>
  <c r="J3587" i="11"/>
  <c r="J3586" i="11"/>
  <c r="J3585" i="11"/>
  <c r="J3584" i="11"/>
  <c r="J3583" i="11"/>
  <c r="J3582" i="11"/>
  <c r="J3581" i="11"/>
  <c r="J3580" i="11"/>
  <c r="J3579" i="11"/>
  <c r="J3578" i="11"/>
  <c r="J3577" i="11"/>
  <c r="J3576" i="11"/>
  <c r="J3575" i="11"/>
  <c r="J3574" i="11"/>
  <c r="J3573" i="11"/>
  <c r="J3572" i="11"/>
  <c r="J3571" i="11"/>
  <c r="J3570" i="11"/>
  <c r="J3569" i="11"/>
  <c r="J3568" i="11"/>
  <c r="J3567" i="11"/>
  <c r="J3566" i="11"/>
  <c r="J3565" i="11"/>
  <c r="J3564" i="11"/>
  <c r="J3563" i="11"/>
  <c r="J3562" i="11"/>
  <c r="J3561" i="11"/>
  <c r="J3560" i="11"/>
  <c r="J3559" i="11"/>
  <c r="J3558" i="11"/>
  <c r="J3557" i="11"/>
  <c r="J3556" i="11"/>
  <c r="J3555" i="11"/>
  <c r="J3554" i="11"/>
  <c r="J3553" i="11"/>
  <c r="J3552" i="11"/>
  <c r="J3551" i="11"/>
  <c r="J3550" i="11"/>
  <c r="J3549" i="11"/>
  <c r="J3548" i="11"/>
  <c r="J3547" i="11"/>
  <c r="J3546" i="11"/>
  <c r="J3545" i="11"/>
  <c r="J3544" i="11"/>
  <c r="J3543" i="11"/>
  <c r="J3542" i="11"/>
  <c r="J3541" i="11"/>
  <c r="J3540" i="11"/>
  <c r="J3539" i="11"/>
  <c r="J3538" i="11"/>
  <c r="J3537" i="11"/>
  <c r="J3536" i="11"/>
  <c r="J3535" i="11"/>
  <c r="J3534" i="11"/>
  <c r="J3533" i="11"/>
  <c r="J3532" i="11"/>
  <c r="J3531" i="11"/>
  <c r="J3530" i="11"/>
  <c r="J3529" i="11"/>
  <c r="J3528" i="11"/>
  <c r="J3527" i="11"/>
  <c r="J3526" i="11"/>
  <c r="J3525" i="11"/>
  <c r="J3524" i="11"/>
  <c r="J3523" i="11"/>
  <c r="J3522" i="11"/>
  <c r="J3521" i="11"/>
  <c r="J3520" i="11"/>
  <c r="J3519" i="11"/>
  <c r="J3518" i="11"/>
  <c r="J3517" i="11"/>
  <c r="J3516" i="11"/>
  <c r="J3515" i="11"/>
  <c r="J3514" i="11"/>
  <c r="J3513" i="11"/>
  <c r="J3512" i="11"/>
  <c r="J3511" i="11"/>
  <c r="J3510" i="11"/>
  <c r="J3509" i="11"/>
  <c r="J3508" i="11"/>
  <c r="J3507" i="11"/>
  <c r="J3506" i="11"/>
  <c r="J3505" i="11"/>
  <c r="J3504" i="11"/>
  <c r="J3503" i="11"/>
  <c r="J3502" i="11"/>
  <c r="J3501" i="11"/>
  <c r="J3500" i="11"/>
  <c r="J3499" i="11"/>
  <c r="J3498" i="11"/>
  <c r="J3497" i="11"/>
  <c r="J3496" i="11"/>
  <c r="J3495" i="11"/>
  <c r="J3494" i="11"/>
  <c r="J3493" i="11"/>
  <c r="J3492" i="11"/>
  <c r="J3491" i="11"/>
  <c r="J3490" i="11"/>
  <c r="J3489" i="11"/>
  <c r="J3488" i="11"/>
  <c r="J3487" i="11"/>
  <c r="J3486" i="11"/>
  <c r="J3485" i="11"/>
  <c r="J3484" i="11"/>
  <c r="J3483" i="11"/>
  <c r="J3482" i="11"/>
  <c r="J3481" i="11"/>
  <c r="J3480" i="11"/>
  <c r="J3479" i="11"/>
  <c r="J3478" i="11"/>
  <c r="J3477" i="11"/>
  <c r="J3476" i="11"/>
  <c r="J3475" i="11"/>
  <c r="J3474" i="11"/>
  <c r="J3473" i="11"/>
  <c r="J3472" i="11"/>
  <c r="J3471" i="11"/>
  <c r="J3470" i="11"/>
  <c r="J3469" i="11"/>
  <c r="J3468" i="11"/>
  <c r="J3467" i="11"/>
  <c r="J3466" i="11"/>
  <c r="J3465" i="11"/>
  <c r="J3464" i="11"/>
  <c r="J3463" i="11"/>
  <c r="J3462" i="11"/>
  <c r="J3461" i="11"/>
  <c r="J3460" i="11"/>
  <c r="J3459" i="11"/>
  <c r="J3458" i="11"/>
  <c r="J3457" i="11"/>
  <c r="J3456" i="11"/>
  <c r="J3455" i="11"/>
  <c r="J3454" i="11"/>
  <c r="J3453" i="11"/>
  <c r="J3452" i="11"/>
  <c r="J3451" i="11"/>
  <c r="J3450" i="11"/>
  <c r="J3449" i="11"/>
  <c r="J3448" i="11"/>
  <c r="J3447" i="11"/>
  <c r="J3446" i="11"/>
  <c r="J3445" i="11"/>
  <c r="J3444" i="11"/>
  <c r="J3443" i="11"/>
  <c r="J3442" i="11"/>
  <c r="J3441" i="11"/>
  <c r="J3440" i="11"/>
  <c r="J3439" i="11"/>
  <c r="J3438" i="11"/>
  <c r="J3437" i="11"/>
  <c r="J3436" i="11"/>
  <c r="J3435" i="11"/>
  <c r="J3434" i="11"/>
  <c r="J3433" i="11"/>
  <c r="J3432" i="11"/>
  <c r="J3431" i="11"/>
  <c r="J3430" i="11"/>
  <c r="J3429" i="11"/>
  <c r="J3428" i="11"/>
  <c r="J3427" i="11"/>
  <c r="J3426" i="11"/>
  <c r="J3425" i="11"/>
  <c r="J3424" i="11"/>
  <c r="J3423" i="11"/>
  <c r="J3422" i="11"/>
  <c r="J3421" i="11"/>
  <c r="J3420" i="11"/>
  <c r="J3419" i="11"/>
  <c r="J3418" i="11"/>
  <c r="J3417" i="11"/>
  <c r="J3416" i="11"/>
  <c r="J3415" i="11"/>
  <c r="J3414" i="11"/>
  <c r="J3413" i="11"/>
  <c r="J3412" i="11"/>
  <c r="J3411" i="11"/>
  <c r="J3410" i="11"/>
  <c r="J3409" i="11"/>
  <c r="J3408" i="11"/>
  <c r="J3407" i="11"/>
  <c r="J3406" i="11"/>
  <c r="J3405" i="11"/>
  <c r="J3404" i="11"/>
  <c r="J3403" i="11"/>
  <c r="J3402" i="11"/>
  <c r="J3401" i="11"/>
  <c r="J3400" i="11"/>
  <c r="J3399" i="11"/>
  <c r="J3398" i="11"/>
  <c r="J3397" i="11"/>
  <c r="J3396" i="11"/>
  <c r="J3395" i="11"/>
  <c r="J3394" i="11"/>
  <c r="J3393" i="11"/>
  <c r="J3392" i="11"/>
  <c r="J3391" i="11"/>
  <c r="J3390" i="11"/>
  <c r="J3389" i="11"/>
  <c r="J3388" i="11"/>
  <c r="J3387" i="11"/>
  <c r="J3386" i="11"/>
  <c r="J3385" i="11"/>
  <c r="J3384" i="11"/>
  <c r="J3383" i="11"/>
  <c r="J3382" i="11"/>
  <c r="J3381" i="11"/>
  <c r="J3380" i="11"/>
  <c r="J3379" i="11"/>
  <c r="J3378" i="11"/>
  <c r="J3377" i="11"/>
  <c r="J3376" i="11"/>
  <c r="J3375" i="11"/>
  <c r="J3374" i="11"/>
  <c r="J3373" i="11"/>
  <c r="J3372" i="11"/>
  <c r="J3371" i="11"/>
  <c r="J3370" i="11"/>
  <c r="J3369" i="11"/>
  <c r="J3368" i="11"/>
  <c r="J3367" i="11"/>
  <c r="J3366" i="11"/>
  <c r="J3365" i="11"/>
  <c r="J3364" i="11"/>
  <c r="J3363" i="11"/>
  <c r="J3362" i="11"/>
  <c r="J3361" i="11"/>
  <c r="J3360" i="11"/>
  <c r="J3359" i="11"/>
  <c r="J3358" i="11"/>
  <c r="J3357" i="11"/>
  <c r="J3356" i="11"/>
  <c r="J3355" i="11"/>
  <c r="J3354" i="11"/>
  <c r="J3353" i="11"/>
  <c r="J3352" i="11"/>
  <c r="J3351" i="11"/>
  <c r="J3350" i="11"/>
  <c r="J3349" i="11"/>
  <c r="J3348" i="11"/>
  <c r="J3347" i="11"/>
  <c r="J3346" i="11"/>
  <c r="J3345" i="11"/>
  <c r="J3344" i="11"/>
  <c r="J3343" i="11"/>
  <c r="J3342" i="11"/>
  <c r="J3341" i="11"/>
  <c r="J3340" i="11"/>
  <c r="J3339" i="11"/>
  <c r="J3338" i="11"/>
  <c r="J3337" i="11"/>
  <c r="J3336" i="11"/>
  <c r="J3335" i="11"/>
  <c r="J3334" i="11"/>
  <c r="J3333" i="11"/>
  <c r="J3332" i="11"/>
  <c r="J3331" i="11"/>
  <c r="J3330" i="11"/>
  <c r="J3329" i="11"/>
  <c r="J3328" i="11"/>
  <c r="J3327" i="11"/>
  <c r="J3326" i="11"/>
  <c r="J3325" i="11"/>
  <c r="J3324" i="11"/>
  <c r="J3323" i="11"/>
  <c r="J3322" i="11"/>
  <c r="J3321" i="11"/>
  <c r="J3320" i="11"/>
  <c r="J3319" i="11"/>
  <c r="J3318" i="11"/>
  <c r="J3317" i="11"/>
  <c r="J3316" i="11"/>
  <c r="J3315" i="11"/>
  <c r="J3314" i="11"/>
  <c r="J3313" i="11"/>
  <c r="J3312" i="11"/>
  <c r="J3311" i="11"/>
  <c r="J3310" i="11"/>
  <c r="J3309" i="11"/>
  <c r="J3308" i="11"/>
  <c r="J3307" i="11"/>
  <c r="J3306" i="11"/>
  <c r="J3305" i="11"/>
  <c r="J3304" i="11"/>
  <c r="J3303" i="11"/>
  <c r="J3302" i="11"/>
  <c r="J3301" i="11"/>
  <c r="J3300" i="11"/>
  <c r="J3299" i="11"/>
  <c r="J3298" i="11"/>
  <c r="J3297" i="11"/>
  <c r="J3296" i="11"/>
  <c r="J3295" i="11"/>
  <c r="J3294" i="11"/>
  <c r="J3293" i="11"/>
  <c r="J3292" i="11"/>
  <c r="J3291" i="11"/>
  <c r="J3290" i="11"/>
  <c r="J3289" i="11"/>
  <c r="J3288" i="11"/>
  <c r="J3287" i="11"/>
  <c r="J3286" i="11"/>
  <c r="J3285" i="11"/>
  <c r="J3284" i="11"/>
  <c r="J3283" i="11"/>
  <c r="J3282" i="11"/>
  <c r="J3281" i="11"/>
  <c r="J3280" i="11"/>
  <c r="J3279" i="11"/>
  <c r="J3278" i="11"/>
  <c r="J3277" i="11"/>
  <c r="J3276" i="11"/>
  <c r="J3275" i="11"/>
  <c r="J3274" i="11"/>
  <c r="J3273" i="11"/>
  <c r="J3272" i="11"/>
  <c r="J3271" i="11"/>
  <c r="J3270" i="11"/>
  <c r="J3269" i="11"/>
  <c r="J3268" i="11"/>
  <c r="J3267" i="11"/>
  <c r="J3266" i="11"/>
  <c r="J3265" i="11"/>
  <c r="J3264" i="11"/>
  <c r="J3263" i="11"/>
  <c r="J3262" i="11"/>
  <c r="J3261" i="11"/>
  <c r="J3260" i="11"/>
  <c r="J3259" i="11"/>
  <c r="J3258" i="11"/>
  <c r="J3257" i="11"/>
  <c r="J3256" i="11"/>
  <c r="J3255" i="11"/>
  <c r="J3254" i="11"/>
  <c r="J3253" i="11"/>
  <c r="J3252" i="11"/>
  <c r="J3251" i="11"/>
  <c r="J3250" i="11"/>
  <c r="J3249" i="11"/>
  <c r="J3248" i="11"/>
  <c r="J3247" i="11"/>
  <c r="J3246" i="11"/>
  <c r="J3245" i="11"/>
  <c r="J3244" i="11"/>
  <c r="J3243" i="11"/>
  <c r="J3242" i="11"/>
  <c r="J3241" i="11"/>
  <c r="J3240" i="11"/>
  <c r="J3239" i="11"/>
  <c r="J3238" i="11"/>
  <c r="J3237" i="11"/>
  <c r="J3236" i="11"/>
  <c r="J3235" i="11"/>
  <c r="J3234" i="11"/>
  <c r="J3233" i="11"/>
  <c r="J3232" i="11"/>
  <c r="J3231" i="11"/>
  <c r="J3230" i="11"/>
  <c r="J3229" i="11"/>
  <c r="J3228" i="11"/>
  <c r="J3227" i="11"/>
  <c r="J3226" i="11"/>
  <c r="J3225" i="11"/>
  <c r="J3224" i="11"/>
  <c r="J3223" i="11"/>
  <c r="J3222" i="11"/>
  <c r="J3221" i="11"/>
  <c r="J3220" i="11"/>
  <c r="J3219" i="11"/>
  <c r="J3218" i="11"/>
  <c r="J3217" i="11"/>
  <c r="J3216" i="11"/>
  <c r="J3215" i="11"/>
  <c r="J3214" i="11"/>
  <c r="J3213" i="11"/>
  <c r="J3212" i="11"/>
  <c r="J3211" i="11"/>
  <c r="J3210" i="11"/>
  <c r="J3209" i="11"/>
  <c r="J3208" i="11"/>
  <c r="J3207" i="11"/>
  <c r="J3206" i="11"/>
  <c r="J3205" i="11"/>
  <c r="J3204" i="11"/>
  <c r="J3203" i="11"/>
  <c r="J3202" i="11"/>
  <c r="J3201" i="11"/>
  <c r="J3200" i="11"/>
  <c r="J3199" i="11"/>
  <c r="J3198" i="11"/>
  <c r="J3197" i="11"/>
  <c r="J3196" i="11"/>
  <c r="J3195" i="11"/>
  <c r="J3194" i="11"/>
  <c r="J3193" i="11"/>
  <c r="J3192" i="11"/>
  <c r="J3191" i="11"/>
  <c r="J3190" i="11"/>
  <c r="J3189" i="11"/>
  <c r="J3188" i="11"/>
  <c r="J3187" i="11"/>
  <c r="J3186" i="11"/>
  <c r="J3185" i="11"/>
  <c r="J3184" i="11"/>
  <c r="J3183" i="11"/>
  <c r="J3182" i="11"/>
  <c r="J3181" i="11"/>
  <c r="J3180" i="11"/>
  <c r="J3179" i="11"/>
  <c r="J3178" i="11"/>
  <c r="J3177" i="11"/>
  <c r="J3176" i="11"/>
  <c r="J3175" i="11"/>
  <c r="J3174" i="11"/>
  <c r="J3173" i="11"/>
  <c r="J3172" i="11"/>
  <c r="J3171" i="11"/>
  <c r="J3170" i="11"/>
  <c r="J3169" i="11"/>
  <c r="J3168" i="11"/>
  <c r="J3167" i="11"/>
  <c r="J3166" i="11"/>
  <c r="J3165" i="11"/>
  <c r="J3164" i="11"/>
  <c r="J3163" i="11"/>
  <c r="J3162" i="11"/>
  <c r="J3161" i="11"/>
  <c r="J3160" i="11"/>
  <c r="J3159" i="11"/>
  <c r="J3158" i="11"/>
  <c r="J3157" i="11"/>
  <c r="J3156" i="11"/>
  <c r="J3155" i="11"/>
  <c r="J3154" i="11"/>
  <c r="J3153" i="11"/>
  <c r="J3152" i="11"/>
  <c r="J3151" i="11"/>
  <c r="J3150" i="11"/>
  <c r="J3149" i="11"/>
  <c r="J3148" i="11"/>
  <c r="J3147" i="11"/>
  <c r="J3146" i="11"/>
  <c r="J3145" i="11"/>
  <c r="J3144" i="11"/>
  <c r="J3143" i="11"/>
  <c r="J3142" i="11"/>
  <c r="J3141" i="11"/>
  <c r="J3140" i="11"/>
  <c r="J3139" i="11"/>
  <c r="J3138" i="11"/>
  <c r="J3137" i="11"/>
  <c r="J3136" i="11"/>
  <c r="J3135" i="11"/>
  <c r="J3134" i="11"/>
  <c r="J3133" i="11"/>
  <c r="J3132" i="11"/>
  <c r="J3131" i="11"/>
  <c r="J3130" i="11"/>
  <c r="J3129" i="11"/>
  <c r="J3128" i="11"/>
  <c r="J3127" i="11"/>
  <c r="J3126" i="11"/>
  <c r="J3125" i="11"/>
  <c r="J3124" i="11"/>
  <c r="J3123" i="11"/>
  <c r="J3122" i="11"/>
  <c r="J3121" i="11"/>
  <c r="J3120" i="11"/>
  <c r="J3119" i="11"/>
  <c r="J3118" i="11"/>
  <c r="J3117" i="11"/>
  <c r="J3116" i="11"/>
  <c r="J3115" i="11"/>
  <c r="J3114" i="11"/>
  <c r="J3113" i="11"/>
  <c r="J3112" i="11"/>
  <c r="J3111" i="11"/>
  <c r="J3110" i="11"/>
  <c r="J3109" i="11"/>
  <c r="J3108" i="11"/>
  <c r="J3107" i="11"/>
  <c r="J3106" i="11"/>
  <c r="J3105" i="11"/>
  <c r="J3104" i="11"/>
  <c r="J3103" i="11"/>
  <c r="J3102" i="11"/>
  <c r="J3101" i="11"/>
  <c r="J3100" i="11"/>
  <c r="J3099" i="11"/>
  <c r="J3098" i="11"/>
  <c r="J3097" i="11"/>
  <c r="J3096" i="11"/>
  <c r="J3095" i="11"/>
  <c r="J3094" i="11"/>
  <c r="J3093" i="11"/>
  <c r="J3092" i="11"/>
  <c r="J3091" i="11"/>
  <c r="J3090" i="11"/>
  <c r="J3089" i="11"/>
  <c r="J3088" i="11"/>
  <c r="J3087" i="11"/>
  <c r="J3086" i="11"/>
  <c r="J3085" i="11"/>
  <c r="J3084" i="11"/>
  <c r="J3083" i="11"/>
  <c r="J3082" i="11"/>
  <c r="J3081" i="11"/>
  <c r="J3080" i="11"/>
  <c r="J3079" i="11"/>
  <c r="J3078" i="11"/>
  <c r="J3077" i="11"/>
  <c r="J3076" i="11"/>
  <c r="J3075" i="11"/>
  <c r="J3074" i="11"/>
  <c r="J3073" i="11"/>
  <c r="J3072" i="11"/>
  <c r="J3071" i="11"/>
  <c r="J3070" i="11"/>
  <c r="J3069" i="11"/>
  <c r="J3068" i="11"/>
  <c r="J3067" i="11"/>
  <c r="J3066" i="11"/>
  <c r="J3065" i="11"/>
  <c r="J3064" i="11"/>
  <c r="J3063" i="11"/>
  <c r="J3062" i="11"/>
  <c r="J3061" i="11"/>
  <c r="J3060" i="11"/>
  <c r="J3059" i="11"/>
  <c r="J3058" i="11"/>
  <c r="J3057" i="11"/>
  <c r="J3056" i="11"/>
  <c r="J3055" i="11"/>
  <c r="J3054" i="11"/>
  <c r="J3053" i="11"/>
  <c r="J3052" i="11"/>
  <c r="J3051" i="11"/>
  <c r="J3050" i="11"/>
  <c r="J3049" i="11"/>
  <c r="J3048" i="11"/>
  <c r="J3047" i="11"/>
  <c r="J3046" i="11"/>
  <c r="J3045" i="11"/>
  <c r="J3044" i="11"/>
  <c r="J3043" i="11"/>
  <c r="J3042" i="11"/>
  <c r="J3041" i="11"/>
  <c r="J3040" i="11"/>
  <c r="J3039" i="11"/>
  <c r="J3038" i="11"/>
  <c r="J3037" i="11"/>
  <c r="J3036" i="11"/>
  <c r="J3035" i="11"/>
  <c r="J3034" i="11"/>
  <c r="J3033" i="11"/>
  <c r="J3032" i="11"/>
  <c r="J3031" i="11"/>
  <c r="J3030" i="11"/>
  <c r="J3029" i="11"/>
  <c r="J3028" i="11"/>
  <c r="J3027" i="11"/>
  <c r="J3026" i="11"/>
  <c r="J3025" i="11"/>
  <c r="J3024" i="11"/>
  <c r="J3023" i="11"/>
  <c r="J3022" i="11"/>
  <c r="J3021" i="11"/>
  <c r="J3020" i="11"/>
  <c r="J3019" i="11"/>
  <c r="J3018" i="11"/>
  <c r="J3017" i="11"/>
  <c r="J3016" i="11"/>
  <c r="J3015" i="11"/>
  <c r="J3014" i="11"/>
  <c r="J3013" i="11"/>
  <c r="J3012" i="11"/>
  <c r="J3011" i="11"/>
  <c r="J3010" i="11"/>
  <c r="J3009" i="11"/>
  <c r="J3008" i="11"/>
  <c r="J3007" i="11"/>
  <c r="J3006" i="11"/>
  <c r="J3005" i="11"/>
  <c r="J3004" i="11"/>
  <c r="J3003" i="11"/>
  <c r="J3002" i="11"/>
  <c r="J3001" i="11"/>
  <c r="J3000" i="11"/>
  <c r="J2999" i="11"/>
  <c r="J2998" i="11"/>
  <c r="J2997" i="11"/>
  <c r="J2996" i="11"/>
  <c r="J2995" i="11"/>
  <c r="J2994" i="11"/>
  <c r="J2993" i="11"/>
  <c r="J2992" i="11"/>
  <c r="J2991" i="11"/>
  <c r="J2990" i="11"/>
  <c r="J2989" i="11"/>
  <c r="J2988" i="11"/>
  <c r="J2987" i="11"/>
  <c r="J2986" i="11"/>
  <c r="J2985" i="11"/>
  <c r="J2984" i="11"/>
  <c r="J2983" i="11"/>
  <c r="J2982" i="11"/>
  <c r="J2981" i="11"/>
  <c r="J2980" i="11"/>
  <c r="J2979" i="11"/>
  <c r="J2978" i="11"/>
  <c r="J2977" i="11"/>
  <c r="J2976" i="11"/>
  <c r="J2975" i="11"/>
  <c r="J2974" i="11"/>
  <c r="J2973" i="11"/>
  <c r="J2972" i="11"/>
  <c r="J2971" i="11"/>
  <c r="J2970" i="11"/>
  <c r="J2969" i="11"/>
  <c r="J2968" i="11"/>
  <c r="J2967" i="11"/>
  <c r="J2966" i="11"/>
  <c r="J2965" i="11"/>
  <c r="J2964" i="11"/>
  <c r="J2963" i="11"/>
  <c r="J2962" i="11"/>
  <c r="J2961" i="11"/>
  <c r="J2960" i="11"/>
  <c r="J2959" i="11"/>
  <c r="J2958" i="11"/>
  <c r="J2957" i="11"/>
  <c r="J2956" i="11"/>
  <c r="J2955" i="11"/>
  <c r="J2954" i="11"/>
  <c r="J2953" i="11"/>
  <c r="J2952" i="11"/>
  <c r="J2951" i="11"/>
  <c r="J2950" i="11"/>
  <c r="J2949" i="11"/>
  <c r="J2948" i="11"/>
  <c r="J2947" i="11"/>
  <c r="J2946" i="11"/>
  <c r="J2945" i="11"/>
  <c r="J2944" i="11"/>
  <c r="J2943" i="11"/>
  <c r="J2942" i="11"/>
  <c r="J2941" i="11"/>
  <c r="J2940" i="11"/>
  <c r="J2939" i="11"/>
  <c r="J2938" i="11"/>
  <c r="J2937" i="11"/>
  <c r="J2936" i="11"/>
  <c r="J2935" i="11"/>
  <c r="J2934" i="11"/>
  <c r="J2933" i="11"/>
  <c r="J2932" i="11"/>
  <c r="J2931" i="11"/>
  <c r="J2930" i="11"/>
  <c r="J2929" i="11"/>
  <c r="J2928" i="11"/>
  <c r="J2927" i="11"/>
  <c r="J2926" i="11"/>
  <c r="J2925" i="11"/>
  <c r="J2924" i="11"/>
  <c r="J2923" i="11"/>
  <c r="J2922" i="11"/>
  <c r="J2921" i="11"/>
  <c r="J2920" i="11"/>
  <c r="J2919" i="11"/>
  <c r="J2918" i="11"/>
  <c r="J2917" i="11"/>
  <c r="J2916" i="11"/>
  <c r="J2915" i="11"/>
  <c r="J2914" i="11"/>
  <c r="J2913" i="11"/>
  <c r="J2912" i="11"/>
  <c r="J2911" i="11"/>
  <c r="J2910" i="11"/>
  <c r="J2909" i="11"/>
  <c r="J2908" i="11"/>
  <c r="J2907" i="11"/>
  <c r="J2906" i="11"/>
  <c r="J2905" i="11"/>
  <c r="J2904" i="11"/>
  <c r="J2903" i="11"/>
  <c r="J2902" i="11"/>
  <c r="J2901" i="11"/>
  <c r="J2900" i="11"/>
  <c r="J2899" i="11"/>
  <c r="J2898" i="11"/>
  <c r="J2897" i="11"/>
  <c r="J2896" i="11"/>
  <c r="J2895" i="11"/>
  <c r="J2894" i="11"/>
  <c r="J2893" i="11"/>
  <c r="J2892" i="11"/>
  <c r="J2891" i="11"/>
  <c r="J2890" i="11"/>
  <c r="J2889" i="11"/>
  <c r="J2888" i="11"/>
  <c r="J2887" i="11"/>
  <c r="J2886" i="11"/>
  <c r="J2885" i="11"/>
  <c r="J2884" i="11"/>
  <c r="J2883" i="11"/>
  <c r="J2882" i="11"/>
  <c r="J2881" i="11"/>
  <c r="J2880" i="11"/>
  <c r="J2879" i="11"/>
  <c r="J2878" i="11"/>
  <c r="J2877" i="11"/>
  <c r="J2876" i="11"/>
  <c r="J2875" i="11"/>
  <c r="J2874" i="11"/>
  <c r="J2873" i="11"/>
  <c r="J2872" i="11"/>
  <c r="J2871" i="11"/>
  <c r="J2870" i="11"/>
  <c r="J2869" i="11"/>
  <c r="J2868" i="11"/>
  <c r="J2867" i="11"/>
  <c r="J2866" i="11"/>
  <c r="J2865" i="11"/>
  <c r="J2864" i="11"/>
  <c r="J2863" i="11"/>
  <c r="J2862" i="11"/>
  <c r="J2861" i="11"/>
  <c r="J2860" i="11"/>
  <c r="J2859" i="11"/>
  <c r="J2858" i="11"/>
  <c r="J2857" i="11"/>
  <c r="J2856" i="11"/>
  <c r="J2855" i="11"/>
  <c r="J2854" i="11"/>
  <c r="J2853" i="11"/>
  <c r="J2852" i="11"/>
  <c r="J2851" i="11"/>
  <c r="J2850" i="11"/>
  <c r="J2849" i="11"/>
  <c r="J2848" i="11"/>
  <c r="J2847" i="11"/>
  <c r="J2846" i="11"/>
  <c r="J2845" i="11"/>
  <c r="J2844" i="11"/>
  <c r="J2843" i="11"/>
  <c r="J2842" i="11"/>
  <c r="J2841" i="11"/>
  <c r="J2840" i="11"/>
  <c r="J2839" i="11"/>
  <c r="J2838" i="11"/>
  <c r="J2837" i="11"/>
  <c r="J2836" i="11"/>
  <c r="J2835" i="11"/>
  <c r="J2834" i="11"/>
  <c r="J2833" i="11"/>
  <c r="J2832" i="11"/>
  <c r="J2831" i="11"/>
  <c r="J2830" i="11"/>
  <c r="J2829" i="11"/>
  <c r="J2828" i="11"/>
  <c r="J2827" i="11"/>
  <c r="J2826" i="11"/>
  <c r="J2825" i="11"/>
  <c r="J2824" i="11"/>
  <c r="J2823" i="11"/>
  <c r="J2822" i="11"/>
  <c r="J2821" i="11"/>
  <c r="J2820" i="11"/>
  <c r="J2819" i="11"/>
  <c r="J2818" i="11"/>
  <c r="J2817" i="11"/>
  <c r="J2816" i="11"/>
  <c r="J2815" i="11"/>
  <c r="J2814" i="11"/>
  <c r="J2813" i="11"/>
  <c r="J2812" i="11"/>
  <c r="J2811" i="11"/>
  <c r="J2810" i="11"/>
  <c r="J2809" i="11"/>
  <c r="J2808" i="11"/>
  <c r="J2807" i="11"/>
  <c r="J2806" i="11"/>
  <c r="J2805" i="11"/>
  <c r="J2804" i="11"/>
  <c r="J2803" i="11"/>
  <c r="J2802" i="11"/>
  <c r="J2801" i="11"/>
  <c r="J2800" i="11"/>
  <c r="J2799" i="11"/>
  <c r="J2798" i="11"/>
  <c r="J2797" i="11"/>
  <c r="J2796" i="11"/>
  <c r="J2795" i="11"/>
  <c r="J2794" i="11"/>
  <c r="J2793" i="11"/>
  <c r="J2792" i="11"/>
  <c r="J2791" i="11"/>
  <c r="J2790" i="11"/>
  <c r="J2789" i="11"/>
  <c r="J2788" i="11"/>
  <c r="J2787" i="11"/>
  <c r="J2786" i="11"/>
  <c r="J2785" i="11"/>
  <c r="J2784" i="11"/>
  <c r="J2783" i="11"/>
  <c r="J2782" i="11"/>
  <c r="J2781" i="11"/>
  <c r="J2780" i="11"/>
  <c r="J2779" i="11"/>
  <c r="J2778" i="11"/>
  <c r="J2777" i="11"/>
  <c r="J2776" i="11"/>
  <c r="J2775" i="11"/>
  <c r="J2774" i="11"/>
  <c r="J2773" i="11"/>
  <c r="J2772" i="11"/>
  <c r="J2771" i="11"/>
  <c r="J2770" i="11"/>
  <c r="J2769" i="11"/>
  <c r="J2768" i="11"/>
  <c r="J2767" i="11"/>
  <c r="J2766" i="11"/>
  <c r="J2765" i="11"/>
  <c r="J2764" i="11"/>
  <c r="J2763" i="11"/>
  <c r="J2762" i="11"/>
  <c r="J2761" i="11"/>
  <c r="J2760" i="11"/>
  <c r="J2759" i="11"/>
  <c r="J2758" i="11"/>
  <c r="J2757" i="11"/>
  <c r="J2756" i="11"/>
  <c r="J2755" i="11"/>
  <c r="J2754" i="11"/>
  <c r="J2753" i="11"/>
  <c r="J2752" i="11"/>
  <c r="J2751" i="11"/>
  <c r="J2750" i="11"/>
  <c r="J2749" i="11"/>
  <c r="J2748" i="11"/>
  <c r="J2747" i="11"/>
  <c r="J2746" i="11"/>
  <c r="J2745" i="11"/>
  <c r="J2744" i="11"/>
  <c r="J2743" i="11"/>
  <c r="J2742" i="11"/>
  <c r="J2741" i="11"/>
  <c r="J2740" i="11"/>
  <c r="J2739" i="11"/>
  <c r="J2738" i="11"/>
  <c r="J2737" i="11"/>
  <c r="J2736" i="11"/>
  <c r="J2735" i="11"/>
  <c r="J2734" i="11"/>
  <c r="J2733" i="11"/>
  <c r="J2732" i="11"/>
  <c r="J2731" i="11"/>
  <c r="J2730" i="11"/>
  <c r="J2729" i="11"/>
  <c r="J2728" i="11"/>
  <c r="J2727" i="11"/>
  <c r="J2726" i="11"/>
  <c r="J2725" i="11"/>
  <c r="J2724" i="11"/>
  <c r="J2723" i="11"/>
  <c r="J2722" i="11"/>
  <c r="J2721" i="11"/>
  <c r="J2720" i="11"/>
  <c r="J2719" i="11"/>
  <c r="J2718" i="11"/>
  <c r="J2717" i="11"/>
  <c r="J2716" i="11"/>
  <c r="J2715" i="11"/>
  <c r="J2714" i="11"/>
  <c r="J2713" i="11"/>
  <c r="J2712" i="11"/>
  <c r="J2711" i="11"/>
  <c r="J2710" i="11"/>
  <c r="J2709" i="11"/>
  <c r="J2708" i="11"/>
  <c r="J2707" i="11"/>
  <c r="J2706" i="11"/>
  <c r="J2705" i="11"/>
  <c r="J2704" i="11"/>
  <c r="J2703" i="11"/>
  <c r="J2702" i="11"/>
  <c r="J2701" i="11"/>
  <c r="J2700" i="11"/>
  <c r="J2699" i="11"/>
  <c r="J2698" i="11"/>
  <c r="J2697" i="11"/>
  <c r="J2696" i="11"/>
  <c r="J2695" i="11"/>
  <c r="J2694" i="11"/>
  <c r="J2693" i="11"/>
  <c r="J2692" i="11"/>
  <c r="J2691" i="11"/>
  <c r="J2690" i="11"/>
  <c r="J2689" i="11"/>
  <c r="J2688" i="11"/>
  <c r="J2687" i="11"/>
  <c r="J2686" i="11"/>
  <c r="J2685" i="11"/>
  <c r="J2684" i="11"/>
  <c r="J2683" i="11"/>
  <c r="J2682" i="11"/>
  <c r="J2681" i="11"/>
  <c r="J2680" i="11"/>
  <c r="J2679" i="11"/>
  <c r="J2678" i="11"/>
  <c r="J2677" i="11"/>
  <c r="J2676" i="11"/>
  <c r="J2675" i="11"/>
  <c r="J2674" i="11"/>
  <c r="J2673" i="11"/>
  <c r="J2672" i="11"/>
  <c r="J2671" i="11"/>
  <c r="J2670" i="11"/>
  <c r="J2669" i="11"/>
  <c r="J2668" i="11"/>
  <c r="J2667" i="11"/>
  <c r="J2666" i="11"/>
  <c r="J2665" i="11"/>
  <c r="J2664" i="11"/>
  <c r="J2663" i="11"/>
  <c r="J2662" i="11"/>
  <c r="J2661" i="11"/>
  <c r="J2660" i="11"/>
  <c r="J2659" i="11"/>
  <c r="J2658" i="11"/>
  <c r="J2657" i="11"/>
  <c r="J2656" i="11"/>
  <c r="J2655" i="11"/>
  <c r="J2654" i="11"/>
  <c r="J2653" i="11"/>
  <c r="J2652" i="11"/>
  <c r="J2651" i="11"/>
  <c r="J2650" i="11"/>
  <c r="J2649" i="11"/>
  <c r="J2648" i="11"/>
  <c r="J2647" i="11"/>
  <c r="J2646" i="11"/>
  <c r="J2645" i="11"/>
  <c r="J2644" i="11"/>
  <c r="J2643" i="11"/>
  <c r="J2642" i="11"/>
  <c r="J2641" i="11"/>
  <c r="J2640" i="11"/>
  <c r="J2639" i="11"/>
  <c r="J2638" i="11"/>
  <c r="J2637" i="11"/>
  <c r="J2636" i="11"/>
  <c r="J2635" i="11"/>
  <c r="J2634" i="11"/>
  <c r="J2633" i="11"/>
  <c r="J2632" i="11"/>
  <c r="J2631" i="11"/>
  <c r="J2630" i="11"/>
  <c r="J2629" i="11"/>
  <c r="J2628" i="11"/>
  <c r="J2627" i="11"/>
  <c r="J2626" i="11"/>
  <c r="J2625" i="11"/>
  <c r="J2624" i="11"/>
  <c r="J2623" i="11"/>
  <c r="J2622" i="11"/>
  <c r="J2621" i="11"/>
  <c r="J2620" i="11"/>
  <c r="J2619" i="11"/>
  <c r="J2618" i="11"/>
  <c r="J2617" i="11"/>
  <c r="J2616" i="11"/>
  <c r="J2615" i="11"/>
  <c r="J2614" i="11"/>
  <c r="J2613" i="11"/>
  <c r="J2612" i="11"/>
  <c r="J2611" i="11"/>
  <c r="J2610" i="11"/>
  <c r="J2609" i="11"/>
  <c r="J2608" i="11"/>
  <c r="J2607" i="11"/>
  <c r="J2606" i="11"/>
  <c r="J2605" i="11"/>
  <c r="J2604" i="11"/>
  <c r="J2603" i="11"/>
  <c r="J2602" i="11"/>
  <c r="J2601" i="11"/>
  <c r="J2600" i="11"/>
  <c r="J2599" i="11"/>
  <c r="J2598" i="11"/>
  <c r="J2597" i="11"/>
  <c r="J2596" i="11"/>
  <c r="J2595" i="11"/>
  <c r="J2594" i="11"/>
  <c r="J2593" i="11"/>
  <c r="J2592" i="11"/>
  <c r="J2591" i="11"/>
  <c r="J2590" i="11"/>
  <c r="J2589" i="11"/>
  <c r="J2588" i="11"/>
  <c r="J2587" i="11"/>
  <c r="J2586" i="11"/>
  <c r="J2585" i="11"/>
  <c r="J2584" i="11"/>
  <c r="J2583" i="11"/>
  <c r="J2582" i="11"/>
  <c r="J2581" i="11"/>
  <c r="J2580" i="11"/>
  <c r="J2579" i="11"/>
  <c r="J2578" i="11"/>
  <c r="J2577" i="11"/>
  <c r="J2576" i="11"/>
  <c r="J2575" i="11"/>
  <c r="J2574" i="11"/>
  <c r="J2573" i="11"/>
  <c r="J2572" i="11"/>
  <c r="J2571" i="11"/>
  <c r="J2570" i="11"/>
  <c r="J2569" i="11"/>
  <c r="J2568" i="11"/>
  <c r="J2567" i="11"/>
  <c r="J2566" i="11"/>
  <c r="J2565" i="11"/>
  <c r="J2564" i="11"/>
  <c r="J2563" i="11"/>
  <c r="J2562" i="11"/>
  <c r="J2561" i="11"/>
  <c r="J2560" i="11"/>
  <c r="J2559" i="11"/>
  <c r="J2558" i="11"/>
  <c r="J2557" i="11"/>
  <c r="J2556" i="11"/>
  <c r="J2555" i="11"/>
  <c r="J2554" i="11"/>
  <c r="J2553" i="11"/>
  <c r="J2552" i="11"/>
  <c r="J2551" i="11"/>
  <c r="J2550" i="11"/>
  <c r="J2549" i="11"/>
  <c r="J2548" i="11"/>
  <c r="J2547" i="11"/>
  <c r="J2546" i="11"/>
  <c r="J2545" i="11"/>
  <c r="J2544" i="11"/>
  <c r="J2543" i="11"/>
  <c r="J2542" i="11"/>
  <c r="J2541" i="11"/>
  <c r="J2540" i="11"/>
  <c r="J2539" i="11"/>
  <c r="J2538" i="11"/>
  <c r="J2537" i="11"/>
  <c r="J2536" i="11"/>
  <c r="J2535" i="11"/>
  <c r="J2534" i="11"/>
  <c r="J2533" i="11"/>
  <c r="J2532" i="11"/>
  <c r="J2531" i="11"/>
  <c r="J2530" i="11"/>
  <c r="J2529" i="11"/>
  <c r="J2528" i="11"/>
  <c r="J2527" i="11"/>
  <c r="J2526" i="11"/>
  <c r="J2525" i="11"/>
  <c r="J2524" i="11"/>
  <c r="J2523" i="11"/>
  <c r="J2522" i="11"/>
  <c r="J2521" i="11"/>
  <c r="J2520" i="11"/>
  <c r="J2519" i="11"/>
  <c r="J2518" i="11"/>
  <c r="J2517" i="11"/>
  <c r="J2516" i="11"/>
  <c r="J2515" i="11"/>
  <c r="J2514" i="11"/>
  <c r="J2513" i="11"/>
  <c r="J2512" i="11"/>
  <c r="J2511" i="11"/>
  <c r="J2510" i="11"/>
  <c r="J2509" i="11"/>
  <c r="J2508" i="11"/>
  <c r="J2507" i="11"/>
  <c r="J2506" i="11"/>
  <c r="J2505" i="11"/>
  <c r="J2504" i="11"/>
  <c r="J2503" i="11"/>
  <c r="J2502" i="11"/>
  <c r="J2501" i="11"/>
  <c r="J2500" i="11"/>
  <c r="J2499" i="11"/>
  <c r="J2498" i="11"/>
  <c r="J2497" i="11"/>
  <c r="J2496" i="11"/>
  <c r="J2495" i="11"/>
  <c r="J2494" i="11"/>
  <c r="J2493" i="11"/>
  <c r="J2492" i="11"/>
  <c r="J2491" i="11"/>
  <c r="J2490" i="11"/>
  <c r="J2489" i="11"/>
  <c r="J2488" i="11"/>
  <c r="J2487" i="11"/>
  <c r="J2486" i="11"/>
  <c r="J2485" i="11"/>
  <c r="J2484" i="11"/>
  <c r="J2483" i="11"/>
  <c r="J2482" i="11"/>
  <c r="J2481" i="11"/>
  <c r="J2480" i="11"/>
  <c r="J2479" i="11"/>
  <c r="J2478" i="11"/>
  <c r="J2477" i="11"/>
  <c r="J2476" i="11"/>
  <c r="J2475" i="11"/>
  <c r="J2474" i="11"/>
  <c r="J2473" i="11"/>
  <c r="J2472" i="11"/>
  <c r="J2471" i="11"/>
  <c r="J2470" i="11"/>
  <c r="J2469" i="11"/>
  <c r="J2468" i="11"/>
  <c r="J2467" i="11"/>
  <c r="J2466" i="11"/>
  <c r="J2465" i="11"/>
  <c r="J2464" i="11"/>
  <c r="J2463" i="11"/>
  <c r="J2462" i="11"/>
  <c r="J2461" i="11"/>
  <c r="J2460" i="11"/>
  <c r="J2459" i="11"/>
  <c r="J2458" i="11"/>
  <c r="J2457" i="11"/>
  <c r="J2456" i="11"/>
  <c r="J2455" i="11"/>
  <c r="J2454" i="11"/>
  <c r="J2453" i="11"/>
  <c r="J2452" i="11"/>
  <c r="J2451" i="11"/>
  <c r="J2450" i="11"/>
  <c r="J2449" i="11"/>
  <c r="J2448" i="11"/>
  <c r="J2447" i="11"/>
  <c r="J2446" i="11"/>
  <c r="J2445" i="11"/>
  <c r="J2444" i="11"/>
  <c r="J2443" i="11"/>
  <c r="J2442" i="11"/>
  <c r="J2441" i="11"/>
  <c r="J2440" i="11"/>
  <c r="J2439" i="11"/>
  <c r="J2438" i="11"/>
  <c r="J2437" i="11"/>
  <c r="J2436" i="11"/>
  <c r="J2435" i="11"/>
  <c r="J2434" i="11"/>
  <c r="J2433" i="11"/>
  <c r="J2432" i="11"/>
  <c r="J2431" i="11"/>
  <c r="J2430" i="11"/>
  <c r="J2429" i="11"/>
  <c r="J2428" i="11"/>
  <c r="J2427" i="11"/>
  <c r="J2426" i="11"/>
  <c r="J2425" i="11"/>
  <c r="J2424" i="11"/>
  <c r="J2423" i="11"/>
  <c r="J2422" i="11"/>
  <c r="J2421" i="11"/>
  <c r="J2420" i="11"/>
  <c r="J2419" i="11"/>
  <c r="J2418" i="11"/>
  <c r="J2417" i="11"/>
  <c r="J2416" i="11"/>
  <c r="J2415" i="11"/>
  <c r="J2414" i="11"/>
  <c r="J2413" i="11"/>
  <c r="J2412" i="11"/>
  <c r="J2411" i="11"/>
  <c r="J2410" i="11"/>
  <c r="J2409" i="11"/>
  <c r="J2408" i="11"/>
  <c r="J2407" i="11"/>
  <c r="J2406" i="11"/>
  <c r="J2405" i="11"/>
  <c r="J2404" i="11"/>
  <c r="J2403" i="11"/>
  <c r="J2402" i="11"/>
  <c r="J2401" i="11"/>
  <c r="J2400" i="11"/>
  <c r="J2399" i="11"/>
  <c r="J2398" i="11"/>
  <c r="J2397" i="11"/>
  <c r="J2396" i="11"/>
  <c r="J2395" i="11"/>
  <c r="J2394" i="11"/>
  <c r="J2393" i="11"/>
  <c r="J2392" i="11"/>
  <c r="J2391" i="11"/>
  <c r="J2390" i="11"/>
  <c r="J2389" i="11"/>
  <c r="J2388" i="11"/>
  <c r="J2387" i="11"/>
  <c r="J2386" i="11"/>
  <c r="J2385" i="11"/>
  <c r="J2384" i="11"/>
  <c r="J2383" i="11"/>
  <c r="J2382" i="11"/>
  <c r="J2381" i="11"/>
  <c r="J2380" i="11"/>
  <c r="J2379" i="11"/>
  <c r="J2378" i="11"/>
  <c r="J2377" i="11"/>
  <c r="J2376" i="11"/>
  <c r="J2375" i="11"/>
  <c r="J2374" i="11"/>
  <c r="J2373" i="11"/>
  <c r="J2372" i="11"/>
  <c r="J2371" i="11"/>
  <c r="J2370" i="11"/>
  <c r="J2369" i="11"/>
  <c r="J2368" i="11"/>
  <c r="J2367" i="11"/>
  <c r="J2366" i="11"/>
  <c r="J2365" i="11"/>
  <c r="J2364" i="11"/>
  <c r="J2363" i="11"/>
  <c r="J2362" i="11"/>
  <c r="J2361" i="11"/>
  <c r="J2360" i="11"/>
  <c r="J2359" i="11"/>
  <c r="J2358" i="11"/>
  <c r="J2357" i="11"/>
  <c r="J2356" i="11"/>
  <c r="J2355" i="11"/>
  <c r="J2354" i="11"/>
  <c r="J2353" i="11"/>
  <c r="J2352" i="11"/>
  <c r="J2351" i="11"/>
  <c r="J2350" i="11"/>
  <c r="J2349" i="11"/>
  <c r="J2348" i="11"/>
  <c r="J2347" i="11"/>
  <c r="J2346" i="11"/>
  <c r="J2345" i="11"/>
  <c r="J2344" i="11"/>
  <c r="J2343" i="11"/>
  <c r="J2342" i="11"/>
  <c r="J2341" i="11"/>
  <c r="J2340" i="11"/>
  <c r="J2339" i="11"/>
  <c r="J2338" i="11"/>
  <c r="J2337" i="11"/>
  <c r="J2336" i="11"/>
  <c r="J2335" i="11"/>
  <c r="J2334" i="11"/>
  <c r="J2333" i="11"/>
  <c r="J2332" i="11"/>
  <c r="J2331" i="11"/>
  <c r="J2330" i="11"/>
  <c r="J2329" i="11"/>
  <c r="J2328" i="11"/>
  <c r="J2327" i="11"/>
  <c r="J2326" i="11"/>
  <c r="J2325" i="11"/>
  <c r="J2324" i="11"/>
  <c r="J2323" i="11"/>
  <c r="J2322" i="11"/>
  <c r="J2321" i="11"/>
  <c r="J2320" i="11"/>
  <c r="J2319" i="11"/>
  <c r="J2318" i="11"/>
  <c r="J2317" i="11"/>
  <c r="J2316" i="11"/>
  <c r="J2315" i="11"/>
  <c r="J2314" i="11"/>
  <c r="J2313" i="11"/>
  <c r="J2312" i="11"/>
  <c r="J2311" i="11"/>
  <c r="J2310" i="11"/>
  <c r="J2309" i="11"/>
  <c r="J2308" i="11"/>
  <c r="J2307" i="11"/>
  <c r="J2306" i="11"/>
  <c r="J2305" i="11"/>
  <c r="J2304" i="11"/>
  <c r="J2303" i="11"/>
  <c r="J2302" i="11"/>
  <c r="J2301" i="11"/>
  <c r="J2300" i="11"/>
  <c r="J2299" i="11"/>
  <c r="J2298" i="11"/>
  <c r="J2297" i="11"/>
  <c r="J2296" i="11"/>
  <c r="J2295" i="11"/>
  <c r="J2294" i="11"/>
  <c r="J2293" i="11"/>
  <c r="J2292" i="11"/>
  <c r="J2291" i="11"/>
  <c r="J2290" i="11"/>
  <c r="J2289" i="11"/>
  <c r="J2288" i="11"/>
  <c r="J2287" i="11"/>
  <c r="J2286" i="11"/>
  <c r="J2285" i="11"/>
  <c r="J2284" i="11"/>
  <c r="J2283" i="11"/>
  <c r="J2282" i="11"/>
  <c r="J2281" i="11"/>
  <c r="J2280" i="11"/>
  <c r="J2279" i="11"/>
  <c r="J2278" i="11"/>
  <c r="J2277" i="11"/>
  <c r="J2276" i="11"/>
  <c r="J2275" i="11"/>
  <c r="J2274" i="11"/>
  <c r="J2273" i="11"/>
  <c r="J2272" i="11"/>
  <c r="J2271" i="11"/>
  <c r="J2270" i="11"/>
  <c r="J2269" i="11"/>
  <c r="J2268" i="11"/>
  <c r="J2267" i="11"/>
  <c r="J2266" i="11"/>
  <c r="J2265" i="11"/>
  <c r="J2264" i="11"/>
  <c r="J2263" i="11"/>
  <c r="J2262" i="11"/>
  <c r="J2261" i="11"/>
  <c r="J2260" i="11"/>
  <c r="J2259" i="11"/>
  <c r="J2258" i="11"/>
  <c r="J2257" i="11"/>
  <c r="J2256" i="11"/>
  <c r="J2255" i="11"/>
  <c r="J2254" i="11"/>
  <c r="J2253" i="11"/>
  <c r="J2252" i="11"/>
  <c r="J2251" i="11"/>
  <c r="J2250" i="11"/>
  <c r="J2249" i="11"/>
  <c r="J2248" i="11"/>
  <c r="J2247" i="11"/>
  <c r="J2246" i="11"/>
  <c r="J2245" i="11"/>
  <c r="J2244" i="11"/>
  <c r="J2243" i="11"/>
  <c r="J2242" i="11"/>
  <c r="J2241" i="11"/>
  <c r="J2240" i="11"/>
  <c r="J2239" i="11"/>
  <c r="J2238" i="11"/>
  <c r="J2237" i="11"/>
  <c r="J2236" i="11"/>
  <c r="J2235" i="11"/>
  <c r="J2234" i="11"/>
  <c r="J2233" i="11"/>
  <c r="J2232" i="11"/>
  <c r="J2231" i="11"/>
  <c r="J2230" i="11"/>
  <c r="J2229" i="11"/>
  <c r="J2228" i="11"/>
  <c r="J2227" i="11"/>
  <c r="J2226" i="11"/>
  <c r="J2225" i="11"/>
  <c r="J2224" i="11"/>
  <c r="J2223" i="11"/>
  <c r="J2222" i="11"/>
  <c r="J2221" i="11"/>
  <c r="J2220" i="11"/>
  <c r="J2219" i="11"/>
  <c r="J2218" i="11"/>
  <c r="J2217" i="11"/>
  <c r="J2216" i="11"/>
  <c r="J2215" i="11"/>
  <c r="J2214" i="11"/>
  <c r="J2213" i="11"/>
  <c r="J2212" i="11"/>
  <c r="J2211" i="11"/>
  <c r="J2210" i="11"/>
  <c r="J2209" i="11"/>
  <c r="J2208" i="11"/>
  <c r="J2207" i="11"/>
  <c r="J2206" i="11"/>
  <c r="J2205" i="11"/>
  <c r="J2204" i="11"/>
  <c r="J2203" i="11"/>
  <c r="J2202" i="11"/>
  <c r="J2201" i="11"/>
  <c r="J2200" i="11"/>
  <c r="J2199" i="11"/>
  <c r="J2198" i="11"/>
  <c r="J2197" i="11"/>
  <c r="J2196" i="11"/>
  <c r="J2195" i="11"/>
  <c r="J2194" i="11"/>
  <c r="J2193" i="11"/>
  <c r="J2192" i="11"/>
  <c r="J2191" i="11"/>
  <c r="J2190" i="11"/>
  <c r="J2189" i="11"/>
  <c r="J2188" i="11"/>
  <c r="J2187" i="11"/>
  <c r="J2186" i="11"/>
  <c r="J2185" i="11"/>
  <c r="J2184" i="11"/>
  <c r="J2183" i="11"/>
  <c r="J2182" i="11"/>
  <c r="J2181" i="11"/>
  <c r="J2180" i="11"/>
  <c r="J2179" i="11"/>
  <c r="J2178" i="11"/>
  <c r="J2177" i="11"/>
  <c r="J2176" i="11"/>
  <c r="J2175" i="11"/>
  <c r="J2174" i="11"/>
  <c r="J2173" i="11"/>
  <c r="J2172" i="11"/>
  <c r="J2171" i="11"/>
  <c r="J2170" i="11"/>
  <c r="J2169" i="11"/>
  <c r="J2168" i="11"/>
  <c r="J2167" i="11"/>
  <c r="J2166" i="11"/>
  <c r="J2165" i="11"/>
  <c r="J2164" i="11"/>
  <c r="J2163" i="11"/>
  <c r="J2162" i="11"/>
  <c r="J2161" i="11"/>
  <c r="J2160" i="11"/>
  <c r="J2159" i="11"/>
  <c r="J2158" i="11"/>
  <c r="J2157" i="11"/>
  <c r="J2156" i="11"/>
  <c r="J2155" i="11"/>
  <c r="J2154" i="11"/>
  <c r="J2153" i="11"/>
  <c r="J2152" i="11"/>
  <c r="J2151" i="11"/>
  <c r="J2150" i="11"/>
  <c r="J2149" i="11"/>
  <c r="J2148" i="11"/>
  <c r="J2147" i="11"/>
  <c r="J2146" i="11"/>
  <c r="J2145" i="11"/>
  <c r="J2144" i="11"/>
  <c r="J2143" i="11"/>
  <c r="J2142" i="11"/>
  <c r="J2141" i="11"/>
  <c r="J2140" i="11"/>
  <c r="J2139" i="11"/>
  <c r="J2138" i="11"/>
  <c r="J2137" i="11"/>
  <c r="J2136" i="11"/>
  <c r="J2135" i="11"/>
  <c r="J2134" i="11"/>
  <c r="J2133" i="11"/>
  <c r="J2132" i="11"/>
  <c r="J2131" i="11"/>
  <c r="J2130" i="11"/>
  <c r="J2129" i="11"/>
  <c r="J2128" i="11"/>
  <c r="J2127" i="11"/>
  <c r="J2126" i="11"/>
  <c r="J2125" i="11"/>
  <c r="J2124" i="11"/>
  <c r="J2123" i="11"/>
  <c r="J2122" i="11"/>
  <c r="J2121" i="11"/>
  <c r="J2120" i="11"/>
  <c r="J2119" i="11"/>
  <c r="J2118" i="11"/>
  <c r="J2117" i="11"/>
  <c r="J2116" i="11"/>
  <c r="J2115" i="11"/>
  <c r="J2114" i="11"/>
  <c r="J2113" i="11"/>
  <c r="J2112" i="11"/>
  <c r="J2111" i="11"/>
  <c r="J2110" i="11"/>
  <c r="J2109" i="11"/>
  <c r="J2108" i="11"/>
  <c r="J2107" i="11"/>
  <c r="J2106" i="11"/>
  <c r="J2105" i="11"/>
  <c r="J2104" i="11"/>
  <c r="J2103" i="11"/>
  <c r="J2102" i="11"/>
  <c r="J2101" i="11"/>
  <c r="J2100" i="11"/>
  <c r="J2099" i="11"/>
  <c r="J2098" i="11"/>
  <c r="J2097" i="11"/>
  <c r="J2096" i="11"/>
  <c r="J2095" i="11"/>
  <c r="J2094" i="11"/>
  <c r="J2093" i="11"/>
  <c r="J2092" i="11"/>
  <c r="J2091" i="11"/>
  <c r="J2090" i="11"/>
  <c r="J2089" i="11"/>
  <c r="J2088" i="11"/>
  <c r="J2087" i="11"/>
  <c r="J2086" i="11"/>
  <c r="J2085" i="11"/>
  <c r="J2084" i="11"/>
  <c r="J2083" i="11"/>
  <c r="J2082" i="11"/>
  <c r="J2081" i="11"/>
  <c r="J2080" i="11"/>
  <c r="J2079" i="11"/>
  <c r="J2078" i="11"/>
  <c r="J2077" i="11"/>
  <c r="J2076" i="11"/>
  <c r="J2075" i="11"/>
  <c r="J2074" i="11"/>
  <c r="J2073" i="11"/>
  <c r="J2072" i="11"/>
  <c r="J2071" i="11"/>
  <c r="J2070" i="11"/>
  <c r="J2069" i="11"/>
  <c r="J2068" i="11"/>
  <c r="J2067" i="11"/>
  <c r="J2066" i="11"/>
  <c r="J2065" i="11"/>
  <c r="J2064" i="11"/>
  <c r="J2063" i="11"/>
  <c r="J2062" i="11"/>
  <c r="J2061" i="11"/>
  <c r="J2060" i="11"/>
  <c r="J2059" i="11"/>
  <c r="J2058" i="11"/>
  <c r="J2057" i="11"/>
  <c r="J2056" i="11"/>
  <c r="J2055" i="11"/>
  <c r="J2054" i="11"/>
  <c r="J2053" i="11"/>
  <c r="J2052" i="11"/>
  <c r="J2051" i="11"/>
  <c r="J2050" i="11"/>
  <c r="J2049" i="11"/>
  <c r="J2048" i="11"/>
  <c r="J2047" i="11"/>
  <c r="J2046" i="11"/>
  <c r="J2045" i="11"/>
  <c r="J2044" i="11"/>
  <c r="J2043" i="11"/>
  <c r="J2042" i="11"/>
  <c r="J2041" i="11"/>
  <c r="J2040" i="11"/>
  <c r="J2039" i="11"/>
  <c r="J2038" i="11"/>
  <c r="J2037" i="11"/>
  <c r="J2036" i="11"/>
  <c r="J2035" i="11"/>
  <c r="J2034" i="11"/>
  <c r="J2033" i="11"/>
  <c r="J2032" i="11"/>
  <c r="J2031" i="11"/>
  <c r="J2030" i="11"/>
  <c r="J2029" i="11"/>
  <c r="J2028" i="11"/>
  <c r="J2027" i="11"/>
  <c r="J2026" i="11"/>
  <c r="J2025" i="11"/>
  <c r="J2024" i="11"/>
  <c r="J2023" i="11"/>
  <c r="J2022" i="11"/>
  <c r="J2021" i="11"/>
  <c r="J2020" i="11"/>
  <c r="J2019" i="11"/>
  <c r="J2018" i="11"/>
  <c r="J2017" i="11"/>
  <c r="J2016" i="11"/>
  <c r="J2015" i="11"/>
  <c r="J2014" i="11"/>
  <c r="J2013" i="11"/>
  <c r="J2012" i="11"/>
  <c r="J2011" i="11"/>
  <c r="J2010" i="11"/>
  <c r="J2009" i="11"/>
  <c r="J2008" i="11"/>
  <c r="J2007" i="11"/>
  <c r="J2006" i="11"/>
  <c r="J2005" i="11"/>
  <c r="J2004" i="11"/>
  <c r="J2003" i="11"/>
  <c r="J2002" i="11"/>
  <c r="J2001" i="11"/>
  <c r="J2000" i="11"/>
  <c r="J1999" i="11"/>
  <c r="J1998" i="11"/>
  <c r="J1997" i="11"/>
  <c r="J1996" i="11"/>
  <c r="J1995" i="11"/>
  <c r="J1994" i="11"/>
  <c r="J1993" i="11"/>
  <c r="J1992" i="11"/>
  <c r="J1991" i="11"/>
  <c r="J1990" i="11"/>
  <c r="J1989" i="11"/>
  <c r="J1988" i="11"/>
  <c r="J1987" i="11"/>
  <c r="J1986" i="11"/>
  <c r="J1985" i="11"/>
  <c r="J1984" i="11"/>
  <c r="J1983" i="11"/>
  <c r="J1982" i="11"/>
  <c r="J1981" i="11"/>
  <c r="J1980" i="11"/>
  <c r="J1979" i="11"/>
  <c r="J1978" i="11"/>
  <c r="J1977" i="11"/>
  <c r="J1976" i="11"/>
  <c r="J1975" i="11"/>
  <c r="J1974" i="11"/>
  <c r="J1973" i="11"/>
  <c r="J1972" i="11"/>
  <c r="J1971" i="11"/>
  <c r="J1970" i="11"/>
  <c r="J1969" i="11"/>
  <c r="J1968" i="11"/>
  <c r="J1967" i="11"/>
  <c r="J1966" i="11"/>
  <c r="J1965" i="11"/>
  <c r="J1964" i="11"/>
  <c r="J1963" i="11"/>
  <c r="J1962" i="11"/>
  <c r="J1961" i="11"/>
  <c r="J1960" i="11"/>
  <c r="J1959" i="11"/>
  <c r="J1958" i="11"/>
  <c r="J1957" i="11"/>
  <c r="J1956" i="11"/>
  <c r="J1955" i="11"/>
  <c r="J1954" i="11"/>
  <c r="J1953" i="11"/>
  <c r="J1952" i="11"/>
  <c r="J1951" i="11"/>
  <c r="J1950" i="11"/>
  <c r="J1949" i="11"/>
  <c r="J1948" i="11"/>
  <c r="J1947" i="11"/>
  <c r="J1946" i="11"/>
  <c r="J1945" i="11"/>
  <c r="J1944" i="11"/>
  <c r="J1943" i="11"/>
  <c r="J1942" i="11"/>
  <c r="J1941" i="11"/>
  <c r="J1940" i="11"/>
  <c r="J1939" i="11"/>
  <c r="J1938" i="11"/>
  <c r="J1937" i="11"/>
  <c r="J1936" i="11"/>
  <c r="J1935" i="11"/>
  <c r="J1934" i="11"/>
  <c r="J1933" i="11"/>
  <c r="J1932" i="11"/>
  <c r="J1931" i="11"/>
  <c r="J1930" i="11"/>
  <c r="J1929" i="11"/>
  <c r="J1928" i="11"/>
  <c r="J1927" i="11"/>
  <c r="J1926" i="11"/>
  <c r="J1925" i="11"/>
  <c r="J1924" i="11"/>
  <c r="J1923" i="11"/>
  <c r="J1922" i="11"/>
  <c r="J1921" i="11"/>
  <c r="J1920" i="11"/>
  <c r="J1919" i="11"/>
  <c r="J1918" i="11"/>
  <c r="J1917" i="11"/>
  <c r="J1916" i="11"/>
  <c r="J1915" i="11"/>
  <c r="J1914" i="11"/>
  <c r="J1913" i="11"/>
  <c r="J1912" i="11"/>
  <c r="J1911" i="11"/>
  <c r="J1910" i="11"/>
  <c r="J1909" i="11"/>
  <c r="J1908" i="11"/>
  <c r="J1907" i="11"/>
  <c r="J1906" i="11"/>
  <c r="J1905" i="11"/>
  <c r="J1904" i="11"/>
  <c r="J1903" i="11"/>
  <c r="J1902" i="11"/>
  <c r="J1901" i="11"/>
  <c r="J1900" i="11"/>
  <c r="J1899" i="11"/>
  <c r="J1898" i="11"/>
  <c r="J1897" i="11"/>
  <c r="J1896" i="11"/>
  <c r="J1895" i="11"/>
  <c r="J1894" i="11"/>
  <c r="J1893" i="11"/>
  <c r="J1892" i="11"/>
  <c r="J1891" i="11"/>
  <c r="J1890" i="11"/>
  <c r="J1889" i="11"/>
  <c r="J1888" i="11"/>
  <c r="J1887" i="11"/>
  <c r="J1886" i="11"/>
  <c r="J1885" i="11"/>
  <c r="J1884" i="11"/>
  <c r="J1883" i="11"/>
  <c r="J1882" i="11"/>
  <c r="J1881" i="11"/>
  <c r="J1880" i="11"/>
  <c r="J1879" i="11"/>
  <c r="J1878" i="11"/>
  <c r="J1877" i="11"/>
  <c r="J1876" i="11"/>
  <c r="J1875" i="11"/>
  <c r="J1874" i="11"/>
  <c r="J1873" i="11"/>
  <c r="J1872" i="11"/>
  <c r="J1871" i="11"/>
  <c r="J1870" i="11"/>
  <c r="J1869" i="11"/>
  <c r="J1868" i="11"/>
  <c r="J1867" i="11"/>
  <c r="J1866" i="11"/>
  <c r="J1865" i="11"/>
  <c r="J1864" i="11"/>
  <c r="J1863" i="11"/>
  <c r="J1862" i="11"/>
  <c r="J1861" i="11"/>
  <c r="J1860" i="11"/>
  <c r="J1859" i="11"/>
  <c r="J1858" i="11"/>
  <c r="J1857" i="11"/>
  <c r="J1856" i="11"/>
  <c r="J1855" i="11"/>
  <c r="J1854" i="11"/>
  <c r="J1853" i="11"/>
  <c r="J1852" i="11"/>
  <c r="J1851" i="11"/>
  <c r="J1850" i="11"/>
  <c r="J1849" i="11"/>
  <c r="J1848" i="11"/>
  <c r="J1847" i="11"/>
  <c r="J1846" i="11"/>
  <c r="J1845" i="11"/>
  <c r="J1844" i="11"/>
  <c r="J1843" i="11"/>
  <c r="J1842" i="11"/>
  <c r="J1841" i="11"/>
  <c r="J1840" i="11"/>
  <c r="J1839" i="11"/>
  <c r="J1838" i="11"/>
  <c r="J1837" i="11"/>
  <c r="J1836" i="11"/>
  <c r="J1835" i="11"/>
  <c r="J1834" i="11"/>
  <c r="J1833" i="11"/>
  <c r="J1832" i="11"/>
  <c r="J1831" i="11"/>
  <c r="J1830" i="11"/>
  <c r="J1829" i="11"/>
  <c r="J1828" i="11"/>
  <c r="J1827" i="11"/>
  <c r="J1826" i="11"/>
  <c r="J1825" i="11"/>
  <c r="J1824" i="11"/>
  <c r="J1823" i="11"/>
  <c r="J1822" i="11"/>
  <c r="J1821" i="11"/>
  <c r="J1820" i="11"/>
  <c r="J1819" i="11"/>
  <c r="J1818" i="11"/>
  <c r="J1817" i="11"/>
  <c r="J1816" i="11"/>
  <c r="J1815" i="11"/>
  <c r="J1814" i="11"/>
  <c r="J1813" i="11"/>
  <c r="J1812" i="11"/>
  <c r="J1811" i="11"/>
  <c r="J1810" i="11"/>
  <c r="J1809" i="11"/>
  <c r="J1808" i="11"/>
  <c r="J1807" i="11"/>
  <c r="J1806" i="11"/>
  <c r="J1805" i="11"/>
  <c r="J1804" i="11"/>
  <c r="J1803" i="11"/>
  <c r="J1802" i="11"/>
  <c r="J1801" i="11"/>
  <c r="J1800" i="11"/>
  <c r="J1799" i="11"/>
  <c r="J1798" i="11"/>
  <c r="J1797" i="11"/>
  <c r="J1796" i="11"/>
  <c r="J1795" i="11"/>
  <c r="J1794" i="11"/>
  <c r="J1793" i="11"/>
  <c r="J1792" i="11"/>
  <c r="J1791" i="11"/>
  <c r="J1790" i="11"/>
  <c r="J1789" i="11"/>
  <c r="J1788" i="11"/>
  <c r="J1787" i="11"/>
  <c r="J1786" i="11"/>
  <c r="J1785" i="11"/>
  <c r="J1784" i="11"/>
  <c r="J1783" i="11"/>
  <c r="J1782" i="11"/>
  <c r="J1781" i="11"/>
  <c r="J1780" i="11"/>
  <c r="J1779" i="11"/>
  <c r="J1778" i="11"/>
  <c r="J1777" i="11"/>
  <c r="J1776" i="11"/>
  <c r="J1775" i="11"/>
  <c r="J1774" i="11"/>
  <c r="J1773" i="11"/>
  <c r="J1772" i="11"/>
  <c r="J1771" i="11"/>
  <c r="J1770" i="11"/>
  <c r="J1769" i="11"/>
  <c r="J1768" i="11"/>
  <c r="J1767" i="11"/>
  <c r="J1766" i="11"/>
  <c r="J1765" i="11"/>
  <c r="J1764" i="11"/>
  <c r="J1763" i="11"/>
  <c r="J1762" i="11"/>
  <c r="J1761" i="11"/>
  <c r="J1760" i="11"/>
  <c r="J1759" i="11"/>
  <c r="J1758" i="11"/>
  <c r="J1757" i="11"/>
  <c r="J1756" i="11"/>
  <c r="J1755" i="11"/>
  <c r="J1754" i="11"/>
  <c r="J1753" i="11"/>
  <c r="J1752" i="11"/>
  <c r="J1751" i="11"/>
  <c r="J1750" i="11"/>
  <c r="J1749" i="11"/>
  <c r="J1748" i="11"/>
  <c r="J1747" i="11"/>
  <c r="J1746" i="11"/>
  <c r="J1745" i="11"/>
  <c r="J1744" i="11"/>
  <c r="J1743" i="11"/>
  <c r="J1742" i="11"/>
  <c r="J1741" i="11"/>
  <c r="J1740" i="11"/>
  <c r="J1739" i="11"/>
  <c r="J1738" i="11"/>
  <c r="J1737" i="11"/>
  <c r="J1736" i="11"/>
  <c r="J1735" i="11"/>
  <c r="J1734" i="11"/>
  <c r="J1733" i="11"/>
  <c r="J1732" i="11"/>
  <c r="J1731" i="11"/>
  <c r="J1730" i="11"/>
  <c r="J1729" i="11"/>
  <c r="J1728" i="11"/>
  <c r="J1727" i="11"/>
  <c r="J1726" i="11"/>
  <c r="J1725" i="11"/>
  <c r="J1724" i="11"/>
  <c r="J1723" i="11"/>
  <c r="J1722" i="11"/>
  <c r="J1721" i="11"/>
  <c r="J1720" i="11"/>
  <c r="J1719" i="11"/>
  <c r="J1718" i="11"/>
  <c r="J1717" i="11"/>
  <c r="J1716" i="11"/>
  <c r="J1715" i="11"/>
  <c r="J1714" i="11"/>
  <c r="J1713" i="11"/>
  <c r="J1712" i="11"/>
  <c r="J1711" i="11"/>
  <c r="J1710" i="11"/>
  <c r="J1709" i="11"/>
  <c r="J1708" i="11"/>
  <c r="J1707" i="11"/>
  <c r="J1706" i="11"/>
  <c r="J1705" i="11"/>
  <c r="J1704" i="11"/>
  <c r="J1703" i="11"/>
  <c r="J1702" i="11"/>
  <c r="J1701" i="11"/>
  <c r="J1700" i="11"/>
  <c r="J1699" i="11"/>
  <c r="J1698" i="11"/>
  <c r="J1697" i="11"/>
  <c r="J1696" i="11"/>
  <c r="J1695" i="11"/>
  <c r="J1694" i="11"/>
  <c r="J1693" i="11"/>
  <c r="J1692" i="11"/>
  <c r="J1691" i="11"/>
  <c r="J1690" i="11"/>
  <c r="J1689" i="11"/>
  <c r="J1688" i="11"/>
  <c r="J1687" i="11"/>
  <c r="J1686" i="11"/>
  <c r="J1685" i="11"/>
  <c r="J1684" i="11"/>
  <c r="J1683" i="11"/>
  <c r="J1682" i="11"/>
  <c r="J1681" i="11"/>
  <c r="J1680" i="11"/>
  <c r="J1679" i="11"/>
  <c r="J1678" i="11"/>
  <c r="J1677" i="11"/>
  <c r="J1676" i="11"/>
  <c r="J1675" i="11"/>
  <c r="J1674" i="11"/>
  <c r="J1673" i="11"/>
  <c r="J1672" i="11"/>
  <c r="J1671" i="11"/>
  <c r="J1670" i="11"/>
  <c r="J1669" i="11"/>
  <c r="J1668" i="11"/>
  <c r="J1667" i="11"/>
  <c r="J1666" i="11"/>
  <c r="J1665" i="11"/>
  <c r="J1664" i="11"/>
  <c r="J1663" i="11"/>
  <c r="J1662" i="11"/>
  <c r="J1661" i="11"/>
  <c r="J1660" i="11"/>
  <c r="J1659" i="11"/>
  <c r="J1658" i="11"/>
  <c r="J1657" i="11"/>
  <c r="J1656" i="11"/>
  <c r="J1655" i="11"/>
  <c r="J1654" i="11"/>
  <c r="J1653" i="11"/>
  <c r="J1652" i="11"/>
  <c r="J1651" i="11"/>
  <c r="J1650" i="11"/>
  <c r="J1649" i="11"/>
  <c r="J1648" i="11"/>
  <c r="J1647" i="11"/>
  <c r="J1646" i="11"/>
  <c r="J1645" i="11"/>
  <c r="J1644" i="11"/>
  <c r="J1643" i="11"/>
  <c r="J1642" i="11"/>
  <c r="J1641" i="11"/>
  <c r="J1640" i="11"/>
  <c r="J1639" i="11"/>
  <c r="J1638" i="11"/>
  <c r="J1637" i="11"/>
  <c r="J1636" i="11"/>
  <c r="J1635" i="11"/>
  <c r="J1634" i="11"/>
  <c r="J1633" i="11"/>
  <c r="J1632" i="11"/>
  <c r="J1631" i="11"/>
  <c r="J1630" i="11"/>
  <c r="J1629" i="11"/>
  <c r="J1628" i="11"/>
  <c r="J1627" i="11"/>
  <c r="J1626" i="11"/>
  <c r="J1625" i="11"/>
  <c r="J1624" i="11"/>
  <c r="J1623" i="11"/>
  <c r="J1622" i="11"/>
  <c r="J1621" i="11"/>
  <c r="J1620" i="11"/>
  <c r="J1619" i="11"/>
  <c r="J1618" i="11"/>
  <c r="J1617" i="11"/>
  <c r="J1616" i="11"/>
  <c r="J1615" i="11"/>
  <c r="J1614" i="11"/>
  <c r="J1613" i="11"/>
  <c r="J1612" i="11"/>
  <c r="J1611" i="11"/>
  <c r="J1610" i="11"/>
  <c r="J1609" i="11"/>
  <c r="J1608" i="11"/>
  <c r="J1607" i="11"/>
  <c r="J1606" i="11"/>
  <c r="J1605" i="11"/>
  <c r="J1604" i="11"/>
  <c r="J1603" i="11"/>
  <c r="J1602" i="11"/>
  <c r="J1601" i="11"/>
  <c r="J1600" i="11"/>
  <c r="J1599" i="11"/>
  <c r="J1598" i="11"/>
  <c r="J1597" i="11"/>
  <c r="J1596" i="11"/>
  <c r="J1595" i="11"/>
  <c r="J1594" i="11"/>
  <c r="J1593" i="11"/>
  <c r="J1592" i="11"/>
  <c r="J1591" i="11"/>
  <c r="J1590" i="11"/>
  <c r="J1589" i="11"/>
  <c r="J1588" i="11"/>
  <c r="J1587" i="11"/>
  <c r="J1586" i="11"/>
  <c r="J1585" i="11"/>
  <c r="J1584" i="11"/>
  <c r="J1583" i="11"/>
  <c r="J1582" i="11"/>
  <c r="J1581" i="11"/>
  <c r="J1580" i="11"/>
  <c r="J1579" i="11"/>
  <c r="J1578" i="11"/>
  <c r="J1577" i="11"/>
  <c r="J1576" i="11"/>
  <c r="J1575" i="11"/>
  <c r="J1574" i="11"/>
  <c r="J1573" i="11"/>
  <c r="J1572" i="11"/>
  <c r="J1571" i="11"/>
  <c r="J1570" i="11"/>
  <c r="J1569" i="11"/>
  <c r="J1568" i="11"/>
  <c r="J1567" i="11"/>
  <c r="J1566" i="11"/>
  <c r="J1565" i="11"/>
  <c r="J1564" i="11"/>
  <c r="J1563" i="11"/>
  <c r="J1562" i="11"/>
  <c r="J1561" i="11"/>
  <c r="J1560" i="11"/>
  <c r="J1559" i="11"/>
  <c r="J1558" i="11"/>
  <c r="J1557" i="11"/>
  <c r="J1556" i="11"/>
  <c r="J1555" i="11"/>
  <c r="J1554" i="11"/>
  <c r="J1553" i="11"/>
  <c r="J1552" i="11"/>
  <c r="J1551" i="11"/>
  <c r="J1550" i="11"/>
  <c r="J1549" i="11"/>
  <c r="J1548" i="11"/>
  <c r="J1547" i="11"/>
  <c r="J1546" i="11"/>
  <c r="J1545" i="11"/>
  <c r="J1544" i="11"/>
  <c r="J1543" i="11"/>
  <c r="J1542" i="11"/>
  <c r="J1541" i="11"/>
  <c r="J1540" i="11"/>
  <c r="J1539" i="11"/>
  <c r="J1538" i="11"/>
  <c r="J1537" i="11"/>
  <c r="J1536" i="11"/>
  <c r="J1535" i="11"/>
  <c r="J1534" i="11"/>
  <c r="J1533" i="11"/>
  <c r="J1532" i="11"/>
  <c r="J1531" i="11"/>
  <c r="J1530" i="11"/>
  <c r="J1529" i="11"/>
  <c r="J1528" i="11"/>
  <c r="J1527" i="11"/>
  <c r="J1526" i="11"/>
  <c r="J1525" i="11"/>
  <c r="J1524" i="11"/>
  <c r="J1523" i="11"/>
  <c r="J1522" i="11"/>
  <c r="J1521" i="11"/>
  <c r="J1520" i="11"/>
  <c r="J1519" i="11"/>
  <c r="J1518" i="11"/>
  <c r="J1517" i="11"/>
  <c r="J1516" i="11"/>
  <c r="J1515" i="11"/>
  <c r="J1514" i="11"/>
  <c r="J1513" i="11"/>
  <c r="J1512" i="11"/>
  <c r="J1511" i="11"/>
  <c r="J1510" i="11"/>
  <c r="J1509" i="11"/>
  <c r="J1508" i="11"/>
  <c r="J1507" i="11"/>
  <c r="J1506" i="11"/>
  <c r="J1505" i="11"/>
  <c r="J1504" i="11"/>
  <c r="J1503" i="11"/>
  <c r="J1502" i="11"/>
  <c r="J1501" i="11"/>
  <c r="J1500" i="11"/>
  <c r="J1499" i="11"/>
  <c r="J1498" i="11"/>
  <c r="J1497" i="11"/>
  <c r="J1496" i="11"/>
  <c r="J1495" i="11"/>
  <c r="J1494" i="11"/>
  <c r="J1493" i="11"/>
  <c r="J1492" i="11"/>
  <c r="J1491" i="11"/>
  <c r="J1490" i="11"/>
  <c r="J1489" i="11"/>
  <c r="J1488" i="11"/>
  <c r="J1487" i="11"/>
  <c r="J1486" i="11"/>
  <c r="J1485" i="11"/>
  <c r="J1484" i="11"/>
  <c r="J1483" i="11"/>
  <c r="J1482" i="11"/>
  <c r="J1481" i="11"/>
  <c r="J1480" i="11"/>
  <c r="J1479" i="11"/>
  <c r="J1478" i="11"/>
  <c r="J1477" i="11"/>
  <c r="J1476" i="11"/>
  <c r="J1475" i="11"/>
  <c r="J1474" i="11"/>
  <c r="J1473" i="11"/>
  <c r="J1472" i="11"/>
  <c r="J1471" i="11"/>
  <c r="J1470" i="11"/>
  <c r="J1469" i="11"/>
  <c r="J1468" i="11"/>
  <c r="J1467" i="11"/>
  <c r="J1466" i="11"/>
  <c r="J1465" i="11"/>
  <c r="J1464" i="11"/>
  <c r="J1463" i="11"/>
  <c r="J1462" i="11"/>
  <c r="J1461" i="11"/>
  <c r="J1460" i="11"/>
  <c r="J1459" i="11"/>
  <c r="J1458" i="11"/>
  <c r="J1457" i="11"/>
  <c r="J1456" i="11"/>
  <c r="J1455" i="11"/>
  <c r="J1454" i="11"/>
  <c r="J1453" i="11"/>
  <c r="J1452" i="11"/>
  <c r="J1451" i="11"/>
  <c r="J1450" i="11"/>
  <c r="J1449" i="11"/>
  <c r="J1448" i="11"/>
  <c r="J1447" i="11"/>
  <c r="J1446" i="11"/>
  <c r="J1445" i="11"/>
  <c r="J1444" i="11"/>
  <c r="J1443" i="11"/>
  <c r="J1442" i="11"/>
  <c r="J1441" i="11"/>
  <c r="J1440" i="11"/>
  <c r="J1439" i="11"/>
  <c r="J1438" i="11"/>
  <c r="J1437" i="11"/>
  <c r="J1436" i="11"/>
  <c r="J1435" i="11"/>
  <c r="J1434" i="11"/>
  <c r="J1433" i="11"/>
  <c r="J1432" i="11"/>
  <c r="J1431" i="11"/>
  <c r="J1430" i="11"/>
  <c r="J1429" i="11"/>
  <c r="J1428" i="11"/>
  <c r="J1427" i="11"/>
  <c r="J1426" i="11"/>
  <c r="J1425" i="11"/>
  <c r="J1424" i="11"/>
  <c r="J1423" i="11"/>
  <c r="J1422" i="11"/>
  <c r="J1421" i="11"/>
  <c r="J1420" i="11"/>
  <c r="J1419" i="11"/>
  <c r="J1418" i="11"/>
  <c r="J1417" i="11"/>
  <c r="J1416" i="11"/>
  <c r="J1415" i="11"/>
  <c r="J1414" i="11"/>
  <c r="J1413" i="11"/>
  <c r="J1412" i="11"/>
  <c r="J1411" i="11"/>
  <c r="J1410" i="11"/>
  <c r="J1409" i="11"/>
  <c r="J1408" i="11"/>
  <c r="J1407" i="11"/>
  <c r="J1406" i="11"/>
  <c r="J1405" i="11"/>
  <c r="J1404" i="11"/>
  <c r="J1403" i="11"/>
  <c r="J1402" i="11"/>
  <c r="J1401" i="11"/>
  <c r="J1400" i="11"/>
  <c r="J1399" i="11"/>
  <c r="J1398" i="11"/>
  <c r="J1397" i="11"/>
  <c r="J1396" i="11"/>
  <c r="J1395" i="11"/>
  <c r="J1394" i="11"/>
  <c r="J1393" i="11"/>
  <c r="J1392" i="11"/>
  <c r="J1391" i="11"/>
  <c r="J1390" i="11"/>
  <c r="J1389" i="11"/>
  <c r="J1388" i="11"/>
  <c r="J1387" i="11"/>
  <c r="J1386" i="11"/>
  <c r="J1385" i="11"/>
  <c r="J1384" i="11"/>
  <c r="J1383" i="11"/>
  <c r="J1382" i="11"/>
  <c r="J1381" i="11"/>
  <c r="J1380" i="11"/>
  <c r="J1379" i="11"/>
  <c r="J1378" i="11"/>
  <c r="J1377" i="11"/>
  <c r="J1376" i="11"/>
  <c r="J1375" i="11"/>
  <c r="J1374" i="11"/>
  <c r="J1373" i="11"/>
  <c r="J1372" i="11"/>
  <c r="J1371" i="11"/>
  <c r="J1370" i="11"/>
  <c r="J1369" i="11"/>
  <c r="J1368" i="11"/>
  <c r="J1367" i="11"/>
  <c r="J1366" i="11"/>
  <c r="J1365" i="11"/>
  <c r="J1364" i="11"/>
  <c r="J1363" i="11"/>
  <c r="J1362" i="11"/>
  <c r="J1361" i="11"/>
  <c r="J1360" i="11"/>
  <c r="J1359" i="11"/>
  <c r="J1358" i="11"/>
  <c r="J1357" i="11"/>
  <c r="J1356" i="11"/>
  <c r="J1355" i="11"/>
  <c r="J1354" i="11"/>
  <c r="J1353" i="11"/>
  <c r="J1352" i="11"/>
  <c r="J1351" i="11"/>
  <c r="J1350" i="11"/>
  <c r="J1349" i="11"/>
  <c r="J1348" i="11"/>
  <c r="J1347" i="11"/>
  <c r="J1346" i="11"/>
  <c r="J1345" i="11"/>
  <c r="J1344" i="11"/>
  <c r="J1343" i="11"/>
  <c r="J1342" i="11"/>
  <c r="J1341" i="11"/>
  <c r="J1340" i="11"/>
  <c r="J1339" i="11"/>
  <c r="J1338" i="11"/>
  <c r="J1337" i="11"/>
  <c r="J1336" i="11"/>
  <c r="J1335" i="11"/>
  <c r="J1334" i="11"/>
  <c r="J1333" i="11"/>
  <c r="J1332" i="11"/>
  <c r="J1331" i="11"/>
  <c r="J1330" i="11"/>
  <c r="J1329" i="11"/>
  <c r="J1328" i="11"/>
  <c r="J1327" i="11"/>
  <c r="J1326" i="11"/>
  <c r="J1325" i="11"/>
  <c r="J1324" i="11"/>
  <c r="J1323" i="11"/>
  <c r="J1322" i="11"/>
  <c r="J1321" i="11"/>
  <c r="J1320" i="11"/>
  <c r="J1319" i="11"/>
  <c r="J1318" i="11"/>
  <c r="J1317" i="11"/>
  <c r="J1316" i="11"/>
  <c r="J1315" i="11"/>
  <c r="J1314" i="11"/>
  <c r="J1313" i="11"/>
  <c r="J1312" i="11"/>
  <c r="J1311" i="11"/>
  <c r="J1310" i="11"/>
  <c r="J1309" i="11"/>
  <c r="J1308" i="11"/>
  <c r="J1307" i="11"/>
  <c r="J1306" i="11"/>
  <c r="J1305" i="11"/>
  <c r="J1304" i="11"/>
  <c r="J1303" i="11"/>
  <c r="J1302" i="11"/>
  <c r="J1301" i="11"/>
  <c r="J1300" i="11"/>
  <c r="J1299" i="11"/>
  <c r="J1298" i="11"/>
  <c r="J1297" i="11"/>
  <c r="J1296" i="11"/>
  <c r="J1295" i="11"/>
  <c r="J1294" i="11"/>
  <c r="J1293" i="11"/>
  <c r="J1292" i="11"/>
  <c r="J1291" i="11"/>
  <c r="J1290" i="11"/>
  <c r="J1289" i="11"/>
  <c r="J1288" i="11"/>
  <c r="J1287" i="11"/>
  <c r="J1286" i="11"/>
  <c r="J1285" i="11"/>
  <c r="J1284" i="11"/>
  <c r="J1283" i="11"/>
  <c r="J1282" i="11"/>
  <c r="J1281" i="11"/>
  <c r="J1280" i="11"/>
  <c r="J1279" i="11"/>
  <c r="J1278" i="11"/>
  <c r="J1277" i="11"/>
  <c r="J1276" i="11"/>
  <c r="J1275" i="11"/>
  <c r="J1274" i="11"/>
  <c r="J1273" i="11"/>
  <c r="J1272" i="11"/>
  <c r="J1271" i="11"/>
  <c r="J1270" i="11"/>
  <c r="J1269" i="11"/>
  <c r="J1268" i="11"/>
  <c r="J1267" i="11"/>
  <c r="J1266" i="11"/>
  <c r="J1265" i="11"/>
  <c r="J1264" i="11"/>
  <c r="J1263" i="11"/>
  <c r="J1262" i="11"/>
  <c r="J1261" i="11"/>
  <c r="J1260" i="11"/>
  <c r="J1259" i="11"/>
  <c r="J1258" i="11"/>
  <c r="J1257" i="11"/>
  <c r="J1256" i="11"/>
  <c r="J1255" i="11"/>
  <c r="J1254" i="11"/>
  <c r="J1253" i="11"/>
  <c r="J1252" i="11"/>
  <c r="J1251" i="11"/>
  <c r="J1250" i="11"/>
  <c r="J1249" i="11"/>
  <c r="J1248" i="11"/>
  <c r="J1247" i="11"/>
  <c r="J1246" i="11"/>
  <c r="J1245" i="11"/>
  <c r="J1244" i="11"/>
  <c r="J1243" i="11"/>
  <c r="J1242" i="11"/>
  <c r="J1241" i="11"/>
  <c r="J1240" i="11"/>
  <c r="J1239" i="11"/>
  <c r="J1238" i="11"/>
  <c r="J1237" i="11"/>
  <c r="J1236" i="11"/>
  <c r="J1235" i="11"/>
  <c r="J1234" i="11"/>
  <c r="J1233" i="11"/>
  <c r="J1232" i="11"/>
  <c r="J1231" i="11"/>
  <c r="J1230" i="11"/>
  <c r="J1229" i="11"/>
  <c r="J1228" i="11"/>
  <c r="J1227" i="11"/>
  <c r="J1226" i="11"/>
  <c r="J1225" i="11"/>
  <c r="J1224" i="11"/>
  <c r="J1223" i="11"/>
  <c r="J1222" i="11"/>
  <c r="J1221" i="11"/>
  <c r="J1220" i="11"/>
  <c r="J1219" i="11"/>
  <c r="J1218" i="11"/>
  <c r="J1217" i="11"/>
  <c r="J1216" i="11"/>
  <c r="J1215" i="11"/>
  <c r="J1214" i="11"/>
  <c r="J1213" i="11"/>
  <c r="J1212" i="11"/>
  <c r="J1211" i="11"/>
  <c r="J1210" i="11"/>
  <c r="J1209" i="11"/>
  <c r="J1208" i="11"/>
  <c r="J1207" i="11"/>
  <c r="J1206" i="11"/>
  <c r="J1205" i="11"/>
  <c r="J1204" i="11"/>
  <c r="J1203" i="11"/>
  <c r="J1202" i="11"/>
  <c r="J1201" i="11"/>
  <c r="J1200" i="11"/>
  <c r="J1199" i="11"/>
  <c r="J1198" i="11"/>
  <c r="J1197" i="11"/>
  <c r="J1196" i="11"/>
  <c r="J1195" i="11"/>
  <c r="J1194" i="11"/>
  <c r="J1193" i="11"/>
  <c r="J1192" i="11"/>
  <c r="J1191" i="11"/>
  <c r="J1190" i="11"/>
  <c r="J1189" i="11"/>
  <c r="J1188" i="11"/>
  <c r="J1187" i="11"/>
  <c r="J1186" i="11"/>
  <c r="J1185" i="11"/>
  <c r="J1184" i="11"/>
  <c r="J1183" i="11"/>
  <c r="J1182" i="11"/>
  <c r="J1181" i="11"/>
  <c r="J1180" i="11"/>
  <c r="J1179" i="11"/>
  <c r="J1178" i="11"/>
  <c r="J1177" i="11"/>
  <c r="J1176" i="11"/>
  <c r="J1175" i="11"/>
  <c r="J1174" i="11"/>
  <c r="J1173" i="11"/>
  <c r="J1172" i="11"/>
  <c r="J1171" i="11"/>
  <c r="J1170" i="11"/>
  <c r="J1169" i="11"/>
  <c r="J1168" i="11"/>
  <c r="J1167" i="11"/>
  <c r="J1166" i="11"/>
  <c r="J1165" i="11"/>
  <c r="J1164" i="11"/>
  <c r="J1163" i="11"/>
  <c r="J1162" i="11"/>
  <c r="J1161" i="11"/>
  <c r="J1160" i="11"/>
  <c r="J1159" i="11"/>
  <c r="J1158" i="11"/>
  <c r="J1157" i="11"/>
  <c r="J1156" i="11"/>
  <c r="J1155" i="11"/>
  <c r="J1154" i="11"/>
  <c r="J1153" i="11"/>
  <c r="J1152" i="11"/>
  <c r="J1151" i="11"/>
  <c r="J1150" i="11"/>
  <c r="J1149" i="11"/>
  <c r="J1148" i="11"/>
  <c r="J1147" i="11"/>
  <c r="J1146" i="11"/>
  <c r="J1145" i="11"/>
  <c r="J1144" i="11"/>
  <c r="J1143" i="11"/>
  <c r="J1142" i="11"/>
  <c r="J1141" i="11"/>
  <c r="J1140" i="11"/>
  <c r="J1139" i="11"/>
  <c r="J1138" i="11"/>
  <c r="J1137" i="11"/>
  <c r="J1136" i="11"/>
  <c r="J1135" i="11"/>
  <c r="J1134" i="11"/>
  <c r="J1133" i="11"/>
  <c r="J1132" i="11"/>
  <c r="J1131" i="11"/>
  <c r="J1130" i="11"/>
  <c r="J1129" i="11"/>
  <c r="J1128" i="11"/>
  <c r="J1127" i="11"/>
  <c r="J1126" i="11"/>
  <c r="J1125" i="11"/>
  <c r="J1124" i="11"/>
  <c r="J1123" i="11"/>
  <c r="J1122" i="11"/>
  <c r="J1121" i="11"/>
  <c r="J1120" i="11"/>
  <c r="J1119" i="11"/>
  <c r="J1118" i="11"/>
  <c r="J1117" i="11"/>
  <c r="J1116" i="11"/>
  <c r="J1115" i="11"/>
  <c r="J1114" i="11"/>
  <c r="J1113" i="11"/>
  <c r="J1112" i="11"/>
  <c r="J1111" i="11"/>
  <c r="J1110" i="11"/>
  <c r="J1109" i="11"/>
  <c r="J1108" i="11"/>
  <c r="J1107" i="11"/>
  <c r="J1106" i="11"/>
  <c r="J1105" i="11"/>
  <c r="J1104" i="11"/>
  <c r="J1103" i="11"/>
  <c r="J1102" i="11"/>
  <c r="J1101" i="11"/>
  <c r="J1100" i="11"/>
  <c r="J1099" i="11"/>
  <c r="J1098" i="11"/>
  <c r="J1097" i="11"/>
  <c r="J1096" i="11"/>
  <c r="J1095" i="11"/>
  <c r="J1094" i="11"/>
  <c r="J1093" i="11"/>
  <c r="J1092" i="11"/>
  <c r="J1091" i="11"/>
  <c r="J1090" i="11"/>
  <c r="J1089" i="11"/>
  <c r="J1088" i="11"/>
  <c r="J1087" i="11"/>
  <c r="J1086" i="11"/>
  <c r="J1085" i="11"/>
  <c r="J1084" i="11"/>
  <c r="J1083" i="11"/>
  <c r="J1082" i="11"/>
  <c r="J1081" i="11"/>
  <c r="J1080" i="11"/>
  <c r="J1079" i="11"/>
  <c r="J1078" i="11"/>
  <c r="J1077" i="11"/>
  <c r="J1076" i="11"/>
  <c r="J1075" i="11"/>
  <c r="J1074" i="11"/>
  <c r="J1073" i="11"/>
  <c r="J1072" i="11"/>
  <c r="J1071" i="11"/>
  <c r="J1070" i="11"/>
  <c r="J1069" i="11"/>
  <c r="J1068" i="11"/>
  <c r="J1067" i="11"/>
  <c r="J1066" i="11"/>
  <c r="J1065" i="11"/>
  <c r="J1064" i="11"/>
  <c r="J1063" i="11"/>
  <c r="J1062" i="11"/>
  <c r="J1061" i="11"/>
  <c r="J1060" i="11"/>
  <c r="J1059" i="11"/>
  <c r="J1058" i="11"/>
  <c r="J1057" i="11"/>
  <c r="J1056" i="11"/>
  <c r="J1055" i="11"/>
  <c r="J1054" i="11"/>
  <c r="J1053" i="11"/>
  <c r="J1052" i="11"/>
  <c r="J1051" i="11"/>
  <c r="J1050" i="11"/>
  <c r="J1049" i="11"/>
  <c r="J1048" i="11"/>
  <c r="J1047" i="11"/>
  <c r="J1046" i="11"/>
  <c r="J1045" i="11"/>
  <c r="J1044" i="11"/>
  <c r="J1043" i="11"/>
  <c r="J1042" i="11"/>
  <c r="J1041" i="11"/>
  <c r="J1040" i="11"/>
  <c r="J1039" i="11"/>
  <c r="J1038" i="11"/>
  <c r="J1037" i="11"/>
  <c r="J1036" i="11"/>
  <c r="J1035" i="11"/>
  <c r="J1034" i="11"/>
  <c r="J1033" i="11"/>
  <c r="J1032" i="11"/>
  <c r="J1031" i="11"/>
  <c r="J1030" i="11"/>
  <c r="J1029" i="11"/>
  <c r="J1028" i="11"/>
  <c r="J1027" i="11"/>
  <c r="J1026" i="11"/>
  <c r="J1025" i="11"/>
  <c r="J1024" i="11"/>
  <c r="J1023" i="11"/>
  <c r="J1022" i="11"/>
  <c r="J1021" i="11"/>
  <c r="J1020" i="11"/>
  <c r="J1019" i="11"/>
  <c r="J1018" i="11"/>
  <c r="J1017" i="11"/>
  <c r="J1016" i="11"/>
  <c r="J1015" i="11"/>
  <c r="J1014" i="11"/>
  <c r="J1013" i="11"/>
  <c r="J1012" i="11"/>
  <c r="J1011" i="11"/>
  <c r="J1010" i="11"/>
  <c r="J1009" i="11"/>
  <c r="J1008" i="11"/>
  <c r="J1007" i="11"/>
  <c r="J1006" i="11"/>
  <c r="J1005" i="11"/>
  <c r="J1004" i="11"/>
  <c r="J1003" i="11"/>
  <c r="J1002" i="11"/>
  <c r="J1001" i="11"/>
  <c r="J1000" i="11"/>
  <c r="J999" i="11"/>
  <c r="J998" i="11"/>
  <c r="J997" i="11"/>
  <c r="J996" i="11"/>
  <c r="J995" i="11"/>
  <c r="J994" i="11"/>
  <c r="J993" i="11"/>
  <c r="J992" i="11"/>
  <c r="J991" i="11"/>
  <c r="J990" i="11"/>
  <c r="J989" i="11"/>
  <c r="J988" i="11"/>
  <c r="J987" i="11"/>
  <c r="J986" i="11"/>
  <c r="J985" i="11"/>
  <c r="J984" i="11"/>
  <c r="J983" i="11"/>
  <c r="J982" i="11"/>
  <c r="J981" i="11"/>
  <c r="J980" i="11"/>
  <c r="J979" i="11"/>
  <c r="J978" i="11"/>
  <c r="J977" i="11"/>
  <c r="J976" i="11"/>
  <c r="J975" i="11"/>
  <c r="J974" i="11"/>
  <c r="J973" i="11"/>
  <c r="J972" i="11"/>
  <c r="J971" i="11"/>
  <c r="J970" i="11"/>
  <c r="J969" i="11"/>
  <c r="J968" i="11"/>
  <c r="J967" i="11"/>
  <c r="J966" i="11"/>
  <c r="J965" i="11"/>
  <c r="J964" i="11"/>
  <c r="J963" i="11"/>
  <c r="J962" i="11"/>
  <c r="J961" i="11"/>
  <c r="J960" i="11"/>
  <c r="J959" i="11"/>
  <c r="J958" i="11"/>
  <c r="J957" i="11"/>
  <c r="J956" i="11"/>
  <c r="J955" i="11"/>
  <c r="J954" i="11"/>
  <c r="J953" i="11"/>
  <c r="J952" i="11"/>
  <c r="J951" i="11"/>
  <c r="J950" i="11"/>
  <c r="J949" i="11"/>
  <c r="J948" i="11"/>
  <c r="J947" i="11"/>
  <c r="J946" i="11"/>
  <c r="J945" i="11"/>
  <c r="J944" i="11"/>
  <c r="J943" i="11"/>
  <c r="J942" i="11"/>
  <c r="J941" i="11"/>
  <c r="J940" i="11"/>
  <c r="J939" i="11"/>
  <c r="J938" i="11"/>
  <c r="J937" i="11"/>
  <c r="J936" i="11"/>
  <c r="J935" i="11"/>
  <c r="J934" i="11"/>
  <c r="J933" i="11"/>
  <c r="J932" i="11"/>
  <c r="J931" i="11"/>
  <c r="J930" i="11"/>
  <c r="J929" i="11"/>
  <c r="J928" i="11"/>
  <c r="J927" i="11"/>
  <c r="J926" i="11"/>
  <c r="J925" i="11"/>
  <c r="J924" i="11"/>
  <c r="J923" i="11"/>
  <c r="J922" i="11"/>
  <c r="J921" i="11"/>
  <c r="J920" i="11"/>
  <c r="J919" i="11"/>
  <c r="J918" i="11"/>
  <c r="J917" i="11"/>
  <c r="J916" i="11"/>
  <c r="J915" i="11"/>
  <c r="J914" i="11"/>
  <c r="J913" i="11"/>
  <c r="J912" i="11"/>
  <c r="J911" i="11"/>
  <c r="J910" i="11"/>
  <c r="J909" i="11"/>
  <c r="J908" i="11"/>
  <c r="J907" i="11"/>
  <c r="J906" i="11"/>
  <c r="J905" i="11"/>
  <c r="J904" i="11"/>
  <c r="J903" i="11"/>
  <c r="J902" i="11"/>
  <c r="J901" i="11"/>
  <c r="J900" i="11"/>
  <c r="J899" i="11"/>
  <c r="J898" i="11"/>
  <c r="J897" i="11"/>
  <c r="J896" i="11"/>
  <c r="J895" i="11"/>
  <c r="J894" i="11"/>
  <c r="J893" i="11"/>
  <c r="J892" i="11"/>
  <c r="J891" i="11"/>
  <c r="J890" i="11"/>
  <c r="J889" i="11"/>
  <c r="J888" i="11"/>
  <c r="J887" i="11"/>
  <c r="J886" i="11"/>
  <c r="J885" i="11"/>
  <c r="J884" i="11"/>
  <c r="J883" i="11"/>
  <c r="J882" i="11"/>
  <c r="J881" i="11"/>
  <c r="J880" i="11"/>
  <c r="J879" i="11"/>
  <c r="J878" i="11"/>
  <c r="J877" i="11"/>
  <c r="J876" i="11"/>
  <c r="J875" i="11"/>
  <c r="J874" i="11"/>
  <c r="J873" i="11"/>
  <c r="J872" i="11"/>
  <c r="J871" i="11"/>
  <c r="J870" i="11"/>
  <c r="J869" i="11"/>
  <c r="J868" i="11"/>
  <c r="J867" i="11"/>
  <c r="J866" i="11"/>
  <c r="J865" i="11"/>
  <c r="J864" i="11"/>
  <c r="J863" i="11"/>
  <c r="J862" i="11"/>
  <c r="J861" i="11"/>
  <c r="J860" i="11"/>
  <c r="J859" i="11"/>
  <c r="J858" i="11"/>
  <c r="J857" i="11"/>
  <c r="J856" i="11"/>
  <c r="J855" i="11"/>
  <c r="J854" i="11"/>
  <c r="J853" i="11"/>
  <c r="J852" i="11"/>
  <c r="J851" i="11"/>
  <c r="J850" i="11"/>
  <c r="J849" i="11"/>
  <c r="J848" i="11"/>
  <c r="J847" i="11"/>
  <c r="J846" i="11"/>
  <c r="J845" i="11"/>
  <c r="J844" i="11"/>
  <c r="J843" i="11"/>
  <c r="J842" i="11"/>
  <c r="J841" i="11"/>
  <c r="J840" i="11"/>
  <c r="J839" i="11"/>
  <c r="J838" i="11"/>
  <c r="J837" i="11"/>
  <c r="J836" i="11"/>
  <c r="J835" i="11"/>
  <c r="J834" i="11"/>
  <c r="J833" i="11"/>
  <c r="J832" i="11"/>
  <c r="J831" i="11"/>
  <c r="J830" i="11"/>
  <c r="J829" i="11"/>
  <c r="J828" i="11"/>
  <c r="J827" i="11"/>
  <c r="J826" i="11"/>
  <c r="J825" i="11"/>
  <c r="J824" i="11"/>
  <c r="J823" i="11"/>
  <c r="J822" i="11"/>
  <c r="J821" i="11"/>
  <c r="J820" i="11"/>
  <c r="J819" i="11"/>
  <c r="J818" i="11"/>
  <c r="J817" i="11"/>
  <c r="J816" i="11"/>
  <c r="J815" i="11"/>
  <c r="J814" i="11"/>
  <c r="J813" i="11"/>
  <c r="J812" i="11"/>
  <c r="J811" i="11"/>
  <c r="J810" i="11"/>
  <c r="J809" i="11"/>
  <c r="J808" i="11"/>
  <c r="J807" i="11"/>
  <c r="J806" i="11"/>
  <c r="J805" i="11"/>
  <c r="J804" i="11"/>
  <c r="J803" i="11"/>
  <c r="J802" i="11"/>
  <c r="J801" i="11"/>
  <c r="J800" i="11"/>
  <c r="J799" i="11"/>
  <c r="J798" i="11"/>
  <c r="J797" i="11"/>
  <c r="J796" i="11"/>
  <c r="J795" i="11"/>
  <c r="J794" i="11"/>
  <c r="J793" i="11"/>
  <c r="J792" i="11"/>
  <c r="J791" i="11"/>
  <c r="J790" i="11"/>
  <c r="J789" i="11"/>
  <c r="J788" i="11"/>
  <c r="J787" i="11"/>
  <c r="J786" i="11"/>
  <c r="J785" i="11"/>
  <c r="J784" i="11"/>
  <c r="J783" i="11"/>
  <c r="J782" i="11"/>
  <c r="J781" i="11"/>
  <c r="J780" i="11"/>
  <c r="J779" i="11"/>
  <c r="J778" i="11"/>
  <c r="J777" i="11"/>
  <c r="J776" i="11"/>
  <c r="J775" i="11"/>
  <c r="J774" i="11"/>
  <c r="J773" i="11"/>
  <c r="J772" i="11"/>
  <c r="J771" i="11"/>
  <c r="J770" i="11"/>
  <c r="J769" i="11"/>
  <c r="J768" i="11"/>
  <c r="J767" i="11"/>
  <c r="J766" i="11"/>
  <c r="J765" i="11"/>
  <c r="J764" i="11"/>
  <c r="J763" i="11"/>
  <c r="J762" i="11"/>
  <c r="J761" i="11"/>
  <c r="J760" i="11"/>
  <c r="J759" i="11"/>
  <c r="J758" i="11"/>
  <c r="J757" i="11"/>
  <c r="J756" i="11"/>
  <c r="J755" i="11"/>
  <c r="J754" i="11"/>
  <c r="J753" i="11"/>
  <c r="J752" i="11"/>
  <c r="J751" i="11"/>
  <c r="J750" i="11"/>
  <c r="J749" i="11"/>
  <c r="J748" i="11"/>
  <c r="J747" i="11"/>
  <c r="J746" i="11"/>
  <c r="J745" i="11"/>
  <c r="J744" i="11"/>
  <c r="J743" i="11"/>
  <c r="J742" i="11"/>
  <c r="J741" i="11"/>
  <c r="J740" i="11"/>
  <c r="J739" i="11"/>
  <c r="J738" i="11"/>
  <c r="J737" i="11"/>
  <c r="J736" i="11"/>
  <c r="J735" i="11"/>
  <c r="J734" i="11"/>
  <c r="J733" i="11"/>
  <c r="J732" i="11"/>
  <c r="J731" i="11"/>
  <c r="J730" i="11"/>
  <c r="J729" i="11"/>
  <c r="J728" i="11"/>
  <c r="J727" i="11"/>
  <c r="J726" i="11"/>
  <c r="J725" i="11"/>
  <c r="J724" i="11"/>
  <c r="J723" i="11"/>
  <c r="J722" i="11"/>
  <c r="J721" i="11"/>
  <c r="J720" i="11"/>
  <c r="J719" i="11"/>
  <c r="J718" i="11"/>
  <c r="J717" i="11"/>
  <c r="J716" i="11"/>
  <c r="J715" i="11"/>
  <c r="J714" i="11"/>
  <c r="J713" i="11"/>
  <c r="J712" i="11"/>
  <c r="J711" i="11"/>
  <c r="J710" i="11"/>
  <c r="J709" i="11"/>
  <c r="J708" i="11"/>
  <c r="J707" i="11"/>
  <c r="J706" i="11"/>
  <c r="J705" i="11"/>
  <c r="J704" i="11"/>
  <c r="J703" i="11"/>
  <c r="J702" i="11"/>
  <c r="J701" i="11"/>
  <c r="J700" i="11"/>
  <c r="J699" i="11"/>
  <c r="J698" i="11"/>
  <c r="J697" i="11"/>
  <c r="J696" i="11"/>
  <c r="J695" i="11"/>
  <c r="J694" i="11"/>
  <c r="J693" i="11"/>
  <c r="J692" i="11"/>
  <c r="J691" i="11"/>
  <c r="J690" i="11"/>
  <c r="J689" i="11"/>
  <c r="J688" i="11"/>
  <c r="J687" i="11"/>
  <c r="J686" i="11"/>
  <c r="J685" i="11"/>
  <c r="J684" i="11"/>
  <c r="J683" i="11"/>
  <c r="J682" i="11"/>
  <c r="J681" i="11"/>
  <c r="J680" i="11"/>
  <c r="J679" i="11"/>
  <c r="J678" i="11"/>
  <c r="J677" i="11"/>
  <c r="J676" i="11"/>
  <c r="J675" i="11"/>
  <c r="J674" i="11"/>
  <c r="J673" i="11"/>
  <c r="J672" i="11"/>
  <c r="J671" i="11"/>
  <c r="J670" i="11"/>
  <c r="J669" i="11"/>
  <c r="J668" i="11"/>
  <c r="J667" i="11"/>
  <c r="J666" i="11"/>
  <c r="J665" i="11"/>
  <c r="J664" i="11"/>
  <c r="J663" i="11"/>
  <c r="J662" i="11"/>
  <c r="J661" i="11"/>
  <c r="J660" i="11"/>
  <c r="J659" i="11"/>
  <c r="J658" i="11"/>
  <c r="J657" i="11"/>
  <c r="J656" i="11"/>
  <c r="J655" i="11"/>
  <c r="J654" i="11"/>
  <c r="J653" i="11"/>
  <c r="J652" i="11"/>
  <c r="J651" i="11"/>
  <c r="J650" i="11"/>
  <c r="J649" i="11"/>
  <c r="J648" i="11"/>
  <c r="J647" i="11"/>
  <c r="J646" i="11"/>
  <c r="J645" i="11"/>
  <c r="J644" i="11"/>
  <c r="J643" i="11"/>
  <c r="J642" i="11"/>
  <c r="J641" i="11"/>
  <c r="J640" i="11"/>
  <c r="J639" i="11"/>
  <c r="J638" i="11"/>
  <c r="J637" i="11"/>
  <c r="J636" i="11"/>
  <c r="J635" i="11"/>
  <c r="J634" i="11"/>
  <c r="J633" i="11"/>
  <c r="J632" i="11"/>
  <c r="J631" i="11"/>
  <c r="J630" i="11"/>
  <c r="J629" i="11"/>
  <c r="J628" i="11"/>
  <c r="J627" i="11"/>
  <c r="J626" i="11"/>
  <c r="J625" i="11"/>
  <c r="J624" i="11"/>
  <c r="J623" i="11"/>
  <c r="J622" i="11"/>
  <c r="J621" i="11"/>
  <c r="J620" i="11"/>
  <c r="J619" i="11"/>
  <c r="J618" i="11"/>
  <c r="J617" i="11"/>
  <c r="J616" i="11"/>
  <c r="J615" i="11"/>
  <c r="J614" i="11"/>
  <c r="J613" i="11"/>
  <c r="J612" i="11"/>
  <c r="J611" i="11"/>
  <c r="J610" i="11"/>
  <c r="J609" i="11"/>
  <c r="J608" i="11"/>
  <c r="J607" i="11"/>
  <c r="J606" i="11"/>
  <c r="J605" i="11"/>
  <c r="J604" i="11"/>
  <c r="J603" i="11"/>
  <c r="J602" i="11"/>
  <c r="J601" i="11"/>
  <c r="J600" i="11"/>
  <c r="J599" i="11"/>
  <c r="J598" i="11"/>
  <c r="J597" i="11"/>
  <c r="J596" i="11"/>
  <c r="J595" i="11"/>
  <c r="J594" i="11"/>
  <c r="J593" i="11"/>
  <c r="J592" i="11"/>
  <c r="J591" i="11"/>
  <c r="J590" i="11"/>
  <c r="J589" i="11"/>
  <c r="J588" i="11"/>
  <c r="J587" i="11"/>
  <c r="J586" i="11"/>
  <c r="J585" i="11"/>
  <c r="J584" i="11"/>
  <c r="J583" i="11"/>
  <c r="J582" i="11"/>
  <c r="J581" i="11"/>
  <c r="J580" i="11"/>
  <c r="J579" i="11"/>
  <c r="J578" i="11"/>
  <c r="J577" i="11"/>
  <c r="J576" i="11"/>
  <c r="J575" i="11"/>
  <c r="J574" i="11"/>
  <c r="J573" i="11"/>
  <c r="J572" i="11"/>
  <c r="J571" i="11"/>
  <c r="J570" i="11"/>
  <c r="J569" i="11"/>
  <c r="J568" i="11"/>
  <c r="J567" i="11"/>
  <c r="J566" i="11"/>
  <c r="J565" i="11"/>
  <c r="J564" i="11"/>
  <c r="J563" i="11"/>
  <c r="J562" i="11"/>
  <c r="J561" i="11"/>
  <c r="J560" i="11"/>
  <c r="J559" i="11"/>
  <c r="J558" i="11"/>
  <c r="J557" i="11"/>
  <c r="J556" i="11"/>
  <c r="J555" i="11"/>
  <c r="J554" i="11"/>
  <c r="J553" i="11"/>
  <c r="J552" i="11"/>
  <c r="J551" i="11"/>
  <c r="J550" i="11"/>
  <c r="J549" i="11"/>
  <c r="J548" i="11"/>
  <c r="J547" i="11"/>
  <c r="J546" i="11"/>
  <c r="J545" i="11"/>
  <c r="J544" i="11"/>
  <c r="J543" i="11"/>
  <c r="J542" i="11"/>
  <c r="J541" i="11"/>
  <c r="J540" i="11"/>
  <c r="J539" i="11"/>
  <c r="J538" i="11"/>
  <c r="J537" i="11"/>
  <c r="J536" i="11"/>
  <c r="J535" i="11"/>
  <c r="J534" i="11"/>
  <c r="J533" i="11"/>
  <c r="J532" i="11"/>
  <c r="J531" i="11"/>
  <c r="J530" i="11"/>
  <c r="J529" i="11"/>
  <c r="J528" i="11"/>
  <c r="J527" i="11"/>
  <c r="J526" i="11"/>
  <c r="J525" i="11"/>
  <c r="J524" i="11"/>
  <c r="J523" i="11"/>
  <c r="J522" i="11"/>
  <c r="J521" i="11"/>
  <c r="J520" i="11"/>
  <c r="J519" i="11"/>
  <c r="J518" i="11"/>
  <c r="J517" i="11"/>
  <c r="J516" i="11"/>
  <c r="J515" i="11"/>
  <c r="J514" i="11"/>
  <c r="J513" i="11"/>
  <c r="J512" i="11"/>
  <c r="J511" i="11"/>
  <c r="J510" i="11"/>
  <c r="J509" i="11"/>
  <c r="J508" i="11"/>
  <c r="J507" i="11"/>
  <c r="J506" i="11"/>
  <c r="J505" i="11"/>
  <c r="J504" i="11"/>
  <c r="J503" i="11"/>
  <c r="J502" i="11"/>
  <c r="J501" i="11"/>
  <c r="J500" i="11"/>
  <c r="J499" i="11"/>
  <c r="J498" i="11"/>
  <c r="J497" i="11"/>
  <c r="J496" i="11"/>
  <c r="J495" i="11"/>
  <c r="J494" i="11"/>
  <c r="J493" i="11"/>
  <c r="J492" i="11"/>
  <c r="J491" i="11"/>
  <c r="J490" i="11"/>
  <c r="J489" i="11"/>
  <c r="J488" i="11"/>
  <c r="J487" i="11"/>
  <c r="J486" i="11"/>
  <c r="J485" i="11"/>
  <c r="J484" i="11"/>
  <c r="J483" i="11"/>
  <c r="J482" i="11"/>
  <c r="J481" i="11"/>
  <c r="J480" i="11"/>
  <c r="J479" i="11"/>
  <c r="J478" i="11"/>
  <c r="J477" i="11"/>
  <c r="J476" i="11"/>
  <c r="J475" i="11"/>
  <c r="J474" i="11"/>
  <c r="J473" i="11"/>
  <c r="J472" i="11"/>
  <c r="J471" i="11"/>
  <c r="J470" i="11"/>
  <c r="J469" i="11"/>
  <c r="J468" i="11"/>
  <c r="J467" i="11"/>
  <c r="J466" i="11"/>
  <c r="J465" i="11"/>
  <c r="J464" i="11"/>
  <c r="J463" i="11"/>
  <c r="J462" i="11"/>
  <c r="J461" i="11"/>
  <c r="J460" i="11"/>
  <c r="J459" i="11"/>
  <c r="J458" i="11"/>
  <c r="J457" i="11"/>
  <c r="J456" i="11"/>
  <c r="J455" i="11"/>
  <c r="J454" i="11"/>
  <c r="J453" i="11"/>
  <c r="J452" i="11"/>
  <c r="J451" i="11"/>
  <c r="J450" i="11"/>
  <c r="J449" i="11"/>
  <c r="J448" i="11"/>
  <c r="J447" i="11"/>
  <c r="J446" i="11"/>
  <c r="J445" i="11"/>
  <c r="J444" i="11"/>
  <c r="J443" i="11"/>
  <c r="J442" i="11"/>
  <c r="J441" i="11"/>
  <c r="J440" i="11"/>
  <c r="J439" i="11"/>
  <c r="J438" i="11"/>
  <c r="J437" i="11"/>
  <c r="J436" i="11"/>
  <c r="J435" i="11"/>
  <c r="J434" i="11"/>
  <c r="J433" i="11"/>
  <c r="J432" i="11"/>
  <c r="J431" i="11"/>
  <c r="J430" i="11"/>
  <c r="J429" i="11"/>
  <c r="J428" i="11"/>
  <c r="J427" i="11"/>
  <c r="J426" i="11"/>
  <c r="J425" i="11"/>
  <c r="J424" i="11"/>
  <c r="J423" i="11"/>
  <c r="J422" i="11"/>
  <c r="J421" i="11"/>
  <c r="J420" i="11"/>
  <c r="J419" i="11"/>
  <c r="J418" i="11"/>
  <c r="J417" i="11"/>
  <c r="J416" i="11"/>
  <c r="J415" i="11"/>
  <c r="J414" i="11"/>
  <c r="J413" i="11"/>
  <c r="J412" i="11"/>
  <c r="J411" i="11"/>
  <c r="J410" i="11"/>
  <c r="J409" i="11"/>
  <c r="J408" i="11"/>
  <c r="J407" i="11"/>
  <c r="J406" i="11"/>
  <c r="J405" i="11"/>
  <c r="J404" i="11"/>
  <c r="J403" i="11"/>
  <c r="J402" i="11"/>
  <c r="J401" i="11"/>
  <c r="J400" i="11"/>
  <c r="J399" i="11"/>
  <c r="J398" i="11"/>
  <c r="J397" i="11"/>
  <c r="J396" i="11"/>
  <c r="J395" i="11"/>
  <c r="J394" i="11"/>
  <c r="J393" i="11"/>
  <c r="J392" i="11"/>
  <c r="J391" i="11"/>
  <c r="J390" i="11"/>
  <c r="J389" i="11"/>
  <c r="J388" i="11"/>
  <c r="J387" i="11"/>
  <c r="J386" i="11"/>
  <c r="J385" i="11"/>
  <c r="J384" i="11"/>
  <c r="J383" i="11"/>
  <c r="J382" i="11"/>
  <c r="J381" i="11"/>
  <c r="J380" i="11"/>
  <c r="J379" i="11"/>
  <c r="J378" i="11"/>
  <c r="J377" i="11"/>
  <c r="J376" i="11"/>
  <c r="J375" i="11"/>
  <c r="J374" i="11"/>
  <c r="J373" i="11"/>
  <c r="J372" i="11"/>
  <c r="J371" i="11"/>
  <c r="J370" i="11"/>
  <c r="J369" i="11"/>
  <c r="J368" i="11"/>
  <c r="J367" i="11"/>
  <c r="J366" i="11"/>
  <c r="J365" i="11"/>
  <c r="J364" i="11"/>
  <c r="J363" i="11"/>
  <c r="J362" i="11"/>
  <c r="J361" i="11"/>
  <c r="J360" i="11"/>
  <c r="J359" i="11"/>
  <c r="J358" i="11"/>
  <c r="J357" i="11"/>
  <c r="J356" i="11"/>
  <c r="J355" i="11"/>
  <c r="J354" i="11"/>
  <c r="J353" i="11"/>
  <c r="J352" i="11"/>
  <c r="J351" i="11"/>
  <c r="J350" i="11"/>
  <c r="J349" i="11"/>
  <c r="J348" i="11"/>
  <c r="J347" i="11"/>
  <c r="J346" i="11"/>
  <c r="J345" i="11"/>
  <c r="J344" i="11"/>
  <c r="J343" i="11"/>
  <c r="J342" i="11"/>
  <c r="J341" i="11"/>
  <c r="J340" i="11"/>
  <c r="J339" i="11"/>
  <c r="J338" i="11"/>
  <c r="J337" i="11"/>
  <c r="J336" i="11"/>
  <c r="J335" i="11"/>
  <c r="J334" i="11"/>
  <c r="J333" i="11"/>
  <c r="J332" i="11"/>
  <c r="J331" i="11"/>
  <c r="J330" i="11"/>
  <c r="J329" i="11"/>
  <c r="J328" i="11"/>
  <c r="J327" i="11"/>
  <c r="J326" i="11"/>
  <c r="J325" i="11"/>
  <c r="J324" i="11"/>
  <c r="J323" i="11"/>
  <c r="J322" i="11"/>
  <c r="J321" i="11"/>
  <c r="J320" i="11"/>
  <c r="J319" i="11"/>
  <c r="J318" i="11"/>
  <c r="J317" i="11"/>
  <c r="J316" i="11"/>
  <c r="J315" i="11"/>
  <c r="J314" i="11"/>
  <c r="J313" i="11"/>
  <c r="J312" i="11"/>
  <c r="J311" i="11"/>
  <c r="J310" i="11"/>
  <c r="J309" i="11"/>
  <c r="J308" i="11"/>
  <c r="J307" i="11"/>
  <c r="J306" i="11"/>
  <c r="J305" i="11"/>
  <c r="J304" i="11"/>
  <c r="J303" i="11"/>
  <c r="J302" i="11"/>
  <c r="J301" i="11"/>
  <c r="J300" i="11"/>
  <c r="J299" i="11"/>
  <c r="J298" i="11"/>
  <c r="J297" i="11"/>
  <c r="J296" i="11"/>
  <c r="J295" i="11"/>
  <c r="J294" i="11"/>
  <c r="J293" i="11"/>
  <c r="J292" i="11"/>
  <c r="J291" i="11"/>
  <c r="J290" i="11"/>
  <c r="J289" i="11"/>
  <c r="J288" i="11"/>
  <c r="J287" i="11"/>
  <c r="J286" i="11"/>
  <c r="J285" i="11"/>
  <c r="J284" i="11"/>
  <c r="J283" i="11"/>
  <c r="J282" i="11"/>
  <c r="J281" i="11"/>
  <c r="J280" i="11"/>
  <c r="J279" i="11"/>
  <c r="J278" i="11"/>
  <c r="J277" i="11"/>
  <c r="J276" i="11"/>
  <c r="J275" i="11"/>
  <c r="J274" i="11"/>
  <c r="J273" i="11"/>
  <c r="J272" i="11"/>
  <c r="J271" i="11"/>
  <c r="J270" i="11"/>
  <c r="J269" i="11"/>
  <c r="J268" i="11"/>
  <c r="J267" i="11"/>
  <c r="J266" i="11"/>
  <c r="J265" i="11"/>
  <c r="J264" i="11"/>
  <c r="J263" i="11"/>
  <c r="J262" i="11"/>
  <c r="J261" i="11"/>
  <c r="J260" i="11"/>
  <c r="J259" i="11"/>
  <c r="J258" i="11"/>
  <c r="J257" i="11"/>
  <c r="J256" i="11"/>
  <c r="J255" i="11"/>
  <c r="J254" i="11"/>
  <c r="J253" i="11"/>
  <c r="J252" i="11"/>
  <c r="J251" i="11"/>
  <c r="J250" i="11"/>
  <c r="J249" i="11"/>
  <c r="J248" i="11"/>
  <c r="J247" i="11"/>
  <c r="J246" i="11"/>
  <c r="J245" i="11"/>
  <c r="J244" i="11"/>
  <c r="J243" i="11"/>
  <c r="J242" i="11"/>
  <c r="J241" i="11"/>
  <c r="J240" i="11"/>
  <c r="J239" i="11"/>
  <c r="J238" i="11"/>
  <c r="J237" i="11"/>
  <c r="J236" i="11"/>
  <c r="J235" i="11"/>
  <c r="J234" i="11"/>
  <c r="J233" i="11"/>
  <c r="J232" i="11"/>
  <c r="J231" i="11"/>
  <c r="J230" i="11"/>
  <c r="J229" i="11"/>
  <c r="J228" i="11"/>
  <c r="J227" i="11"/>
  <c r="J226" i="11"/>
  <c r="J225" i="11"/>
  <c r="J224" i="11"/>
  <c r="J223" i="11"/>
  <c r="J222" i="11"/>
  <c r="J221" i="11"/>
  <c r="J220" i="11"/>
  <c r="J219" i="11"/>
  <c r="J218" i="11"/>
  <c r="J217" i="11"/>
  <c r="J216" i="11"/>
  <c r="J215" i="11"/>
  <c r="J214" i="11"/>
  <c r="J213" i="11"/>
  <c r="J212" i="11"/>
  <c r="J211" i="11"/>
  <c r="J210" i="11"/>
  <c r="J209" i="11"/>
  <c r="J208" i="11"/>
  <c r="J207" i="11"/>
  <c r="J206" i="11"/>
  <c r="J205" i="11"/>
  <c r="J204" i="11"/>
  <c r="J203" i="11"/>
  <c r="J202" i="11"/>
  <c r="J201" i="11"/>
  <c r="J200" i="11"/>
  <c r="J199" i="11"/>
  <c r="J198" i="11"/>
  <c r="J197" i="11"/>
  <c r="J196" i="11"/>
  <c r="J195" i="11"/>
  <c r="J194" i="11"/>
  <c r="J193" i="11"/>
  <c r="J192" i="11"/>
  <c r="J191" i="11"/>
  <c r="J190" i="11"/>
  <c r="J189" i="11"/>
  <c r="J188" i="11"/>
  <c r="J187" i="11"/>
  <c r="J186" i="11"/>
  <c r="J185" i="11"/>
  <c r="J184" i="11"/>
  <c r="J183" i="11"/>
  <c r="J182" i="11"/>
  <c r="J181" i="11"/>
  <c r="J180" i="11"/>
  <c r="J179" i="11"/>
  <c r="J178" i="11"/>
  <c r="J177" i="11"/>
  <c r="J176" i="11"/>
  <c r="J175" i="11"/>
  <c r="J174" i="11"/>
  <c r="J173" i="11"/>
  <c r="J172" i="11"/>
  <c r="J171" i="11"/>
  <c r="J170" i="11"/>
  <c r="J169" i="11"/>
  <c r="J168" i="11"/>
  <c r="J167" i="11"/>
  <c r="J166" i="11"/>
  <c r="J165" i="11"/>
  <c r="J164" i="11"/>
  <c r="J163" i="11"/>
  <c r="J162" i="11"/>
  <c r="J161" i="11"/>
  <c r="J160" i="11"/>
  <c r="J159" i="11"/>
  <c r="J158" i="11"/>
  <c r="J157" i="11"/>
  <c r="J156" i="11"/>
  <c r="J155" i="11"/>
  <c r="J154" i="11"/>
  <c r="J153" i="11"/>
  <c r="J152" i="1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J3" i="11"/>
  <c r="J2" i="11"/>
  <c r="I5001" i="11"/>
  <c r="I5000" i="11"/>
  <c r="I4999" i="11"/>
  <c r="I4998" i="11"/>
  <c r="I4997" i="11"/>
  <c r="I4996" i="11"/>
  <c r="I4995" i="11"/>
  <c r="I4994" i="11"/>
  <c r="I4993" i="11"/>
  <c r="I4992" i="11"/>
  <c r="I4991" i="11"/>
  <c r="I4990" i="11"/>
  <c r="I4989" i="11"/>
  <c r="I4988" i="11"/>
  <c r="I4987" i="11"/>
  <c r="I4986" i="11"/>
  <c r="I4985" i="11"/>
  <c r="I4984" i="11"/>
  <c r="I4983" i="11"/>
  <c r="I4982" i="11"/>
  <c r="I4981" i="11"/>
  <c r="I4980" i="11"/>
  <c r="I4979" i="11"/>
  <c r="I4978" i="11"/>
  <c r="I4977" i="11"/>
  <c r="I4976" i="11"/>
  <c r="I4975" i="11"/>
  <c r="I4974" i="11"/>
  <c r="I4973" i="11"/>
  <c r="I4972" i="11"/>
  <c r="I4971" i="11"/>
  <c r="I4970" i="11"/>
  <c r="I4969" i="11"/>
  <c r="I4968" i="11"/>
  <c r="I4967" i="11"/>
  <c r="I4966" i="11"/>
  <c r="I4965" i="11"/>
  <c r="I4964" i="11"/>
  <c r="I4963" i="11"/>
  <c r="I4962" i="11"/>
  <c r="I4961" i="11"/>
  <c r="I4960" i="11"/>
  <c r="I4959" i="11"/>
  <c r="I4958" i="11"/>
  <c r="I4957" i="11"/>
  <c r="I4956" i="11"/>
  <c r="I4955" i="11"/>
  <c r="I4954" i="11"/>
  <c r="I4953" i="11"/>
  <c r="I4952" i="11"/>
  <c r="I4951" i="11"/>
  <c r="I4950" i="11"/>
  <c r="I4949" i="11"/>
  <c r="I4948" i="11"/>
  <c r="I4947" i="11"/>
  <c r="I4946" i="11"/>
  <c r="I4945" i="11"/>
  <c r="I4944" i="11"/>
  <c r="I4943" i="11"/>
  <c r="I4942" i="11"/>
  <c r="I4941" i="11"/>
  <c r="I4940" i="11"/>
  <c r="I4939" i="11"/>
  <c r="I4938" i="11"/>
  <c r="I4937" i="11"/>
  <c r="I4936" i="11"/>
  <c r="I4935" i="11"/>
  <c r="I4934" i="11"/>
  <c r="I4933" i="11"/>
  <c r="I4932" i="11"/>
  <c r="I4931" i="11"/>
  <c r="I4930" i="11"/>
  <c r="I4929" i="11"/>
  <c r="I4928" i="11"/>
  <c r="I4927" i="11"/>
  <c r="I4926" i="11"/>
  <c r="I4925" i="11"/>
  <c r="I4924" i="11"/>
  <c r="I4923" i="11"/>
  <c r="I4922" i="11"/>
  <c r="I4921" i="11"/>
  <c r="I4920" i="11"/>
  <c r="I4919" i="11"/>
  <c r="I4918" i="11"/>
  <c r="I4917" i="11"/>
  <c r="I4916" i="11"/>
  <c r="I4915" i="11"/>
  <c r="I4914" i="11"/>
  <c r="I4913" i="11"/>
  <c r="I4912" i="11"/>
  <c r="I4911" i="11"/>
  <c r="I4910" i="11"/>
  <c r="I4909" i="11"/>
  <c r="I4908" i="11"/>
  <c r="I4907" i="11"/>
  <c r="I4906" i="11"/>
  <c r="I4905" i="11"/>
  <c r="I4904" i="11"/>
  <c r="I4903" i="11"/>
  <c r="I4902" i="11"/>
  <c r="I4901" i="11"/>
  <c r="I4900" i="11"/>
  <c r="I4899" i="11"/>
  <c r="I4898" i="11"/>
  <c r="I4897" i="11"/>
  <c r="I4896" i="11"/>
  <c r="I4895" i="11"/>
  <c r="I4894" i="11"/>
  <c r="I4893" i="11"/>
  <c r="I4892" i="11"/>
  <c r="I4891" i="11"/>
  <c r="I4890" i="11"/>
  <c r="I4889" i="11"/>
  <c r="I4888" i="11"/>
  <c r="I4887" i="11"/>
  <c r="I4886" i="11"/>
  <c r="I4885" i="11"/>
  <c r="I4884" i="11"/>
  <c r="I4883" i="11"/>
  <c r="I4882" i="11"/>
  <c r="I4881" i="11"/>
  <c r="I4880" i="11"/>
  <c r="I4879" i="11"/>
  <c r="I4878" i="11"/>
  <c r="I4877" i="11"/>
  <c r="I4876" i="11"/>
  <c r="I4875" i="11"/>
  <c r="I4874" i="11"/>
  <c r="I4873" i="11"/>
  <c r="I4872" i="11"/>
  <c r="I4871" i="11"/>
  <c r="I4870" i="11"/>
  <c r="I4869" i="11"/>
  <c r="I4868" i="11"/>
  <c r="I4867" i="11"/>
  <c r="I4866" i="11"/>
  <c r="I4865" i="11"/>
  <c r="I4864" i="11"/>
  <c r="I4863" i="11"/>
  <c r="I4862" i="11"/>
  <c r="I4861" i="11"/>
  <c r="I4860" i="11"/>
  <c r="I4859" i="11"/>
  <c r="I4858" i="11"/>
  <c r="I4857" i="11"/>
  <c r="I4856" i="11"/>
  <c r="I4855" i="11"/>
  <c r="I4854" i="11"/>
  <c r="I4853" i="11"/>
  <c r="I4852" i="11"/>
  <c r="I4851" i="11"/>
  <c r="I4850" i="11"/>
  <c r="I4849" i="11"/>
  <c r="I4848" i="11"/>
  <c r="I4847" i="11"/>
  <c r="I4846" i="11"/>
  <c r="I4845" i="11"/>
  <c r="I4844" i="11"/>
  <c r="I4843" i="11"/>
  <c r="I4842" i="11"/>
  <c r="I4841" i="11"/>
  <c r="I4840" i="11"/>
  <c r="I4839" i="11"/>
  <c r="I4838" i="11"/>
  <c r="I4837" i="11"/>
  <c r="I4836" i="11"/>
  <c r="I4835" i="11"/>
  <c r="I4834" i="11"/>
  <c r="I4833" i="11"/>
  <c r="I4832" i="11"/>
  <c r="I4831" i="11"/>
  <c r="I4830" i="11"/>
  <c r="I4829" i="11"/>
  <c r="I4828" i="11"/>
  <c r="I4827" i="11"/>
  <c r="I4826" i="11"/>
  <c r="I4825" i="11"/>
  <c r="I4824" i="11"/>
  <c r="I4823" i="11"/>
  <c r="I4822" i="11"/>
  <c r="I4821" i="11"/>
  <c r="I4820" i="11"/>
  <c r="I4819" i="11"/>
  <c r="I4818" i="11"/>
  <c r="I4817" i="11"/>
  <c r="I4816" i="11"/>
  <c r="I4815" i="11"/>
  <c r="I4814" i="11"/>
  <c r="I4813" i="11"/>
  <c r="I4812" i="11"/>
  <c r="I4811" i="11"/>
  <c r="I4810" i="11"/>
  <c r="I4809" i="11"/>
  <c r="I4808" i="11"/>
  <c r="I4807" i="11"/>
  <c r="I4806" i="11"/>
  <c r="I4805" i="11"/>
  <c r="I4804" i="11"/>
  <c r="I4803" i="11"/>
  <c r="I4802" i="11"/>
  <c r="I4801" i="11"/>
  <c r="I4800" i="11"/>
  <c r="I4799" i="11"/>
  <c r="I4798" i="11"/>
  <c r="I4797" i="11"/>
  <c r="I4796" i="11"/>
  <c r="I4795" i="11"/>
  <c r="I4794" i="11"/>
  <c r="I4793" i="11"/>
  <c r="I4792" i="11"/>
  <c r="I4791" i="11"/>
  <c r="I4790" i="11"/>
  <c r="I4789" i="11"/>
  <c r="I4788" i="11"/>
  <c r="I4787" i="11"/>
  <c r="I4786" i="11"/>
  <c r="I4785" i="11"/>
  <c r="I4784" i="11"/>
  <c r="I4783" i="11"/>
  <c r="I4782" i="11"/>
  <c r="I4781" i="11"/>
  <c r="I4780" i="11"/>
  <c r="I4779" i="11"/>
  <c r="I4778" i="11"/>
  <c r="I4777" i="11"/>
  <c r="I4776" i="11"/>
  <c r="I4775" i="11"/>
  <c r="I4774" i="11"/>
  <c r="I4773" i="11"/>
  <c r="I4772" i="11"/>
  <c r="I4771" i="11"/>
  <c r="I4770" i="11"/>
  <c r="I4769" i="11"/>
  <c r="I4768" i="11"/>
  <c r="I4767" i="11"/>
  <c r="I4766" i="11"/>
  <c r="I4765" i="11"/>
  <c r="I4764" i="11"/>
  <c r="I4763" i="11"/>
  <c r="I4762" i="11"/>
  <c r="I4761" i="11"/>
  <c r="I4760" i="11"/>
  <c r="I4759" i="11"/>
  <c r="I4758" i="11"/>
  <c r="I4757" i="11"/>
  <c r="I4756" i="11"/>
  <c r="I4755" i="11"/>
  <c r="I4754" i="11"/>
  <c r="I4753" i="11"/>
  <c r="I4752" i="11"/>
  <c r="I4751" i="11"/>
  <c r="I4750" i="11"/>
  <c r="I4749" i="11"/>
  <c r="I4748" i="11"/>
  <c r="I4747" i="11"/>
  <c r="I4746" i="11"/>
  <c r="I4745" i="11"/>
  <c r="I4744" i="11"/>
  <c r="I4743" i="11"/>
  <c r="I4742" i="11"/>
  <c r="I4741" i="11"/>
  <c r="I4740" i="11"/>
  <c r="I4739" i="11"/>
  <c r="I4738" i="11"/>
  <c r="I4737" i="11"/>
  <c r="I4736" i="11"/>
  <c r="I4735" i="11"/>
  <c r="I4734" i="11"/>
  <c r="I4733" i="11"/>
  <c r="I4732" i="11"/>
  <c r="I4731" i="11"/>
  <c r="I4730" i="11"/>
  <c r="I4729" i="11"/>
  <c r="I4728" i="11"/>
  <c r="I4727" i="11"/>
  <c r="I4726" i="11"/>
  <c r="I4725" i="11"/>
  <c r="I4724" i="11"/>
  <c r="I4723" i="11"/>
  <c r="I4722" i="11"/>
  <c r="I4721" i="11"/>
  <c r="I4720" i="11"/>
  <c r="I4719" i="11"/>
  <c r="I4718" i="11"/>
  <c r="I4717" i="11"/>
  <c r="I4716" i="11"/>
  <c r="I4715" i="11"/>
  <c r="I4714" i="11"/>
  <c r="I4713" i="11"/>
  <c r="I4712" i="11"/>
  <c r="I4711" i="11"/>
  <c r="I4710" i="11"/>
  <c r="I4709" i="11"/>
  <c r="I4708" i="11"/>
  <c r="I4707" i="11"/>
  <c r="I4706" i="11"/>
  <c r="I4705" i="11"/>
  <c r="I4704" i="11"/>
  <c r="I4703" i="11"/>
  <c r="I4702" i="11"/>
  <c r="I4701" i="11"/>
  <c r="I4700" i="11"/>
  <c r="I4699" i="11"/>
  <c r="I4698" i="11"/>
  <c r="I4697" i="11"/>
  <c r="I4696" i="11"/>
  <c r="I4695" i="11"/>
  <c r="I4694" i="11"/>
  <c r="I4693" i="11"/>
  <c r="I4692" i="11"/>
  <c r="I4691" i="11"/>
  <c r="I4690" i="11"/>
  <c r="I4689" i="11"/>
  <c r="I4688" i="11"/>
  <c r="I4687" i="11"/>
  <c r="I4686" i="11"/>
  <c r="I4685" i="11"/>
  <c r="I4684" i="11"/>
  <c r="I4683" i="11"/>
  <c r="I4682" i="11"/>
  <c r="I4681" i="11"/>
  <c r="I4680" i="11"/>
  <c r="I4679" i="11"/>
  <c r="I4678" i="11"/>
  <c r="I4677" i="11"/>
  <c r="I4676" i="11"/>
  <c r="I4675" i="11"/>
  <c r="I4674" i="11"/>
  <c r="I4673" i="11"/>
  <c r="I4672" i="11"/>
  <c r="I4671" i="11"/>
  <c r="I4670" i="11"/>
  <c r="I4669" i="11"/>
  <c r="I4668" i="11"/>
  <c r="I4667" i="11"/>
  <c r="I4666" i="11"/>
  <c r="I4665" i="11"/>
  <c r="I4664" i="11"/>
  <c r="I4663" i="11"/>
  <c r="I4662" i="11"/>
  <c r="I4661" i="11"/>
  <c r="I4660" i="11"/>
  <c r="I4659" i="11"/>
  <c r="I4658" i="11"/>
  <c r="I4657" i="11"/>
  <c r="I4656" i="11"/>
  <c r="I4655" i="11"/>
  <c r="I4654" i="11"/>
  <c r="I4653" i="11"/>
  <c r="I4652" i="11"/>
  <c r="I4651" i="11"/>
  <c r="I4650" i="11"/>
  <c r="I4649" i="11"/>
  <c r="I4648" i="11"/>
  <c r="I4647" i="11"/>
  <c r="I4646" i="11"/>
  <c r="I4645" i="11"/>
  <c r="I4644" i="11"/>
  <c r="I4643" i="11"/>
  <c r="I4642" i="11"/>
  <c r="I4641" i="11"/>
  <c r="I4640" i="11"/>
  <c r="I4639" i="11"/>
  <c r="I4638" i="11"/>
  <c r="I4637" i="11"/>
  <c r="I4636" i="11"/>
  <c r="I4635" i="11"/>
  <c r="I4634" i="11"/>
  <c r="I4633" i="11"/>
  <c r="I4632" i="11"/>
  <c r="I4631" i="11"/>
  <c r="I4630" i="11"/>
  <c r="I4629" i="11"/>
  <c r="I4628" i="11"/>
  <c r="I4627" i="11"/>
  <c r="I4626" i="11"/>
  <c r="I4625" i="11"/>
  <c r="I4624" i="11"/>
  <c r="I4623" i="11"/>
  <c r="I4622" i="11"/>
  <c r="I4621" i="11"/>
  <c r="I4620" i="11"/>
  <c r="I4619" i="11"/>
  <c r="I4618" i="11"/>
  <c r="I4617" i="11"/>
  <c r="I4616" i="11"/>
  <c r="I4615" i="11"/>
  <c r="I4614" i="11"/>
  <c r="I4613" i="11"/>
  <c r="I4612" i="11"/>
  <c r="I4611" i="11"/>
  <c r="I4610" i="11"/>
  <c r="I4609" i="11"/>
  <c r="I4608" i="11"/>
  <c r="I4607" i="11"/>
  <c r="I4606" i="11"/>
  <c r="I4605" i="11"/>
  <c r="I4604" i="11"/>
  <c r="I4603" i="11"/>
  <c r="I4602" i="11"/>
  <c r="I4601" i="11"/>
  <c r="I4600" i="11"/>
  <c r="I4599" i="11"/>
  <c r="I4598" i="11"/>
  <c r="I4597" i="11"/>
  <c r="I4596" i="11"/>
  <c r="I4595" i="11"/>
  <c r="I4594" i="11"/>
  <c r="I4593" i="11"/>
  <c r="I4592" i="11"/>
  <c r="I4591" i="11"/>
  <c r="I4590" i="11"/>
  <c r="I4589" i="11"/>
  <c r="I4588" i="11"/>
  <c r="I4587" i="11"/>
  <c r="I4586" i="11"/>
  <c r="I4585" i="11"/>
  <c r="I4584" i="11"/>
  <c r="I4583" i="11"/>
  <c r="I4582" i="11"/>
  <c r="I4581" i="11"/>
  <c r="I4580" i="11"/>
  <c r="I4579" i="11"/>
  <c r="I4578" i="11"/>
  <c r="I4577" i="11"/>
  <c r="I4576" i="11"/>
  <c r="I4575" i="11"/>
  <c r="I4574" i="11"/>
  <c r="I4573" i="11"/>
  <c r="I4572" i="11"/>
  <c r="I4571" i="11"/>
  <c r="I4570" i="11"/>
  <c r="I4569" i="11"/>
  <c r="I4568" i="11"/>
  <c r="I4567" i="11"/>
  <c r="I4566" i="11"/>
  <c r="I4565" i="11"/>
  <c r="I4564" i="11"/>
  <c r="I4563" i="11"/>
  <c r="I4562" i="11"/>
  <c r="I4561" i="11"/>
  <c r="I4560" i="11"/>
  <c r="I4559" i="11"/>
  <c r="I4558" i="11"/>
  <c r="I4557" i="11"/>
  <c r="I4556" i="11"/>
  <c r="I4555" i="11"/>
  <c r="I4554" i="11"/>
  <c r="I4553" i="11"/>
  <c r="I4552" i="11"/>
  <c r="I4551" i="11"/>
  <c r="I4550" i="11"/>
  <c r="I4549" i="11"/>
  <c r="I4548" i="11"/>
  <c r="I4547" i="11"/>
  <c r="I4546" i="11"/>
  <c r="I4545" i="11"/>
  <c r="I4544" i="11"/>
  <c r="I4543" i="11"/>
  <c r="I4542" i="11"/>
  <c r="I4541" i="11"/>
  <c r="I4540" i="11"/>
  <c r="I4539" i="11"/>
  <c r="I4538" i="11"/>
  <c r="I4537" i="11"/>
  <c r="I4536" i="11"/>
  <c r="I4535" i="11"/>
  <c r="I4534" i="11"/>
  <c r="I4533" i="11"/>
  <c r="I4532" i="11"/>
  <c r="I4531" i="11"/>
  <c r="I4530" i="11"/>
  <c r="I4529" i="11"/>
  <c r="I4528" i="11"/>
  <c r="I4527" i="11"/>
  <c r="I4526" i="11"/>
  <c r="I4525" i="11"/>
  <c r="I4524" i="11"/>
  <c r="I4523" i="11"/>
  <c r="I4522" i="11"/>
  <c r="I4521" i="11"/>
  <c r="I4520" i="11"/>
  <c r="I4519" i="11"/>
  <c r="I4518" i="11"/>
  <c r="I4517" i="11"/>
  <c r="I4516" i="11"/>
  <c r="I4515" i="11"/>
  <c r="I4514" i="11"/>
  <c r="I4513" i="11"/>
  <c r="I4512" i="11"/>
  <c r="I4511" i="11"/>
  <c r="I4510" i="11"/>
  <c r="I4509" i="11"/>
  <c r="I4508" i="11"/>
  <c r="I4507" i="11"/>
  <c r="I4506" i="11"/>
  <c r="I4505" i="11"/>
  <c r="I4504" i="11"/>
  <c r="I4503" i="11"/>
  <c r="I4502" i="11"/>
  <c r="I4501" i="11"/>
  <c r="I4500" i="11"/>
  <c r="I4499" i="11"/>
  <c r="I4498" i="11"/>
  <c r="I4497" i="11"/>
  <c r="I4496" i="11"/>
  <c r="I4495" i="11"/>
  <c r="I4494" i="11"/>
  <c r="I4493" i="11"/>
  <c r="I4492" i="11"/>
  <c r="I4491" i="11"/>
  <c r="I4490" i="11"/>
  <c r="I4489" i="11"/>
  <c r="I4488" i="11"/>
  <c r="I4487" i="11"/>
  <c r="I4486" i="11"/>
  <c r="I4485" i="11"/>
  <c r="I4484" i="11"/>
  <c r="I4483" i="11"/>
  <c r="I4482" i="11"/>
  <c r="I4481" i="11"/>
  <c r="I4480" i="11"/>
  <c r="I4479" i="11"/>
  <c r="I4478" i="11"/>
  <c r="I4477" i="11"/>
  <c r="I4476" i="11"/>
  <c r="I4475" i="11"/>
  <c r="I4474" i="11"/>
  <c r="I4473" i="11"/>
  <c r="I4472" i="11"/>
  <c r="I4471" i="11"/>
  <c r="I4470" i="11"/>
  <c r="I4469" i="11"/>
  <c r="I4468" i="11"/>
  <c r="I4467" i="11"/>
  <c r="I4466" i="11"/>
  <c r="I4465" i="11"/>
  <c r="I4464" i="11"/>
  <c r="I4463" i="11"/>
  <c r="I4462" i="11"/>
  <c r="I4461" i="11"/>
  <c r="I4460" i="11"/>
  <c r="I4459" i="11"/>
  <c r="I4458" i="11"/>
  <c r="I4457" i="11"/>
  <c r="I4456" i="11"/>
  <c r="I4455" i="11"/>
  <c r="I4454" i="11"/>
  <c r="I4453" i="11"/>
  <c r="I4452" i="11"/>
  <c r="I4451" i="11"/>
  <c r="I4450" i="11"/>
  <c r="I4449" i="11"/>
  <c r="I4448" i="11"/>
  <c r="I4447" i="11"/>
  <c r="I4446" i="11"/>
  <c r="I4445" i="11"/>
  <c r="I4444" i="11"/>
  <c r="I4443" i="11"/>
  <c r="I4442" i="11"/>
  <c r="I4441" i="11"/>
  <c r="I4440" i="11"/>
  <c r="I4439" i="11"/>
  <c r="I4438" i="11"/>
  <c r="I4437" i="11"/>
  <c r="I4436" i="11"/>
  <c r="I4435" i="11"/>
  <c r="I4434" i="11"/>
  <c r="I4433" i="11"/>
  <c r="I4432" i="11"/>
  <c r="I4431" i="11"/>
  <c r="I4430" i="11"/>
  <c r="I4429" i="11"/>
  <c r="I4428" i="11"/>
  <c r="I4427" i="11"/>
  <c r="I4426" i="11"/>
  <c r="I4425" i="11"/>
  <c r="I4424" i="11"/>
  <c r="I4423" i="11"/>
  <c r="I4422" i="11"/>
  <c r="I4421" i="11"/>
  <c r="I4420" i="11"/>
  <c r="I4419" i="11"/>
  <c r="I4418" i="11"/>
  <c r="I4417" i="11"/>
  <c r="I4416" i="11"/>
  <c r="I4415" i="11"/>
  <c r="I4414" i="11"/>
  <c r="I4413" i="11"/>
  <c r="I4412" i="11"/>
  <c r="I4411" i="11"/>
  <c r="I4410" i="11"/>
  <c r="I4409" i="11"/>
  <c r="I4408" i="11"/>
  <c r="I4407" i="11"/>
  <c r="I4406" i="11"/>
  <c r="I4405" i="11"/>
  <c r="I4404" i="11"/>
  <c r="I4403" i="11"/>
  <c r="I4402" i="11"/>
  <c r="I4401" i="11"/>
  <c r="I4400" i="11"/>
  <c r="I4399" i="11"/>
  <c r="I4398" i="11"/>
  <c r="I4397" i="11"/>
  <c r="I4396" i="11"/>
  <c r="I4395" i="11"/>
  <c r="I4394" i="11"/>
  <c r="I4393" i="11"/>
  <c r="I4392" i="11"/>
  <c r="I4391" i="11"/>
  <c r="I4390" i="11"/>
  <c r="I4389" i="11"/>
  <c r="I4388" i="11"/>
  <c r="I4387" i="11"/>
  <c r="I4386" i="11"/>
  <c r="I4385" i="11"/>
  <c r="I4384" i="11"/>
  <c r="I4383" i="11"/>
  <c r="I4382" i="11"/>
  <c r="I4381" i="11"/>
  <c r="I4380" i="11"/>
  <c r="I4379" i="11"/>
  <c r="I4378" i="11"/>
  <c r="I4377" i="11"/>
  <c r="I4376" i="11"/>
  <c r="I4375" i="11"/>
  <c r="I4374" i="11"/>
  <c r="I4373" i="11"/>
  <c r="I4372" i="11"/>
  <c r="I4371" i="11"/>
  <c r="I4370" i="11"/>
  <c r="I4369" i="11"/>
  <c r="I4368" i="11"/>
  <c r="I4367" i="11"/>
  <c r="I4366" i="11"/>
  <c r="I4365" i="11"/>
  <c r="I4364" i="11"/>
  <c r="I4363" i="11"/>
  <c r="I4362" i="11"/>
  <c r="I4361" i="11"/>
  <c r="I4360" i="11"/>
  <c r="I4359" i="11"/>
  <c r="I4358" i="11"/>
  <c r="I4357" i="11"/>
  <c r="I4356" i="11"/>
  <c r="I4355" i="11"/>
  <c r="I4354" i="11"/>
  <c r="I4353" i="11"/>
  <c r="I4352" i="11"/>
  <c r="I4351" i="11"/>
  <c r="I4350" i="11"/>
  <c r="I4349" i="11"/>
  <c r="I4348" i="11"/>
  <c r="I4347" i="11"/>
  <c r="I4346" i="11"/>
  <c r="I4345" i="11"/>
  <c r="I4344" i="11"/>
  <c r="I4343" i="11"/>
  <c r="I4342" i="11"/>
  <c r="I4341" i="11"/>
  <c r="I4340" i="11"/>
  <c r="I4339" i="11"/>
  <c r="I4338" i="11"/>
  <c r="I4337" i="11"/>
  <c r="I4336" i="11"/>
  <c r="I4335" i="11"/>
  <c r="I4334" i="11"/>
  <c r="I4333" i="11"/>
  <c r="I4332" i="11"/>
  <c r="I4331" i="11"/>
  <c r="I4330" i="11"/>
  <c r="I4329" i="11"/>
  <c r="I4328" i="11"/>
  <c r="I4327" i="11"/>
  <c r="I4326" i="11"/>
  <c r="I4325" i="11"/>
  <c r="I4324" i="11"/>
  <c r="I4323" i="11"/>
  <c r="I4322" i="11"/>
  <c r="I4321" i="11"/>
  <c r="I4320" i="11"/>
  <c r="I4319" i="11"/>
  <c r="I4318" i="11"/>
  <c r="I4317" i="11"/>
  <c r="I4316" i="11"/>
  <c r="I4315" i="11"/>
  <c r="I4314" i="11"/>
  <c r="I4313" i="11"/>
  <c r="I4312" i="11"/>
  <c r="I4311" i="11"/>
  <c r="I4310" i="11"/>
  <c r="I4309" i="11"/>
  <c r="I4308" i="11"/>
  <c r="I4307" i="11"/>
  <c r="I4306" i="11"/>
  <c r="I4305" i="11"/>
  <c r="I4304" i="11"/>
  <c r="I4303" i="11"/>
  <c r="I4302" i="11"/>
  <c r="I4301" i="11"/>
  <c r="I4300" i="11"/>
  <c r="I4299" i="11"/>
  <c r="I4298" i="11"/>
  <c r="I4297" i="11"/>
  <c r="I4296" i="11"/>
  <c r="I4295" i="11"/>
  <c r="I4294" i="11"/>
  <c r="I4293" i="11"/>
  <c r="I4292" i="11"/>
  <c r="I4291" i="11"/>
  <c r="I4290" i="11"/>
  <c r="I4289" i="11"/>
  <c r="I4288" i="11"/>
  <c r="I4287" i="11"/>
  <c r="I4286" i="11"/>
  <c r="I4285" i="11"/>
  <c r="I4284" i="11"/>
  <c r="I4283" i="11"/>
  <c r="I4282" i="11"/>
  <c r="I4281" i="11"/>
  <c r="I4280" i="11"/>
  <c r="I4279" i="11"/>
  <c r="I4278" i="11"/>
  <c r="I4277" i="11"/>
  <c r="I4276" i="11"/>
  <c r="I4275" i="11"/>
  <c r="I4274" i="11"/>
  <c r="I4273" i="11"/>
  <c r="I4272" i="11"/>
  <c r="I4271" i="11"/>
  <c r="I4270" i="11"/>
  <c r="I4269" i="11"/>
  <c r="I4268" i="11"/>
  <c r="I4267" i="11"/>
  <c r="I4266" i="11"/>
  <c r="I4265" i="11"/>
  <c r="I4264" i="11"/>
  <c r="I4263" i="11"/>
  <c r="I4262" i="11"/>
  <c r="I4261" i="11"/>
  <c r="I4260" i="11"/>
  <c r="I4259" i="11"/>
  <c r="I4258" i="11"/>
  <c r="I4257" i="11"/>
  <c r="I4256" i="11"/>
  <c r="I4255" i="11"/>
  <c r="I4254" i="11"/>
  <c r="I4253" i="11"/>
  <c r="I4252" i="11"/>
  <c r="I4251" i="11"/>
  <c r="I4250" i="11"/>
  <c r="I4249" i="11"/>
  <c r="I4248" i="11"/>
  <c r="I4247" i="11"/>
  <c r="I4246" i="11"/>
  <c r="I4245" i="11"/>
  <c r="I4244" i="11"/>
  <c r="I4243" i="11"/>
  <c r="I4242" i="11"/>
  <c r="I4241" i="11"/>
  <c r="I4240" i="11"/>
  <c r="I4239" i="11"/>
  <c r="I4238" i="11"/>
  <c r="I4237" i="11"/>
  <c r="I4236" i="11"/>
  <c r="I4235" i="11"/>
  <c r="I4234" i="11"/>
  <c r="I4233" i="11"/>
  <c r="I4232" i="11"/>
  <c r="I4231" i="11"/>
  <c r="I4230" i="11"/>
  <c r="I4229" i="11"/>
  <c r="I4228" i="11"/>
  <c r="I4227" i="11"/>
  <c r="I4226" i="11"/>
  <c r="I4225" i="11"/>
  <c r="I4224" i="11"/>
  <c r="I4223" i="11"/>
  <c r="I4222" i="11"/>
  <c r="I4221" i="11"/>
  <c r="I4220" i="11"/>
  <c r="I4219" i="11"/>
  <c r="I4218" i="11"/>
  <c r="I4217" i="11"/>
  <c r="I4216" i="11"/>
  <c r="I4215" i="11"/>
  <c r="I4214" i="11"/>
  <c r="I4213" i="11"/>
  <c r="I4212" i="11"/>
  <c r="I4211" i="11"/>
  <c r="I4210" i="11"/>
  <c r="I4209" i="11"/>
  <c r="I4208" i="11"/>
  <c r="I4207" i="11"/>
  <c r="I4206" i="11"/>
  <c r="I4205" i="11"/>
  <c r="I4204" i="11"/>
  <c r="I4203" i="11"/>
  <c r="I4202" i="11"/>
  <c r="I4201" i="11"/>
  <c r="I4200" i="11"/>
  <c r="I4199" i="11"/>
  <c r="I4198" i="11"/>
  <c r="I4197" i="11"/>
  <c r="I4196" i="11"/>
  <c r="I4195" i="11"/>
  <c r="I4194" i="11"/>
  <c r="I4193" i="11"/>
  <c r="I4192" i="11"/>
  <c r="I4191" i="11"/>
  <c r="I4190" i="11"/>
  <c r="I4189" i="11"/>
  <c r="I4188" i="11"/>
  <c r="I4187" i="11"/>
  <c r="I4186" i="11"/>
  <c r="I4185" i="11"/>
  <c r="I4184" i="11"/>
  <c r="I4183" i="11"/>
  <c r="I4182" i="11"/>
  <c r="I4181" i="11"/>
  <c r="I4180" i="11"/>
  <c r="I4179" i="11"/>
  <c r="I4178" i="11"/>
  <c r="I4177" i="11"/>
  <c r="I4176" i="11"/>
  <c r="I4175" i="11"/>
  <c r="I4174" i="11"/>
  <c r="I4173" i="11"/>
  <c r="I4172" i="11"/>
  <c r="I4171" i="11"/>
  <c r="I4170" i="11"/>
  <c r="I4169" i="11"/>
  <c r="I4168" i="11"/>
  <c r="I4167" i="11"/>
  <c r="I4166" i="11"/>
  <c r="I4165" i="11"/>
  <c r="I4164" i="11"/>
  <c r="I4163" i="11"/>
  <c r="I4162" i="11"/>
  <c r="I4161" i="11"/>
  <c r="I4160" i="11"/>
  <c r="I4159" i="11"/>
  <c r="I4158" i="11"/>
  <c r="I4157" i="11"/>
  <c r="I4156" i="11"/>
  <c r="I4155" i="11"/>
  <c r="I4154" i="11"/>
  <c r="I4153" i="11"/>
  <c r="I4152" i="11"/>
  <c r="I4151" i="11"/>
  <c r="I4150" i="11"/>
  <c r="I4149" i="11"/>
  <c r="I4148" i="11"/>
  <c r="I4147" i="11"/>
  <c r="I4146" i="11"/>
  <c r="I4145" i="11"/>
  <c r="I4144" i="11"/>
  <c r="I4143" i="11"/>
  <c r="I4142" i="11"/>
  <c r="I4141" i="11"/>
  <c r="I4140" i="11"/>
  <c r="I4139" i="11"/>
  <c r="I4138" i="11"/>
  <c r="I4137" i="11"/>
  <c r="I4136" i="11"/>
  <c r="I4135" i="11"/>
  <c r="I4134" i="11"/>
  <c r="I4133" i="11"/>
  <c r="I4132" i="11"/>
  <c r="I4131" i="11"/>
  <c r="I4130" i="11"/>
  <c r="I4129" i="11"/>
  <c r="I4128" i="11"/>
  <c r="I4127" i="11"/>
  <c r="I4126" i="11"/>
  <c r="I4125" i="11"/>
  <c r="I4124" i="11"/>
  <c r="I4123" i="11"/>
  <c r="I4122" i="11"/>
  <c r="I4121" i="11"/>
  <c r="I4120" i="11"/>
  <c r="I4119" i="11"/>
  <c r="I4118" i="11"/>
  <c r="I4117" i="11"/>
  <c r="I4116" i="11"/>
  <c r="I4115" i="11"/>
  <c r="I4114" i="11"/>
  <c r="I4113" i="11"/>
  <c r="I4112" i="11"/>
  <c r="I4111" i="11"/>
  <c r="I4110" i="11"/>
  <c r="I4109" i="11"/>
  <c r="I4108" i="11"/>
  <c r="I4107" i="11"/>
  <c r="I4106" i="11"/>
  <c r="I4105" i="11"/>
  <c r="I4104" i="11"/>
  <c r="I4103" i="11"/>
  <c r="I4102" i="11"/>
  <c r="I4101" i="11"/>
  <c r="I4100" i="11"/>
  <c r="I4099" i="11"/>
  <c r="I4098" i="11"/>
  <c r="I4097" i="11"/>
  <c r="I4096" i="11"/>
  <c r="I4095" i="11"/>
  <c r="I4094" i="11"/>
  <c r="I4093" i="11"/>
  <c r="I4092" i="11"/>
  <c r="I4091" i="11"/>
  <c r="I4090" i="11"/>
  <c r="I4089" i="11"/>
  <c r="I4088" i="11"/>
  <c r="I4087" i="11"/>
  <c r="I4086" i="11"/>
  <c r="I4085" i="11"/>
  <c r="I4084" i="11"/>
  <c r="I4083" i="11"/>
  <c r="I4082" i="11"/>
  <c r="I4081" i="11"/>
  <c r="I4080" i="11"/>
  <c r="I4079" i="11"/>
  <c r="I4078" i="11"/>
  <c r="I4077" i="11"/>
  <c r="I4076" i="11"/>
  <c r="I4075" i="11"/>
  <c r="I4074" i="11"/>
  <c r="I4073" i="11"/>
  <c r="I4072" i="11"/>
  <c r="I4071" i="11"/>
  <c r="I4070" i="11"/>
  <c r="I4069" i="11"/>
  <c r="I4068" i="11"/>
  <c r="I4067" i="11"/>
  <c r="I4066" i="11"/>
  <c r="I4065" i="11"/>
  <c r="I4064" i="11"/>
  <c r="I4063" i="11"/>
  <c r="I4062" i="11"/>
  <c r="I4061" i="11"/>
  <c r="I4060" i="11"/>
  <c r="I4059" i="11"/>
  <c r="I4058" i="11"/>
  <c r="I4057" i="11"/>
  <c r="I4056" i="11"/>
  <c r="I4055" i="11"/>
  <c r="I4054" i="11"/>
  <c r="I4053" i="11"/>
  <c r="I4052" i="11"/>
  <c r="I4051" i="11"/>
  <c r="I4050" i="11"/>
  <c r="I4049" i="11"/>
  <c r="I4048" i="11"/>
  <c r="I4047" i="11"/>
  <c r="I4046" i="11"/>
  <c r="I4045" i="11"/>
  <c r="I4044" i="11"/>
  <c r="I4043" i="11"/>
  <c r="I4042" i="11"/>
  <c r="I4041" i="11"/>
  <c r="I4040" i="11"/>
  <c r="I4039" i="11"/>
  <c r="I4038" i="11"/>
  <c r="I4037" i="11"/>
  <c r="I4036" i="11"/>
  <c r="I4035" i="11"/>
  <c r="I4034" i="11"/>
  <c r="I4033" i="11"/>
  <c r="I4032" i="11"/>
  <c r="I4031" i="11"/>
  <c r="I4030" i="11"/>
  <c r="I4029" i="11"/>
  <c r="I4028" i="11"/>
  <c r="I4027" i="11"/>
  <c r="I4026" i="11"/>
  <c r="I4025" i="11"/>
  <c r="I4024" i="11"/>
  <c r="I4023" i="11"/>
  <c r="I4022" i="11"/>
  <c r="I4021" i="11"/>
  <c r="I4020" i="11"/>
  <c r="I4019" i="11"/>
  <c r="I4018" i="11"/>
  <c r="I4017" i="11"/>
  <c r="I4016" i="11"/>
  <c r="I4015" i="11"/>
  <c r="I4014" i="11"/>
  <c r="I4013" i="11"/>
  <c r="I4012" i="11"/>
  <c r="I4011" i="11"/>
  <c r="I4010" i="11"/>
  <c r="I4009" i="11"/>
  <c r="I4008" i="11"/>
  <c r="I4007" i="11"/>
  <c r="I4006" i="11"/>
  <c r="I4005" i="11"/>
  <c r="I4004" i="11"/>
  <c r="I4003" i="11"/>
  <c r="I4002" i="11"/>
  <c r="I4001" i="11"/>
  <c r="I4000" i="11"/>
  <c r="I3999" i="11"/>
  <c r="I3998" i="11"/>
  <c r="I3997" i="11"/>
  <c r="I3996" i="11"/>
  <c r="I3995" i="11"/>
  <c r="I3994" i="11"/>
  <c r="I3993" i="11"/>
  <c r="I3992" i="11"/>
  <c r="I3991" i="11"/>
  <c r="I3990" i="11"/>
  <c r="I3989" i="11"/>
  <c r="I3988" i="11"/>
  <c r="I3987" i="11"/>
  <c r="I3986" i="11"/>
  <c r="I3985" i="11"/>
  <c r="I3984" i="11"/>
  <c r="I3983" i="11"/>
  <c r="I3982" i="11"/>
  <c r="I3981" i="11"/>
  <c r="I3980" i="11"/>
  <c r="I3979" i="11"/>
  <c r="I3978" i="11"/>
  <c r="I3977" i="11"/>
  <c r="I3976" i="11"/>
  <c r="I3975" i="11"/>
  <c r="I3974" i="11"/>
  <c r="I3973" i="11"/>
  <c r="I3972" i="11"/>
  <c r="I3971" i="11"/>
  <c r="I3970" i="11"/>
  <c r="I3969" i="11"/>
  <c r="I3968" i="11"/>
  <c r="I3967" i="11"/>
  <c r="I3966" i="11"/>
  <c r="I3965" i="11"/>
  <c r="I3964" i="11"/>
  <c r="I3963" i="11"/>
  <c r="I3962" i="11"/>
  <c r="I3961" i="11"/>
  <c r="I3960" i="11"/>
  <c r="I3959" i="11"/>
  <c r="I3958" i="11"/>
  <c r="I3957" i="11"/>
  <c r="I3956" i="11"/>
  <c r="I3955" i="11"/>
  <c r="I3954" i="11"/>
  <c r="I3953" i="11"/>
  <c r="I3952" i="11"/>
  <c r="I3951" i="11"/>
  <c r="I3950" i="11"/>
  <c r="I3949" i="11"/>
  <c r="I3948" i="11"/>
  <c r="I3947" i="11"/>
  <c r="I3946" i="11"/>
  <c r="I3945" i="11"/>
  <c r="I3944" i="11"/>
  <c r="I3943" i="11"/>
  <c r="I3942" i="11"/>
  <c r="I3941" i="11"/>
  <c r="I3940" i="11"/>
  <c r="I3939" i="11"/>
  <c r="I3938" i="11"/>
  <c r="I3937" i="11"/>
  <c r="I3936" i="11"/>
  <c r="I3935" i="11"/>
  <c r="I3934" i="11"/>
  <c r="I3933" i="11"/>
  <c r="I3932" i="11"/>
  <c r="I3931" i="11"/>
  <c r="I3930" i="11"/>
  <c r="I3929" i="11"/>
  <c r="I3928" i="11"/>
  <c r="I3927" i="11"/>
  <c r="I3926" i="11"/>
  <c r="I3925" i="11"/>
  <c r="I3924" i="11"/>
  <c r="I3923" i="11"/>
  <c r="I3922" i="11"/>
  <c r="I3921" i="11"/>
  <c r="I3920" i="11"/>
  <c r="I3919" i="11"/>
  <c r="I3918" i="11"/>
  <c r="I3917" i="11"/>
  <c r="I3916" i="11"/>
  <c r="I3915" i="11"/>
  <c r="I3914" i="11"/>
  <c r="I3913" i="11"/>
  <c r="I3912" i="11"/>
  <c r="I3911" i="11"/>
  <c r="I3910" i="11"/>
  <c r="I3909" i="11"/>
  <c r="I3908" i="11"/>
  <c r="I3907" i="11"/>
  <c r="I3906" i="11"/>
  <c r="I3905" i="11"/>
  <c r="I3904" i="11"/>
  <c r="I3903" i="11"/>
  <c r="I3902" i="11"/>
  <c r="I3901" i="11"/>
  <c r="I3900" i="11"/>
  <c r="I3899" i="11"/>
  <c r="I3898" i="11"/>
  <c r="I3897" i="11"/>
  <c r="I3896" i="11"/>
  <c r="I3895" i="11"/>
  <c r="I3894" i="11"/>
  <c r="I3893" i="11"/>
  <c r="I3892" i="11"/>
  <c r="I3891" i="11"/>
  <c r="I3890" i="11"/>
  <c r="I3889" i="11"/>
  <c r="I3888" i="11"/>
  <c r="I3887" i="11"/>
  <c r="I3886" i="11"/>
  <c r="I3885" i="11"/>
  <c r="I3884" i="11"/>
  <c r="I3883" i="11"/>
  <c r="I3882" i="11"/>
  <c r="I3881" i="11"/>
  <c r="I3880" i="11"/>
  <c r="I3879" i="11"/>
  <c r="I3878" i="11"/>
  <c r="I3877" i="11"/>
  <c r="I3876" i="11"/>
  <c r="I3875" i="11"/>
  <c r="I3874" i="11"/>
  <c r="I3873" i="11"/>
  <c r="I3872" i="11"/>
  <c r="I3871" i="11"/>
  <c r="I3870" i="11"/>
  <c r="I3869" i="11"/>
  <c r="I3868" i="11"/>
  <c r="I3867" i="11"/>
  <c r="I3866" i="11"/>
  <c r="I3865" i="11"/>
  <c r="I3864" i="11"/>
  <c r="I3863" i="11"/>
  <c r="I3862" i="11"/>
  <c r="I3861" i="11"/>
  <c r="I3860" i="11"/>
  <c r="I3859" i="11"/>
  <c r="I3858" i="11"/>
  <c r="I3857" i="11"/>
  <c r="I3856" i="11"/>
  <c r="I3855" i="11"/>
  <c r="I3854" i="11"/>
  <c r="I3853" i="11"/>
  <c r="I3852" i="11"/>
  <c r="I3851" i="11"/>
  <c r="I3850" i="11"/>
  <c r="I3849" i="11"/>
  <c r="I3848" i="11"/>
  <c r="I3847" i="11"/>
  <c r="I3846" i="11"/>
  <c r="I3845" i="11"/>
  <c r="I3844" i="11"/>
  <c r="I3843" i="11"/>
  <c r="I3842" i="11"/>
  <c r="I3841" i="11"/>
  <c r="I3840" i="11"/>
  <c r="I3839" i="11"/>
  <c r="I3838" i="11"/>
  <c r="I3837" i="11"/>
  <c r="I3836" i="11"/>
  <c r="I3835" i="11"/>
  <c r="I3834" i="11"/>
  <c r="I3833" i="11"/>
  <c r="I3832" i="11"/>
  <c r="I3831" i="11"/>
  <c r="I3830" i="11"/>
  <c r="I3829" i="11"/>
  <c r="I3828" i="11"/>
  <c r="I3827" i="11"/>
  <c r="I3826" i="11"/>
  <c r="I3825" i="11"/>
  <c r="I3824" i="11"/>
  <c r="I3823" i="11"/>
  <c r="I3822" i="11"/>
  <c r="I3821" i="11"/>
  <c r="I3820" i="11"/>
  <c r="I3819" i="11"/>
  <c r="I3818" i="11"/>
  <c r="I3817" i="11"/>
  <c r="I3816" i="11"/>
  <c r="I3815" i="11"/>
  <c r="I3814" i="11"/>
  <c r="I3813" i="11"/>
  <c r="I3812" i="11"/>
  <c r="I3811" i="11"/>
  <c r="I3810" i="11"/>
  <c r="I3809" i="11"/>
  <c r="I3808" i="11"/>
  <c r="I3807" i="11"/>
  <c r="I3806" i="11"/>
  <c r="I3805" i="11"/>
  <c r="I3804" i="11"/>
  <c r="I3803" i="11"/>
  <c r="I3802" i="11"/>
  <c r="I3801" i="11"/>
  <c r="I3800" i="11"/>
  <c r="I3799" i="11"/>
  <c r="I3798" i="11"/>
  <c r="I3797" i="11"/>
  <c r="I3796" i="11"/>
  <c r="I3795" i="11"/>
  <c r="I3794" i="11"/>
  <c r="I3793" i="11"/>
  <c r="I3792" i="11"/>
  <c r="I3791" i="11"/>
  <c r="I3790" i="11"/>
  <c r="I3789" i="11"/>
  <c r="I3788" i="11"/>
  <c r="I3787" i="11"/>
  <c r="I3786" i="11"/>
  <c r="I3785" i="11"/>
  <c r="I3784" i="11"/>
  <c r="I3783" i="11"/>
  <c r="I3782" i="11"/>
  <c r="I3781" i="11"/>
  <c r="I3780" i="11"/>
  <c r="I3779" i="11"/>
  <c r="I3778" i="11"/>
  <c r="I3777" i="11"/>
  <c r="I3776" i="11"/>
  <c r="I3775" i="11"/>
  <c r="I3774" i="11"/>
  <c r="I3773" i="11"/>
  <c r="I3772" i="11"/>
  <c r="I3771" i="11"/>
  <c r="I3770" i="11"/>
  <c r="I3769" i="11"/>
  <c r="I3768" i="11"/>
  <c r="I3767" i="11"/>
  <c r="I3766" i="11"/>
  <c r="I3765" i="11"/>
  <c r="I3764" i="11"/>
  <c r="I3763" i="11"/>
  <c r="I3762" i="11"/>
  <c r="I3761" i="11"/>
  <c r="I3760" i="11"/>
  <c r="I3759" i="11"/>
  <c r="I3758" i="11"/>
  <c r="I3757" i="11"/>
  <c r="I3756" i="11"/>
  <c r="I3755" i="11"/>
  <c r="I3754" i="11"/>
  <c r="I3753" i="11"/>
  <c r="I3752" i="11"/>
  <c r="I3751" i="11"/>
  <c r="I3750" i="11"/>
  <c r="I3749" i="11"/>
  <c r="I3748" i="11"/>
  <c r="I3747" i="11"/>
  <c r="I3746" i="11"/>
  <c r="I3745" i="11"/>
  <c r="I3744" i="11"/>
  <c r="I3743" i="11"/>
  <c r="I3742" i="11"/>
  <c r="I3741" i="11"/>
  <c r="I3740" i="11"/>
  <c r="I3739" i="11"/>
  <c r="I3738" i="11"/>
  <c r="I3737" i="11"/>
  <c r="I3736" i="11"/>
  <c r="I3735" i="11"/>
  <c r="I3734" i="11"/>
  <c r="I3733" i="11"/>
  <c r="I3732" i="11"/>
  <c r="I3731" i="11"/>
  <c r="I3730" i="11"/>
  <c r="I3729" i="11"/>
  <c r="I3728" i="11"/>
  <c r="I3727" i="11"/>
  <c r="I3726" i="11"/>
  <c r="I3725" i="11"/>
  <c r="I3724" i="11"/>
  <c r="I3723" i="11"/>
  <c r="I3722" i="11"/>
  <c r="I3721" i="11"/>
  <c r="I3720" i="11"/>
  <c r="I3719" i="11"/>
  <c r="I3718" i="11"/>
  <c r="I3717" i="11"/>
  <c r="I3716" i="11"/>
  <c r="I3715" i="11"/>
  <c r="I3714" i="11"/>
  <c r="I3713" i="11"/>
  <c r="I3712" i="11"/>
  <c r="I3711" i="11"/>
  <c r="I3710" i="11"/>
  <c r="I3709" i="11"/>
  <c r="I3708" i="11"/>
  <c r="I3707" i="11"/>
  <c r="I3706" i="11"/>
  <c r="I3705" i="11"/>
  <c r="I3704" i="11"/>
  <c r="I3703" i="11"/>
  <c r="I3702" i="11"/>
  <c r="I3701" i="11"/>
  <c r="I3700" i="11"/>
  <c r="I3699" i="11"/>
  <c r="I3698" i="11"/>
  <c r="I3697" i="11"/>
  <c r="I3696" i="11"/>
  <c r="I3695" i="11"/>
  <c r="I3694" i="11"/>
  <c r="I3693" i="11"/>
  <c r="I3692" i="11"/>
  <c r="I3691" i="11"/>
  <c r="I3690" i="11"/>
  <c r="I3689" i="11"/>
  <c r="I3688" i="11"/>
  <c r="I3687" i="11"/>
  <c r="I3686" i="11"/>
  <c r="I3685" i="11"/>
  <c r="I3684" i="11"/>
  <c r="I3683" i="11"/>
  <c r="I3682" i="11"/>
  <c r="I3681" i="11"/>
  <c r="I3680" i="11"/>
  <c r="I3679" i="11"/>
  <c r="I3678" i="11"/>
  <c r="I3677" i="11"/>
  <c r="I3676" i="11"/>
  <c r="I3675" i="11"/>
  <c r="I3674" i="11"/>
  <c r="I3673" i="11"/>
  <c r="I3672" i="11"/>
  <c r="I3671" i="11"/>
  <c r="I3670" i="11"/>
  <c r="I3669" i="11"/>
  <c r="I3668" i="11"/>
  <c r="I3667" i="11"/>
  <c r="I3666" i="11"/>
  <c r="I3665" i="11"/>
  <c r="I3664" i="11"/>
  <c r="I3663" i="11"/>
  <c r="I3662" i="11"/>
  <c r="I3661" i="11"/>
  <c r="I3660" i="11"/>
  <c r="I3659" i="11"/>
  <c r="I3658" i="11"/>
  <c r="I3657" i="11"/>
  <c r="I3656" i="11"/>
  <c r="I3655" i="11"/>
  <c r="I3654" i="11"/>
  <c r="I3653" i="11"/>
  <c r="I3652" i="11"/>
  <c r="I3651" i="11"/>
  <c r="I3650" i="11"/>
  <c r="I3649" i="11"/>
  <c r="I3648" i="11"/>
  <c r="I3647" i="11"/>
  <c r="I3646" i="11"/>
  <c r="I3645" i="11"/>
  <c r="I3644" i="11"/>
  <c r="I3643" i="11"/>
  <c r="I3642" i="11"/>
  <c r="I3641" i="11"/>
  <c r="I3640" i="11"/>
  <c r="I3639" i="11"/>
  <c r="I3638" i="11"/>
  <c r="I3637" i="11"/>
  <c r="I3636" i="11"/>
  <c r="I3635" i="11"/>
  <c r="I3634" i="11"/>
  <c r="I3633" i="11"/>
  <c r="I3632" i="11"/>
  <c r="I3631" i="11"/>
  <c r="I3630" i="11"/>
  <c r="I3629" i="11"/>
  <c r="I3628" i="11"/>
  <c r="I3627" i="11"/>
  <c r="I3626" i="11"/>
  <c r="I3625" i="11"/>
  <c r="I3624" i="11"/>
  <c r="I3623" i="11"/>
  <c r="I3622" i="11"/>
  <c r="I3621" i="11"/>
  <c r="I3620" i="11"/>
  <c r="I3619" i="11"/>
  <c r="I3618" i="11"/>
  <c r="I3617" i="11"/>
  <c r="I3616" i="11"/>
  <c r="I3615" i="11"/>
  <c r="I3614" i="11"/>
  <c r="I3613" i="11"/>
  <c r="I3612" i="11"/>
  <c r="I3611" i="11"/>
  <c r="I3610" i="11"/>
  <c r="I3609" i="11"/>
  <c r="I3608" i="11"/>
  <c r="I3607" i="11"/>
  <c r="I3606" i="11"/>
  <c r="I3605" i="11"/>
  <c r="I3604" i="11"/>
  <c r="I3603" i="11"/>
  <c r="I3602" i="11"/>
  <c r="I3601" i="11"/>
  <c r="I3600" i="11"/>
  <c r="I3599" i="11"/>
  <c r="I3598" i="11"/>
  <c r="I3597" i="11"/>
  <c r="I3596" i="11"/>
  <c r="I3595" i="11"/>
  <c r="I3594" i="11"/>
  <c r="I3593" i="11"/>
  <c r="I3592" i="11"/>
  <c r="I3591" i="11"/>
  <c r="I3590" i="11"/>
  <c r="I3589" i="11"/>
  <c r="I3588" i="11"/>
  <c r="I3587" i="11"/>
  <c r="I3586" i="11"/>
  <c r="I3585" i="11"/>
  <c r="I3584" i="11"/>
  <c r="I3583" i="11"/>
  <c r="I3582" i="11"/>
  <c r="I3581" i="11"/>
  <c r="I3580" i="11"/>
  <c r="I3579" i="11"/>
  <c r="I3578" i="11"/>
  <c r="I3577" i="11"/>
  <c r="I3576" i="11"/>
  <c r="I3575" i="11"/>
  <c r="I3574" i="11"/>
  <c r="I3573" i="11"/>
  <c r="I3572" i="11"/>
  <c r="I3571" i="11"/>
  <c r="I3570" i="11"/>
  <c r="I3569" i="11"/>
  <c r="I3568" i="11"/>
  <c r="I3567" i="11"/>
  <c r="I3566" i="11"/>
  <c r="I3565" i="11"/>
  <c r="I3564" i="11"/>
  <c r="I3563" i="11"/>
  <c r="I3562" i="11"/>
  <c r="I3561" i="11"/>
  <c r="I3560" i="11"/>
  <c r="I3559" i="11"/>
  <c r="I3558" i="11"/>
  <c r="I3557" i="11"/>
  <c r="I3556" i="11"/>
  <c r="I3555" i="11"/>
  <c r="I3554" i="11"/>
  <c r="I3553" i="11"/>
  <c r="I3552" i="11"/>
  <c r="I3551" i="11"/>
  <c r="I3550" i="11"/>
  <c r="I3549" i="11"/>
  <c r="I3548" i="11"/>
  <c r="I3547" i="11"/>
  <c r="I3546" i="11"/>
  <c r="I3545" i="11"/>
  <c r="I3544" i="11"/>
  <c r="I3543" i="11"/>
  <c r="I3542" i="11"/>
  <c r="I3541" i="11"/>
  <c r="I3540" i="11"/>
  <c r="I3539" i="11"/>
  <c r="I3538" i="11"/>
  <c r="I3537" i="11"/>
  <c r="I3536" i="11"/>
  <c r="I3535" i="11"/>
  <c r="I3534" i="11"/>
  <c r="I3533" i="11"/>
  <c r="I3532" i="11"/>
  <c r="I3531" i="11"/>
  <c r="I3530" i="11"/>
  <c r="I3529" i="11"/>
  <c r="I3528" i="11"/>
  <c r="I3527" i="11"/>
  <c r="I3526" i="11"/>
  <c r="I3525" i="11"/>
  <c r="I3524" i="11"/>
  <c r="I3523" i="11"/>
  <c r="I3522" i="11"/>
  <c r="I3521" i="11"/>
  <c r="I3520" i="11"/>
  <c r="I3519" i="11"/>
  <c r="I3518" i="11"/>
  <c r="I3517" i="11"/>
  <c r="I3516" i="11"/>
  <c r="I3515" i="11"/>
  <c r="I3514" i="11"/>
  <c r="I3513" i="11"/>
  <c r="I3512" i="11"/>
  <c r="I3511" i="11"/>
  <c r="I3510" i="11"/>
  <c r="I3509" i="11"/>
  <c r="I3508" i="11"/>
  <c r="I3507" i="11"/>
  <c r="I3506" i="11"/>
  <c r="I3505" i="11"/>
  <c r="I3504" i="11"/>
  <c r="I3503" i="11"/>
  <c r="I3502" i="11"/>
  <c r="I3501" i="11"/>
  <c r="I3500" i="11"/>
  <c r="I3499" i="11"/>
  <c r="I3498" i="11"/>
  <c r="I3497" i="11"/>
  <c r="I3496" i="11"/>
  <c r="I3495" i="11"/>
  <c r="I3494" i="11"/>
  <c r="I3493" i="11"/>
  <c r="I3492" i="11"/>
  <c r="I3491" i="11"/>
  <c r="I3490" i="11"/>
  <c r="I3489" i="11"/>
  <c r="I3488" i="11"/>
  <c r="I3487" i="11"/>
  <c r="I3486" i="11"/>
  <c r="I3485" i="11"/>
  <c r="I3484" i="11"/>
  <c r="I3483" i="11"/>
  <c r="I3482" i="11"/>
  <c r="I3481" i="11"/>
  <c r="I3480" i="11"/>
  <c r="I3479" i="11"/>
  <c r="I3478" i="11"/>
  <c r="I3477" i="11"/>
  <c r="I3476" i="11"/>
  <c r="I3475" i="11"/>
  <c r="I3474" i="11"/>
  <c r="I3473" i="11"/>
  <c r="I3472" i="11"/>
  <c r="I3471" i="11"/>
  <c r="I3470" i="11"/>
  <c r="I3469" i="11"/>
  <c r="I3468" i="11"/>
  <c r="I3467" i="11"/>
  <c r="I3466" i="11"/>
  <c r="I3465" i="11"/>
  <c r="I3464" i="11"/>
  <c r="I3463" i="11"/>
  <c r="I3462" i="11"/>
  <c r="I3461" i="11"/>
  <c r="I3460" i="11"/>
  <c r="I3459" i="11"/>
  <c r="I3458" i="11"/>
  <c r="I3457" i="11"/>
  <c r="I3456" i="11"/>
  <c r="I3455" i="11"/>
  <c r="I3454" i="11"/>
  <c r="I3453" i="11"/>
  <c r="I3452" i="11"/>
  <c r="I3451" i="11"/>
  <c r="I3450" i="11"/>
  <c r="I3449" i="11"/>
  <c r="I3448" i="11"/>
  <c r="I3447" i="11"/>
  <c r="I3446" i="11"/>
  <c r="I3445" i="11"/>
  <c r="I3444" i="11"/>
  <c r="I3443" i="11"/>
  <c r="I3442" i="11"/>
  <c r="I3441" i="11"/>
  <c r="I3440" i="11"/>
  <c r="I3439" i="11"/>
  <c r="I3438" i="11"/>
  <c r="I3437" i="11"/>
  <c r="I3436" i="11"/>
  <c r="I3435" i="11"/>
  <c r="I3434" i="11"/>
  <c r="I3433" i="11"/>
  <c r="I3432" i="11"/>
  <c r="I3431" i="11"/>
  <c r="I3430" i="11"/>
  <c r="I3429" i="11"/>
  <c r="I3428" i="11"/>
  <c r="I3427" i="11"/>
  <c r="I3426" i="11"/>
  <c r="I3425" i="11"/>
  <c r="I3424" i="11"/>
  <c r="I3423" i="11"/>
  <c r="I3422" i="11"/>
  <c r="I3421" i="11"/>
  <c r="I3420" i="11"/>
  <c r="I3419" i="11"/>
  <c r="I3418" i="11"/>
  <c r="I3417" i="11"/>
  <c r="I3416" i="11"/>
  <c r="I3415" i="11"/>
  <c r="I3414" i="11"/>
  <c r="I3413" i="11"/>
  <c r="I3412" i="11"/>
  <c r="I3411" i="11"/>
  <c r="I3410" i="11"/>
  <c r="I3409" i="11"/>
  <c r="I3408" i="11"/>
  <c r="I3407" i="11"/>
  <c r="I3406" i="11"/>
  <c r="I3405" i="11"/>
  <c r="I3404" i="11"/>
  <c r="I3403" i="11"/>
  <c r="I3402" i="11"/>
  <c r="I3401" i="11"/>
  <c r="I3400" i="11"/>
  <c r="I3399" i="11"/>
  <c r="I3398" i="11"/>
  <c r="I3397" i="11"/>
  <c r="I3396" i="11"/>
  <c r="I3395" i="11"/>
  <c r="I3394" i="11"/>
  <c r="I3393" i="11"/>
  <c r="I3392" i="11"/>
  <c r="I3391" i="11"/>
  <c r="I3390" i="11"/>
  <c r="I3389" i="11"/>
  <c r="I3388" i="11"/>
  <c r="I3387" i="11"/>
  <c r="I3386" i="11"/>
  <c r="I3385" i="11"/>
  <c r="I3384" i="11"/>
  <c r="I3383" i="11"/>
  <c r="I3382" i="11"/>
  <c r="I3381" i="11"/>
  <c r="I3380" i="11"/>
  <c r="I3379" i="11"/>
  <c r="I3378" i="11"/>
  <c r="I3377" i="11"/>
  <c r="I3376" i="11"/>
  <c r="I3375" i="11"/>
  <c r="I3374" i="11"/>
  <c r="I3373" i="11"/>
  <c r="I3372" i="11"/>
  <c r="I3371" i="11"/>
  <c r="I3370" i="11"/>
  <c r="I3369" i="11"/>
  <c r="I3368" i="11"/>
  <c r="I3367" i="11"/>
  <c r="I3366" i="11"/>
  <c r="I3365" i="11"/>
  <c r="I3364" i="11"/>
  <c r="I3363" i="11"/>
  <c r="I3362" i="11"/>
  <c r="I3361" i="11"/>
  <c r="I3360" i="11"/>
  <c r="I3359" i="11"/>
  <c r="I3358" i="11"/>
  <c r="I3357" i="11"/>
  <c r="I3356" i="11"/>
  <c r="I3355" i="11"/>
  <c r="I3354" i="11"/>
  <c r="I3353" i="11"/>
  <c r="I3352" i="11"/>
  <c r="I3351" i="11"/>
  <c r="I3350" i="11"/>
  <c r="I3349" i="11"/>
  <c r="I3348" i="11"/>
  <c r="I3347" i="11"/>
  <c r="I3346" i="11"/>
  <c r="I3345" i="11"/>
  <c r="I3344" i="11"/>
  <c r="I3343" i="11"/>
  <c r="I3342" i="11"/>
  <c r="I3341" i="11"/>
  <c r="I3340" i="11"/>
  <c r="I3339" i="11"/>
  <c r="I3338" i="11"/>
  <c r="I3337" i="11"/>
  <c r="I3336" i="11"/>
  <c r="I3335" i="11"/>
  <c r="I3334" i="11"/>
  <c r="I3333" i="11"/>
  <c r="I3332" i="11"/>
  <c r="I3331" i="11"/>
  <c r="I3330" i="11"/>
  <c r="I3329" i="11"/>
  <c r="I3328" i="11"/>
  <c r="I3327" i="11"/>
  <c r="I3326" i="11"/>
  <c r="I3325" i="11"/>
  <c r="I3324" i="11"/>
  <c r="I3323" i="11"/>
  <c r="I3322" i="11"/>
  <c r="I3321" i="11"/>
  <c r="I3320" i="11"/>
  <c r="I3319" i="11"/>
  <c r="I3318" i="11"/>
  <c r="I3317" i="11"/>
  <c r="I3316" i="11"/>
  <c r="I3315" i="11"/>
  <c r="I3314" i="11"/>
  <c r="I3313" i="11"/>
  <c r="I3312" i="11"/>
  <c r="I3311" i="11"/>
  <c r="I3310" i="11"/>
  <c r="I3309" i="11"/>
  <c r="I3308" i="11"/>
  <c r="I3307" i="11"/>
  <c r="I3306" i="11"/>
  <c r="I3305" i="11"/>
  <c r="I3304" i="11"/>
  <c r="I3303" i="11"/>
  <c r="I3302" i="11"/>
  <c r="I3301" i="11"/>
  <c r="I3300" i="11"/>
  <c r="I3299" i="11"/>
  <c r="I3298" i="11"/>
  <c r="I3297" i="11"/>
  <c r="I3296" i="11"/>
  <c r="I3295" i="11"/>
  <c r="I3294" i="11"/>
  <c r="I3293" i="11"/>
  <c r="I3292" i="11"/>
  <c r="I3291" i="11"/>
  <c r="I3290" i="11"/>
  <c r="I3289" i="11"/>
  <c r="I3288" i="11"/>
  <c r="I3287" i="11"/>
  <c r="I3286" i="11"/>
  <c r="I3285" i="11"/>
  <c r="I3284" i="11"/>
  <c r="I3283" i="11"/>
  <c r="I3282" i="11"/>
  <c r="I3281" i="11"/>
  <c r="I3280" i="11"/>
  <c r="I3279" i="11"/>
  <c r="I3278" i="11"/>
  <c r="I3277" i="11"/>
  <c r="I3276" i="11"/>
  <c r="I3275" i="11"/>
  <c r="I3274" i="11"/>
  <c r="I3273" i="11"/>
  <c r="I3272" i="11"/>
  <c r="I3271" i="11"/>
  <c r="I3270" i="11"/>
  <c r="I3269" i="11"/>
  <c r="I3268" i="11"/>
  <c r="I3267" i="11"/>
  <c r="I3266" i="11"/>
  <c r="I3265" i="11"/>
  <c r="I3264" i="11"/>
  <c r="I3263" i="11"/>
  <c r="I3262" i="11"/>
  <c r="I3261" i="11"/>
  <c r="I3260" i="11"/>
  <c r="I3259" i="11"/>
  <c r="I3258" i="11"/>
  <c r="I3257" i="11"/>
  <c r="I3256" i="11"/>
  <c r="I3255" i="11"/>
  <c r="I3254" i="11"/>
  <c r="I3253" i="11"/>
  <c r="I3252" i="11"/>
  <c r="I3251" i="11"/>
  <c r="I3250" i="11"/>
  <c r="I3249" i="11"/>
  <c r="I3248" i="11"/>
  <c r="I3247" i="11"/>
  <c r="I3246" i="11"/>
  <c r="I3245" i="11"/>
  <c r="I3244" i="11"/>
  <c r="I3243" i="11"/>
  <c r="I3242" i="11"/>
  <c r="I3241" i="11"/>
  <c r="I3240" i="11"/>
  <c r="I3239" i="11"/>
  <c r="I3238" i="11"/>
  <c r="I3237" i="11"/>
  <c r="I3236" i="11"/>
  <c r="I3235" i="11"/>
  <c r="I3234" i="11"/>
  <c r="I3233" i="11"/>
  <c r="I3232" i="11"/>
  <c r="I3231" i="11"/>
  <c r="I3230" i="11"/>
  <c r="I3229" i="11"/>
  <c r="I3228" i="11"/>
  <c r="I3227" i="11"/>
  <c r="I3226" i="11"/>
  <c r="I3225" i="11"/>
  <c r="I3224" i="11"/>
  <c r="I3223" i="11"/>
  <c r="I3222" i="11"/>
  <c r="I3221" i="11"/>
  <c r="I3220" i="11"/>
  <c r="I3219" i="11"/>
  <c r="I3218" i="11"/>
  <c r="I3217" i="11"/>
  <c r="I3216" i="11"/>
  <c r="I3215" i="11"/>
  <c r="I3214" i="11"/>
  <c r="I3213" i="11"/>
  <c r="I3212" i="11"/>
  <c r="I3211" i="11"/>
  <c r="I3210" i="11"/>
  <c r="I3209" i="11"/>
  <c r="I3208" i="11"/>
  <c r="I3207" i="11"/>
  <c r="I3206" i="11"/>
  <c r="I3205" i="11"/>
  <c r="I3204" i="11"/>
  <c r="I3203" i="11"/>
  <c r="I3202" i="11"/>
  <c r="I3201" i="11"/>
  <c r="I3200" i="11"/>
  <c r="I3199" i="11"/>
  <c r="I3198" i="11"/>
  <c r="I3197" i="11"/>
  <c r="I3196" i="11"/>
  <c r="I3195" i="11"/>
  <c r="I3194" i="11"/>
  <c r="I3193" i="11"/>
  <c r="I3192" i="11"/>
  <c r="I3191" i="11"/>
  <c r="I3190" i="11"/>
  <c r="I3189" i="11"/>
  <c r="I3188" i="11"/>
  <c r="I3187" i="11"/>
  <c r="I3186" i="11"/>
  <c r="I3185" i="11"/>
  <c r="I3184" i="11"/>
  <c r="I3183" i="11"/>
  <c r="I3182" i="11"/>
  <c r="I3181" i="11"/>
  <c r="I3180" i="11"/>
  <c r="I3179" i="11"/>
  <c r="I3178" i="11"/>
  <c r="I3177" i="11"/>
  <c r="I3176" i="11"/>
  <c r="I3175" i="11"/>
  <c r="I3174" i="11"/>
  <c r="I3173" i="11"/>
  <c r="I3172" i="11"/>
  <c r="I3171" i="11"/>
  <c r="I3170" i="11"/>
  <c r="I3169" i="11"/>
  <c r="I3168" i="11"/>
  <c r="I3167" i="11"/>
  <c r="I3166" i="11"/>
  <c r="I3165" i="11"/>
  <c r="I3164" i="11"/>
  <c r="I3163" i="11"/>
  <c r="I3162" i="11"/>
  <c r="I3161" i="11"/>
  <c r="I3160" i="11"/>
  <c r="I3159" i="11"/>
  <c r="I3158" i="11"/>
  <c r="I3157" i="11"/>
  <c r="I3156" i="11"/>
  <c r="I3155" i="11"/>
  <c r="I3154" i="11"/>
  <c r="I3153" i="11"/>
  <c r="I3152" i="11"/>
  <c r="I3151" i="11"/>
  <c r="I3150" i="11"/>
  <c r="I3149" i="11"/>
  <c r="I3148" i="11"/>
  <c r="I3147" i="11"/>
  <c r="I3146" i="11"/>
  <c r="I3145" i="11"/>
  <c r="I3144" i="11"/>
  <c r="I3143" i="11"/>
  <c r="I3142" i="11"/>
  <c r="I3141" i="11"/>
  <c r="I3140" i="11"/>
  <c r="I3139" i="11"/>
  <c r="I3138" i="11"/>
  <c r="I3137" i="11"/>
  <c r="I3136" i="11"/>
  <c r="I3135" i="11"/>
  <c r="I3134" i="11"/>
  <c r="I3133" i="11"/>
  <c r="I3132" i="11"/>
  <c r="I3131" i="11"/>
  <c r="I3130" i="11"/>
  <c r="I3129" i="11"/>
  <c r="I3128" i="11"/>
  <c r="I3127" i="11"/>
  <c r="I3126" i="11"/>
  <c r="I3125" i="11"/>
  <c r="I3124" i="11"/>
  <c r="I3123" i="11"/>
  <c r="I3122" i="11"/>
  <c r="I3121" i="11"/>
  <c r="I3120" i="11"/>
  <c r="I3119" i="11"/>
  <c r="I3118" i="11"/>
  <c r="I3117" i="11"/>
  <c r="I3116" i="11"/>
  <c r="I3115" i="11"/>
  <c r="I3114" i="11"/>
  <c r="I3113" i="11"/>
  <c r="I3112" i="11"/>
  <c r="I3111" i="11"/>
  <c r="I3110" i="11"/>
  <c r="I3109" i="11"/>
  <c r="I3108" i="11"/>
  <c r="I3107" i="11"/>
  <c r="I3106" i="11"/>
  <c r="I3105" i="11"/>
  <c r="I3104" i="11"/>
  <c r="I3103" i="11"/>
  <c r="I3102" i="11"/>
  <c r="I3101" i="11"/>
  <c r="I3100" i="11"/>
  <c r="I3099" i="11"/>
  <c r="I3098" i="11"/>
  <c r="I3097" i="11"/>
  <c r="I3096" i="11"/>
  <c r="I3095" i="11"/>
  <c r="I3094" i="11"/>
  <c r="I3093" i="11"/>
  <c r="I3092" i="11"/>
  <c r="I3091" i="11"/>
  <c r="I3090" i="11"/>
  <c r="I3089" i="11"/>
  <c r="I3088" i="11"/>
  <c r="I3087" i="11"/>
  <c r="I3086" i="11"/>
  <c r="I3085" i="11"/>
  <c r="I3084" i="11"/>
  <c r="I3083" i="11"/>
  <c r="I3082" i="11"/>
  <c r="I3081" i="11"/>
  <c r="I3080" i="11"/>
  <c r="I3079" i="11"/>
  <c r="I3078" i="11"/>
  <c r="I3077" i="11"/>
  <c r="I3076" i="11"/>
  <c r="I3075" i="11"/>
  <c r="I3074" i="11"/>
  <c r="I3073" i="11"/>
  <c r="I3072" i="11"/>
  <c r="I3071" i="11"/>
  <c r="I3070" i="11"/>
  <c r="I3069" i="11"/>
  <c r="I3068" i="11"/>
  <c r="I3067" i="11"/>
  <c r="I3066" i="11"/>
  <c r="I3065" i="11"/>
  <c r="I3064" i="11"/>
  <c r="I3063" i="11"/>
  <c r="I3062" i="11"/>
  <c r="I3061" i="11"/>
  <c r="I3060" i="11"/>
  <c r="I3059" i="11"/>
  <c r="I3058" i="11"/>
  <c r="I3057" i="11"/>
  <c r="I3056" i="11"/>
  <c r="I3055" i="11"/>
  <c r="I3054" i="11"/>
  <c r="I3053" i="11"/>
  <c r="I3052" i="11"/>
  <c r="I3051" i="11"/>
  <c r="I3050" i="11"/>
  <c r="I3049" i="11"/>
  <c r="I3048" i="11"/>
  <c r="I3047" i="11"/>
  <c r="I3046" i="11"/>
  <c r="I3045" i="11"/>
  <c r="I3044" i="11"/>
  <c r="I3043" i="11"/>
  <c r="I3042" i="11"/>
  <c r="I3041" i="11"/>
  <c r="I3040" i="11"/>
  <c r="I3039" i="11"/>
  <c r="I3038" i="11"/>
  <c r="I3037" i="11"/>
  <c r="I3036" i="11"/>
  <c r="I3035" i="11"/>
  <c r="I3034" i="11"/>
  <c r="I3033" i="11"/>
  <c r="I3032" i="11"/>
  <c r="I3031" i="11"/>
  <c r="I3030" i="11"/>
  <c r="I3029" i="11"/>
  <c r="I3028" i="11"/>
  <c r="I3027" i="11"/>
  <c r="I3026" i="11"/>
  <c r="I3025" i="11"/>
  <c r="I3024" i="11"/>
  <c r="I3023" i="11"/>
  <c r="I3022" i="11"/>
  <c r="I3021" i="11"/>
  <c r="I3020" i="11"/>
  <c r="I3019" i="11"/>
  <c r="I3018" i="11"/>
  <c r="I3017" i="11"/>
  <c r="I3016" i="11"/>
  <c r="I3015" i="11"/>
  <c r="I3014" i="11"/>
  <c r="I3013" i="11"/>
  <c r="I3012" i="11"/>
  <c r="I3011" i="11"/>
  <c r="I3010" i="11"/>
  <c r="I3009" i="11"/>
  <c r="I3008" i="11"/>
  <c r="I3007" i="11"/>
  <c r="I3006" i="11"/>
  <c r="I3005" i="11"/>
  <c r="I3004" i="11"/>
  <c r="I3003" i="11"/>
  <c r="I3002" i="11"/>
  <c r="I3001" i="11"/>
  <c r="I3000" i="11"/>
  <c r="I2999" i="11"/>
  <c r="I2998" i="11"/>
  <c r="I2997" i="11"/>
  <c r="I2996" i="11"/>
  <c r="I2995" i="11"/>
  <c r="I2994" i="11"/>
  <c r="I2993" i="11"/>
  <c r="I2992" i="11"/>
  <c r="I2991" i="11"/>
  <c r="I2990" i="11"/>
  <c r="I2989" i="11"/>
  <c r="I2988" i="11"/>
  <c r="I2987" i="11"/>
  <c r="I2986" i="11"/>
  <c r="I2985" i="11"/>
  <c r="I2984" i="11"/>
  <c r="I2983" i="11"/>
  <c r="I2982" i="11"/>
  <c r="I2981" i="11"/>
  <c r="I2980" i="11"/>
  <c r="I2979" i="11"/>
  <c r="I2978" i="11"/>
  <c r="I2977" i="11"/>
  <c r="I2976" i="11"/>
  <c r="I2975" i="11"/>
  <c r="I2974" i="11"/>
  <c r="I2973" i="11"/>
  <c r="I2972" i="11"/>
  <c r="I2971" i="11"/>
  <c r="I2970" i="11"/>
  <c r="I2969" i="11"/>
  <c r="I2968" i="11"/>
  <c r="I2967" i="11"/>
  <c r="I2966" i="11"/>
  <c r="I2965" i="11"/>
  <c r="I2964" i="11"/>
  <c r="I2963" i="11"/>
  <c r="I2962" i="11"/>
  <c r="I2961" i="11"/>
  <c r="I2960" i="11"/>
  <c r="I2959" i="11"/>
  <c r="I2958" i="11"/>
  <c r="I2957" i="11"/>
  <c r="I2956" i="11"/>
  <c r="I2955" i="11"/>
  <c r="I2954" i="11"/>
  <c r="I2953" i="11"/>
  <c r="I2952" i="11"/>
  <c r="I2951" i="11"/>
  <c r="I2950" i="11"/>
  <c r="I2949" i="11"/>
  <c r="I2948" i="11"/>
  <c r="I2947" i="11"/>
  <c r="I2946" i="11"/>
  <c r="I2945" i="11"/>
  <c r="I2944" i="11"/>
  <c r="I2943" i="11"/>
  <c r="I2942" i="11"/>
  <c r="I2941" i="11"/>
  <c r="I2940" i="11"/>
  <c r="I2939" i="11"/>
  <c r="I2938" i="11"/>
  <c r="I2937" i="11"/>
  <c r="I2936" i="11"/>
  <c r="I2935" i="11"/>
  <c r="I2934" i="11"/>
  <c r="I2933" i="11"/>
  <c r="I2932" i="11"/>
  <c r="I2931" i="11"/>
  <c r="I2930" i="11"/>
  <c r="I2929" i="11"/>
  <c r="I2928" i="11"/>
  <c r="I2927" i="11"/>
  <c r="I2926" i="11"/>
  <c r="I2925" i="11"/>
  <c r="I2924" i="11"/>
  <c r="I2923" i="11"/>
  <c r="I2922" i="11"/>
  <c r="I2921" i="11"/>
  <c r="I2920" i="11"/>
  <c r="I2919" i="11"/>
  <c r="I2918" i="11"/>
  <c r="I2917" i="11"/>
  <c r="I2916" i="11"/>
  <c r="I2915" i="11"/>
  <c r="I2914" i="11"/>
  <c r="I2913" i="11"/>
  <c r="I2912" i="11"/>
  <c r="I2911" i="11"/>
  <c r="I2910" i="11"/>
  <c r="I2909" i="11"/>
  <c r="I2908" i="11"/>
  <c r="I2907" i="11"/>
  <c r="I2906" i="11"/>
  <c r="I2905" i="11"/>
  <c r="I2904" i="11"/>
  <c r="I2903" i="11"/>
  <c r="I2902" i="11"/>
  <c r="I2901" i="11"/>
  <c r="I2900" i="11"/>
  <c r="I2899" i="11"/>
  <c r="I2898" i="11"/>
  <c r="I2897" i="11"/>
  <c r="I2896" i="11"/>
  <c r="I2895" i="11"/>
  <c r="I2894" i="11"/>
  <c r="I2893" i="11"/>
  <c r="I2892" i="11"/>
  <c r="I2891" i="11"/>
  <c r="I2890" i="11"/>
  <c r="I2889" i="11"/>
  <c r="I2888" i="11"/>
  <c r="I2887" i="11"/>
  <c r="I2886" i="11"/>
  <c r="I2885" i="11"/>
  <c r="I2884" i="11"/>
  <c r="I2883" i="11"/>
  <c r="I2882" i="11"/>
  <c r="I2881" i="11"/>
  <c r="I2880" i="11"/>
  <c r="I2879" i="11"/>
  <c r="I2878" i="11"/>
  <c r="I2877" i="11"/>
  <c r="I2876" i="11"/>
  <c r="I2875" i="11"/>
  <c r="I2874" i="11"/>
  <c r="I2873" i="11"/>
  <c r="I2872" i="11"/>
  <c r="I2871" i="11"/>
  <c r="I2870" i="11"/>
  <c r="I2869" i="11"/>
  <c r="I2868" i="11"/>
  <c r="I2867" i="11"/>
  <c r="I2866" i="11"/>
  <c r="I2865" i="11"/>
  <c r="I2864" i="11"/>
  <c r="I2863" i="11"/>
  <c r="I2862" i="11"/>
  <c r="I2861" i="11"/>
  <c r="I2860" i="11"/>
  <c r="I2859" i="11"/>
  <c r="I2858" i="11"/>
  <c r="I2857" i="11"/>
  <c r="I2856" i="11"/>
  <c r="I2855" i="11"/>
  <c r="I2854" i="11"/>
  <c r="I2853" i="11"/>
  <c r="I2852" i="11"/>
  <c r="I2851" i="11"/>
  <c r="I2850" i="11"/>
  <c r="I2849" i="11"/>
  <c r="I2848" i="11"/>
  <c r="I2847" i="11"/>
  <c r="I2846" i="11"/>
  <c r="I2845" i="11"/>
  <c r="I2844" i="11"/>
  <c r="I2843" i="11"/>
  <c r="I2842" i="11"/>
  <c r="I2841" i="11"/>
  <c r="I2840" i="11"/>
  <c r="I2839" i="11"/>
  <c r="I2838" i="11"/>
  <c r="I2837" i="11"/>
  <c r="I2836" i="11"/>
  <c r="I2835" i="11"/>
  <c r="I2834" i="11"/>
  <c r="I2833" i="11"/>
  <c r="I2832" i="11"/>
  <c r="I2831" i="11"/>
  <c r="I2830" i="11"/>
  <c r="I2829" i="11"/>
  <c r="I2828" i="11"/>
  <c r="I2827" i="11"/>
  <c r="I2826" i="11"/>
  <c r="I2825" i="11"/>
  <c r="I2824" i="11"/>
  <c r="I2823" i="11"/>
  <c r="I2822" i="11"/>
  <c r="I2821" i="11"/>
  <c r="I2820" i="11"/>
  <c r="I2819" i="11"/>
  <c r="I2818" i="11"/>
  <c r="I2817" i="11"/>
  <c r="I2816" i="11"/>
  <c r="I2815" i="11"/>
  <c r="I2814" i="11"/>
  <c r="I2813" i="11"/>
  <c r="I2812" i="11"/>
  <c r="I2811" i="11"/>
  <c r="I2810" i="11"/>
  <c r="I2809" i="11"/>
  <c r="I2808" i="11"/>
  <c r="I2807" i="11"/>
  <c r="I2806" i="11"/>
  <c r="I2805" i="11"/>
  <c r="I2804" i="11"/>
  <c r="I2803" i="11"/>
  <c r="I2802" i="11"/>
  <c r="I2801" i="11"/>
  <c r="I2800" i="11"/>
  <c r="I2799" i="11"/>
  <c r="I2798" i="11"/>
  <c r="I2797" i="11"/>
  <c r="I2796" i="11"/>
  <c r="I2795" i="11"/>
  <c r="I2794" i="11"/>
  <c r="I2793" i="11"/>
  <c r="I2792" i="11"/>
  <c r="I2791" i="11"/>
  <c r="I2790" i="11"/>
  <c r="I2789" i="11"/>
  <c r="I2788" i="11"/>
  <c r="I2787" i="11"/>
  <c r="I2786" i="11"/>
  <c r="I2785" i="11"/>
  <c r="I2784" i="11"/>
  <c r="I2783" i="11"/>
  <c r="I2782" i="11"/>
  <c r="I2781" i="11"/>
  <c r="I2780" i="11"/>
  <c r="I2779" i="11"/>
  <c r="I2778" i="11"/>
  <c r="I2777" i="11"/>
  <c r="I2776" i="11"/>
  <c r="I2775" i="11"/>
  <c r="I2774" i="11"/>
  <c r="I2773" i="11"/>
  <c r="I2772" i="11"/>
  <c r="I2771" i="11"/>
  <c r="I2770" i="11"/>
  <c r="I2769" i="11"/>
  <c r="I2768" i="11"/>
  <c r="I2767" i="11"/>
  <c r="I2766" i="11"/>
  <c r="I2765" i="11"/>
  <c r="I2764" i="11"/>
  <c r="I2763" i="11"/>
  <c r="I2762" i="11"/>
  <c r="I2761" i="11"/>
  <c r="I2760" i="11"/>
  <c r="I2759" i="11"/>
  <c r="I2758" i="11"/>
  <c r="I2757" i="11"/>
  <c r="I2756" i="11"/>
  <c r="I2755" i="11"/>
  <c r="I2754" i="11"/>
  <c r="I2753" i="11"/>
  <c r="I2752" i="11"/>
  <c r="I2751" i="11"/>
  <c r="I2750" i="11"/>
  <c r="I2749" i="11"/>
  <c r="I2748" i="11"/>
  <c r="I2747" i="11"/>
  <c r="I2746" i="11"/>
  <c r="I2745" i="11"/>
  <c r="I2744" i="11"/>
  <c r="I2743" i="11"/>
  <c r="I2742" i="11"/>
  <c r="I2741" i="11"/>
  <c r="I2740" i="11"/>
  <c r="I2739" i="11"/>
  <c r="I2738" i="11"/>
  <c r="I2737" i="11"/>
  <c r="I2736" i="11"/>
  <c r="I2735" i="11"/>
  <c r="I2734" i="11"/>
  <c r="I2733" i="11"/>
  <c r="I2732" i="11"/>
  <c r="I2731" i="11"/>
  <c r="I2730" i="11"/>
  <c r="I2729" i="11"/>
  <c r="I2728" i="11"/>
  <c r="I2727" i="11"/>
  <c r="I2726" i="11"/>
  <c r="I2725" i="11"/>
  <c r="I2724" i="11"/>
  <c r="I2723" i="11"/>
  <c r="I2722" i="11"/>
  <c r="I2721" i="11"/>
  <c r="I2720" i="11"/>
  <c r="I2719" i="11"/>
  <c r="I2718" i="11"/>
  <c r="I2717" i="11"/>
  <c r="I2716" i="11"/>
  <c r="I2715" i="11"/>
  <c r="I2714" i="11"/>
  <c r="I2713" i="11"/>
  <c r="I2712" i="11"/>
  <c r="I2711" i="11"/>
  <c r="I2710" i="11"/>
  <c r="I2709" i="11"/>
  <c r="I2708" i="11"/>
  <c r="I2707" i="11"/>
  <c r="I2706" i="11"/>
  <c r="I2705" i="11"/>
  <c r="I2704" i="11"/>
  <c r="I2703" i="11"/>
  <c r="I2702" i="11"/>
  <c r="I2701" i="11"/>
  <c r="I2700" i="11"/>
  <c r="I2699" i="11"/>
  <c r="I2698" i="11"/>
  <c r="I2697" i="11"/>
  <c r="I2696" i="11"/>
  <c r="I2695" i="11"/>
  <c r="I2694" i="11"/>
  <c r="I2693" i="11"/>
  <c r="I2692" i="11"/>
  <c r="I2691" i="11"/>
  <c r="I2690" i="11"/>
  <c r="I2689" i="11"/>
  <c r="I2688" i="11"/>
  <c r="I2687" i="11"/>
  <c r="I2686" i="11"/>
  <c r="I2685" i="11"/>
  <c r="I2684" i="11"/>
  <c r="I2683" i="11"/>
  <c r="I2682" i="11"/>
  <c r="I2681" i="11"/>
  <c r="I2680" i="11"/>
  <c r="I2679" i="11"/>
  <c r="I2678" i="11"/>
  <c r="I2677" i="11"/>
  <c r="I2676" i="11"/>
  <c r="I2675" i="11"/>
  <c r="I2674" i="11"/>
  <c r="I2673" i="11"/>
  <c r="I2672" i="11"/>
  <c r="I2671" i="11"/>
  <c r="I2670" i="11"/>
  <c r="I2669" i="11"/>
  <c r="I2668" i="11"/>
  <c r="I2667" i="11"/>
  <c r="I2666" i="11"/>
  <c r="I2665" i="11"/>
  <c r="I2664" i="11"/>
  <c r="I2663" i="11"/>
  <c r="I2662" i="11"/>
  <c r="I2661" i="11"/>
  <c r="I2660" i="11"/>
  <c r="I2659" i="11"/>
  <c r="I2658" i="11"/>
  <c r="I2657" i="11"/>
  <c r="I2656" i="11"/>
  <c r="I2655" i="11"/>
  <c r="I2654" i="11"/>
  <c r="I2653" i="11"/>
  <c r="I2652" i="11"/>
  <c r="I2651" i="11"/>
  <c r="I2650" i="11"/>
  <c r="I2649" i="11"/>
  <c r="I2648" i="11"/>
  <c r="I2647" i="11"/>
  <c r="I2646" i="11"/>
  <c r="I2645" i="11"/>
  <c r="I2644" i="11"/>
  <c r="I2643" i="11"/>
  <c r="I2642" i="11"/>
  <c r="I2641" i="11"/>
  <c r="I2640" i="11"/>
  <c r="I2639" i="11"/>
  <c r="I2638" i="11"/>
  <c r="I2637" i="11"/>
  <c r="I2636" i="11"/>
  <c r="I2635" i="11"/>
  <c r="I2634" i="11"/>
  <c r="I2633" i="11"/>
  <c r="I2632" i="11"/>
  <c r="I2631" i="11"/>
  <c r="I2630" i="11"/>
  <c r="I2629" i="11"/>
  <c r="I2628" i="11"/>
  <c r="I2627" i="11"/>
  <c r="I2626" i="11"/>
  <c r="I2625" i="11"/>
  <c r="I2624" i="11"/>
  <c r="I2623" i="11"/>
  <c r="I2622" i="11"/>
  <c r="I2621" i="11"/>
  <c r="I2620" i="11"/>
  <c r="I2619" i="11"/>
  <c r="I2618" i="11"/>
  <c r="I2617" i="11"/>
  <c r="I2616" i="11"/>
  <c r="I2615" i="11"/>
  <c r="I2614" i="11"/>
  <c r="I2613" i="11"/>
  <c r="I2612" i="11"/>
  <c r="I2611" i="11"/>
  <c r="I2610" i="11"/>
  <c r="I2609" i="11"/>
  <c r="I2608" i="11"/>
  <c r="I2607" i="11"/>
  <c r="I2606" i="11"/>
  <c r="I2605" i="11"/>
  <c r="I2604" i="11"/>
  <c r="I2603" i="11"/>
  <c r="I2602" i="11"/>
  <c r="I2601" i="11"/>
  <c r="I2600" i="11"/>
  <c r="I2599" i="11"/>
  <c r="I2598" i="11"/>
  <c r="I2597" i="11"/>
  <c r="I2596" i="11"/>
  <c r="I2595" i="11"/>
  <c r="I2594" i="11"/>
  <c r="I2593" i="11"/>
  <c r="I2592" i="11"/>
  <c r="I2591" i="11"/>
  <c r="I2590" i="11"/>
  <c r="I2589" i="11"/>
  <c r="I2588" i="11"/>
  <c r="I2587" i="11"/>
  <c r="I2586" i="11"/>
  <c r="I2585" i="11"/>
  <c r="I2584" i="11"/>
  <c r="I2583" i="11"/>
  <c r="I2582" i="11"/>
  <c r="I2581" i="11"/>
  <c r="I2580" i="11"/>
  <c r="I2579" i="11"/>
  <c r="I2578" i="11"/>
  <c r="I2577" i="11"/>
  <c r="I2576" i="11"/>
  <c r="I2575" i="11"/>
  <c r="I2574" i="11"/>
  <c r="I2573" i="11"/>
  <c r="I2572" i="11"/>
  <c r="I2571" i="11"/>
  <c r="I2570" i="11"/>
  <c r="I2569" i="11"/>
  <c r="I2568" i="11"/>
  <c r="I2567" i="11"/>
  <c r="I2566" i="11"/>
  <c r="I2565" i="11"/>
  <c r="I2564" i="11"/>
  <c r="I2563" i="11"/>
  <c r="I2562" i="11"/>
  <c r="I2561" i="11"/>
  <c r="I2560" i="11"/>
  <c r="I2559" i="11"/>
  <c r="I2558" i="11"/>
  <c r="I2557" i="11"/>
  <c r="I2556" i="11"/>
  <c r="I2555" i="11"/>
  <c r="I2554" i="11"/>
  <c r="I2553" i="11"/>
  <c r="I2552" i="11"/>
  <c r="I2551" i="11"/>
  <c r="I2550" i="11"/>
  <c r="I2549" i="11"/>
  <c r="I2548" i="11"/>
  <c r="I2547" i="11"/>
  <c r="I2546" i="11"/>
  <c r="I2545" i="11"/>
  <c r="I2544" i="11"/>
  <c r="I2543" i="11"/>
  <c r="I2542" i="11"/>
  <c r="I2541" i="11"/>
  <c r="I2540" i="11"/>
  <c r="I2539" i="11"/>
  <c r="I2538" i="11"/>
  <c r="I2537" i="11"/>
  <c r="I2536" i="11"/>
  <c r="I2535" i="11"/>
  <c r="I2534" i="11"/>
  <c r="I2533" i="11"/>
  <c r="I2532" i="11"/>
  <c r="I2531" i="11"/>
  <c r="I2530" i="11"/>
  <c r="I2529" i="11"/>
  <c r="I2528" i="11"/>
  <c r="I2527" i="11"/>
  <c r="I2526" i="11"/>
  <c r="I2525" i="11"/>
  <c r="I2524" i="11"/>
  <c r="I2523" i="11"/>
  <c r="I2522" i="11"/>
  <c r="I2521" i="11"/>
  <c r="I2520" i="11"/>
  <c r="I2519" i="11"/>
  <c r="I2518" i="11"/>
  <c r="I2517" i="11"/>
  <c r="I2516" i="11"/>
  <c r="I2515" i="11"/>
  <c r="I2514" i="11"/>
  <c r="I2513" i="11"/>
  <c r="I2512" i="11"/>
  <c r="I2511" i="11"/>
  <c r="I2510" i="11"/>
  <c r="I2509" i="11"/>
  <c r="I2508" i="11"/>
  <c r="I2507" i="11"/>
  <c r="I2506" i="11"/>
  <c r="I2505" i="11"/>
  <c r="I2504" i="11"/>
  <c r="I2503" i="11"/>
  <c r="I2502" i="11"/>
  <c r="I2501" i="11"/>
  <c r="I2500" i="11"/>
  <c r="I2499" i="11"/>
  <c r="I2498" i="11"/>
  <c r="I2497" i="11"/>
  <c r="I2496" i="11"/>
  <c r="I2495" i="11"/>
  <c r="I2494" i="11"/>
  <c r="I2493" i="11"/>
  <c r="I2492" i="11"/>
  <c r="I2491" i="11"/>
  <c r="I2490" i="11"/>
  <c r="I2489" i="11"/>
  <c r="I2488" i="11"/>
  <c r="I2487" i="11"/>
  <c r="I2486" i="11"/>
  <c r="I2485" i="11"/>
  <c r="I2484" i="11"/>
  <c r="I2483" i="11"/>
  <c r="I2482" i="11"/>
  <c r="I2481" i="11"/>
  <c r="I2480" i="11"/>
  <c r="I2479" i="11"/>
  <c r="I2478" i="11"/>
  <c r="I2477" i="11"/>
  <c r="I2476" i="11"/>
  <c r="I2475" i="11"/>
  <c r="I2474" i="11"/>
  <c r="I2473" i="11"/>
  <c r="I2472" i="11"/>
  <c r="I2471" i="11"/>
  <c r="I2470" i="11"/>
  <c r="I2469" i="11"/>
  <c r="I2468" i="11"/>
  <c r="I2467" i="11"/>
  <c r="I2466" i="11"/>
  <c r="I2465" i="11"/>
  <c r="I2464" i="11"/>
  <c r="I2463" i="11"/>
  <c r="I2462" i="11"/>
  <c r="I2461" i="11"/>
  <c r="I2460" i="11"/>
  <c r="I2459" i="11"/>
  <c r="I2458" i="11"/>
  <c r="I2457" i="11"/>
  <c r="I2456" i="11"/>
  <c r="I2455" i="11"/>
  <c r="I2454" i="11"/>
  <c r="I2453" i="11"/>
  <c r="I2452" i="11"/>
  <c r="I2451" i="11"/>
  <c r="I2450" i="11"/>
  <c r="I2449" i="11"/>
  <c r="I2448" i="11"/>
  <c r="I2447" i="11"/>
  <c r="I2446" i="11"/>
  <c r="I2445" i="11"/>
  <c r="I2444" i="11"/>
  <c r="I2443" i="11"/>
  <c r="I2442" i="11"/>
  <c r="I2441" i="11"/>
  <c r="I2440" i="11"/>
  <c r="I2439" i="11"/>
  <c r="I2438" i="11"/>
  <c r="I2437" i="11"/>
  <c r="I2436" i="11"/>
  <c r="I2435" i="11"/>
  <c r="I2434" i="11"/>
  <c r="I2433" i="11"/>
  <c r="I2432" i="11"/>
  <c r="I2431" i="11"/>
  <c r="I2430" i="11"/>
  <c r="I2429" i="11"/>
  <c r="I2428" i="11"/>
  <c r="I2427" i="11"/>
  <c r="I2426" i="11"/>
  <c r="I2425" i="11"/>
  <c r="I2424" i="11"/>
  <c r="I2423" i="11"/>
  <c r="I2422" i="11"/>
  <c r="I2421" i="11"/>
  <c r="I2420" i="11"/>
  <c r="I2419" i="11"/>
  <c r="I2418" i="11"/>
  <c r="I2417" i="11"/>
  <c r="I2416" i="11"/>
  <c r="I2415" i="11"/>
  <c r="I2414" i="11"/>
  <c r="I2413" i="11"/>
  <c r="I2412" i="11"/>
  <c r="I2411" i="11"/>
  <c r="I2410" i="11"/>
  <c r="I2409" i="11"/>
  <c r="I2408" i="11"/>
  <c r="I2407" i="11"/>
  <c r="I2406" i="11"/>
  <c r="I2405" i="11"/>
  <c r="I2404" i="11"/>
  <c r="I2403" i="11"/>
  <c r="I2402" i="11"/>
  <c r="I2401" i="11"/>
  <c r="I2400" i="11"/>
  <c r="I2399" i="11"/>
  <c r="I2398" i="11"/>
  <c r="I2397" i="11"/>
  <c r="I2396" i="11"/>
  <c r="I2395" i="11"/>
  <c r="I2394" i="11"/>
  <c r="I2393" i="11"/>
  <c r="I2392" i="11"/>
  <c r="I2391" i="11"/>
  <c r="I2390" i="11"/>
  <c r="I2389" i="11"/>
  <c r="I2388" i="11"/>
  <c r="I2387" i="11"/>
  <c r="I2386" i="11"/>
  <c r="I2385" i="11"/>
  <c r="I2384" i="11"/>
  <c r="I2383" i="11"/>
  <c r="I2382" i="11"/>
  <c r="I2381" i="11"/>
  <c r="I2380" i="11"/>
  <c r="I2379" i="11"/>
  <c r="I2378" i="11"/>
  <c r="I2377" i="11"/>
  <c r="I2376" i="11"/>
  <c r="I2375" i="11"/>
  <c r="I2374" i="11"/>
  <c r="I2373" i="11"/>
  <c r="I2372" i="11"/>
  <c r="I2371" i="11"/>
  <c r="I2370" i="11"/>
  <c r="I2369" i="11"/>
  <c r="I2368" i="11"/>
  <c r="I2367" i="11"/>
  <c r="I2366" i="11"/>
  <c r="I2365" i="11"/>
  <c r="I2364" i="11"/>
  <c r="I2363" i="11"/>
  <c r="I2362" i="11"/>
  <c r="I2361" i="11"/>
  <c r="I2360" i="11"/>
  <c r="I2359" i="11"/>
  <c r="I2358" i="11"/>
  <c r="I2357" i="11"/>
  <c r="I2356" i="11"/>
  <c r="I2355" i="11"/>
  <c r="I2354" i="11"/>
  <c r="I2353" i="11"/>
  <c r="I2352" i="11"/>
  <c r="I2351" i="11"/>
  <c r="I2350" i="11"/>
  <c r="I2349" i="11"/>
  <c r="I2348" i="11"/>
  <c r="I2347" i="11"/>
  <c r="I2346" i="11"/>
  <c r="I2345" i="11"/>
  <c r="I2344" i="11"/>
  <c r="I2343" i="11"/>
  <c r="I2342" i="11"/>
  <c r="I2341" i="11"/>
  <c r="I2340" i="11"/>
  <c r="I2339" i="11"/>
  <c r="I2338" i="11"/>
  <c r="I2337" i="11"/>
  <c r="I2336" i="11"/>
  <c r="I2335" i="11"/>
  <c r="I2334" i="11"/>
  <c r="I2333" i="11"/>
  <c r="I2332" i="11"/>
  <c r="I2331" i="11"/>
  <c r="I2330" i="11"/>
  <c r="I2329" i="11"/>
  <c r="I2328" i="11"/>
  <c r="I2327" i="11"/>
  <c r="I2326" i="11"/>
  <c r="I2325" i="11"/>
  <c r="I2324" i="11"/>
  <c r="I2323" i="11"/>
  <c r="I2322" i="11"/>
  <c r="I2321" i="11"/>
  <c r="I2320" i="11"/>
  <c r="I2319" i="11"/>
  <c r="I2318" i="11"/>
  <c r="I2317" i="11"/>
  <c r="I2316" i="11"/>
  <c r="I2315" i="11"/>
  <c r="I2314" i="11"/>
  <c r="I2313" i="11"/>
  <c r="I2312" i="11"/>
  <c r="I2311" i="11"/>
  <c r="I2310" i="11"/>
  <c r="I2309" i="11"/>
  <c r="I2308" i="11"/>
  <c r="I2307" i="11"/>
  <c r="I2306" i="11"/>
  <c r="I2305" i="11"/>
  <c r="I2304" i="11"/>
  <c r="I2303" i="11"/>
  <c r="I2302" i="11"/>
  <c r="I2301" i="11"/>
  <c r="I2300" i="11"/>
  <c r="I2299" i="11"/>
  <c r="I2298" i="11"/>
  <c r="I2297" i="11"/>
  <c r="I2296" i="11"/>
  <c r="I2295" i="11"/>
  <c r="I2294" i="11"/>
  <c r="I2293" i="11"/>
  <c r="I2292" i="11"/>
  <c r="I2291" i="11"/>
  <c r="I2290" i="11"/>
  <c r="I2289" i="11"/>
  <c r="I2288" i="11"/>
  <c r="I2287" i="11"/>
  <c r="I2286" i="11"/>
  <c r="I2285" i="11"/>
  <c r="I2284" i="11"/>
  <c r="I2283" i="11"/>
  <c r="I2282" i="11"/>
  <c r="I2281" i="11"/>
  <c r="I2280" i="11"/>
  <c r="I2279" i="11"/>
  <c r="I2278" i="11"/>
  <c r="I2277" i="11"/>
  <c r="I2276" i="11"/>
  <c r="I2275" i="11"/>
  <c r="I2274" i="11"/>
  <c r="I2273" i="11"/>
  <c r="I2272" i="11"/>
  <c r="I2271" i="11"/>
  <c r="I2270" i="11"/>
  <c r="I2269" i="11"/>
  <c r="I2268" i="11"/>
  <c r="I2267" i="11"/>
  <c r="I2266" i="11"/>
  <c r="I2265" i="11"/>
  <c r="I2264" i="11"/>
  <c r="I2263" i="11"/>
  <c r="I2262" i="11"/>
  <c r="I2261" i="11"/>
  <c r="I2260" i="11"/>
  <c r="I2259" i="11"/>
  <c r="I2258" i="11"/>
  <c r="I2257" i="11"/>
  <c r="I2256" i="11"/>
  <c r="I2255" i="11"/>
  <c r="I2254" i="11"/>
  <c r="I2253" i="11"/>
  <c r="I2252" i="11"/>
  <c r="I2251" i="11"/>
  <c r="I2250" i="11"/>
  <c r="I2249" i="11"/>
  <c r="I2248" i="11"/>
  <c r="I2247" i="11"/>
  <c r="I2246" i="11"/>
  <c r="I2245" i="11"/>
  <c r="I2244" i="11"/>
  <c r="I2243" i="11"/>
  <c r="I2242" i="11"/>
  <c r="I2241" i="11"/>
  <c r="I2240" i="11"/>
  <c r="I2239" i="11"/>
  <c r="I2238" i="11"/>
  <c r="I2237" i="11"/>
  <c r="I2236" i="11"/>
  <c r="I2235" i="11"/>
  <c r="I2234" i="11"/>
  <c r="I2233" i="11"/>
  <c r="I2232" i="11"/>
  <c r="I2231" i="11"/>
  <c r="I2230" i="11"/>
  <c r="I2229" i="11"/>
  <c r="I2228" i="11"/>
  <c r="I2227" i="11"/>
  <c r="I2226" i="11"/>
  <c r="I2225" i="11"/>
  <c r="I2224" i="11"/>
  <c r="I2223" i="11"/>
  <c r="I2222" i="11"/>
  <c r="I2221" i="11"/>
  <c r="I2220" i="11"/>
  <c r="I2219" i="11"/>
  <c r="I2218" i="11"/>
  <c r="I2217" i="11"/>
  <c r="I2216" i="11"/>
  <c r="I2215" i="11"/>
  <c r="I2214" i="11"/>
  <c r="I2213" i="11"/>
  <c r="I2212" i="11"/>
  <c r="I2211" i="11"/>
  <c r="I2210" i="11"/>
  <c r="I2209" i="11"/>
  <c r="I2208" i="11"/>
  <c r="I2207" i="11"/>
  <c r="I2206" i="11"/>
  <c r="I2205" i="11"/>
  <c r="I2204" i="11"/>
  <c r="I2203" i="11"/>
  <c r="I2202" i="11"/>
  <c r="I2201" i="11"/>
  <c r="I2200" i="11"/>
  <c r="I2199" i="11"/>
  <c r="I2198" i="11"/>
  <c r="I2197" i="11"/>
  <c r="I2196" i="11"/>
  <c r="I2195" i="11"/>
  <c r="I2194" i="11"/>
  <c r="I2193" i="11"/>
  <c r="I2192" i="11"/>
  <c r="I2191" i="11"/>
  <c r="I2190" i="11"/>
  <c r="I2189" i="11"/>
  <c r="I2188" i="11"/>
  <c r="I2187" i="11"/>
  <c r="I2186" i="11"/>
  <c r="I2185" i="11"/>
  <c r="I2184" i="11"/>
  <c r="I2183" i="11"/>
  <c r="I2182" i="11"/>
  <c r="I2181" i="11"/>
  <c r="I2180" i="11"/>
  <c r="I2179" i="11"/>
  <c r="I2178" i="11"/>
  <c r="I2177" i="11"/>
  <c r="I2176" i="11"/>
  <c r="I2175" i="11"/>
  <c r="I2174" i="11"/>
  <c r="I2173" i="11"/>
  <c r="I2172" i="11"/>
  <c r="I2171" i="11"/>
  <c r="I2170" i="11"/>
  <c r="I2169" i="11"/>
  <c r="I2168" i="11"/>
  <c r="I2167" i="11"/>
  <c r="I2166" i="11"/>
  <c r="I2165" i="11"/>
  <c r="I2164" i="11"/>
  <c r="I2163" i="11"/>
  <c r="I2162" i="11"/>
  <c r="I2161" i="11"/>
  <c r="I2160" i="11"/>
  <c r="I2159" i="11"/>
  <c r="I2158" i="11"/>
  <c r="I2157" i="11"/>
  <c r="I2156" i="11"/>
  <c r="I2155" i="11"/>
  <c r="I2154" i="11"/>
  <c r="I2153" i="11"/>
  <c r="I2152" i="11"/>
  <c r="I2151" i="11"/>
  <c r="I2150" i="11"/>
  <c r="I2149" i="11"/>
  <c r="I2148" i="11"/>
  <c r="I2147" i="11"/>
  <c r="I2146" i="11"/>
  <c r="I2145" i="11"/>
  <c r="I2144" i="11"/>
  <c r="I2143" i="11"/>
  <c r="I2142" i="11"/>
  <c r="I2141" i="11"/>
  <c r="I2140" i="11"/>
  <c r="I2139" i="11"/>
  <c r="I2138" i="11"/>
  <c r="I2137" i="11"/>
  <c r="I2136" i="11"/>
  <c r="I2135" i="11"/>
  <c r="I2134" i="11"/>
  <c r="I2133" i="11"/>
  <c r="I2132" i="11"/>
  <c r="I2131" i="11"/>
  <c r="I2130" i="11"/>
  <c r="I2129" i="11"/>
  <c r="I2128" i="11"/>
  <c r="I2127" i="11"/>
  <c r="I2126" i="11"/>
  <c r="I2125" i="11"/>
  <c r="I2124" i="11"/>
  <c r="I2123" i="11"/>
  <c r="I2122" i="11"/>
  <c r="I2121" i="11"/>
  <c r="I2120" i="11"/>
  <c r="I2119" i="11"/>
  <c r="I2118" i="11"/>
  <c r="I2117" i="11"/>
  <c r="I2116" i="11"/>
  <c r="I2115" i="11"/>
  <c r="I2114" i="11"/>
  <c r="I2113" i="11"/>
  <c r="I2112" i="11"/>
  <c r="I2111" i="11"/>
  <c r="I2110" i="11"/>
  <c r="I2109" i="11"/>
  <c r="I2108" i="11"/>
  <c r="I2107" i="11"/>
  <c r="I2106" i="11"/>
  <c r="I2105" i="11"/>
  <c r="I2104" i="11"/>
  <c r="I2103" i="11"/>
  <c r="I2102" i="11"/>
  <c r="I2101" i="11"/>
  <c r="I2100" i="11"/>
  <c r="I2099" i="11"/>
  <c r="I2098" i="11"/>
  <c r="I2097" i="11"/>
  <c r="I2096" i="11"/>
  <c r="I2095" i="11"/>
  <c r="I2094" i="11"/>
  <c r="I2093" i="11"/>
  <c r="I2092" i="11"/>
  <c r="I2091" i="11"/>
  <c r="I2090" i="11"/>
  <c r="I2089" i="11"/>
  <c r="I2088" i="11"/>
  <c r="I2087" i="11"/>
  <c r="I2086" i="11"/>
  <c r="I2085" i="11"/>
  <c r="I2084" i="11"/>
  <c r="I2083" i="11"/>
  <c r="I2082" i="11"/>
  <c r="I2081" i="11"/>
  <c r="I2080" i="11"/>
  <c r="I2079" i="11"/>
  <c r="I2078" i="11"/>
  <c r="I2077" i="11"/>
  <c r="I2076" i="11"/>
  <c r="I2075" i="11"/>
  <c r="I2074" i="11"/>
  <c r="I2073" i="11"/>
  <c r="I2072" i="11"/>
  <c r="I2071" i="11"/>
  <c r="I2070" i="11"/>
  <c r="I2069" i="11"/>
  <c r="I2068" i="11"/>
  <c r="I2067" i="11"/>
  <c r="I2066" i="11"/>
  <c r="I2065" i="11"/>
  <c r="I2064" i="11"/>
  <c r="I2063" i="11"/>
  <c r="I2062" i="11"/>
  <c r="I2061" i="11"/>
  <c r="I2060" i="11"/>
  <c r="I2059" i="11"/>
  <c r="I2058" i="11"/>
  <c r="I2057" i="11"/>
  <c r="I2056" i="11"/>
  <c r="I2055" i="11"/>
  <c r="I2054" i="11"/>
  <c r="I2053" i="11"/>
  <c r="I2052" i="11"/>
  <c r="I2051" i="11"/>
  <c r="I2050" i="11"/>
  <c r="I2049" i="11"/>
  <c r="I2048" i="11"/>
  <c r="I2047" i="11"/>
  <c r="I2046" i="11"/>
  <c r="I2045" i="11"/>
  <c r="I2044" i="11"/>
  <c r="I2043" i="11"/>
  <c r="I2042" i="11"/>
  <c r="I2041" i="11"/>
  <c r="I2040" i="11"/>
  <c r="I2039" i="11"/>
  <c r="I2038" i="11"/>
  <c r="I2037" i="11"/>
  <c r="I2036" i="11"/>
  <c r="I2035" i="11"/>
  <c r="I2034" i="11"/>
  <c r="I2033" i="11"/>
  <c r="I2032" i="11"/>
  <c r="I2031" i="11"/>
  <c r="I2030" i="11"/>
  <c r="I2029" i="11"/>
  <c r="I2028" i="11"/>
  <c r="I2027" i="11"/>
  <c r="I2026" i="11"/>
  <c r="I2025" i="11"/>
  <c r="I2024" i="11"/>
  <c r="I2023" i="11"/>
  <c r="I2022" i="11"/>
  <c r="I2021" i="11"/>
  <c r="I2020" i="11"/>
  <c r="I2019" i="11"/>
  <c r="I2018" i="11"/>
  <c r="I2017" i="11"/>
  <c r="I2016" i="11"/>
  <c r="I2015" i="11"/>
  <c r="I2014" i="11"/>
  <c r="I2013" i="11"/>
  <c r="I2012" i="11"/>
  <c r="I2011" i="11"/>
  <c r="I2010" i="11"/>
  <c r="I2009" i="11"/>
  <c r="I2008" i="11"/>
  <c r="I2007" i="11"/>
  <c r="I2006" i="11"/>
  <c r="I2005" i="11"/>
  <c r="I2004" i="11"/>
  <c r="I2003" i="11"/>
  <c r="I2002" i="11"/>
  <c r="I2001" i="11"/>
  <c r="I2000" i="11"/>
  <c r="I1999" i="11"/>
  <c r="I1998" i="11"/>
  <c r="I1997" i="11"/>
  <c r="I1996" i="11"/>
  <c r="I1995" i="11"/>
  <c r="I1994" i="11"/>
  <c r="I1993" i="11"/>
  <c r="I1992" i="11"/>
  <c r="I1991" i="11"/>
  <c r="I1990" i="11"/>
  <c r="I1989" i="11"/>
  <c r="I1988" i="11"/>
  <c r="I1987" i="11"/>
  <c r="I1986" i="11"/>
  <c r="I1985" i="11"/>
  <c r="I1984" i="11"/>
  <c r="I1983" i="11"/>
  <c r="I1982" i="11"/>
  <c r="I1981" i="11"/>
  <c r="I1980" i="11"/>
  <c r="I1979" i="11"/>
  <c r="I1978" i="11"/>
  <c r="I1977" i="11"/>
  <c r="I1976" i="11"/>
  <c r="I1975" i="11"/>
  <c r="I1974" i="11"/>
  <c r="I1973" i="11"/>
  <c r="I1972" i="11"/>
  <c r="I1971" i="11"/>
  <c r="I1970" i="11"/>
  <c r="I1969" i="11"/>
  <c r="I1968" i="11"/>
  <c r="I1967" i="11"/>
  <c r="I1966" i="11"/>
  <c r="I1965" i="11"/>
  <c r="I1964" i="11"/>
  <c r="I1963" i="11"/>
  <c r="I1962" i="11"/>
  <c r="I1961" i="11"/>
  <c r="I1960" i="11"/>
  <c r="I1959" i="11"/>
  <c r="I1958" i="11"/>
  <c r="I1957" i="11"/>
  <c r="I1956" i="11"/>
  <c r="I1955" i="11"/>
  <c r="I1954" i="11"/>
  <c r="I1953" i="11"/>
  <c r="I1952" i="11"/>
  <c r="I1951" i="11"/>
  <c r="I1950" i="11"/>
  <c r="I1949" i="11"/>
  <c r="I1948" i="11"/>
  <c r="I1947" i="11"/>
  <c r="I1946" i="11"/>
  <c r="I1945" i="11"/>
  <c r="I1944" i="11"/>
  <c r="I1943" i="11"/>
  <c r="I1942" i="11"/>
  <c r="I1941" i="11"/>
  <c r="I1940" i="11"/>
  <c r="I1939" i="11"/>
  <c r="I1938" i="11"/>
  <c r="I1937" i="11"/>
  <c r="I1936" i="11"/>
  <c r="I1935" i="11"/>
  <c r="I1934" i="11"/>
  <c r="I1933" i="11"/>
  <c r="I1932" i="11"/>
  <c r="I1931" i="11"/>
  <c r="I1930" i="11"/>
  <c r="I1929" i="11"/>
  <c r="I1928" i="11"/>
  <c r="I1927" i="11"/>
  <c r="I1926" i="11"/>
  <c r="I1925" i="11"/>
  <c r="I1924" i="11"/>
  <c r="I1923" i="11"/>
  <c r="I1922" i="11"/>
  <c r="I1921" i="11"/>
  <c r="I1920" i="11"/>
  <c r="I1919" i="11"/>
  <c r="I1918" i="11"/>
  <c r="I1917" i="11"/>
  <c r="I1916" i="11"/>
  <c r="I1915" i="11"/>
  <c r="I1914" i="11"/>
  <c r="I1913" i="11"/>
  <c r="I1912" i="11"/>
  <c r="I1911" i="11"/>
  <c r="I1910" i="11"/>
  <c r="I1909" i="11"/>
  <c r="I1908" i="11"/>
  <c r="I1907" i="11"/>
  <c r="I1906" i="11"/>
  <c r="I1905" i="11"/>
  <c r="I1904" i="11"/>
  <c r="I1903" i="11"/>
  <c r="I1902" i="11"/>
  <c r="I1901" i="11"/>
  <c r="I1900" i="11"/>
  <c r="I1899" i="11"/>
  <c r="I1898" i="11"/>
  <c r="I1897" i="11"/>
  <c r="I1896" i="11"/>
  <c r="I1895" i="11"/>
  <c r="I1894" i="11"/>
  <c r="I1893" i="11"/>
  <c r="I1892" i="11"/>
  <c r="I1891" i="11"/>
  <c r="I1890" i="11"/>
  <c r="I1889" i="11"/>
  <c r="I1888" i="11"/>
  <c r="I1887" i="11"/>
  <c r="I1886" i="11"/>
  <c r="I1885" i="11"/>
  <c r="I1884" i="11"/>
  <c r="I1883" i="11"/>
  <c r="I1882" i="11"/>
  <c r="I1881" i="11"/>
  <c r="I1880" i="11"/>
  <c r="I1879" i="11"/>
  <c r="I1878" i="11"/>
  <c r="I1877" i="11"/>
  <c r="I1876" i="11"/>
  <c r="I1875" i="11"/>
  <c r="I1874" i="11"/>
  <c r="I1873" i="11"/>
  <c r="I1872" i="11"/>
  <c r="I1871" i="11"/>
  <c r="I1870" i="11"/>
  <c r="I1869" i="11"/>
  <c r="I1868" i="11"/>
  <c r="I1867" i="11"/>
  <c r="I1866" i="11"/>
  <c r="I1865" i="11"/>
  <c r="I1864" i="11"/>
  <c r="I1863" i="11"/>
  <c r="I1862" i="11"/>
  <c r="I1861" i="11"/>
  <c r="I1860" i="11"/>
  <c r="I1859" i="11"/>
  <c r="I1858" i="11"/>
  <c r="I1857" i="11"/>
  <c r="I1856" i="11"/>
  <c r="I1855" i="11"/>
  <c r="I1854" i="11"/>
  <c r="I1853" i="11"/>
  <c r="I1852" i="11"/>
  <c r="I1851" i="11"/>
  <c r="I1850" i="11"/>
  <c r="I1849" i="11"/>
  <c r="I1848" i="11"/>
  <c r="I1847" i="11"/>
  <c r="I1846" i="11"/>
  <c r="I1845" i="11"/>
  <c r="I1844" i="11"/>
  <c r="I1843" i="11"/>
  <c r="I1842" i="11"/>
  <c r="I1841" i="11"/>
  <c r="I1840" i="11"/>
  <c r="I1839" i="11"/>
  <c r="I1838" i="11"/>
  <c r="I1837" i="11"/>
  <c r="I1836" i="11"/>
  <c r="I1835" i="11"/>
  <c r="I1834" i="11"/>
  <c r="I1833" i="11"/>
  <c r="I1832" i="11"/>
  <c r="I1831" i="11"/>
  <c r="I1830" i="11"/>
  <c r="I1829" i="11"/>
  <c r="I1828" i="11"/>
  <c r="I1827" i="11"/>
  <c r="I1826" i="11"/>
  <c r="I1825" i="11"/>
  <c r="I1824" i="11"/>
  <c r="I1823" i="11"/>
  <c r="I1822" i="11"/>
  <c r="I1821" i="11"/>
  <c r="I1820" i="11"/>
  <c r="I1819" i="11"/>
  <c r="I1818" i="11"/>
  <c r="I1817" i="11"/>
  <c r="I1816" i="11"/>
  <c r="I1815" i="11"/>
  <c r="I1814" i="11"/>
  <c r="I1813" i="11"/>
  <c r="I1812" i="11"/>
  <c r="I1811" i="11"/>
  <c r="I1810" i="11"/>
  <c r="I1809" i="11"/>
  <c r="I1808" i="11"/>
  <c r="I1807" i="11"/>
  <c r="I1806" i="11"/>
  <c r="I1805" i="11"/>
  <c r="I1804" i="11"/>
  <c r="I1803" i="11"/>
  <c r="I1802" i="11"/>
  <c r="I1801" i="11"/>
  <c r="I1800" i="11"/>
  <c r="I1799" i="11"/>
  <c r="I1798" i="11"/>
  <c r="I1797" i="11"/>
  <c r="I1796" i="11"/>
  <c r="I1795" i="11"/>
  <c r="I1794" i="11"/>
  <c r="I1793" i="11"/>
  <c r="I1792" i="11"/>
  <c r="I1791" i="11"/>
  <c r="I1790" i="11"/>
  <c r="I1789" i="11"/>
  <c r="I1788" i="11"/>
  <c r="I1787" i="11"/>
  <c r="I1786" i="11"/>
  <c r="I1785" i="11"/>
  <c r="I1784" i="11"/>
  <c r="I1783" i="11"/>
  <c r="I1782" i="11"/>
  <c r="I1781" i="11"/>
  <c r="I1780" i="11"/>
  <c r="I1779" i="11"/>
  <c r="I1778" i="11"/>
  <c r="I1777" i="11"/>
  <c r="I1776" i="11"/>
  <c r="I1775" i="11"/>
  <c r="I1774" i="11"/>
  <c r="I1773" i="11"/>
  <c r="I1772" i="11"/>
  <c r="I1771" i="11"/>
  <c r="I1770" i="11"/>
  <c r="I1769" i="11"/>
  <c r="I1768" i="11"/>
  <c r="I1767" i="11"/>
  <c r="I1766" i="11"/>
  <c r="I1765" i="11"/>
  <c r="I1764" i="11"/>
  <c r="I1763" i="11"/>
  <c r="I1762" i="11"/>
  <c r="I1761" i="11"/>
  <c r="I1760" i="11"/>
  <c r="I1759" i="11"/>
  <c r="I1758" i="11"/>
  <c r="I1757" i="11"/>
  <c r="I1756" i="11"/>
  <c r="I1755" i="11"/>
  <c r="I1754" i="11"/>
  <c r="I1753" i="11"/>
  <c r="I1752" i="11"/>
  <c r="I1751" i="11"/>
  <c r="I1750" i="11"/>
  <c r="I1749" i="11"/>
  <c r="I1748" i="11"/>
  <c r="I1747" i="11"/>
  <c r="I1746" i="11"/>
  <c r="I1745" i="11"/>
  <c r="I1744" i="11"/>
  <c r="I1743" i="11"/>
  <c r="I1742" i="11"/>
  <c r="I1741" i="11"/>
  <c r="I1740" i="11"/>
  <c r="I1739" i="11"/>
  <c r="I1738" i="11"/>
  <c r="I1737" i="11"/>
  <c r="I1736" i="11"/>
  <c r="I1735" i="11"/>
  <c r="I1734" i="11"/>
  <c r="I1733" i="11"/>
  <c r="I1732" i="11"/>
  <c r="I1731" i="11"/>
  <c r="I1730" i="11"/>
  <c r="I1729" i="11"/>
  <c r="I1728" i="11"/>
  <c r="I1727" i="11"/>
  <c r="I1726" i="11"/>
  <c r="I1725" i="11"/>
  <c r="I1724" i="11"/>
  <c r="I1723" i="11"/>
  <c r="I1722" i="11"/>
  <c r="I1721" i="11"/>
  <c r="I1720" i="11"/>
  <c r="I1719" i="11"/>
  <c r="I1718" i="11"/>
  <c r="I1717" i="11"/>
  <c r="I1716" i="11"/>
  <c r="I1715" i="11"/>
  <c r="I1714" i="11"/>
  <c r="I1713" i="11"/>
  <c r="I1712" i="11"/>
  <c r="I1711" i="11"/>
  <c r="I1710" i="11"/>
  <c r="I1709" i="11"/>
  <c r="I1708" i="11"/>
  <c r="I1707" i="11"/>
  <c r="I1706" i="11"/>
  <c r="I1705" i="11"/>
  <c r="I1704" i="11"/>
  <c r="I1703" i="11"/>
  <c r="I1702" i="11"/>
  <c r="I1701" i="11"/>
  <c r="I1700" i="11"/>
  <c r="I1699" i="11"/>
  <c r="I1698" i="11"/>
  <c r="I1697" i="11"/>
  <c r="I1696" i="11"/>
  <c r="I1695" i="11"/>
  <c r="I1694" i="11"/>
  <c r="I1693" i="11"/>
  <c r="I1692" i="11"/>
  <c r="I1691" i="11"/>
  <c r="I1690" i="11"/>
  <c r="I1689" i="11"/>
  <c r="I1688" i="11"/>
  <c r="I1687" i="11"/>
  <c r="I1686" i="11"/>
  <c r="I1685" i="11"/>
  <c r="I1684" i="11"/>
  <c r="I1683" i="11"/>
  <c r="I1682" i="11"/>
  <c r="I1681" i="11"/>
  <c r="I1680" i="11"/>
  <c r="I1679" i="11"/>
  <c r="I1678" i="11"/>
  <c r="I1677" i="11"/>
  <c r="I1676" i="11"/>
  <c r="I1675" i="11"/>
  <c r="I1674" i="11"/>
  <c r="I1673" i="11"/>
  <c r="I1672" i="11"/>
  <c r="I1671" i="11"/>
  <c r="I1670" i="11"/>
  <c r="I1669" i="11"/>
  <c r="I1668" i="11"/>
  <c r="I1667" i="11"/>
  <c r="I1666" i="11"/>
  <c r="I1665" i="11"/>
  <c r="I1664" i="11"/>
  <c r="I1663" i="11"/>
  <c r="I1662" i="11"/>
  <c r="I1661" i="11"/>
  <c r="I1660" i="11"/>
  <c r="I1659" i="11"/>
  <c r="I1658" i="11"/>
  <c r="I1657" i="11"/>
  <c r="I1656" i="11"/>
  <c r="I1655" i="11"/>
  <c r="I1654" i="11"/>
  <c r="I1653" i="11"/>
  <c r="I1652" i="11"/>
  <c r="I1651" i="11"/>
  <c r="I1650" i="11"/>
  <c r="I1649" i="11"/>
  <c r="I1648" i="11"/>
  <c r="I1647" i="11"/>
  <c r="I1646" i="11"/>
  <c r="I1645" i="11"/>
  <c r="I1644" i="11"/>
  <c r="I1643" i="11"/>
  <c r="I1642" i="11"/>
  <c r="I1641" i="11"/>
  <c r="I1640" i="11"/>
  <c r="I1639" i="11"/>
  <c r="I1638" i="11"/>
  <c r="I1637" i="11"/>
  <c r="I1636" i="11"/>
  <c r="I1635" i="11"/>
  <c r="I1634" i="11"/>
  <c r="I1633" i="11"/>
  <c r="I1632" i="11"/>
  <c r="I1631" i="11"/>
  <c r="I1630" i="11"/>
  <c r="I1629" i="11"/>
  <c r="I1628" i="11"/>
  <c r="I1627" i="11"/>
  <c r="I1626" i="11"/>
  <c r="I1625" i="11"/>
  <c r="I1624" i="11"/>
  <c r="I1623" i="11"/>
  <c r="I1622" i="11"/>
  <c r="I1621" i="11"/>
  <c r="I1620" i="11"/>
  <c r="I1619" i="11"/>
  <c r="I1618" i="11"/>
  <c r="I1617" i="11"/>
  <c r="I1616" i="11"/>
  <c r="I1615" i="11"/>
  <c r="I1614" i="11"/>
  <c r="I1613" i="11"/>
  <c r="I1612" i="11"/>
  <c r="I1611" i="11"/>
  <c r="I1610" i="11"/>
  <c r="I1609" i="11"/>
  <c r="I1608" i="11"/>
  <c r="I1607" i="11"/>
  <c r="I1606" i="11"/>
  <c r="I1605" i="11"/>
  <c r="I1604" i="11"/>
  <c r="I1603" i="11"/>
  <c r="I1602" i="11"/>
  <c r="I1601" i="11"/>
  <c r="I1600" i="11"/>
  <c r="I1599" i="11"/>
  <c r="I1598" i="11"/>
  <c r="I1597" i="11"/>
  <c r="I1596" i="11"/>
  <c r="I1595" i="11"/>
  <c r="I1594" i="11"/>
  <c r="I1593" i="11"/>
  <c r="I1592" i="11"/>
  <c r="I1591" i="11"/>
  <c r="I1590" i="11"/>
  <c r="I1589" i="11"/>
  <c r="I1588" i="11"/>
  <c r="I1587" i="11"/>
  <c r="I1586" i="11"/>
  <c r="I1585" i="11"/>
  <c r="I1584" i="11"/>
  <c r="I1583" i="11"/>
  <c r="I1582" i="11"/>
  <c r="I1581" i="11"/>
  <c r="I1580" i="11"/>
  <c r="I1579" i="11"/>
  <c r="I1578" i="11"/>
  <c r="I1577" i="11"/>
  <c r="I1576" i="11"/>
  <c r="I1575" i="11"/>
  <c r="I1574" i="11"/>
  <c r="I1573" i="11"/>
  <c r="I1572" i="11"/>
  <c r="I1571" i="11"/>
  <c r="I1570" i="11"/>
  <c r="I1569" i="11"/>
  <c r="I1568" i="11"/>
  <c r="I1567" i="11"/>
  <c r="I1566" i="11"/>
  <c r="I1565" i="11"/>
  <c r="I1564" i="11"/>
  <c r="I1563" i="11"/>
  <c r="I1562" i="11"/>
  <c r="I1561" i="11"/>
  <c r="I1560" i="11"/>
  <c r="I1559" i="11"/>
  <c r="I1558" i="11"/>
  <c r="I1557" i="11"/>
  <c r="I1556" i="11"/>
  <c r="I1555" i="11"/>
  <c r="I1554" i="11"/>
  <c r="I1553" i="11"/>
  <c r="I1552" i="11"/>
  <c r="I1551" i="11"/>
  <c r="I1550" i="11"/>
  <c r="I1549" i="11"/>
  <c r="I1548" i="11"/>
  <c r="I1547" i="11"/>
  <c r="I1546" i="11"/>
  <c r="I1545" i="11"/>
  <c r="I1544" i="11"/>
  <c r="I1543" i="11"/>
  <c r="I1542" i="11"/>
  <c r="I1541" i="11"/>
  <c r="I1540" i="11"/>
  <c r="I1539" i="11"/>
  <c r="I1538" i="11"/>
  <c r="I1537" i="11"/>
  <c r="I1536" i="11"/>
  <c r="I1535" i="11"/>
  <c r="I1534" i="11"/>
  <c r="I1533" i="11"/>
  <c r="I1532" i="11"/>
  <c r="I1531" i="11"/>
  <c r="I1530" i="11"/>
  <c r="I1529" i="11"/>
  <c r="I1528" i="11"/>
  <c r="I1527" i="11"/>
  <c r="I1526" i="11"/>
  <c r="I1525" i="11"/>
  <c r="I1524" i="11"/>
  <c r="I1523" i="11"/>
  <c r="I1522" i="11"/>
  <c r="I1521" i="11"/>
  <c r="I1520" i="11"/>
  <c r="I1519" i="11"/>
  <c r="I1518" i="11"/>
  <c r="I1517" i="11"/>
  <c r="I1516" i="11"/>
  <c r="I1515" i="11"/>
  <c r="I1514" i="11"/>
  <c r="I1513" i="11"/>
  <c r="I1512" i="11"/>
  <c r="I1511" i="11"/>
  <c r="I1510" i="11"/>
  <c r="I1509" i="11"/>
  <c r="I1508" i="11"/>
  <c r="I1507" i="11"/>
  <c r="I1506" i="11"/>
  <c r="I1505" i="11"/>
  <c r="I1504" i="11"/>
  <c r="I1503" i="11"/>
  <c r="I1502" i="11"/>
  <c r="I1501" i="11"/>
  <c r="I1500" i="11"/>
  <c r="I1499" i="11"/>
  <c r="I1498" i="11"/>
  <c r="I1497" i="11"/>
  <c r="I1496" i="11"/>
  <c r="I1495" i="11"/>
  <c r="I1494" i="11"/>
  <c r="I1493" i="11"/>
  <c r="I1492" i="11"/>
  <c r="I1491" i="11"/>
  <c r="I1490" i="11"/>
  <c r="I1489" i="11"/>
  <c r="I1488" i="11"/>
  <c r="I1487" i="11"/>
  <c r="I1486" i="11"/>
  <c r="I1485" i="11"/>
  <c r="I1484" i="11"/>
  <c r="I1483" i="11"/>
  <c r="I1482" i="11"/>
  <c r="I1481" i="11"/>
  <c r="I1480" i="11"/>
  <c r="I1479" i="11"/>
  <c r="I1478" i="11"/>
  <c r="I1477" i="11"/>
  <c r="I1476" i="11"/>
  <c r="I1475" i="11"/>
  <c r="I1474" i="11"/>
  <c r="I1473" i="11"/>
  <c r="I1472" i="11"/>
  <c r="I1471" i="11"/>
  <c r="I1470" i="11"/>
  <c r="I1469" i="11"/>
  <c r="I1468" i="11"/>
  <c r="I1467" i="11"/>
  <c r="I1466" i="11"/>
  <c r="I1465" i="11"/>
  <c r="I1464" i="11"/>
  <c r="I1463" i="11"/>
  <c r="I1462" i="11"/>
  <c r="I1461" i="11"/>
  <c r="I1460" i="11"/>
  <c r="I1459" i="11"/>
  <c r="I1458" i="11"/>
  <c r="I1457" i="11"/>
  <c r="I1456" i="11"/>
  <c r="I1455" i="11"/>
  <c r="I1454" i="11"/>
  <c r="I1453" i="11"/>
  <c r="I1452" i="11"/>
  <c r="I1451" i="11"/>
  <c r="I1450" i="11"/>
  <c r="I1449" i="11"/>
  <c r="I1448" i="11"/>
  <c r="I1447" i="11"/>
  <c r="I1446" i="11"/>
  <c r="I1445" i="11"/>
  <c r="I1444" i="11"/>
  <c r="I1443" i="11"/>
  <c r="I1442" i="11"/>
  <c r="I1441" i="11"/>
  <c r="I1440" i="11"/>
  <c r="I1439" i="11"/>
  <c r="I1438" i="11"/>
  <c r="I1437" i="11"/>
  <c r="I1436" i="11"/>
  <c r="I1435" i="11"/>
  <c r="I1434" i="11"/>
  <c r="I1433" i="11"/>
  <c r="I1432" i="11"/>
  <c r="I1431" i="11"/>
  <c r="I1430" i="11"/>
  <c r="I1429" i="11"/>
  <c r="I1428" i="11"/>
  <c r="I1427" i="11"/>
  <c r="I1426" i="11"/>
  <c r="I1425" i="11"/>
  <c r="I1424" i="11"/>
  <c r="I1423" i="11"/>
  <c r="I1422" i="11"/>
  <c r="I1421" i="11"/>
  <c r="I1420" i="11"/>
  <c r="I1419" i="11"/>
  <c r="I1418" i="11"/>
  <c r="I1417" i="11"/>
  <c r="I1416" i="11"/>
  <c r="I1415" i="11"/>
  <c r="I1414" i="11"/>
  <c r="I1413" i="11"/>
  <c r="I1412" i="11"/>
  <c r="I1411" i="11"/>
  <c r="I1410" i="11"/>
  <c r="I1409" i="11"/>
  <c r="I1408" i="11"/>
  <c r="I1407" i="11"/>
  <c r="I1406" i="11"/>
  <c r="I1405" i="11"/>
  <c r="I1404" i="11"/>
  <c r="I1403" i="11"/>
  <c r="I1402" i="11"/>
  <c r="I1401" i="11"/>
  <c r="I1400" i="11"/>
  <c r="I1399" i="11"/>
  <c r="I1398" i="11"/>
  <c r="I1397" i="11"/>
  <c r="I1396" i="11"/>
  <c r="I1395" i="11"/>
  <c r="I1394" i="11"/>
  <c r="I1393" i="11"/>
  <c r="I1392" i="11"/>
  <c r="I1391" i="11"/>
  <c r="I1390" i="11"/>
  <c r="I1389" i="11"/>
  <c r="I1388" i="11"/>
  <c r="I1387" i="11"/>
  <c r="I1386" i="11"/>
  <c r="I1385" i="11"/>
  <c r="I1384" i="11"/>
  <c r="I1383" i="11"/>
  <c r="I1382" i="11"/>
  <c r="I1381" i="11"/>
  <c r="I1380" i="11"/>
  <c r="I1379" i="11"/>
  <c r="I1378" i="11"/>
  <c r="I1377" i="11"/>
  <c r="I1376" i="11"/>
  <c r="I1375" i="11"/>
  <c r="I1374" i="11"/>
  <c r="I1373" i="11"/>
  <c r="I1372" i="11"/>
  <c r="I1371" i="11"/>
  <c r="I1370" i="11"/>
  <c r="I1369" i="11"/>
  <c r="I1368" i="11"/>
  <c r="I1367" i="11"/>
  <c r="I1366" i="11"/>
  <c r="I1365" i="11"/>
  <c r="I1364" i="11"/>
  <c r="I1363" i="11"/>
  <c r="I1362" i="11"/>
  <c r="I1361" i="11"/>
  <c r="I1360" i="11"/>
  <c r="I1359" i="11"/>
  <c r="I1358" i="11"/>
  <c r="I1357" i="11"/>
  <c r="I1356" i="11"/>
  <c r="I1355" i="11"/>
  <c r="I1354" i="11"/>
  <c r="I1353" i="11"/>
  <c r="I1352" i="11"/>
  <c r="I1351" i="11"/>
  <c r="I1350" i="11"/>
  <c r="I1349" i="11"/>
  <c r="I1348" i="11"/>
  <c r="I1347" i="11"/>
  <c r="I1346" i="11"/>
  <c r="I1345" i="11"/>
  <c r="I1344" i="11"/>
  <c r="I1343" i="11"/>
  <c r="I1342" i="11"/>
  <c r="I1341" i="11"/>
  <c r="I1340" i="11"/>
  <c r="I1339" i="11"/>
  <c r="I1338" i="11"/>
  <c r="I1337" i="11"/>
  <c r="I1336" i="11"/>
  <c r="I1335" i="11"/>
  <c r="I1334" i="11"/>
  <c r="I1333" i="11"/>
  <c r="I1332" i="11"/>
  <c r="I1331" i="11"/>
  <c r="I1330" i="11"/>
  <c r="I1329" i="11"/>
  <c r="I1328" i="11"/>
  <c r="I1327" i="11"/>
  <c r="I1326" i="11"/>
  <c r="I1325" i="11"/>
  <c r="I1324" i="11"/>
  <c r="I1323" i="11"/>
  <c r="I1322" i="11"/>
  <c r="I1321" i="11"/>
  <c r="I1320" i="11"/>
  <c r="I1319" i="11"/>
  <c r="I1318" i="11"/>
  <c r="I1317" i="11"/>
  <c r="I1316" i="11"/>
  <c r="I1315" i="11"/>
  <c r="I1314" i="11"/>
  <c r="I1313" i="11"/>
  <c r="I1312" i="11"/>
  <c r="I1311" i="11"/>
  <c r="I1310" i="11"/>
  <c r="I1309" i="11"/>
  <c r="I1308" i="11"/>
  <c r="I1307" i="11"/>
  <c r="I1306" i="11"/>
  <c r="I1305" i="11"/>
  <c r="I1304" i="11"/>
  <c r="I1303" i="11"/>
  <c r="I1302" i="11"/>
  <c r="I1301" i="11"/>
  <c r="I1300" i="11"/>
  <c r="I1299" i="11"/>
  <c r="I1298" i="11"/>
  <c r="I1297" i="11"/>
  <c r="I1296" i="11"/>
  <c r="I1295" i="11"/>
  <c r="I1294" i="11"/>
  <c r="I1293" i="11"/>
  <c r="I1292" i="11"/>
  <c r="I1291" i="11"/>
  <c r="I1290" i="11"/>
  <c r="I1289" i="11"/>
  <c r="I1288" i="11"/>
  <c r="I1287" i="11"/>
  <c r="I1286" i="11"/>
  <c r="I1285" i="11"/>
  <c r="I1284" i="11"/>
  <c r="I1283" i="11"/>
  <c r="I1282" i="11"/>
  <c r="I1281" i="11"/>
  <c r="I1280" i="11"/>
  <c r="I1279" i="11"/>
  <c r="I1278" i="11"/>
  <c r="I1277" i="11"/>
  <c r="I1276" i="11"/>
  <c r="I1275" i="11"/>
  <c r="I1274" i="11"/>
  <c r="I1273" i="11"/>
  <c r="I1272" i="11"/>
  <c r="I1271" i="11"/>
  <c r="I1270" i="11"/>
  <c r="I1269" i="11"/>
  <c r="I1268" i="11"/>
  <c r="I1267" i="11"/>
  <c r="I1266" i="11"/>
  <c r="I1265" i="11"/>
  <c r="I1264" i="11"/>
  <c r="I1263" i="11"/>
  <c r="I1262" i="11"/>
  <c r="I1261" i="11"/>
  <c r="I1260" i="11"/>
  <c r="I1259" i="11"/>
  <c r="I1258" i="11"/>
  <c r="I1257" i="11"/>
  <c r="I1256" i="11"/>
  <c r="I1255" i="11"/>
  <c r="I1254" i="11"/>
  <c r="I1253" i="11"/>
  <c r="I1252" i="11"/>
  <c r="I1251" i="11"/>
  <c r="I1250" i="11"/>
  <c r="I1249" i="11"/>
  <c r="I1248" i="11"/>
  <c r="I1247" i="11"/>
  <c r="I1246" i="11"/>
  <c r="I1245" i="11"/>
  <c r="I1244" i="11"/>
  <c r="I1243" i="11"/>
  <c r="I1242" i="11"/>
  <c r="I1241" i="11"/>
  <c r="I1240" i="11"/>
  <c r="I1239" i="11"/>
  <c r="I1238" i="11"/>
  <c r="I1237" i="11"/>
  <c r="I1236" i="11"/>
  <c r="I1235" i="11"/>
  <c r="I1234" i="11"/>
  <c r="I1233" i="11"/>
  <c r="I1232" i="11"/>
  <c r="I1231" i="11"/>
  <c r="I1230" i="11"/>
  <c r="I1229" i="11"/>
  <c r="I1228" i="11"/>
  <c r="I1227" i="11"/>
  <c r="I1226" i="11"/>
  <c r="I1225" i="11"/>
  <c r="I1224" i="11"/>
  <c r="I1223" i="11"/>
  <c r="I1222" i="11"/>
  <c r="I1221" i="11"/>
  <c r="I1220" i="11"/>
  <c r="I1219" i="11"/>
  <c r="I1218" i="11"/>
  <c r="I1217" i="11"/>
  <c r="I1216" i="11"/>
  <c r="I1215" i="11"/>
  <c r="I1214" i="11"/>
  <c r="I1213" i="11"/>
  <c r="I1212" i="11"/>
  <c r="I1211" i="11"/>
  <c r="I1210" i="11"/>
  <c r="I1209" i="11"/>
  <c r="I1208" i="11"/>
  <c r="I1207" i="11"/>
  <c r="I1206" i="11"/>
  <c r="I1205" i="11"/>
  <c r="I1204" i="11"/>
  <c r="I1203" i="11"/>
  <c r="I1202" i="11"/>
  <c r="I1201" i="11"/>
  <c r="I1200" i="11"/>
  <c r="I1199" i="11"/>
  <c r="I1198" i="11"/>
  <c r="I1197" i="11"/>
  <c r="I1196" i="11"/>
  <c r="I1195" i="11"/>
  <c r="I1194" i="11"/>
  <c r="I1193" i="11"/>
  <c r="I1192" i="11"/>
  <c r="I1191" i="11"/>
  <c r="I1190" i="11"/>
  <c r="I1189" i="11"/>
  <c r="I1188" i="11"/>
  <c r="I1187" i="11"/>
  <c r="I1186" i="11"/>
  <c r="I1185" i="11"/>
  <c r="I1184" i="11"/>
  <c r="I1183" i="11"/>
  <c r="I1182" i="11"/>
  <c r="I1181" i="11"/>
  <c r="I1180" i="11"/>
  <c r="I1179" i="11"/>
  <c r="I1178" i="11"/>
  <c r="I1177" i="11"/>
  <c r="I1176" i="11"/>
  <c r="I1175" i="11"/>
  <c r="I1174" i="11"/>
  <c r="I1173" i="11"/>
  <c r="I1172" i="11"/>
  <c r="I1171" i="11"/>
  <c r="I1170" i="11"/>
  <c r="I1169" i="11"/>
  <c r="I1168" i="11"/>
  <c r="I1167" i="11"/>
  <c r="I1166" i="11"/>
  <c r="I1165" i="11"/>
  <c r="I1164" i="11"/>
  <c r="I1163" i="11"/>
  <c r="I1162" i="11"/>
  <c r="I1161" i="11"/>
  <c r="I1160" i="11"/>
  <c r="I1159" i="11"/>
  <c r="I1158" i="11"/>
  <c r="I1157" i="11"/>
  <c r="I1156" i="11"/>
  <c r="I1155" i="11"/>
  <c r="I1154" i="11"/>
  <c r="I1153" i="11"/>
  <c r="I1152" i="11"/>
  <c r="I1151" i="11"/>
  <c r="I1150" i="11"/>
  <c r="I1149" i="11"/>
  <c r="I1148" i="11"/>
  <c r="I1147" i="11"/>
  <c r="I1146" i="11"/>
  <c r="I1145" i="11"/>
  <c r="I1144" i="11"/>
  <c r="I1143" i="11"/>
  <c r="I1142" i="11"/>
  <c r="I1141" i="11"/>
  <c r="I1140" i="11"/>
  <c r="I1139" i="11"/>
  <c r="I1138" i="11"/>
  <c r="I1137" i="11"/>
  <c r="I1136" i="11"/>
  <c r="I1135" i="11"/>
  <c r="I1134" i="11"/>
  <c r="I1133" i="11"/>
  <c r="I1132" i="11"/>
  <c r="I1131" i="11"/>
  <c r="I1130" i="11"/>
  <c r="I1129" i="11"/>
  <c r="I1128" i="11"/>
  <c r="I1127" i="11"/>
  <c r="I1126" i="11"/>
  <c r="I1125" i="11"/>
  <c r="I1124" i="11"/>
  <c r="I1123" i="11"/>
  <c r="I1122" i="11"/>
  <c r="I1121" i="11"/>
  <c r="I1120" i="11"/>
  <c r="I1119" i="11"/>
  <c r="I1118" i="11"/>
  <c r="I1117" i="11"/>
  <c r="I1116" i="11"/>
  <c r="I1115" i="11"/>
  <c r="I1114" i="11"/>
  <c r="I1113" i="11"/>
  <c r="I1112" i="11"/>
  <c r="I1111" i="11"/>
  <c r="I1110" i="11"/>
  <c r="I1109" i="11"/>
  <c r="I1108" i="11"/>
  <c r="I1107" i="11"/>
  <c r="I1106" i="11"/>
  <c r="I1105" i="11"/>
  <c r="I1104" i="11"/>
  <c r="I1103" i="11"/>
  <c r="I1102" i="11"/>
  <c r="I1101" i="11"/>
  <c r="I1100" i="11"/>
  <c r="I1099" i="11"/>
  <c r="I1098" i="11"/>
  <c r="I1097" i="11"/>
  <c r="I1096" i="11"/>
  <c r="I1095" i="11"/>
  <c r="I1094" i="11"/>
  <c r="I1093" i="11"/>
  <c r="I1092" i="11"/>
  <c r="I1091" i="11"/>
  <c r="I1090" i="11"/>
  <c r="I1089" i="11"/>
  <c r="I1088" i="11"/>
  <c r="I1087" i="11"/>
  <c r="I1086" i="11"/>
  <c r="I1085" i="11"/>
  <c r="I1084" i="11"/>
  <c r="I1083" i="11"/>
  <c r="I1082" i="11"/>
  <c r="I1081" i="11"/>
  <c r="I1080" i="11"/>
  <c r="I1079" i="11"/>
  <c r="I1078" i="11"/>
  <c r="I1077" i="11"/>
  <c r="I1076" i="11"/>
  <c r="I1075" i="11"/>
  <c r="I1074" i="11"/>
  <c r="I1073" i="11"/>
  <c r="I1072" i="11"/>
  <c r="I1071" i="11"/>
  <c r="I1070" i="11"/>
  <c r="I1069" i="11"/>
  <c r="I1068" i="11"/>
  <c r="I1067" i="11"/>
  <c r="I1066" i="11"/>
  <c r="I1065" i="11"/>
  <c r="I1064" i="11"/>
  <c r="I1063" i="11"/>
  <c r="I1062" i="11"/>
  <c r="I1061" i="11"/>
  <c r="I1060" i="11"/>
  <c r="I1059" i="11"/>
  <c r="I1058" i="11"/>
  <c r="I1057" i="11"/>
  <c r="I1056" i="11"/>
  <c r="I1055" i="11"/>
  <c r="I1054" i="11"/>
  <c r="I1053" i="11"/>
  <c r="I1052" i="11"/>
  <c r="I1051" i="11"/>
  <c r="I1050" i="11"/>
  <c r="I1049" i="11"/>
  <c r="I1048" i="11"/>
  <c r="I1047" i="11"/>
  <c r="I1046" i="11"/>
  <c r="I1045" i="11"/>
  <c r="I1044" i="11"/>
  <c r="I1043" i="11"/>
  <c r="I1042" i="11"/>
  <c r="I1041" i="11"/>
  <c r="I1040" i="11"/>
  <c r="I1039" i="11"/>
  <c r="I1038" i="11"/>
  <c r="I1037" i="11"/>
  <c r="I1036" i="11"/>
  <c r="I1035" i="11"/>
  <c r="I1034" i="11"/>
  <c r="I1033" i="11"/>
  <c r="I1032" i="11"/>
  <c r="I1031" i="11"/>
  <c r="I1030" i="11"/>
  <c r="I1029" i="11"/>
  <c r="I1028" i="11"/>
  <c r="I1027" i="11"/>
  <c r="I1026" i="11"/>
  <c r="I1025" i="11"/>
  <c r="I1024" i="11"/>
  <c r="I1023" i="11"/>
  <c r="I1022" i="11"/>
  <c r="I1021" i="11"/>
  <c r="I1020" i="11"/>
  <c r="I1019" i="11"/>
  <c r="I1018" i="11"/>
  <c r="I1017" i="11"/>
  <c r="I1016" i="11"/>
  <c r="I1015" i="11"/>
  <c r="I1014" i="11"/>
  <c r="I1013" i="11"/>
  <c r="I1012" i="11"/>
  <c r="I1011" i="11"/>
  <c r="I1010" i="11"/>
  <c r="I1009" i="11"/>
  <c r="I1008" i="11"/>
  <c r="I1007" i="11"/>
  <c r="I1006" i="11"/>
  <c r="I1005" i="11"/>
  <c r="I1004" i="11"/>
  <c r="I1003" i="11"/>
  <c r="I1002" i="11"/>
  <c r="I1001" i="11"/>
  <c r="I1000" i="11"/>
  <c r="I999" i="11"/>
  <c r="I998" i="11"/>
  <c r="I997" i="11"/>
  <c r="I996" i="11"/>
  <c r="I995" i="11"/>
  <c r="I994" i="11"/>
  <c r="I993" i="11"/>
  <c r="I992" i="11"/>
  <c r="I991" i="11"/>
  <c r="I990" i="11"/>
  <c r="I989" i="11"/>
  <c r="I988" i="11"/>
  <c r="I987" i="11"/>
  <c r="I986" i="11"/>
  <c r="I985" i="11"/>
  <c r="I984" i="11"/>
  <c r="I983" i="11"/>
  <c r="I982" i="11"/>
  <c r="I981" i="11"/>
  <c r="I980" i="11"/>
  <c r="I979" i="11"/>
  <c r="I978" i="11"/>
  <c r="I977" i="11"/>
  <c r="I976" i="11"/>
  <c r="I975" i="11"/>
  <c r="I974" i="11"/>
  <c r="I973" i="11"/>
  <c r="I972" i="11"/>
  <c r="I971" i="11"/>
  <c r="I970" i="11"/>
  <c r="I969" i="11"/>
  <c r="I968" i="11"/>
  <c r="I967" i="11"/>
  <c r="I966" i="11"/>
  <c r="I965" i="11"/>
  <c r="I964" i="11"/>
  <c r="I963" i="11"/>
  <c r="I962" i="11"/>
  <c r="I961" i="11"/>
  <c r="I960" i="11"/>
  <c r="I959" i="11"/>
  <c r="I958" i="11"/>
  <c r="I957" i="11"/>
  <c r="I956" i="11"/>
  <c r="I955" i="11"/>
  <c r="I954" i="11"/>
  <c r="I953" i="11"/>
  <c r="I952" i="11"/>
  <c r="I951" i="11"/>
  <c r="I950" i="11"/>
  <c r="I949" i="11"/>
  <c r="I948" i="11"/>
  <c r="I947" i="11"/>
  <c r="I946" i="11"/>
  <c r="I945" i="11"/>
  <c r="I944" i="11"/>
  <c r="I943" i="11"/>
  <c r="I942" i="11"/>
  <c r="I941" i="11"/>
  <c r="I940" i="11"/>
  <c r="I939" i="11"/>
  <c r="I938" i="11"/>
  <c r="I937" i="11"/>
  <c r="I936" i="11"/>
  <c r="I935" i="11"/>
  <c r="I934" i="11"/>
  <c r="I933" i="11"/>
  <c r="I932" i="11"/>
  <c r="I931" i="11"/>
  <c r="I930" i="11"/>
  <c r="I929" i="11"/>
  <c r="I928" i="11"/>
  <c r="I927" i="11"/>
  <c r="I926" i="11"/>
  <c r="I925" i="11"/>
  <c r="I924" i="11"/>
  <c r="I923" i="11"/>
  <c r="I922" i="11"/>
  <c r="I921" i="11"/>
  <c r="I920" i="11"/>
  <c r="I919" i="11"/>
  <c r="I918" i="11"/>
  <c r="I917" i="11"/>
  <c r="I916" i="11"/>
  <c r="I915" i="11"/>
  <c r="I914" i="11"/>
  <c r="I913" i="11"/>
  <c r="I912" i="11"/>
  <c r="I911" i="11"/>
  <c r="I910" i="11"/>
  <c r="I909" i="11"/>
  <c r="I908" i="11"/>
  <c r="I907" i="11"/>
  <c r="I906" i="11"/>
  <c r="I905" i="11"/>
  <c r="I904" i="11"/>
  <c r="I903" i="11"/>
  <c r="I902" i="11"/>
  <c r="I901" i="11"/>
  <c r="I900" i="11"/>
  <c r="I899" i="11"/>
  <c r="I898" i="11"/>
  <c r="I897" i="11"/>
  <c r="I896" i="11"/>
  <c r="I895" i="11"/>
  <c r="I894" i="11"/>
  <c r="I893" i="11"/>
  <c r="I892" i="11"/>
  <c r="I891" i="11"/>
  <c r="I890" i="11"/>
  <c r="I889" i="11"/>
  <c r="I888" i="11"/>
  <c r="I887" i="11"/>
  <c r="I886" i="11"/>
  <c r="I885" i="11"/>
  <c r="I884" i="11"/>
  <c r="I883" i="11"/>
  <c r="I882" i="11"/>
  <c r="I881" i="11"/>
  <c r="I880" i="11"/>
  <c r="I879" i="11"/>
  <c r="I878" i="11"/>
  <c r="I877" i="11"/>
  <c r="I876" i="11"/>
  <c r="I875" i="11"/>
  <c r="I874" i="11"/>
  <c r="I873" i="11"/>
  <c r="I872" i="11"/>
  <c r="I871" i="11"/>
  <c r="I870" i="11"/>
  <c r="I869" i="11"/>
  <c r="I868" i="11"/>
  <c r="I867" i="11"/>
  <c r="I866" i="11"/>
  <c r="I865" i="11"/>
  <c r="I864" i="11"/>
  <c r="I863" i="11"/>
  <c r="I862" i="11"/>
  <c r="I861" i="11"/>
  <c r="I860" i="11"/>
  <c r="I859" i="11"/>
  <c r="I858" i="11"/>
  <c r="I857" i="11"/>
  <c r="I856" i="11"/>
  <c r="I855" i="11"/>
  <c r="I854" i="11"/>
  <c r="I853" i="11"/>
  <c r="I852" i="11"/>
  <c r="I851" i="11"/>
  <c r="I850" i="11"/>
  <c r="I849" i="11"/>
  <c r="I848" i="11"/>
  <c r="I847" i="11"/>
  <c r="I846" i="11"/>
  <c r="I845" i="11"/>
  <c r="I844" i="11"/>
  <c r="I843" i="11"/>
  <c r="I842" i="11"/>
  <c r="I841" i="11"/>
  <c r="I840" i="11"/>
  <c r="I839" i="11"/>
  <c r="I838" i="11"/>
  <c r="I837" i="11"/>
  <c r="I836" i="11"/>
  <c r="I835" i="11"/>
  <c r="I834" i="11"/>
  <c r="I833" i="11"/>
  <c r="I832" i="11"/>
  <c r="I831" i="11"/>
  <c r="I830" i="11"/>
  <c r="I829" i="11"/>
  <c r="I828" i="11"/>
  <c r="I827" i="11"/>
  <c r="I826" i="11"/>
  <c r="I825" i="11"/>
  <c r="I824" i="11"/>
  <c r="I823" i="11"/>
  <c r="I822" i="11"/>
  <c r="I821" i="11"/>
  <c r="I820" i="11"/>
  <c r="I819" i="11"/>
  <c r="I818" i="11"/>
  <c r="I817" i="11"/>
  <c r="I816" i="11"/>
  <c r="I815" i="11"/>
  <c r="I814" i="11"/>
  <c r="I813" i="11"/>
  <c r="I812" i="11"/>
  <c r="I811" i="11"/>
  <c r="I810" i="11"/>
  <c r="I809" i="11"/>
  <c r="I808" i="11"/>
  <c r="I807" i="11"/>
  <c r="I806" i="11"/>
  <c r="I805" i="11"/>
  <c r="I804" i="11"/>
  <c r="I803" i="11"/>
  <c r="I802" i="11"/>
  <c r="I801" i="11"/>
  <c r="I800" i="11"/>
  <c r="I799" i="11"/>
  <c r="I798" i="11"/>
  <c r="I797" i="11"/>
  <c r="I796" i="11"/>
  <c r="I795" i="11"/>
  <c r="I794" i="11"/>
  <c r="I793" i="11"/>
  <c r="I792" i="11"/>
  <c r="I791" i="11"/>
  <c r="I790" i="11"/>
  <c r="I789" i="11"/>
  <c r="I788" i="11"/>
  <c r="I787" i="11"/>
  <c r="I786" i="11"/>
  <c r="I785" i="11"/>
  <c r="I784" i="11"/>
  <c r="I783" i="11"/>
  <c r="I782" i="11"/>
  <c r="I781" i="11"/>
  <c r="I780" i="11"/>
  <c r="I779" i="11"/>
  <c r="I778" i="11"/>
  <c r="I777" i="11"/>
  <c r="I776" i="11"/>
  <c r="I775" i="11"/>
  <c r="I774" i="11"/>
  <c r="I773" i="11"/>
  <c r="I772" i="11"/>
  <c r="I771" i="11"/>
  <c r="I770" i="11"/>
  <c r="I769" i="11"/>
  <c r="I768" i="11"/>
  <c r="I767" i="11"/>
  <c r="I766" i="11"/>
  <c r="I765" i="11"/>
  <c r="I764" i="11"/>
  <c r="I763" i="11"/>
  <c r="I762" i="11"/>
  <c r="I761" i="11"/>
  <c r="I760" i="11"/>
  <c r="I759" i="11"/>
  <c r="I758" i="11"/>
  <c r="I757" i="11"/>
  <c r="I756" i="11"/>
  <c r="I755" i="11"/>
  <c r="I754" i="11"/>
  <c r="I753" i="11"/>
  <c r="I752" i="11"/>
  <c r="I751" i="11"/>
  <c r="I750" i="11"/>
  <c r="I749" i="11"/>
  <c r="I748" i="11"/>
  <c r="I747" i="11"/>
  <c r="I746" i="11"/>
  <c r="I745" i="11"/>
  <c r="I744" i="11"/>
  <c r="I743" i="11"/>
  <c r="I742" i="11"/>
  <c r="I741" i="11"/>
  <c r="I740" i="11"/>
  <c r="I739" i="11"/>
  <c r="I738" i="11"/>
  <c r="I737" i="11"/>
  <c r="I736" i="11"/>
  <c r="I735" i="11"/>
  <c r="I734" i="11"/>
  <c r="I733" i="11"/>
  <c r="I732" i="11"/>
  <c r="I731" i="11"/>
  <c r="I730" i="11"/>
  <c r="I729" i="11"/>
  <c r="I728" i="11"/>
  <c r="I727" i="11"/>
  <c r="I726" i="11"/>
  <c r="I725" i="11"/>
  <c r="I724" i="11"/>
  <c r="I723" i="11"/>
  <c r="I722" i="11"/>
  <c r="I721" i="11"/>
  <c r="I720" i="11"/>
  <c r="I719" i="11"/>
  <c r="I718" i="11"/>
  <c r="I717" i="11"/>
  <c r="I716" i="11"/>
  <c r="I715" i="11"/>
  <c r="I714" i="11"/>
  <c r="I713" i="11"/>
  <c r="I712" i="11"/>
  <c r="I711" i="11"/>
  <c r="I710" i="11"/>
  <c r="I709" i="11"/>
  <c r="I708" i="11"/>
  <c r="I707" i="11"/>
  <c r="I706" i="11"/>
  <c r="I705" i="11"/>
  <c r="I704" i="11"/>
  <c r="I703" i="11"/>
  <c r="I702" i="11"/>
  <c r="I701" i="11"/>
  <c r="I700" i="11"/>
  <c r="I699" i="11"/>
  <c r="I698" i="11"/>
  <c r="I697" i="11"/>
  <c r="I696" i="11"/>
  <c r="I695" i="11"/>
  <c r="I694" i="11"/>
  <c r="I693" i="11"/>
  <c r="I692" i="11"/>
  <c r="I691" i="11"/>
  <c r="I690" i="11"/>
  <c r="I689" i="11"/>
  <c r="I688" i="11"/>
  <c r="I687" i="11"/>
  <c r="I686" i="11"/>
  <c r="I685" i="11"/>
  <c r="I684" i="11"/>
  <c r="I683" i="11"/>
  <c r="I682" i="11"/>
  <c r="I681" i="11"/>
  <c r="I680" i="11"/>
  <c r="I679" i="11"/>
  <c r="I678" i="11"/>
  <c r="I677" i="11"/>
  <c r="I676" i="11"/>
  <c r="I675" i="11"/>
  <c r="I674" i="11"/>
  <c r="I673" i="11"/>
  <c r="I672" i="11"/>
  <c r="I671" i="11"/>
  <c r="I670" i="11"/>
  <c r="I669" i="11"/>
  <c r="I668" i="11"/>
  <c r="I667" i="11"/>
  <c r="I666" i="11"/>
  <c r="I665" i="11"/>
  <c r="I664" i="11"/>
  <c r="I663" i="11"/>
  <c r="I662" i="11"/>
  <c r="I661" i="11"/>
  <c r="I660" i="11"/>
  <c r="I659" i="11"/>
  <c r="I658" i="11"/>
  <c r="I657" i="11"/>
  <c r="I656" i="11"/>
  <c r="I655" i="11"/>
  <c r="I654" i="11"/>
  <c r="I653" i="11"/>
  <c r="I652" i="11"/>
  <c r="I651" i="11"/>
  <c r="I650" i="11"/>
  <c r="I649" i="11"/>
  <c r="I648" i="11"/>
  <c r="I647" i="11"/>
  <c r="I646" i="11"/>
  <c r="I645" i="11"/>
  <c r="I644" i="11"/>
  <c r="I643" i="11"/>
  <c r="I642" i="11"/>
  <c r="I641" i="11"/>
  <c r="I640" i="11"/>
  <c r="I639" i="11"/>
  <c r="I638" i="11"/>
  <c r="I637" i="11"/>
  <c r="I636" i="11"/>
  <c r="I635" i="11"/>
  <c r="I634" i="11"/>
  <c r="I633" i="11"/>
  <c r="I632" i="11"/>
  <c r="I631" i="11"/>
  <c r="I630" i="11"/>
  <c r="I629" i="11"/>
  <c r="I628" i="11"/>
  <c r="I627" i="11"/>
  <c r="I626" i="11"/>
  <c r="I625" i="11"/>
  <c r="I624" i="11"/>
  <c r="I623" i="11"/>
  <c r="I622" i="11"/>
  <c r="I621" i="11"/>
  <c r="I620" i="11"/>
  <c r="I619" i="11"/>
  <c r="I618" i="11"/>
  <c r="I617" i="11"/>
  <c r="I616" i="11"/>
  <c r="I615" i="11"/>
  <c r="I614" i="11"/>
  <c r="I613" i="11"/>
  <c r="I612" i="11"/>
  <c r="I611" i="11"/>
  <c r="I610" i="11"/>
  <c r="I609" i="11"/>
  <c r="I608" i="11"/>
  <c r="I607" i="11"/>
  <c r="I606" i="11"/>
  <c r="I605" i="11"/>
  <c r="I604" i="11"/>
  <c r="I603" i="11"/>
  <c r="I602" i="11"/>
  <c r="I601" i="11"/>
  <c r="I600" i="11"/>
  <c r="I599" i="11"/>
  <c r="I598" i="11"/>
  <c r="I597" i="11"/>
  <c r="I596" i="11"/>
  <c r="I595" i="11"/>
  <c r="I594" i="11"/>
  <c r="I593" i="11"/>
  <c r="I592" i="11"/>
  <c r="I591" i="11"/>
  <c r="I590" i="11"/>
  <c r="I589" i="11"/>
  <c r="I588" i="11"/>
  <c r="I587" i="11"/>
  <c r="I586" i="11"/>
  <c r="I585" i="11"/>
  <c r="I584" i="11"/>
  <c r="I583" i="11"/>
  <c r="I582" i="11"/>
  <c r="I581" i="11"/>
  <c r="I580" i="11"/>
  <c r="I579" i="11"/>
  <c r="I578" i="11"/>
  <c r="I577" i="11"/>
  <c r="I576" i="11"/>
  <c r="I575" i="11"/>
  <c r="I574" i="11"/>
  <c r="I573" i="11"/>
  <c r="I572" i="11"/>
  <c r="I571" i="11"/>
  <c r="I570" i="11"/>
  <c r="I569" i="11"/>
  <c r="I568" i="11"/>
  <c r="I567" i="11"/>
  <c r="I566" i="11"/>
  <c r="I565" i="11"/>
  <c r="I564" i="11"/>
  <c r="I563" i="11"/>
  <c r="I562" i="11"/>
  <c r="I561" i="11"/>
  <c r="I560" i="11"/>
  <c r="I559" i="11"/>
  <c r="I558" i="11"/>
  <c r="I557" i="11"/>
  <c r="I556" i="11"/>
  <c r="I555" i="11"/>
  <c r="I554" i="11"/>
  <c r="I553" i="11"/>
  <c r="I552" i="11"/>
  <c r="I551" i="11"/>
  <c r="I550" i="11"/>
  <c r="I549" i="11"/>
  <c r="I548" i="11"/>
  <c r="I547" i="11"/>
  <c r="I546" i="11"/>
  <c r="I545" i="11"/>
  <c r="I544" i="11"/>
  <c r="I543" i="11"/>
  <c r="I542" i="11"/>
  <c r="I541" i="11"/>
  <c r="I540" i="11"/>
  <c r="I539" i="11"/>
  <c r="I538" i="11"/>
  <c r="I537" i="11"/>
  <c r="I536" i="11"/>
  <c r="I535" i="11"/>
  <c r="I534" i="11"/>
  <c r="I533" i="11"/>
  <c r="I532" i="11"/>
  <c r="I531" i="11"/>
  <c r="I530" i="11"/>
  <c r="I529" i="11"/>
  <c r="I528" i="11"/>
  <c r="I527" i="11"/>
  <c r="I526" i="11"/>
  <c r="I525" i="11"/>
  <c r="I524" i="11"/>
  <c r="I523" i="11"/>
  <c r="I522" i="11"/>
  <c r="I521" i="11"/>
  <c r="I520" i="11"/>
  <c r="I519" i="11"/>
  <c r="I518" i="11"/>
  <c r="I517" i="11"/>
  <c r="I516" i="11"/>
  <c r="I515" i="11"/>
  <c r="I514" i="11"/>
  <c r="I513" i="11"/>
  <c r="I512" i="11"/>
  <c r="I511" i="11"/>
  <c r="I510" i="11"/>
  <c r="I509" i="11"/>
  <c r="I508" i="11"/>
  <c r="I507" i="11"/>
  <c r="I506" i="11"/>
  <c r="I505" i="11"/>
  <c r="I504" i="11"/>
  <c r="I503" i="11"/>
  <c r="I502" i="11"/>
  <c r="I501" i="11"/>
  <c r="I500" i="11"/>
  <c r="I499" i="11"/>
  <c r="I498" i="11"/>
  <c r="I497" i="11"/>
  <c r="I496" i="11"/>
  <c r="I495" i="11"/>
  <c r="I494" i="11"/>
  <c r="I493" i="11"/>
  <c r="I492" i="11"/>
  <c r="I491" i="11"/>
  <c r="I490" i="11"/>
  <c r="I489" i="11"/>
  <c r="I488" i="11"/>
  <c r="I487" i="11"/>
  <c r="I486" i="11"/>
  <c r="I485" i="11"/>
  <c r="I484" i="11"/>
  <c r="I483" i="11"/>
  <c r="I482" i="11"/>
  <c r="I481" i="11"/>
  <c r="I480" i="11"/>
  <c r="I479" i="11"/>
  <c r="I478" i="11"/>
  <c r="I477" i="11"/>
  <c r="I476" i="11"/>
  <c r="I475" i="11"/>
  <c r="I474" i="11"/>
  <c r="I473" i="11"/>
  <c r="I472" i="11"/>
  <c r="I471" i="11"/>
  <c r="I470" i="11"/>
  <c r="I469" i="11"/>
  <c r="I468" i="11"/>
  <c r="I467" i="11"/>
  <c r="I466" i="11"/>
  <c r="I465" i="11"/>
  <c r="I464" i="11"/>
  <c r="I463" i="11"/>
  <c r="I462" i="11"/>
  <c r="I461" i="11"/>
  <c r="I460" i="11"/>
  <c r="I459" i="11"/>
  <c r="I458" i="11"/>
  <c r="I457" i="11"/>
  <c r="I456" i="11"/>
  <c r="I455" i="11"/>
  <c r="I454" i="11"/>
  <c r="I453" i="11"/>
  <c r="I452" i="11"/>
  <c r="I451" i="11"/>
  <c r="I450" i="11"/>
  <c r="I449" i="11"/>
  <c r="I448" i="11"/>
  <c r="I447" i="11"/>
  <c r="I446" i="11"/>
  <c r="I445" i="11"/>
  <c r="I444" i="11"/>
  <c r="I443" i="11"/>
  <c r="I442" i="11"/>
  <c r="I441" i="11"/>
  <c r="I440" i="11"/>
  <c r="I439" i="11"/>
  <c r="I438" i="11"/>
  <c r="I437" i="11"/>
  <c r="I436" i="11"/>
  <c r="I435" i="11"/>
  <c r="I434" i="11"/>
  <c r="I433" i="11"/>
  <c r="I432" i="11"/>
  <c r="I431" i="11"/>
  <c r="I430" i="11"/>
  <c r="I429" i="11"/>
  <c r="I428" i="11"/>
  <c r="I427" i="11"/>
  <c r="I426" i="11"/>
  <c r="I425" i="11"/>
  <c r="I424" i="11"/>
  <c r="I423" i="11"/>
  <c r="I422" i="11"/>
  <c r="I421" i="11"/>
  <c r="I420" i="11"/>
  <c r="I419" i="11"/>
  <c r="I418" i="11"/>
  <c r="I417" i="11"/>
  <c r="I416" i="11"/>
  <c r="I415" i="11"/>
  <c r="I414" i="11"/>
  <c r="I413" i="11"/>
  <c r="I412" i="11"/>
  <c r="I411" i="11"/>
  <c r="I410" i="11"/>
  <c r="I409" i="11"/>
  <c r="I408" i="11"/>
  <c r="I407" i="11"/>
  <c r="I406" i="11"/>
  <c r="I405" i="11"/>
  <c r="I404" i="11"/>
  <c r="I403" i="11"/>
  <c r="I402" i="11"/>
  <c r="I401" i="11"/>
  <c r="I400" i="11"/>
  <c r="I399" i="11"/>
  <c r="I398" i="11"/>
  <c r="I397" i="11"/>
  <c r="I396" i="11"/>
  <c r="I395" i="11"/>
  <c r="I394" i="11"/>
  <c r="I393" i="11"/>
  <c r="I392" i="11"/>
  <c r="I391" i="11"/>
  <c r="I390" i="11"/>
  <c r="I389" i="11"/>
  <c r="I388" i="11"/>
  <c r="I387" i="11"/>
  <c r="I386" i="11"/>
  <c r="I385" i="11"/>
  <c r="I384" i="11"/>
  <c r="I383" i="11"/>
  <c r="I382" i="11"/>
  <c r="I381" i="11"/>
  <c r="I380" i="11"/>
  <c r="I379" i="11"/>
  <c r="I378" i="11"/>
  <c r="I377" i="11"/>
  <c r="I376" i="11"/>
  <c r="I375" i="11"/>
  <c r="I374" i="11"/>
  <c r="I373" i="11"/>
  <c r="I372" i="11"/>
  <c r="I371" i="11"/>
  <c r="I370" i="11"/>
  <c r="I369" i="11"/>
  <c r="I368" i="11"/>
  <c r="I367" i="11"/>
  <c r="I366" i="11"/>
  <c r="I365" i="11"/>
  <c r="I364" i="11"/>
  <c r="I363" i="11"/>
  <c r="I362" i="11"/>
  <c r="I361" i="11"/>
  <c r="I360" i="11"/>
  <c r="I359" i="11"/>
  <c r="I358" i="11"/>
  <c r="I357" i="11"/>
  <c r="I356" i="11"/>
  <c r="I355" i="11"/>
  <c r="I354" i="11"/>
  <c r="I353" i="11"/>
  <c r="I352" i="11"/>
  <c r="I351" i="11"/>
  <c r="I350" i="11"/>
  <c r="I349" i="11"/>
  <c r="I348" i="11"/>
  <c r="I347" i="11"/>
  <c r="I346" i="11"/>
  <c r="I345" i="11"/>
  <c r="I344" i="11"/>
  <c r="I343" i="11"/>
  <c r="I342" i="11"/>
  <c r="I341" i="11"/>
  <c r="I340" i="11"/>
  <c r="I339" i="11"/>
  <c r="I338" i="11"/>
  <c r="I337" i="11"/>
  <c r="I336" i="11"/>
  <c r="I335" i="11"/>
  <c r="I334" i="11"/>
  <c r="I333" i="11"/>
  <c r="I332" i="11"/>
  <c r="I331" i="11"/>
  <c r="I330" i="11"/>
  <c r="I329" i="11"/>
  <c r="I328" i="11"/>
  <c r="I327" i="11"/>
  <c r="I326" i="11"/>
  <c r="I325" i="11"/>
  <c r="I324" i="11"/>
  <c r="I323" i="11"/>
  <c r="I322" i="11"/>
  <c r="I321" i="11"/>
  <c r="I320" i="11"/>
  <c r="I319" i="11"/>
  <c r="I318" i="11"/>
  <c r="I317" i="11"/>
  <c r="I316" i="11"/>
  <c r="I315" i="11"/>
  <c r="I314" i="11"/>
  <c r="I313" i="11"/>
  <c r="I312" i="11"/>
  <c r="I311" i="11"/>
  <c r="I310" i="11"/>
  <c r="I309" i="11"/>
  <c r="I308" i="11"/>
  <c r="I307" i="11"/>
  <c r="I306" i="11"/>
  <c r="I305" i="11"/>
  <c r="I304" i="11"/>
  <c r="I303" i="11"/>
  <c r="I302" i="11"/>
  <c r="I301" i="11"/>
  <c r="I300" i="11"/>
  <c r="I299" i="11"/>
  <c r="I298" i="11"/>
  <c r="I297" i="11"/>
  <c r="I296" i="11"/>
  <c r="I295" i="11"/>
  <c r="I294" i="11"/>
  <c r="I293" i="11"/>
  <c r="I292" i="11"/>
  <c r="I291" i="11"/>
  <c r="I290" i="11"/>
  <c r="I289" i="11"/>
  <c r="I288" i="11"/>
  <c r="I287" i="11"/>
  <c r="I286" i="11"/>
  <c r="I285" i="11"/>
  <c r="I284" i="11"/>
  <c r="I283" i="11"/>
  <c r="I282" i="11"/>
  <c r="I281" i="11"/>
  <c r="I280" i="11"/>
  <c r="I279" i="11"/>
  <c r="I278" i="11"/>
  <c r="I277" i="11"/>
  <c r="I276" i="11"/>
  <c r="I275" i="11"/>
  <c r="I274" i="11"/>
  <c r="I273" i="11"/>
  <c r="I272" i="11"/>
  <c r="I271" i="11"/>
  <c r="I270" i="11"/>
  <c r="I269" i="11"/>
  <c r="I268" i="11"/>
  <c r="I267" i="11"/>
  <c r="I266" i="11"/>
  <c r="I265" i="11"/>
  <c r="I264" i="11"/>
  <c r="I263" i="11"/>
  <c r="I262" i="11"/>
  <c r="I261" i="11"/>
  <c r="I260" i="11"/>
  <c r="I259" i="11"/>
  <c r="I258" i="11"/>
  <c r="I257" i="11"/>
  <c r="I256" i="11"/>
  <c r="I255" i="11"/>
  <c r="I254" i="11"/>
  <c r="I253" i="11"/>
  <c r="I252" i="11"/>
  <c r="I251" i="11"/>
  <c r="I250" i="11"/>
  <c r="I249" i="11"/>
  <c r="I248" i="11"/>
  <c r="I247" i="11"/>
  <c r="I246" i="11"/>
  <c r="I245" i="11"/>
  <c r="I244" i="11"/>
  <c r="I243" i="11"/>
  <c r="I242" i="11"/>
  <c r="I241" i="11"/>
  <c r="I240" i="11"/>
  <c r="I239" i="11"/>
  <c r="I238" i="11"/>
  <c r="I237" i="11"/>
  <c r="I236" i="11"/>
  <c r="I235" i="11"/>
  <c r="I234" i="11"/>
  <c r="I233" i="11"/>
  <c r="I232" i="11"/>
  <c r="I231" i="11"/>
  <c r="I230" i="11"/>
  <c r="I229" i="11"/>
  <c r="I228" i="11"/>
  <c r="I227" i="11"/>
  <c r="I226" i="11"/>
  <c r="I225" i="11"/>
  <c r="I224" i="11"/>
  <c r="I223" i="11"/>
  <c r="I222" i="11"/>
  <c r="I221" i="11"/>
  <c r="I220" i="11"/>
  <c r="I219" i="11"/>
  <c r="I218" i="11"/>
  <c r="I217" i="11"/>
  <c r="I216" i="11"/>
  <c r="I215" i="11"/>
  <c r="I214" i="11"/>
  <c r="I213" i="11"/>
  <c r="I212" i="11"/>
  <c r="I211" i="11"/>
  <c r="I210" i="11"/>
  <c r="I209" i="11"/>
  <c r="I208" i="11"/>
  <c r="I207" i="11"/>
  <c r="I206" i="11"/>
  <c r="I205" i="11"/>
  <c r="I204" i="11"/>
  <c r="I203" i="11"/>
  <c r="I202" i="11"/>
  <c r="I201" i="11"/>
  <c r="I200" i="11"/>
  <c r="I199" i="11"/>
  <c r="I198" i="11"/>
  <c r="I197" i="11"/>
  <c r="I196" i="11"/>
  <c r="I195" i="11"/>
  <c r="I194" i="11"/>
  <c r="I193" i="11"/>
  <c r="I192" i="11"/>
  <c r="I191" i="11"/>
  <c r="I190" i="11"/>
  <c r="I189" i="11"/>
  <c r="I188" i="11"/>
  <c r="I187" i="11"/>
  <c r="I186" i="11"/>
  <c r="I185" i="11"/>
  <c r="I184" i="11"/>
  <c r="I183" i="11"/>
  <c r="I182" i="11"/>
  <c r="I181" i="11"/>
  <c r="I180" i="11"/>
  <c r="I179" i="11"/>
  <c r="I178" i="11"/>
  <c r="I177" i="11"/>
  <c r="I176" i="11"/>
  <c r="I175" i="11"/>
  <c r="I174" i="11"/>
  <c r="I173" i="11"/>
  <c r="I172" i="11"/>
  <c r="I171" i="11"/>
  <c r="I170" i="11"/>
  <c r="I169" i="11"/>
  <c r="I168" i="11"/>
  <c r="I167" i="11"/>
  <c r="I166" i="11"/>
  <c r="I165" i="11"/>
  <c r="I164" i="11"/>
  <c r="I163" i="11"/>
  <c r="I162" i="11"/>
  <c r="I161" i="11"/>
  <c r="I160" i="11"/>
  <c r="I159" i="11"/>
  <c r="I158" i="11"/>
  <c r="I157" i="11"/>
  <c r="I156" i="11"/>
  <c r="I155" i="11"/>
  <c r="I154" i="11"/>
  <c r="I153" i="11"/>
  <c r="I152" i="11"/>
  <c r="I151" i="11"/>
  <c r="I150" i="11"/>
  <c r="I149" i="11"/>
  <c r="I148" i="11"/>
  <c r="I147" i="11"/>
  <c r="I146" i="11"/>
  <c r="I145" i="11"/>
  <c r="I144" i="11"/>
  <c r="I143" i="11"/>
  <c r="I142" i="11"/>
  <c r="I141" i="11"/>
  <c r="I140" i="11"/>
  <c r="I139" i="11"/>
  <c r="I138" i="11"/>
  <c r="I137" i="11"/>
  <c r="I136" i="11"/>
  <c r="I135" i="11"/>
  <c r="I134" i="11"/>
  <c r="I133" i="11"/>
  <c r="I132" i="11"/>
  <c r="I131" i="11"/>
  <c r="I130" i="11"/>
  <c r="I129" i="11"/>
  <c r="I128" i="11"/>
  <c r="I127" i="11"/>
  <c r="I126" i="11"/>
  <c r="I125" i="11"/>
  <c r="I124" i="11"/>
  <c r="I123" i="11"/>
  <c r="I122" i="11"/>
  <c r="I121" i="11"/>
  <c r="I120" i="11"/>
  <c r="I119" i="11"/>
  <c r="I118" i="11"/>
  <c r="I117" i="11"/>
  <c r="I116" i="11"/>
  <c r="I115" i="11"/>
  <c r="I114" i="11"/>
  <c r="I113" i="11"/>
  <c r="I112" i="11"/>
  <c r="I111" i="11"/>
  <c r="I110" i="11"/>
  <c r="I109" i="11"/>
  <c r="I108" i="11"/>
  <c r="I107" i="11"/>
  <c r="I106" i="11"/>
  <c r="I105" i="11"/>
  <c r="I104" i="11"/>
  <c r="I103" i="11"/>
  <c r="I102" i="11"/>
  <c r="I101" i="11"/>
  <c r="I100" i="11"/>
  <c r="I99" i="11"/>
  <c r="I98" i="11"/>
  <c r="I97" i="11"/>
  <c r="I96" i="11"/>
  <c r="I95" i="11"/>
  <c r="I94" i="11"/>
  <c r="I93" i="11"/>
  <c r="I92" i="11"/>
  <c r="I91" i="11"/>
  <c r="I90" i="11"/>
  <c r="I89" i="11"/>
  <c r="I88" i="11"/>
  <c r="I87" i="11"/>
  <c r="I86" i="11"/>
  <c r="I85" i="11"/>
  <c r="I84" i="11"/>
  <c r="I83" i="11"/>
  <c r="I82" i="11"/>
  <c r="I81" i="11"/>
  <c r="I80" i="11"/>
  <c r="I79" i="11"/>
  <c r="I78" i="11"/>
  <c r="I77" i="11"/>
  <c r="I76" i="11"/>
  <c r="I75" i="11"/>
  <c r="I74" i="11"/>
  <c r="I73" i="11"/>
  <c r="I72" i="11"/>
  <c r="I71" i="11"/>
  <c r="I70" i="11"/>
  <c r="I69" i="11"/>
  <c r="I68" i="11"/>
  <c r="I67" i="11"/>
  <c r="I66" i="11"/>
  <c r="I65" i="11"/>
  <c r="I64" i="11"/>
  <c r="I63" i="11"/>
  <c r="I62" i="11"/>
  <c r="I61" i="11"/>
  <c r="I60" i="11"/>
  <c r="I59" i="11"/>
  <c r="I58" i="11"/>
  <c r="I57" i="11"/>
  <c r="I56" i="11"/>
  <c r="I55" i="11"/>
  <c r="I54" i="11"/>
  <c r="I53" i="11"/>
  <c r="I52" i="11"/>
  <c r="I51" i="11"/>
  <c r="I50" i="11"/>
  <c r="I49" i="11"/>
  <c r="I48" i="11"/>
  <c r="I47" i="11"/>
  <c r="I46" i="11"/>
  <c r="I45" i="11"/>
  <c r="I44" i="11"/>
  <c r="I43" i="11"/>
  <c r="I42" i="11"/>
  <c r="I41" i="11"/>
  <c r="I40" i="11"/>
  <c r="I39" i="11"/>
  <c r="I38" i="11"/>
  <c r="I37" i="11"/>
  <c r="I36" i="11"/>
  <c r="I35" i="11"/>
  <c r="I34" i="11"/>
  <c r="I33" i="11"/>
  <c r="I32" i="11"/>
  <c r="I31" i="11"/>
  <c r="I30" i="11"/>
  <c r="I29" i="11"/>
  <c r="I28" i="11"/>
  <c r="I27" i="11"/>
  <c r="I26" i="11"/>
  <c r="I25" i="11"/>
  <c r="I24" i="11"/>
  <c r="I23" i="11"/>
  <c r="I22" i="11"/>
  <c r="I21" i="11"/>
  <c r="I20" i="11"/>
  <c r="I19" i="11"/>
  <c r="I18" i="11"/>
  <c r="I17" i="11"/>
  <c r="I16" i="11"/>
  <c r="I15" i="11"/>
  <c r="I14" i="11"/>
  <c r="I13" i="11"/>
  <c r="I12" i="11"/>
  <c r="I11" i="11"/>
  <c r="I10" i="11"/>
  <c r="I9" i="11"/>
  <c r="I8" i="11"/>
  <c r="I7" i="11"/>
  <c r="I6" i="11"/>
  <c r="I5" i="11"/>
  <c r="I4" i="11"/>
  <c r="I3" i="11"/>
  <c r="I2" i="11"/>
  <c r="H2" i="11"/>
  <c r="H5001" i="11"/>
  <c r="H5000" i="11"/>
  <c r="H4999" i="11"/>
  <c r="H4998" i="11"/>
  <c r="H4997" i="11"/>
  <c r="H4996" i="11"/>
  <c r="H4995" i="11"/>
  <c r="H4994" i="11"/>
  <c r="H4993" i="11"/>
  <c r="H4992" i="11"/>
  <c r="H4991" i="11"/>
  <c r="H4990" i="11"/>
  <c r="H4989" i="11"/>
  <c r="H4988" i="11"/>
  <c r="H4987" i="11"/>
  <c r="H4986" i="11"/>
  <c r="H4985" i="11"/>
  <c r="H4984" i="11"/>
  <c r="H4983" i="11"/>
  <c r="H4982" i="11"/>
  <c r="H4981" i="11"/>
  <c r="H4980" i="11"/>
  <c r="H4979" i="11"/>
  <c r="H4978" i="11"/>
  <c r="H4977" i="11"/>
  <c r="H4976" i="11"/>
  <c r="H4975" i="11"/>
  <c r="H4974" i="11"/>
  <c r="H4973" i="11"/>
  <c r="H4972" i="11"/>
  <c r="H4971" i="11"/>
  <c r="H4970" i="11"/>
  <c r="H4969" i="11"/>
  <c r="H4968" i="11"/>
  <c r="H4967" i="11"/>
  <c r="H4966" i="11"/>
  <c r="H4965" i="11"/>
  <c r="H4964" i="11"/>
  <c r="H4963" i="11"/>
  <c r="H4962" i="11"/>
  <c r="H4961" i="11"/>
  <c r="H4960" i="11"/>
  <c r="H4959" i="11"/>
  <c r="H4958" i="11"/>
  <c r="H4957" i="11"/>
  <c r="H4956" i="11"/>
  <c r="H4955" i="11"/>
  <c r="H4954" i="11"/>
  <c r="H4953" i="11"/>
  <c r="H4952" i="11"/>
  <c r="H4951" i="11"/>
  <c r="H4950" i="11"/>
  <c r="H4949" i="11"/>
  <c r="H4948" i="11"/>
  <c r="H4947" i="11"/>
  <c r="H4946" i="11"/>
  <c r="H4945" i="11"/>
  <c r="H4944" i="11"/>
  <c r="H4943" i="11"/>
  <c r="H4942" i="11"/>
  <c r="H4941" i="11"/>
  <c r="H4940" i="11"/>
  <c r="H4939" i="11"/>
  <c r="H4938" i="11"/>
  <c r="H4937" i="11"/>
  <c r="H4936" i="11"/>
  <c r="H4935" i="11"/>
  <c r="H4934" i="11"/>
  <c r="H4933" i="11"/>
  <c r="H4932" i="11"/>
  <c r="H4931" i="11"/>
  <c r="H4930" i="11"/>
  <c r="H4929" i="11"/>
  <c r="H4928" i="11"/>
  <c r="H4927" i="11"/>
  <c r="H4926" i="11"/>
  <c r="H4925" i="11"/>
  <c r="H4924" i="11"/>
  <c r="H4923" i="11"/>
  <c r="H4922" i="11"/>
  <c r="H4921" i="11"/>
  <c r="H4920" i="11"/>
  <c r="H4919" i="11"/>
  <c r="H4918" i="11"/>
  <c r="H4917" i="11"/>
  <c r="H4916" i="11"/>
  <c r="H4915" i="11"/>
  <c r="H4914" i="11"/>
  <c r="H4913" i="11"/>
  <c r="H4912" i="11"/>
  <c r="H4911" i="11"/>
  <c r="H4910" i="11"/>
  <c r="H4909" i="11"/>
  <c r="H4908" i="11"/>
  <c r="H4907" i="11"/>
  <c r="H4906" i="11"/>
  <c r="H4905" i="11"/>
  <c r="H4904" i="11"/>
  <c r="H4903" i="11"/>
  <c r="H4902" i="11"/>
  <c r="H4901" i="11"/>
  <c r="H4900" i="11"/>
  <c r="H4899" i="11"/>
  <c r="H4898" i="11"/>
  <c r="H4897" i="11"/>
  <c r="H4896" i="11"/>
  <c r="H4895" i="11"/>
  <c r="H4894" i="11"/>
  <c r="H4893" i="11"/>
  <c r="H4892" i="11"/>
  <c r="H4891" i="11"/>
  <c r="H4890" i="11"/>
  <c r="H4889" i="11"/>
  <c r="H4888" i="11"/>
  <c r="H4887" i="11"/>
  <c r="H4886" i="11"/>
  <c r="H4885" i="11"/>
  <c r="H4884" i="11"/>
  <c r="H4883" i="11"/>
  <c r="H4882" i="11"/>
  <c r="H4881" i="11"/>
  <c r="H4880" i="11"/>
  <c r="H4879" i="11"/>
  <c r="H4878" i="11"/>
  <c r="H4877" i="11"/>
  <c r="H4876" i="11"/>
  <c r="H4875" i="11"/>
  <c r="H4874" i="11"/>
  <c r="H4873" i="11"/>
  <c r="H4872" i="11"/>
  <c r="H4871" i="11"/>
  <c r="H4870" i="11"/>
  <c r="H4869" i="11"/>
  <c r="H4868" i="11"/>
  <c r="H4867" i="11"/>
  <c r="H4866" i="11"/>
  <c r="H4865" i="11"/>
  <c r="H4864" i="11"/>
  <c r="H4863" i="11"/>
  <c r="H4862" i="11"/>
  <c r="H4861" i="11"/>
  <c r="H4860" i="11"/>
  <c r="H4859" i="11"/>
  <c r="H4858" i="11"/>
  <c r="H4857" i="11"/>
  <c r="H4856" i="11"/>
  <c r="H4855" i="11"/>
  <c r="H4854" i="11"/>
  <c r="H4853" i="11"/>
  <c r="H4852" i="11"/>
  <c r="H4851" i="11"/>
  <c r="H4850" i="11"/>
  <c r="H4849" i="11"/>
  <c r="H4848" i="11"/>
  <c r="H4847" i="11"/>
  <c r="H4846" i="11"/>
  <c r="H4845" i="11"/>
  <c r="H4844" i="11"/>
  <c r="H4843" i="11"/>
  <c r="H4842" i="11"/>
  <c r="H4841" i="11"/>
  <c r="H4840" i="11"/>
  <c r="H4839" i="11"/>
  <c r="H4838" i="11"/>
  <c r="H4837" i="11"/>
  <c r="H4836" i="11"/>
  <c r="H4835" i="11"/>
  <c r="H4834" i="11"/>
  <c r="H4833" i="11"/>
  <c r="H4832" i="11"/>
  <c r="H4831" i="11"/>
  <c r="H4830" i="11"/>
  <c r="H4829" i="11"/>
  <c r="H4828" i="11"/>
  <c r="H4827" i="11"/>
  <c r="H4826" i="11"/>
  <c r="H4825" i="11"/>
  <c r="H4824" i="11"/>
  <c r="H4823" i="11"/>
  <c r="H4822" i="11"/>
  <c r="H4821" i="11"/>
  <c r="H4820" i="11"/>
  <c r="H4819" i="11"/>
  <c r="H4818" i="11"/>
  <c r="H4817" i="11"/>
  <c r="H4816" i="11"/>
  <c r="H4815" i="11"/>
  <c r="H4814" i="11"/>
  <c r="H4813" i="11"/>
  <c r="H4812" i="11"/>
  <c r="H4811" i="11"/>
  <c r="H4810" i="11"/>
  <c r="H4809" i="11"/>
  <c r="H4808" i="11"/>
  <c r="H4807" i="11"/>
  <c r="H4806" i="11"/>
  <c r="H4805" i="11"/>
  <c r="H4804" i="11"/>
  <c r="H4803" i="11"/>
  <c r="H4802" i="11"/>
  <c r="H4801" i="11"/>
  <c r="H4800" i="11"/>
  <c r="H4799" i="11"/>
  <c r="H4798" i="11"/>
  <c r="H4797" i="11"/>
  <c r="H4796" i="11"/>
  <c r="H4795" i="11"/>
  <c r="H4794" i="11"/>
  <c r="H4793" i="11"/>
  <c r="H4792" i="11"/>
  <c r="H4791" i="11"/>
  <c r="H4790" i="11"/>
  <c r="H4789" i="11"/>
  <c r="H4788" i="11"/>
  <c r="H4787" i="11"/>
  <c r="H4786" i="11"/>
  <c r="H4785" i="11"/>
  <c r="H4784" i="11"/>
  <c r="H4783" i="11"/>
  <c r="H4782" i="11"/>
  <c r="H4781" i="11"/>
  <c r="H4780" i="11"/>
  <c r="H4779" i="11"/>
  <c r="H4778" i="11"/>
  <c r="H4777" i="11"/>
  <c r="H4776" i="11"/>
  <c r="H4775" i="11"/>
  <c r="H4774" i="11"/>
  <c r="H4773" i="11"/>
  <c r="H4772" i="11"/>
  <c r="H4771" i="11"/>
  <c r="H4770" i="11"/>
  <c r="H4769" i="11"/>
  <c r="H4768" i="11"/>
  <c r="H4767" i="11"/>
  <c r="H4766" i="11"/>
  <c r="H4765" i="11"/>
  <c r="H4764" i="11"/>
  <c r="H4763" i="11"/>
  <c r="H4762" i="11"/>
  <c r="H4761" i="11"/>
  <c r="H4760" i="11"/>
  <c r="H4759" i="11"/>
  <c r="H4758" i="11"/>
  <c r="H4757" i="11"/>
  <c r="H4756" i="11"/>
  <c r="H4755" i="11"/>
  <c r="H4754" i="11"/>
  <c r="H4753" i="11"/>
  <c r="H4752" i="11"/>
  <c r="H4751" i="11"/>
  <c r="H4750" i="11"/>
  <c r="H4749" i="11"/>
  <c r="H4748" i="11"/>
  <c r="H4747" i="11"/>
  <c r="H4746" i="11"/>
  <c r="H4745" i="11"/>
  <c r="H4744" i="11"/>
  <c r="H4743" i="11"/>
  <c r="H4742" i="11"/>
  <c r="H4741" i="11"/>
  <c r="H4740" i="11"/>
  <c r="H4739" i="11"/>
  <c r="H4738" i="11"/>
  <c r="H4737" i="11"/>
  <c r="H4736" i="11"/>
  <c r="H4735" i="11"/>
  <c r="H4734" i="11"/>
  <c r="H4733" i="11"/>
  <c r="H4732" i="11"/>
  <c r="H4731" i="11"/>
  <c r="H4730" i="11"/>
  <c r="H4729" i="11"/>
  <c r="H4728" i="11"/>
  <c r="H4727" i="11"/>
  <c r="H4726" i="11"/>
  <c r="H4725" i="11"/>
  <c r="H4724" i="11"/>
  <c r="H4723" i="11"/>
  <c r="H4722" i="11"/>
  <c r="H4721" i="11"/>
  <c r="H4720" i="11"/>
  <c r="H4719" i="11"/>
  <c r="H4718" i="11"/>
  <c r="H4717" i="11"/>
  <c r="H4716" i="11"/>
  <c r="H4715" i="11"/>
  <c r="H4714" i="11"/>
  <c r="H4713" i="11"/>
  <c r="H4712" i="11"/>
  <c r="H4711" i="11"/>
  <c r="H4710" i="11"/>
  <c r="H4709" i="11"/>
  <c r="H4708" i="11"/>
  <c r="H4707" i="11"/>
  <c r="H4706" i="11"/>
  <c r="H4705" i="11"/>
  <c r="H4704" i="11"/>
  <c r="H4703" i="11"/>
  <c r="H4702" i="11"/>
  <c r="H4701" i="11"/>
  <c r="H4700" i="11"/>
  <c r="H4699" i="11"/>
  <c r="H4698" i="11"/>
  <c r="H4697" i="11"/>
  <c r="H4696" i="11"/>
  <c r="H4695" i="11"/>
  <c r="H4694" i="11"/>
  <c r="H4693" i="11"/>
  <c r="H4692" i="11"/>
  <c r="H4691" i="11"/>
  <c r="H4690" i="11"/>
  <c r="H4689" i="11"/>
  <c r="H4688" i="11"/>
  <c r="H4687" i="11"/>
  <c r="H4686" i="11"/>
  <c r="H4685" i="11"/>
  <c r="H4684" i="11"/>
  <c r="H4683" i="11"/>
  <c r="H4682" i="11"/>
  <c r="H4681" i="11"/>
  <c r="H4680" i="11"/>
  <c r="H4679" i="11"/>
  <c r="H4678" i="11"/>
  <c r="H4677" i="11"/>
  <c r="H4676" i="11"/>
  <c r="H4675" i="11"/>
  <c r="H4674" i="11"/>
  <c r="H4673" i="11"/>
  <c r="H4672" i="11"/>
  <c r="H4671" i="11"/>
  <c r="H4670" i="11"/>
  <c r="H4669" i="11"/>
  <c r="H4668" i="11"/>
  <c r="H4667" i="11"/>
  <c r="H4666" i="11"/>
  <c r="H4665" i="11"/>
  <c r="H4664" i="11"/>
  <c r="H4663" i="11"/>
  <c r="H4662" i="11"/>
  <c r="H4661" i="11"/>
  <c r="H4660" i="11"/>
  <c r="H4659" i="11"/>
  <c r="H4658" i="11"/>
  <c r="H4657" i="11"/>
  <c r="H4656" i="11"/>
  <c r="H4655" i="11"/>
  <c r="H4654" i="11"/>
  <c r="H4653" i="11"/>
  <c r="H4652" i="11"/>
  <c r="H4651" i="11"/>
  <c r="H4650" i="11"/>
  <c r="H4649" i="11"/>
  <c r="H4648" i="11"/>
  <c r="H4647" i="11"/>
  <c r="H4646" i="11"/>
  <c r="H4645" i="11"/>
  <c r="H4644" i="11"/>
  <c r="H4643" i="11"/>
  <c r="H4642" i="11"/>
  <c r="H4641" i="11"/>
  <c r="H4640" i="11"/>
  <c r="H4639" i="11"/>
  <c r="H4638" i="11"/>
  <c r="H4637" i="11"/>
  <c r="H4636" i="11"/>
  <c r="H4635" i="11"/>
  <c r="H4634" i="11"/>
  <c r="H4633" i="11"/>
  <c r="H4632" i="11"/>
  <c r="H4631" i="11"/>
  <c r="H4630" i="11"/>
  <c r="H4629" i="11"/>
  <c r="H4628" i="11"/>
  <c r="H4627" i="11"/>
  <c r="H4626" i="11"/>
  <c r="H4625" i="11"/>
  <c r="H4624" i="11"/>
  <c r="H4623" i="11"/>
  <c r="H4622" i="11"/>
  <c r="H4621" i="11"/>
  <c r="H4620" i="11"/>
  <c r="H4619" i="11"/>
  <c r="H4618" i="11"/>
  <c r="H4617" i="11"/>
  <c r="H4616" i="11"/>
  <c r="H4615" i="11"/>
  <c r="H4614" i="11"/>
  <c r="H4613" i="11"/>
  <c r="H4612" i="11"/>
  <c r="H4611" i="11"/>
  <c r="H4610" i="11"/>
  <c r="H4609" i="11"/>
  <c r="H4608" i="11"/>
  <c r="H4607" i="11"/>
  <c r="H4606" i="11"/>
  <c r="H4605" i="11"/>
  <c r="H4604" i="11"/>
  <c r="H4603" i="11"/>
  <c r="H4602" i="11"/>
  <c r="H4601" i="11"/>
  <c r="H4600" i="11"/>
  <c r="H4599" i="11"/>
  <c r="H4598" i="11"/>
  <c r="H4597" i="11"/>
  <c r="H4596" i="11"/>
  <c r="H4595" i="11"/>
  <c r="H4594" i="11"/>
  <c r="H4593" i="11"/>
  <c r="H4592" i="11"/>
  <c r="H4591" i="11"/>
  <c r="H4590" i="11"/>
  <c r="H4589" i="11"/>
  <c r="H4588" i="11"/>
  <c r="H4587" i="11"/>
  <c r="H4586" i="11"/>
  <c r="H4585" i="11"/>
  <c r="H4584" i="11"/>
  <c r="H4583" i="11"/>
  <c r="H4582" i="11"/>
  <c r="H4581" i="11"/>
  <c r="H4580" i="11"/>
  <c r="H4579" i="11"/>
  <c r="H4578" i="11"/>
  <c r="H4577" i="11"/>
  <c r="H4576" i="11"/>
  <c r="H4575" i="11"/>
  <c r="H4574" i="11"/>
  <c r="H4573" i="11"/>
  <c r="H4572" i="11"/>
  <c r="H4571" i="11"/>
  <c r="H4570" i="11"/>
  <c r="H4569" i="11"/>
  <c r="H4568" i="11"/>
  <c r="H4567" i="11"/>
  <c r="H4566" i="11"/>
  <c r="H4565" i="11"/>
  <c r="H4564" i="11"/>
  <c r="H4563" i="11"/>
  <c r="H4562" i="11"/>
  <c r="H4561" i="11"/>
  <c r="H4560" i="11"/>
  <c r="H4559" i="11"/>
  <c r="H4558" i="11"/>
  <c r="H4557" i="11"/>
  <c r="H4556" i="11"/>
  <c r="H4555" i="11"/>
  <c r="H4554" i="11"/>
  <c r="H4553" i="11"/>
  <c r="H4552" i="11"/>
  <c r="H4551" i="11"/>
  <c r="H4550" i="11"/>
  <c r="H4549" i="11"/>
  <c r="H4548" i="11"/>
  <c r="H4547" i="11"/>
  <c r="H4546" i="11"/>
  <c r="H4545" i="11"/>
  <c r="H4544" i="11"/>
  <c r="H4543" i="11"/>
  <c r="H4542" i="11"/>
  <c r="H4541" i="11"/>
  <c r="H4540" i="11"/>
  <c r="H4539" i="11"/>
  <c r="H4538" i="11"/>
  <c r="H4537" i="11"/>
  <c r="H4536" i="11"/>
  <c r="H4535" i="11"/>
  <c r="H4534" i="11"/>
  <c r="H4533" i="11"/>
  <c r="H4532" i="11"/>
  <c r="H4531" i="11"/>
  <c r="H4530" i="11"/>
  <c r="H4529" i="11"/>
  <c r="H4528" i="11"/>
  <c r="H4527" i="11"/>
  <c r="H4526" i="11"/>
  <c r="H4525" i="11"/>
  <c r="H4524" i="11"/>
  <c r="H4523" i="11"/>
  <c r="H4522" i="11"/>
  <c r="H4521" i="11"/>
  <c r="H4520" i="11"/>
  <c r="H4519" i="11"/>
  <c r="H4518" i="11"/>
  <c r="H4517" i="11"/>
  <c r="H4516" i="11"/>
  <c r="H4515" i="11"/>
  <c r="H4514" i="11"/>
  <c r="H4513" i="11"/>
  <c r="H4512" i="11"/>
  <c r="H4511" i="11"/>
  <c r="H4510" i="11"/>
  <c r="H4509" i="11"/>
  <c r="H4508" i="11"/>
  <c r="H4507" i="11"/>
  <c r="H4506" i="11"/>
  <c r="H4505" i="11"/>
  <c r="H4504" i="11"/>
  <c r="H4503" i="11"/>
  <c r="H4502" i="11"/>
  <c r="H4501" i="11"/>
  <c r="H4500" i="11"/>
  <c r="H4499" i="11"/>
  <c r="H4498" i="11"/>
  <c r="H4497" i="11"/>
  <c r="H4496" i="11"/>
  <c r="H4495" i="11"/>
  <c r="H4494" i="11"/>
  <c r="H4493" i="11"/>
  <c r="H4492" i="11"/>
  <c r="H4491" i="11"/>
  <c r="H4490" i="11"/>
  <c r="H4489" i="11"/>
  <c r="H4488" i="11"/>
  <c r="H4487" i="11"/>
  <c r="H4486" i="11"/>
  <c r="H4485" i="11"/>
  <c r="H4484" i="11"/>
  <c r="H4483" i="11"/>
  <c r="H4482" i="11"/>
  <c r="H4481" i="11"/>
  <c r="H4480" i="11"/>
  <c r="H4479" i="11"/>
  <c r="H4478" i="11"/>
  <c r="H4477" i="11"/>
  <c r="H4476" i="11"/>
  <c r="H4475" i="11"/>
  <c r="H4474" i="11"/>
  <c r="H4473" i="11"/>
  <c r="H4472" i="11"/>
  <c r="H4471" i="11"/>
  <c r="H4470" i="11"/>
  <c r="H4469" i="11"/>
  <c r="H4468" i="11"/>
  <c r="H4467" i="11"/>
  <c r="H4466" i="11"/>
  <c r="H4465" i="11"/>
  <c r="H4464" i="11"/>
  <c r="H4463" i="11"/>
  <c r="H4462" i="11"/>
  <c r="H4461" i="11"/>
  <c r="H4460" i="11"/>
  <c r="H4459" i="11"/>
  <c r="H4458" i="11"/>
  <c r="H4457" i="11"/>
  <c r="H4456" i="11"/>
  <c r="H4455" i="11"/>
  <c r="H4454" i="11"/>
  <c r="H4453" i="11"/>
  <c r="H4452" i="11"/>
  <c r="H4451" i="11"/>
  <c r="H4450" i="11"/>
  <c r="H4449" i="11"/>
  <c r="H4448" i="11"/>
  <c r="H4447" i="11"/>
  <c r="H4446" i="11"/>
  <c r="H4445" i="11"/>
  <c r="H4444" i="11"/>
  <c r="H4443" i="11"/>
  <c r="H4442" i="11"/>
  <c r="H4441" i="11"/>
  <c r="H4440" i="11"/>
  <c r="H4439" i="11"/>
  <c r="H4438" i="11"/>
  <c r="H4437" i="11"/>
  <c r="H4436" i="11"/>
  <c r="H4435" i="11"/>
  <c r="H4434" i="11"/>
  <c r="H4433" i="11"/>
  <c r="H4432" i="11"/>
  <c r="H4431" i="11"/>
  <c r="H4430" i="11"/>
  <c r="H4429" i="11"/>
  <c r="H4428" i="11"/>
  <c r="H4427" i="11"/>
  <c r="H4426" i="11"/>
  <c r="H4425" i="11"/>
  <c r="H4424" i="11"/>
  <c r="H4423" i="11"/>
  <c r="H4422" i="11"/>
  <c r="H4421" i="11"/>
  <c r="H4420" i="11"/>
  <c r="H4419" i="11"/>
  <c r="H4418" i="11"/>
  <c r="H4417" i="11"/>
  <c r="H4416" i="11"/>
  <c r="H4415" i="11"/>
  <c r="H4414" i="11"/>
  <c r="H4413" i="11"/>
  <c r="H4412" i="11"/>
  <c r="H4411" i="11"/>
  <c r="H4410" i="11"/>
  <c r="H4409" i="11"/>
  <c r="H4408" i="11"/>
  <c r="H4407" i="11"/>
  <c r="H4406" i="11"/>
  <c r="H4405" i="11"/>
  <c r="H4404" i="11"/>
  <c r="H4403" i="11"/>
  <c r="H4402" i="11"/>
  <c r="H4401" i="11"/>
  <c r="H4400" i="11"/>
  <c r="H4399" i="11"/>
  <c r="H4398" i="11"/>
  <c r="H4397" i="11"/>
  <c r="H4396" i="11"/>
  <c r="H4395" i="11"/>
  <c r="H4394" i="11"/>
  <c r="H4393" i="11"/>
  <c r="H4392" i="11"/>
  <c r="H4391" i="11"/>
  <c r="H4390" i="11"/>
  <c r="H4389" i="11"/>
  <c r="H4388" i="11"/>
  <c r="H4387" i="11"/>
  <c r="H4386" i="11"/>
  <c r="H4385" i="11"/>
  <c r="H4384" i="11"/>
  <c r="H4383" i="11"/>
  <c r="H4382" i="11"/>
  <c r="H4381" i="11"/>
  <c r="H4380" i="11"/>
  <c r="H4379" i="11"/>
  <c r="H4378" i="11"/>
  <c r="H4377" i="11"/>
  <c r="H4376" i="11"/>
  <c r="H4375" i="11"/>
  <c r="H4374" i="11"/>
  <c r="H4373" i="11"/>
  <c r="H4372" i="11"/>
  <c r="H4371" i="11"/>
  <c r="H4370" i="11"/>
  <c r="H4369" i="11"/>
  <c r="H4368" i="11"/>
  <c r="H4367" i="11"/>
  <c r="H4366" i="11"/>
  <c r="H4365" i="11"/>
  <c r="H4364" i="11"/>
  <c r="H4363" i="11"/>
  <c r="H4362" i="11"/>
  <c r="H4361" i="11"/>
  <c r="H4360" i="11"/>
  <c r="H4359" i="11"/>
  <c r="H4358" i="11"/>
  <c r="H4357" i="11"/>
  <c r="H4356" i="11"/>
  <c r="H4355" i="11"/>
  <c r="H4354" i="11"/>
  <c r="H4353" i="11"/>
  <c r="H4352" i="11"/>
  <c r="H4351" i="11"/>
  <c r="H4350" i="11"/>
  <c r="H4349" i="11"/>
  <c r="H4348" i="11"/>
  <c r="H4347" i="11"/>
  <c r="H4346" i="11"/>
  <c r="H4345" i="11"/>
  <c r="H4344" i="11"/>
  <c r="H4343" i="11"/>
  <c r="H4342" i="11"/>
  <c r="H4341" i="11"/>
  <c r="H4340" i="11"/>
  <c r="H4339" i="11"/>
  <c r="H4338" i="11"/>
  <c r="H4337" i="11"/>
  <c r="H4336" i="11"/>
  <c r="H4335" i="11"/>
  <c r="H4334" i="11"/>
  <c r="H4333" i="11"/>
  <c r="H4332" i="11"/>
  <c r="H4331" i="11"/>
  <c r="H4330" i="11"/>
  <c r="H4329" i="11"/>
  <c r="H4328" i="11"/>
  <c r="H4327" i="11"/>
  <c r="H4326" i="11"/>
  <c r="H4325" i="11"/>
  <c r="H4324" i="11"/>
  <c r="H4323" i="11"/>
  <c r="H4322" i="11"/>
  <c r="H4321" i="11"/>
  <c r="H4320" i="11"/>
  <c r="H4319" i="11"/>
  <c r="H4318" i="11"/>
  <c r="H4317" i="11"/>
  <c r="H4316" i="11"/>
  <c r="H4315" i="11"/>
  <c r="H4314" i="11"/>
  <c r="H4313" i="11"/>
  <c r="H4312" i="11"/>
  <c r="H4311" i="11"/>
  <c r="H4310" i="11"/>
  <c r="H4309" i="11"/>
  <c r="H4308" i="11"/>
  <c r="H4307" i="11"/>
  <c r="H4306" i="11"/>
  <c r="H4305" i="11"/>
  <c r="H4304" i="11"/>
  <c r="H4303" i="11"/>
  <c r="H4302" i="11"/>
  <c r="H4301" i="11"/>
  <c r="H4300" i="11"/>
  <c r="H4299" i="11"/>
  <c r="H4298" i="11"/>
  <c r="H4297" i="11"/>
  <c r="H4296" i="11"/>
  <c r="H4295" i="11"/>
  <c r="H4294" i="11"/>
  <c r="H4293" i="11"/>
  <c r="H4292" i="11"/>
  <c r="H4291" i="11"/>
  <c r="H4290" i="11"/>
  <c r="H4289" i="11"/>
  <c r="H4288" i="11"/>
  <c r="H4287" i="11"/>
  <c r="H4286" i="11"/>
  <c r="H4285" i="11"/>
  <c r="H4284" i="11"/>
  <c r="H4283" i="11"/>
  <c r="H4282" i="11"/>
  <c r="H4281" i="11"/>
  <c r="H4280" i="11"/>
  <c r="H4279" i="11"/>
  <c r="H4278" i="11"/>
  <c r="H4277" i="11"/>
  <c r="H4276" i="11"/>
  <c r="H4275" i="11"/>
  <c r="H4274" i="11"/>
  <c r="H4273" i="11"/>
  <c r="H4272" i="11"/>
  <c r="H4271" i="11"/>
  <c r="H4270" i="11"/>
  <c r="H4269" i="11"/>
  <c r="H4268" i="11"/>
  <c r="H4267" i="11"/>
  <c r="H4266" i="11"/>
  <c r="H4265" i="11"/>
  <c r="H4264" i="11"/>
  <c r="H4263" i="11"/>
  <c r="H4262" i="11"/>
  <c r="H4261" i="11"/>
  <c r="H4260" i="11"/>
  <c r="H4259" i="11"/>
  <c r="H4258" i="11"/>
  <c r="H4257" i="11"/>
  <c r="H4256" i="11"/>
  <c r="H4255" i="11"/>
  <c r="H4254" i="11"/>
  <c r="H4253" i="11"/>
  <c r="H4252" i="11"/>
  <c r="H4251" i="11"/>
  <c r="H4250" i="11"/>
  <c r="H4249" i="11"/>
  <c r="H4248" i="11"/>
  <c r="H4247" i="11"/>
  <c r="H4246" i="11"/>
  <c r="H4245" i="11"/>
  <c r="H4244" i="11"/>
  <c r="H4243" i="11"/>
  <c r="H4242" i="11"/>
  <c r="H4241" i="11"/>
  <c r="H4240" i="11"/>
  <c r="H4239" i="11"/>
  <c r="H4238" i="11"/>
  <c r="H4237" i="11"/>
  <c r="H4236" i="11"/>
  <c r="H4235" i="11"/>
  <c r="H4234" i="11"/>
  <c r="H4233" i="11"/>
  <c r="H4232" i="11"/>
  <c r="H4231" i="11"/>
  <c r="H4230" i="11"/>
  <c r="H4229" i="11"/>
  <c r="H4228" i="11"/>
  <c r="H4227" i="11"/>
  <c r="H4226" i="11"/>
  <c r="H4225" i="11"/>
  <c r="H4224" i="11"/>
  <c r="H4223" i="11"/>
  <c r="H4222" i="11"/>
  <c r="H4221" i="11"/>
  <c r="H4220" i="11"/>
  <c r="H4219" i="11"/>
  <c r="H4218" i="11"/>
  <c r="H4217" i="11"/>
  <c r="H4216" i="11"/>
  <c r="H4215" i="11"/>
  <c r="H4214" i="11"/>
  <c r="H4213" i="11"/>
  <c r="H4212" i="11"/>
  <c r="H4211" i="11"/>
  <c r="H4210" i="11"/>
  <c r="H4209" i="11"/>
  <c r="H4208" i="11"/>
  <c r="H4207" i="11"/>
  <c r="H4206" i="11"/>
  <c r="H4205" i="11"/>
  <c r="H4204" i="11"/>
  <c r="H4203" i="11"/>
  <c r="H4202" i="11"/>
  <c r="H4201" i="11"/>
  <c r="H4200" i="11"/>
  <c r="H4199" i="11"/>
  <c r="H4198" i="11"/>
  <c r="H4197" i="11"/>
  <c r="H4196" i="11"/>
  <c r="H4195" i="11"/>
  <c r="H4194" i="11"/>
  <c r="H4193" i="11"/>
  <c r="H4192" i="11"/>
  <c r="H4191" i="11"/>
  <c r="H4190" i="11"/>
  <c r="H4189" i="11"/>
  <c r="H4188" i="11"/>
  <c r="H4187" i="11"/>
  <c r="H4186" i="11"/>
  <c r="H4185" i="11"/>
  <c r="H4184" i="11"/>
  <c r="H4183" i="11"/>
  <c r="H4182" i="11"/>
  <c r="H4181" i="11"/>
  <c r="H4180" i="11"/>
  <c r="H4179" i="11"/>
  <c r="H4178" i="11"/>
  <c r="H4177" i="11"/>
  <c r="H4176" i="11"/>
  <c r="H4175" i="11"/>
  <c r="H4174" i="11"/>
  <c r="H4173" i="11"/>
  <c r="H4172" i="11"/>
  <c r="H4171" i="11"/>
  <c r="H4170" i="11"/>
  <c r="H4169" i="11"/>
  <c r="H4168" i="11"/>
  <c r="H4167" i="11"/>
  <c r="H4166" i="11"/>
  <c r="H4165" i="11"/>
  <c r="H4164" i="11"/>
  <c r="H4163" i="11"/>
  <c r="H4162" i="11"/>
  <c r="H4161" i="11"/>
  <c r="H4160" i="11"/>
  <c r="H4159" i="11"/>
  <c r="H4158" i="11"/>
  <c r="H4157" i="11"/>
  <c r="H4156" i="11"/>
  <c r="H4155" i="11"/>
  <c r="H4154" i="11"/>
  <c r="H4153" i="11"/>
  <c r="H4152" i="11"/>
  <c r="H4151" i="11"/>
  <c r="H4150" i="11"/>
  <c r="H4149" i="11"/>
  <c r="H4148" i="11"/>
  <c r="H4147" i="11"/>
  <c r="H4146" i="11"/>
  <c r="H4145" i="11"/>
  <c r="H4144" i="11"/>
  <c r="H4143" i="11"/>
  <c r="H4142" i="11"/>
  <c r="H4141" i="11"/>
  <c r="H4140" i="11"/>
  <c r="H4139" i="11"/>
  <c r="H4138" i="11"/>
  <c r="H4137" i="11"/>
  <c r="H4136" i="11"/>
  <c r="H4135" i="11"/>
  <c r="H4134" i="11"/>
  <c r="H4133" i="11"/>
  <c r="H4132" i="11"/>
  <c r="H4131" i="11"/>
  <c r="H4130" i="11"/>
  <c r="H4129" i="11"/>
  <c r="H4128" i="11"/>
  <c r="H4127" i="11"/>
  <c r="H4126" i="11"/>
  <c r="H4125" i="11"/>
  <c r="H4124" i="11"/>
  <c r="H4123" i="11"/>
  <c r="H4122" i="11"/>
  <c r="H4121" i="11"/>
  <c r="H4120" i="11"/>
  <c r="H4119" i="11"/>
  <c r="H4118" i="11"/>
  <c r="H4117" i="11"/>
  <c r="H4116" i="11"/>
  <c r="H4115" i="11"/>
  <c r="H4114" i="11"/>
  <c r="H4113" i="11"/>
  <c r="H4112" i="11"/>
  <c r="H4111" i="11"/>
  <c r="H4110" i="11"/>
  <c r="H4109" i="11"/>
  <c r="H4108" i="11"/>
  <c r="H4107" i="11"/>
  <c r="H4106" i="11"/>
  <c r="H4105" i="11"/>
  <c r="H4104" i="11"/>
  <c r="H4103" i="11"/>
  <c r="H4102" i="11"/>
  <c r="H4101" i="11"/>
  <c r="H4100" i="11"/>
  <c r="H4099" i="11"/>
  <c r="H4098" i="11"/>
  <c r="H4097" i="11"/>
  <c r="H4096" i="11"/>
  <c r="H4095" i="11"/>
  <c r="H4094" i="11"/>
  <c r="H4093" i="11"/>
  <c r="H4092" i="11"/>
  <c r="H4091" i="11"/>
  <c r="H4090" i="11"/>
  <c r="H4089" i="11"/>
  <c r="H4088" i="11"/>
  <c r="H4087" i="11"/>
  <c r="H4086" i="11"/>
  <c r="H4085" i="11"/>
  <c r="H4084" i="11"/>
  <c r="H4083" i="11"/>
  <c r="H4082" i="11"/>
  <c r="H4081" i="11"/>
  <c r="H4080" i="11"/>
  <c r="H4079" i="11"/>
  <c r="H4078" i="11"/>
  <c r="H4077" i="11"/>
  <c r="H4076" i="11"/>
  <c r="H4075" i="11"/>
  <c r="H4074" i="11"/>
  <c r="H4073" i="11"/>
  <c r="H4072" i="11"/>
  <c r="H4071" i="11"/>
  <c r="H4070" i="11"/>
  <c r="H4069" i="11"/>
  <c r="H4068" i="11"/>
  <c r="H4067" i="11"/>
  <c r="H4066" i="11"/>
  <c r="H4065" i="11"/>
  <c r="H4064" i="11"/>
  <c r="H4063" i="11"/>
  <c r="H4062" i="11"/>
  <c r="H4061" i="11"/>
  <c r="H4060" i="11"/>
  <c r="H4059" i="11"/>
  <c r="H4058" i="11"/>
  <c r="H4057" i="11"/>
  <c r="H4056" i="11"/>
  <c r="H4055" i="11"/>
  <c r="H4054" i="11"/>
  <c r="H4053" i="11"/>
  <c r="H4052" i="11"/>
  <c r="H4051" i="11"/>
  <c r="H4050" i="11"/>
  <c r="H4049" i="11"/>
  <c r="H4048" i="11"/>
  <c r="H4047" i="11"/>
  <c r="H4046" i="11"/>
  <c r="H4045" i="11"/>
  <c r="H4044" i="11"/>
  <c r="H4043" i="11"/>
  <c r="H4042" i="11"/>
  <c r="H4041" i="11"/>
  <c r="H4040" i="11"/>
  <c r="H4039" i="11"/>
  <c r="H4038" i="11"/>
  <c r="H4037" i="11"/>
  <c r="H4036" i="11"/>
  <c r="H4035" i="11"/>
  <c r="H4034" i="11"/>
  <c r="H4033" i="11"/>
  <c r="H4032" i="11"/>
  <c r="H4031" i="11"/>
  <c r="H4030" i="11"/>
  <c r="H4029" i="11"/>
  <c r="H4028" i="11"/>
  <c r="H4027" i="11"/>
  <c r="H4026" i="11"/>
  <c r="H4025" i="11"/>
  <c r="H4024" i="11"/>
  <c r="H4023" i="11"/>
  <c r="H4022" i="11"/>
  <c r="H4021" i="11"/>
  <c r="H4020" i="11"/>
  <c r="H4019" i="11"/>
  <c r="H4018" i="11"/>
  <c r="H4017" i="11"/>
  <c r="H4016" i="11"/>
  <c r="H4015" i="11"/>
  <c r="H4014" i="11"/>
  <c r="H4013" i="11"/>
  <c r="H4012" i="11"/>
  <c r="H4011" i="11"/>
  <c r="H4010" i="11"/>
  <c r="H4009" i="11"/>
  <c r="H4008" i="11"/>
  <c r="H4007" i="11"/>
  <c r="H4006" i="11"/>
  <c r="H4005" i="11"/>
  <c r="H4004" i="11"/>
  <c r="H4003" i="11"/>
  <c r="H4002" i="11"/>
  <c r="H4001" i="11"/>
  <c r="H4000" i="11"/>
  <c r="H3999" i="11"/>
  <c r="H3998" i="11"/>
  <c r="H3997" i="11"/>
  <c r="H3996" i="11"/>
  <c r="H3995" i="11"/>
  <c r="H3994" i="11"/>
  <c r="H3993" i="11"/>
  <c r="H3992" i="11"/>
  <c r="H3991" i="11"/>
  <c r="H3990" i="11"/>
  <c r="H3989" i="11"/>
  <c r="H3988" i="11"/>
  <c r="H3987" i="11"/>
  <c r="H3986" i="11"/>
  <c r="H3985" i="11"/>
  <c r="H3984" i="11"/>
  <c r="H3983" i="11"/>
  <c r="H3982" i="11"/>
  <c r="H3981" i="11"/>
  <c r="H3980" i="11"/>
  <c r="H3979" i="11"/>
  <c r="H3978" i="11"/>
  <c r="H3977" i="11"/>
  <c r="H3976" i="11"/>
  <c r="H3975" i="11"/>
  <c r="H3974" i="11"/>
  <c r="H3973" i="11"/>
  <c r="H3972" i="11"/>
  <c r="H3971" i="11"/>
  <c r="H3970" i="11"/>
  <c r="H3969" i="11"/>
  <c r="H3968" i="11"/>
  <c r="H3967" i="11"/>
  <c r="H3966" i="11"/>
  <c r="H3965" i="11"/>
  <c r="H3964" i="11"/>
  <c r="H3963" i="11"/>
  <c r="H3962" i="11"/>
  <c r="H3961" i="11"/>
  <c r="H3960" i="11"/>
  <c r="H3959" i="11"/>
  <c r="H3958" i="11"/>
  <c r="H3957" i="11"/>
  <c r="H3956" i="11"/>
  <c r="H3955" i="11"/>
  <c r="H3954" i="11"/>
  <c r="H3953" i="11"/>
  <c r="H3952" i="11"/>
  <c r="H3951" i="11"/>
  <c r="H3950" i="11"/>
  <c r="H3949" i="11"/>
  <c r="H3948" i="11"/>
  <c r="H3947" i="11"/>
  <c r="H3946" i="11"/>
  <c r="H3945" i="11"/>
  <c r="H3944" i="11"/>
  <c r="H3943" i="11"/>
  <c r="H3942" i="11"/>
  <c r="H3941" i="11"/>
  <c r="H3940" i="11"/>
  <c r="H3939" i="11"/>
  <c r="H3938" i="11"/>
  <c r="H3937" i="11"/>
  <c r="H3936" i="11"/>
  <c r="H3935" i="11"/>
  <c r="H3934" i="11"/>
  <c r="H3933" i="11"/>
  <c r="H3932" i="11"/>
  <c r="H3931" i="11"/>
  <c r="H3930" i="11"/>
  <c r="H3929" i="11"/>
  <c r="H3928" i="11"/>
  <c r="H3927" i="11"/>
  <c r="H3926" i="11"/>
  <c r="H3925" i="11"/>
  <c r="H3924" i="11"/>
  <c r="H3923" i="11"/>
  <c r="H3922" i="11"/>
  <c r="H3921" i="11"/>
  <c r="H3920" i="11"/>
  <c r="H3919" i="11"/>
  <c r="H3918" i="11"/>
  <c r="H3917" i="11"/>
  <c r="H3916" i="11"/>
  <c r="H3915" i="11"/>
  <c r="H3914" i="11"/>
  <c r="H3913" i="11"/>
  <c r="H3912" i="11"/>
  <c r="H3911" i="11"/>
  <c r="H3910" i="11"/>
  <c r="H3909" i="11"/>
  <c r="H3908" i="11"/>
  <c r="H3907" i="11"/>
  <c r="H3906" i="11"/>
  <c r="H3905" i="11"/>
  <c r="H3904" i="11"/>
  <c r="H3903" i="11"/>
  <c r="H3902" i="11"/>
  <c r="H3901" i="11"/>
  <c r="H3900" i="11"/>
  <c r="H3899" i="11"/>
  <c r="H3898" i="11"/>
  <c r="H3897" i="11"/>
  <c r="H3896" i="11"/>
  <c r="H3895" i="11"/>
  <c r="H3894" i="11"/>
  <c r="H3893" i="11"/>
  <c r="H3892" i="11"/>
  <c r="H3891" i="11"/>
  <c r="H3890" i="11"/>
  <c r="H3889" i="11"/>
  <c r="H3888" i="11"/>
  <c r="H3887" i="11"/>
  <c r="H3886" i="11"/>
  <c r="H3885" i="11"/>
  <c r="H3884" i="11"/>
  <c r="H3883" i="11"/>
  <c r="H3882" i="11"/>
  <c r="H3881" i="11"/>
  <c r="H3880" i="11"/>
  <c r="H3879" i="11"/>
  <c r="H3878" i="11"/>
  <c r="H3877" i="11"/>
  <c r="H3876" i="11"/>
  <c r="H3875" i="11"/>
  <c r="H3874" i="11"/>
  <c r="H3873" i="11"/>
  <c r="H3872" i="11"/>
  <c r="H3871" i="11"/>
  <c r="H3870" i="11"/>
  <c r="H3869" i="11"/>
  <c r="H3868" i="11"/>
  <c r="H3867" i="11"/>
  <c r="H3866" i="11"/>
  <c r="H3865" i="11"/>
  <c r="H3864" i="11"/>
  <c r="H3863" i="11"/>
  <c r="H3862" i="11"/>
  <c r="H3861" i="11"/>
  <c r="H3860" i="11"/>
  <c r="H3859" i="11"/>
  <c r="H3858" i="11"/>
  <c r="H3857" i="11"/>
  <c r="H3856" i="11"/>
  <c r="H3855" i="11"/>
  <c r="H3854" i="11"/>
  <c r="H3853" i="11"/>
  <c r="H3852" i="11"/>
  <c r="H3851" i="11"/>
  <c r="H3850" i="11"/>
  <c r="H3849" i="11"/>
  <c r="H3848" i="11"/>
  <c r="H3847" i="11"/>
  <c r="H3846" i="11"/>
  <c r="H3845" i="11"/>
  <c r="H3844" i="11"/>
  <c r="H3843" i="11"/>
  <c r="H3842" i="11"/>
  <c r="H3841" i="11"/>
  <c r="H3840" i="11"/>
  <c r="H3839" i="11"/>
  <c r="H3838" i="11"/>
  <c r="H3837" i="11"/>
  <c r="H3836" i="11"/>
  <c r="H3835" i="11"/>
  <c r="H3834" i="11"/>
  <c r="H3833" i="11"/>
  <c r="H3832" i="11"/>
  <c r="H3831" i="11"/>
  <c r="H3830" i="11"/>
  <c r="H3829" i="11"/>
  <c r="H3828" i="11"/>
  <c r="H3827" i="11"/>
  <c r="H3826" i="11"/>
  <c r="H3825" i="11"/>
  <c r="H3824" i="11"/>
  <c r="H3823" i="11"/>
  <c r="H3822" i="11"/>
  <c r="H3821" i="11"/>
  <c r="H3820" i="11"/>
  <c r="H3819" i="11"/>
  <c r="H3818" i="11"/>
  <c r="H3817" i="11"/>
  <c r="H3816" i="11"/>
  <c r="H3815" i="11"/>
  <c r="H3814" i="11"/>
  <c r="H3813" i="11"/>
  <c r="H3812" i="11"/>
  <c r="H3811" i="11"/>
  <c r="H3810" i="11"/>
  <c r="H3809" i="11"/>
  <c r="H3808" i="11"/>
  <c r="H3807" i="11"/>
  <c r="H3806" i="11"/>
  <c r="H3805" i="11"/>
  <c r="H3804" i="11"/>
  <c r="H3803" i="11"/>
  <c r="H3802" i="11"/>
  <c r="H3801" i="11"/>
  <c r="H3800" i="11"/>
  <c r="H3799" i="11"/>
  <c r="H3798" i="11"/>
  <c r="H3797" i="11"/>
  <c r="H3796" i="11"/>
  <c r="H3795" i="11"/>
  <c r="H3794" i="11"/>
  <c r="H3793" i="11"/>
  <c r="H3792" i="11"/>
  <c r="H3791" i="11"/>
  <c r="H3790" i="11"/>
  <c r="H3789" i="11"/>
  <c r="H3788" i="11"/>
  <c r="H3787" i="11"/>
  <c r="H3786" i="11"/>
  <c r="H3785" i="11"/>
  <c r="H3784" i="11"/>
  <c r="H3783" i="11"/>
  <c r="H3782" i="11"/>
  <c r="H3781" i="11"/>
  <c r="H3780" i="11"/>
  <c r="H3779" i="11"/>
  <c r="H3778" i="11"/>
  <c r="H3777" i="11"/>
  <c r="H3776" i="11"/>
  <c r="H3775" i="11"/>
  <c r="H3774" i="11"/>
  <c r="H3773" i="11"/>
  <c r="H3772" i="11"/>
  <c r="H3771" i="11"/>
  <c r="H3770" i="11"/>
  <c r="H3769" i="11"/>
  <c r="H3768" i="11"/>
  <c r="H3767" i="11"/>
  <c r="H3766" i="11"/>
  <c r="H3765" i="11"/>
  <c r="H3764" i="11"/>
  <c r="H3763" i="11"/>
  <c r="H3762" i="11"/>
  <c r="H3761" i="11"/>
  <c r="H3760" i="11"/>
  <c r="H3759" i="11"/>
  <c r="H3758" i="11"/>
  <c r="H3757" i="11"/>
  <c r="H3756" i="11"/>
  <c r="H3755" i="11"/>
  <c r="H3754" i="11"/>
  <c r="H3753" i="11"/>
  <c r="H3752" i="11"/>
  <c r="H3751" i="11"/>
  <c r="H3750" i="11"/>
  <c r="H3749" i="11"/>
  <c r="H3748" i="11"/>
  <c r="H3747" i="11"/>
  <c r="H3746" i="11"/>
  <c r="H3745" i="11"/>
  <c r="H3744" i="11"/>
  <c r="H3743" i="11"/>
  <c r="H3742" i="11"/>
  <c r="H3741" i="11"/>
  <c r="H3740" i="11"/>
  <c r="H3739" i="11"/>
  <c r="H3738" i="11"/>
  <c r="H3737" i="11"/>
  <c r="H3736" i="11"/>
  <c r="H3735" i="11"/>
  <c r="H3734" i="11"/>
  <c r="H3733" i="11"/>
  <c r="H3732" i="11"/>
  <c r="H3731" i="11"/>
  <c r="H3730" i="11"/>
  <c r="H3729" i="11"/>
  <c r="H3728" i="11"/>
  <c r="H3727" i="11"/>
  <c r="H3726" i="11"/>
  <c r="H3725" i="11"/>
  <c r="H3724" i="11"/>
  <c r="H3723" i="11"/>
  <c r="H3722" i="11"/>
  <c r="H3721" i="11"/>
  <c r="H3720" i="11"/>
  <c r="H3719" i="11"/>
  <c r="H3718" i="11"/>
  <c r="H3717" i="11"/>
  <c r="H3716" i="11"/>
  <c r="H3715" i="11"/>
  <c r="H3714" i="11"/>
  <c r="H3713" i="11"/>
  <c r="H3712" i="11"/>
  <c r="H3711" i="11"/>
  <c r="H3710" i="11"/>
  <c r="H3709" i="11"/>
  <c r="H3708" i="11"/>
  <c r="H3707" i="11"/>
  <c r="H3706" i="11"/>
  <c r="H3705" i="11"/>
  <c r="H3704" i="11"/>
  <c r="H3703" i="11"/>
  <c r="H3702" i="11"/>
  <c r="H3701" i="11"/>
  <c r="H3700" i="11"/>
  <c r="H3699" i="11"/>
  <c r="H3698" i="11"/>
  <c r="H3697" i="11"/>
  <c r="H3696" i="11"/>
  <c r="H3695" i="11"/>
  <c r="H3694" i="11"/>
  <c r="H3693" i="11"/>
  <c r="H3692" i="11"/>
  <c r="H3691" i="11"/>
  <c r="H3690" i="11"/>
  <c r="H3689" i="11"/>
  <c r="H3688" i="11"/>
  <c r="H3687" i="11"/>
  <c r="H3686" i="11"/>
  <c r="H3685" i="11"/>
  <c r="H3684" i="11"/>
  <c r="H3683" i="11"/>
  <c r="H3682" i="11"/>
  <c r="H3681" i="11"/>
  <c r="H3680" i="11"/>
  <c r="H3679" i="11"/>
  <c r="H3678" i="11"/>
  <c r="H3677" i="11"/>
  <c r="H3676" i="11"/>
  <c r="H3675" i="11"/>
  <c r="H3674" i="11"/>
  <c r="H3673" i="11"/>
  <c r="H3672" i="11"/>
  <c r="H3671" i="11"/>
  <c r="H3670" i="11"/>
  <c r="H3669" i="11"/>
  <c r="H3668" i="11"/>
  <c r="H3667" i="11"/>
  <c r="H3666" i="11"/>
  <c r="H3665" i="11"/>
  <c r="H3664" i="11"/>
  <c r="H3663" i="11"/>
  <c r="H3662" i="11"/>
  <c r="H3661" i="11"/>
  <c r="H3660" i="11"/>
  <c r="H3659" i="11"/>
  <c r="H3658" i="11"/>
  <c r="H3657" i="11"/>
  <c r="H3656" i="11"/>
  <c r="H3655" i="11"/>
  <c r="H3654" i="11"/>
  <c r="H3653" i="11"/>
  <c r="H3652" i="11"/>
  <c r="H3651" i="11"/>
  <c r="H3650" i="11"/>
  <c r="H3649" i="11"/>
  <c r="H3648" i="11"/>
  <c r="H3647" i="11"/>
  <c r="H3646" i="11"/>
  <c r="H3645" i="11"/>
  <c r="H3644" i="11"/>
  <c r="H3643" i="11"/>
  <c r="H3642" i="11"/>
  <c r="H3641" i="11"/>
  <c r="H3640" i="11"/>
  <c r="H3639" i="11"/>
  <c r="H3638" i="11"/>
  <c r="H3637" i="11"/>
  <c r="H3636" i="11"/>
  <c r="H3635" i="11"/>
  <c r="H3634" i="11"/>
  <c r="H3633" i="11"/>
  <c r="H3632" i="11"/>
  <c r="H3631" i="11"/>
  <c r="H3630" i="11"/>
  <c r="H3629" i="11"/>
  <c r="H3628" i="11"/>
  <c r="H3627" i="11"/>
  <c r="H3626" i="11"/>
  <c r="H3625" i="11"/>
  <c r="H3624" i="11"/>
  <c r="H3623" i="11"/>
  <c r="H3622" i="11"/>
  <c r="H3621" i="11"/>
  <c r="H3620" i="11"/>
  <c r="H3619" i="11"/>
  <c r="H3618" i="11"/>
  <c r="H3617" i="11"/>
  <c r="H3616" i="11"/>
  <c r="H3615" i="11"/>
  <c r="H3614" i="11"/>
  <c r="H3613" i="11"/>
  <c r="H3612" i="11"/>
  <c r="H3611" i="11"/>
  <c r="H3610" i="11"/>
  <c r="H3609" i="11"/>
  <c r="H3608" i="11"/>
  <c r="H3607" i="11"/>
  <c r="H3606" i="11"/>
  <c r="H3605" i="11"/>
  <c r="H3604" i="11"/>
  <c r="H3603" i="11"/>
  <c r="H3602" i="11"/>
  <c r="H3601" i="11"/>
  <c r="H3600" i="11"/>
  <c r="H3599" i="11"/>
  <c r="H3598" i="11"/>
  <c r="H3597" i="11"/>
  <c r="H3596" i="11"/>
  <c r="H3595" i="11"/>
  <c r="H3594" i="11"/>
  <c r="H3593" i="11"/>
  <c r="H3592" i="11"/>
  <c r="H3591" i="11"/>
  <c r="H3590" i="11"/>
  <c r="H3589" i="11"/>
  <c r="H3588" i="11"/>
  <c r="H3587" i="11"/>
  <c r="H3586" i="11"/>
  <c r="H3585" i="11"/>
  <c r="H3584" i="11"/>
  <c r="H3583" i="11"/>
  <c r="H3582" i="11"/>
  <c r="H3581" i="11"/>
  <c r="H3580" i="11"/>
  <c r="H3579" i="11"/>
  <c r="H3578" i="11"/>
  <c r="H3577" i="11"/>
  <c r="H3576" i="11"/>
  <c r="H3575" i="11"/>
  <c r="H3574" i="11"/>
  <c r="H3573" i="11"/>
  <c r="H3572" i="11"/>
  <c r="H3571" i="11"/>
  <c r="H3570" i="11"/>
  <c r="H3569" i="11"/>
  <c r="H3568" i="11"/>
  <c r="H3567" i="11"/>
  <c r="H3566" i="11"/>
  <c r="H3565" i="11"/>
  <c r="H3564" i="11"/>
  <c r="H3563" i="11"/>
  <c r="H3562" i="11"/>
  <c r="H3561" i="11"/>
  <c r="H3560" i="11"/>
  <c r="H3559" i="11"/>
  <c r="H3558" i="11"/>
  <c r="H3557" i="11"/>
  <c r="H3556" i="11"/>
  <c r="H3555" i="11"/>
  <c r="H3554" i="11"/>
  <c r="H3553" i="11"/>
  <c r="H3552" i="11"/>
  <c r="H3551" i="11"/>
  <c r="H3550" i="11"/>
  <c r="H3549" i="11"/>
  <c r="H3548" i="11"/>
  <c r="H3547" i="11"/>
  <c r="H3546" i="11"/>
  <c r="H3545" i="11"/>
  <c r="H3544" i="11"/>
  <c r="H3543" i="11"/>
  <c r="H3542" i="11"/>
  <c r="H3541" i="11"/>
  <c r="H3540" i="11"/>
  <c r="H3539" i="11"/>
  <c r="H3538" i="11"/>
  <c r="H3537" i="11"/>
  <c r="H3536" i="11"/>
  <c r="H3535" i="11"/>
  <c r="H3534" i="11"/>
  <c r="H3533" i="11"/>
  <c r="H3532" i="11"/>
  <c r="H3531" i="11"/>
  <c r="H3530" i="11"/>
  <c r="H3529" i="11"/>
  <c r="H3528" i="11"/>
  <c r="H3527" i="11"/>
  <c r="H3526" i="11"/>
  <c r="H3525" i="11"/>
  <c r="H3524" i="11"/>
  <c r="H3523" i="11"/>
  <c r="H3522" i="11"/>
  <c r="H3521" i="11"/>
  <c r="H3520" i="11"/>
  <c r="H3519" i="11"/>
  <c r="H3518" i="11"/>
  <c r="H3517" i="11"/>
  <c r="H3516" i="11"/>
  <c r="H3515" i="11"/>
  <c r="H3514" i="11"/>
  <c r="H3513" i="11"/>
  <c r="H3512" i="11"/>
  <c r="H3511" i="11"/>
  <c r="H3510" i="11"/>
  <c r="H3509" i="11"/>
  <c r="H3508" i="11"/>
  <c r="H3507" i="11"/>
  <c r="H3506" i="11"/>
  <c r="H3505" i="11"/>
  <c r="H3504" i="11"/>
  <c r="H3503" i="11"/>
  <c r="H3502" i="11"/>
  <c r="H3501" i="11"/>
  <c r="H3500" i="11"/>
  <c r="H3499" i="11"/>
  <c r="H3498" i="11"/>
  <c r="H3497" i="11"/>
  <c r="H3496" i="11"/>
  <c r="H3495" i="11"/>
  <c r="H3494" i="11"/>
  <c r="H3493" i="11"/>
  <c r="H3492" i="11"/>
  <c r="H3491" i="11"/>
  <c r="H3490" i="11"/>
  <c r="H3489" i="11"/>
  <c r="H3488" i="11"/>
  <c r="H3487" i="11"/>
  <c r="H3486" i="11"/>
  <c r="H3485" i="11"/>
  <c r="H3484" i="11"/>
  <c r="H3483" i="11"/>
  <c r="H3482" i="11"/>
  <c r="H3481" i="11"/>
  <c r="H3480" i="11"/>
  <c r="H3479" i="11"/>
  <c r="H3478" i="11"/>
  <c r="H3477" i="11"/>
  <c r="H3476" i="11"/>
  <c r="H3475" i="11"/>
  <c r="H3474" i="11"/>
  <c r="H3473" i="11"/>
  <c r="H3472" i="11"/>
  <c r="H3471" i="11"/>
  <c r="H3470" i="11"/>
  <c r="H3469" i="11"/>
  <c r="H3468" i="11"/>
  <c r="H3467" i="11"/>
  <c r="H3466" i="11"/>
  <c r="H3465" i="11"/>
  <c r="H3464" i="11"/>
  <c r="H3463" i="11"/>
  <c r="H3462" i="11"/>
  <c r="H3461" i="11"/>
  <c r="H3460" i="11"/>
  <c r="H3459" i="11"/>
  <c r="H3458" i="11"/>
  <c r="H3457" i="11"/>
  <c r="H3456" i="11"/>
  <c r="H3455" i="11"/>
  <c r="H3454" i="11"/>
  <c r="H3453" i="11"/>
  <c r="H3452" i="11"/>
  <c r="H3451" i="11"/>
  <c r="H3450" i="11"/>
  <c r="H3449" i="11"/>
  <c r="H3448" i="11"/>
  <c r="H3447" i="11"/>
  <c r="H3446" i="11"/>
  <c r="H3445" i="11"/>
  <c r="H3444" i="11"/>
  <c r="H3443" i="11"/>
  <c r="H3442" i="11"/>
  <c r="H3441" i="11"/>
  <c r="H3440" i="11"/>
  <c r="H3439" i="11"/>
  <c r="H3438" i="11"/>
  <c r="H3437" i="11"/>
  <c r="H3436" i="11"/>
  <c r="H3435" i="11"/>
  <c r="H3434" i="11"/>
  <c r="H3433" i="11"/>
  <c r="H3432" i="11"/>
  <c r="H3431" i="11"/>
  <c r="H3430" i="11"/>
  <c r="H3429" i="11"/>
  <c r="H3428" i="11"/>
  <c r="H3427" i="11"/>
  <c r="H3426" i="11"/>
  <c r="H3425" i="11"/>
  <c r="H3424" i="11"/>
  <c r="H3423" i="11"/>
  <c r="H3422" i="11"/>
  <c r="H3421" i="11"/>
  <c r="H3420" i="11"/>
  <c r="H3419" i="11"/>
  <c r="H3418" i="11"/>
  <c r="H3417" i="11"/>
  <c r="H3416" i="11"/>
  <c r="H3415" i="11"/>
  <c r="H3414" i="11"/>
  <c r="H3413" i="11"/>
  <c r="H3412" i="11"/>
  <c r="H3411" i="11"/>
  <c r="H3410" i="11"/>
  <c r="H3409" i="11"/>
  <c r="H3408" i="11"/>
  <c r="H3407" i="11"/>
  <c r="H3406" i="11"/>
  <c r="H3405" i="11"/>
  <c r="H3404" i="11"/>
  <c r="H3403" i="11"/>
  <c r="H3402" i="11"/>
  <c r="H3401" i="11"/>
  <c r="H3400" i="11"/>
  <c r="H3399" i="11"/>
  <c r="H3398" i="11"/>
  <c r="H3397" i="11"/>
  <c r="H3396" i="11"/>
  <c r="H3395" i="11"/>
  <c r="H3394" i="11"/>
  <c r="H3393" i="11"/>
  <c r="H3392" i="11"/>
  <c r="H3391" i="11"/>
  <c r="H3390" i="11"/>
  <c r="H3389" i="11"/>
  <c r="H3388" i="11"/>
  <c r="H3387" i="11"/>
  <c r="H3386" i="11"/>
  <c r="H3385" i="11"/>
  <c r="H3384" i="11"/>
  <c r="H3383" i="11"/>
  <c r="H3382" i="11"/>
  <c r="H3381" i="11"/>
  <c r="H3380" i="11"/>
  <c r="H3379" i="11"/>
  <c r="H3378" i="11"/>
  <c r="H3377" i="11"/>
  <c r="H3376" i="11"/>
  <c r="H3375" i="11"/>
  <c r="H3374" i="11"/>
  <c r="H3373" i="11"/>
  <c r="H3372" i="11"/>
  <c r="H3371" i="11"/>
  <c r="H3370" i="11"/>
  <c r="H3369" i="11"/>
  <c r="H3368" i="11"/>
  <c r="H3367" i="11"/>
  <c r="H3366" i="11"/>
  <c r="H3365" i="11"/>
  <c r="H3364" i="11"/>
  <c r="H3363" i="11"/>
  <c r="H3362" i="11"/>
  <c r="H3361" i="11"/>
  <c r="H3360" i="11"/>
  <c r="H3359" i="11"/>
  <c r="H3358" i="11"/>
  <c r="H3357" i="11"/>
  <c r="H3356" i="11"/>
  <c r="H3355" i="11"/>
  <c r="H3354" i="11"/>
  <c r="H3353" i="11"/>
  <c r="H3352" i="11"/>
  <c r="H3351" i="11"/>
  <c r="H3350" i="11"/>
  <c r="H3349" i="11"/>
  <c r="H3348" i="11"/>
  <c r="H3347" i="11"/>
  <c r="H3346" i="11"/>
  <c r="H3345" i="11"/>
  <c r="H3344" i="11"/>
  <c r="H3343" i="11"/>
  <c r="H3342" i="11"/>
  <c r="H3341" i="11"/>
  <c r="H3340" i="11"/>
  <c r="H3339" i="11"/>
  <c r="H3338" i="11"/>
  <c r="H3337" i="11"/>
  <c r="H3336" i="11"/>
  <c r="H3335" i="11"/>
  <c r="H3334" i="11"/>
  <c r="H3333" i="11"/>
  <c r="H3332" i="11"/>
  <c r="H3331" i="11"/>
  <c r="H3330" i="11"/>
  <c r="H3329" i="11"/>
  <c r="H3328" i="11"/>
  <c r="H3327" i="11"/>
  <c r="H3326" i="11"/>
  <c r="H3325" i="11"/>
  <c r="H3324" i="11"/>
  <c r="H3323" i="11"/>
  <c r="H3322" i="11"/>
  <c r="H3321" i="11"/>
  <c r="H3320" i="11"/>
  <c r="H3319" i="11"/>
  <c r="H3318" i="11"/>
  <c r="H3317" i="11"/>
  <c r="H3316" i="11"/>
  <c r="H3315" i="11"/>
  <c r="H3314" i="11"/>
  <c r="H3313" i="11"/>
  <c r="H3312" i="11"/>
  <c r="H3311" i="11"/>
  <c r="H3310" i="11"/>
  <c r="H3309" i="11"/>
  <c r="H3308" i="11"/>
  <c r="H3307" i="11"/>
  <c r="H3306" i="11"/>
  <c r="H3305" i="11"/>
  <c r="H3304" i="11"/>
  <c r="H3303" i="11"/>
  <c r="H3302" i="11"/>
  <c r="H3301" i="11"/>
  <c r="H3300" i="11"/>
  <c r="H3299" i="11"/>
  <c r="H3298" i="11"/>
  <c r="H3297" i="11"/>
  <c r="H3296" i="11"/>
  <c r="H3295" i="11"/>
  <c r="H3294" i="11"/>
  <c r="H3293" i="11"/>
  <c r="H3292" i="11"/>
  <c r="H3291" i="11"/>
  <c r="H3290" i="11"/>
  <c r="H3289" i="11"/>
  <c r="H3288" i="11"/>
  <c r="H3287" i="11"/>
  <c r="H3286" i="11"/>
  <c r="H3285" i="11"/>
  <c r="H3284" i="11"/>
  <c r="H3283" i="11"/>
  <c r="H3282" i="11"/>
  <c r="H3281" i="11"/>
  <c r="H3280" i="11"/>
  <c r="H3279" i="11"/>
  <c r="H3278" i="11"/>
  <c r="H3277" i="11"/>
  <c r="H3276" i="11"/>
  <c r="H3275" i="11"/>
  <c r="H3274" i="11"/>
  <c r="H3273" i="11"/>
  <c r="H3272" i="11"/>
  <c r="H3271" i="11"/>
  <c r="H3270" i="11"/>
  <c r="H3269" i="11"/>
  <c r="H3268" i="11"/>
  <c r="H3267" i="11"/>
  <c r="H3266" i="11"/>
  <c r="H3265" i="11"/>
  <c r="H3264" i="11"/>
  <c r="H3263" i="11"/>
  <c r="H3262" i="11"/>
  <c r="H3261" i="11"/>
  <c r="H3260" i="11"/>
  <c r="H3259" i="11"/>
  <c r="H3258" i="11"/>
  <c r="H3257" i="11"/>
  <c r="H3256" i="11"/>
  <c r="H3255" i="11"/>
  <c r="H3254" i="11"/>
  <c r="H3253" i="11"/>
  <c r="H3252" i="11"/>
  <c r="H3251" i="11"/>
  <c r="H3250" i="11"/>
  <c r="H3249" i="11"/>
  <c r="H3248" i="11"/>
  <c r="H3247" i="11"/>
  <c r="H3246" i="11"/>
  <c r="H3245" i="11"/>
  <c r="H3244" i="11"/>
  <c r="H3243" i="11"/>
  <c r="H3242" i="11"/>
  <c r="H3241" i="11"/>
  <c r="H3240" i="11"/>
  <c r="H3239" i="11"/>
  <c r="H3238" i="11"/>
  <c r="H3237" i="11"/>
  <c r="H3236" i="11"/>
  <c r="H3235" i="11"/>
  <c r="H3234" i="11"/>
  <c r="H3233" i="11"/>
  <c r="H3232" i="11"/>
  <c r="H3231" i="11"/>
  <c r="H3230" i="11"/>
  <c r="H3229" i="11"/>
  <c r="H3228" i="11"/>
  <c r="H3227" i="11"/>
  <c r="H3226" i="11"/>
  <c r="H3225" i="11"/>
  <c r="H3224" i="11"/>
  <c r="H3223" i="11"/>
  <c r="H3222" i="11"/>
  <c r="H3221" i="11"/>
  <c r="H3220" i="11"/>
  <c r="H3219" i="11"/>
  <c r="H3218" i="11"/>
  <c r="H3217" i="11"/>
  <c r="H3216" i="11"/>
  <c r="H3215" i="11"/>
  <c r="H3214" i="11"/>
  <c r="H3213" i="11"/>
  <c r="H3212" i="11"/>
  <c r="H3211" i="11"/>
  <c r="H3210" i="11"/>
  <c r="H3209" i="11"/>
  <c r="H3208" i="11"/>
  <c r="H3207" i="11"/>
  <c r="H3206" i="11"/>
  <c r="H3205" i="11"/>
  <c r="H3204" i="11"/>
  <c r="H3203" i="11"/>
  <c r="H3202" i="11"/>
  <c r="H3201" i="11"/>
  <c r="H3200" i="11"/>
  <c r="H3199" i="11"/>
  <c r="H3198" i="11"/>
  <c r="H3197" i="11"/>
  <c r="H3196" i="11"/>
  <c r="H3195" i="11"/>
  <c r="H3194" i="11"/>
  <c r="H3193" i="11"/>
  <c r="H3192" i="11"/>
  <c r="H3191" i="11"/>
  <c r="H3190" i="11"/>
  <c r="H3189" i="11"/>
  <c r="H3188" i="11"/>
  <c r="H3187" i="11"/>
  <c r="H3186" i="11"/>
  <c r="H3185" i="11"/>
  <c r="H3184" i="11"/>
  <c r="H3183" i="11"/>
  <c r="H3182" i="11"/>
  <c r="H3181" i="11"/>
  <c r="H3180" i="11"/>
  <c r="H3179" i="11"/>
  <c r="H3178" i="11"/>
  <c r="H3177" i="11"/>
  <c r="H3176" i="11"/>
  <c r="H3175" i="11"/>
  <c r="H3174" i="11"/>
  <c r="H3173" i="11"/>
  <c r="H3172" i="11"/>
  <c r="H3171" i="11"/>
  <c r="H3170" i="11"/>
  <c r="H3169" i="11"/>
  <c r="H3168" i="11"/>
  <c r="H3167" i="11"/>
  <c r="H3166" i="11"/>
  <c r="H3165" i="11"/>
  <c r="H3164" i="11"/>
  <c r="H3163" i="11"/>
  <c r="H3162" i="11"/>
  <c r="H3161" i="11"/>
  <c r="H3160" i="11"/>
  <c r="H3159" i="11"/>
  <c r="H3158" i="11"/>
  <c r="H3157" i="11"/>
  <c r="H3156" i="11"/>
  <c r="H3155" i="11"/>
  <c r="H3154" i="11"/>
  <c r="H3153" i="11"/>
  <c r="H3152" i="11"/>
  <c r="H3151" i="11"/>
  <c r="H3150" i="11"/>
  <c r="H3149" i="11"/>
  <c r="H3148" i="11"/>
  <c r="H3147" i="11"/>
  <c r="H3146" i="11"/>
  <c r="H3145" i="11"/>
  <c r="H3144" i="11"/>
  <c r="H3143" i="11"/>
  <c r="H3142" i="11"/>
  <c r="H3141" i="11"/>
  <c r="H3140" i="11"/>
  <c r="H3139" i="11"/>
  <c r="H3138" i="11"/>
  <c r="H3137" i="11"/>
  <c r="H3136" i="11"/>
  <c r="H3135" i="11"/>
  <c r="H3134" i="11"/>
  <c r="H3133" i="11"/>
  <c r="H3132" i="11"/>
  <c r="H3131" i="11"/>
  <c r="H3130" i="11"/>
  <c r="H3129" i="11"/>
  <c r="H3128" i="11"/>
  <c r="H3127" i="11"/>
  <c r="H3126" i="11"/>
  <c r="H3125" i="11"/>
  <c r="H3124" i="11"/>
  <c r="H3123" i="11"/>
  <c r="H3122" i="11"/>
  <c r="H3121" i="11"/>
  <c r="H3120" i="11"/>
  <c r="H3119" i="11"/>
  <c r="H3118" i="11"/>
  <c r="H3117" i="11"/>
  <c r="H3116" i="11"/>
  <c r="H3115" i="11"/>
  <c r="H3114" i="11"/>
  <c r="H3113" i="11"/>
  <c r="H3112" i="11"/>
  <c r="H3111" i="11"/>
  <c r="H3110" i="11"/>
  <c r="H3109" i="11"/>
  <c r="H3108" i="11"/>
  <c r="H3107" i="11"/>
  <c r="H3106" i="11"/>
  <c r="H3105" i="11"/>
  <c r="H3104" i="11"/>
  <c r="H3103" i="11"/>
  <c r="H3102" i="11"/>
  <c r="H3101" i="11"/>
  <c r="H3100" i="11"/>
  <c r="H3099" i="11"/>
  <c r="H3098" i="11"/>
  <c r="H3097" i="11"/>
  <c r="H3096" i="11"/>
  <c r="H3095" i="11"/>
  <c r="H3094" i="11"/>
  <c r="H3093" i="11"/>
  <c r="H3092" i="11"/>
  <c r="H3091" i="11"/>
  <c r="H3090" i="11"/>
  <c r="H3089" i="11"/>
  <c r="H3088" i="11"/>
  <c r="H3087" i="11"/>
  <c r="H3086" i="11"/>
  <c r="H3085" i="11"/>
  <c r="H3084" i="11"/>
  <c r="H3083" i="11"/>
  <c r="H3082" i="11"/>
  <c r="H3081" i="11"/>
  <c r="H3080" i="11"/>
  <c r="H3079" i="11"/>
  <c r="H3078" i="11"/>
  <c r="H3077" i="11"/>
  <c r="H3076" i="11"/>
  <c r="H3075" i="11"/>
  <c r="H3074" i="11"/>
  <c r="H3073" i="11"/>
  <c r="H3072" i="11"/>
  <c r="H3071" i="11"/>
  <c r="H3070" i="11"/>
  <c r="H3069" i="11"/>
  <c r="H3068" i="11"/>
  <c r="H3067" i="11"/>
  <c r="H3066" i="11"/>
  <c r="H3065" i="11"/>
  <c r="H3064" i="11"/>
  <c r="H3063" i="11"/>
  <c r="H3062" i="11"/>
  <c r="H3061" i="11"/>
  <c r="H3060" i="11"/>
  <c r="H3059" i="11"/>
  <c r="H3058" i="11"/>
  <c r="H3057" i="11"/>
  <c r="H3056" i="11"/>
  <c r="H3055" i="11"/>
  <c r="H3054" i="11"/>
  <c r="H3053" i="11"/>
  <c r="H3052" i="11"/>
  <c r="H3051" i="11"/>
  <c r="H3050" i="11"/>
  <c r="H3049" i="11"/>
  <c r="H3048" i="11"/>
  <c r="H3047" i="11"/>
  <c r="H3046" i="11"/>
  <c r="H3045" i="11"/>
  <c r="H3044" i="11"/>
  <c r="H3043" i="11"/>
  <c r="H3042" i="11"/>
  <c r="H3041" i="11"/>
  <c r="H3040" i="11"/>
  <c r="H3039" i="11"/>
  <c r="H3038" i="11"/>
  <c r="H3037" i="11"/>
  <c r="H3036" i="11"/>
  <c r="H3035" i="11"/>
  <c r="H3034" i="11"/>
  <c r="H3033" i="11"/>
  <c r="H3032" i="11"/>
  <c r="H3031" i="11"/>
  <c r="H3030" i="11"/>
  <c r="H3029" i="11"/>
  <c r="H3028" i="11"/>
  <c r="H3027" i="11"/>
  <c r="H3026" i="11"/>
  <c r="H3025" i="11"/>
  <c r="H3024" i="11"/>
  <c r="H3023" i="11"/>
  <c r="H3022" i="11"/>
  <c r="H3021" i="11"/>
  <c r="H3020" i="11"/>
  <c r="H3019" i="11"/>
  <c r="H3018" i="11"/>
  <c r="H3017" i="11"/>
  <c r="H3016" i="11"/>
  <c r="H3015" i="11"/>
  <c r="H3014" i="11"/>
  <c r="H3013" i="11"/>
  <c r="H3012" i="11"/>
  <c r="H3011" i="11"/>
  <c r="H3010" i="11"/>
  <c r="H3009" i="11"/>
  <c r="H3008" i="11"/>
  <c r="H3007" i="11"/>
  <c r="H3006" i="11"/>
  <c r="H3005" i="11"/>
  <c r="H3004" i="11"/>
  <c r="H3003" i="11"/>
  <c r="H3002" i="11"/>
  <c r="H3001" i="11"/>
  <c r="H3000" i="11"/>
  <c r="H2999" i="11"/>
  <c r="H2998" i="11"/>
  <c r="H2997" i="11"/>
  <c r="H2996" i="11"/>
  <c r="H2995" i="11"/>
  <c r="H2994" i="11"/>
  <c r="H2993" i="11"/>
  <c r="H2992" i="11"/>
  <c r="H2991" i="11"/>
  <c r="H2990" i="11"/>
  <c r="H2989" i="11"/>
  <c r="H2988" i="11"/>
  <c r="H2987" i="11"/>
  <c r="H2986" i="11"/>
  <c r="H2985" i="11"/>
  <c r="H2984" i="11"/>
  <c r="H2983" i="11"/>
  <c r="H2982" i="11"/>
  <c r="H2981" i="11"/>
  <c r="H2980" i="11"/>
  <c r="H2979" i="11"/>
  <c r="H2978" i="11"/>
  <c r="H2977" i="11"/>
  <c r="H2976" i="11"/>
  <c r="H2975" i="11"/>
  <c r="H2974" i="11"/>
  <c r="H2973" i="11"/>
  <c r="H2972" i="11"/>
  <c r="H2971" i="11"/>
  <c r="H2970" i="11"/>
  <c r="H2969" i="11"/>
  <c r="H2968" i="11"/>
  <c r="H2967" i="11"/>
  <c r="H2966" i="11"/>
  <c r="H2965" i="11"/>
  <c r="H2964" i="11"/>
  <c r="H2963" i="11"/>
  <c r="H2962" i="11"/>
  <c r="H2961" i="11"/>
  <c r="H2960" i="11"/>
  <c r="H2959" i="11"/>
  <c r="H2958" i="11"/>
  <c r="H2957" i="11"/>
  <c r="H2956" i="11"/>
  <c r="H2955" i="11"/>
  <c r="H2954" i="11"/>
  <c r="H2953" i="11"/>
  <c r="H2952" i="11"/>
  <c r="H2951" i="11"/>
  <c r="H2950" i="11"/>
  <c r="H2949" i="11"/>
  <c r="H2948" i="11"/>
  <c r="H2947" i="11"/>
  <c r="H2946" i="11"/>
  <c r="H2945" i="11"/>
  <c r="H2944" i="11"/>
  <c r="H2943" i="11"/>
  <c r="H2942" i="11"/>
  <c r="H2941" i="11"/>
  <c r="H2940" i="11"/>
  <c r="H2939" i="11"/>
  <c r="H2938" i="11"/>
  <c r="H2937" i="11"/>
  <c r="H2936" i="11"/>
  <c r="H2935" i="11"/>
  <c r="H2934" i="11"/>
  <c r="H2933" i="11"/>
  <c r="H2932" i="11"/>
  <c r="H2931" i="11"/>
  <c r="H2930" i="11"/>
  <c r="H2929" i="11"/>
  <c r="H2928" i="11"/>
  <c r="H2927" i="11"/>
  <c r="H2926" i="11"/>
  <c r="H2925" i="11"/>
  <c r="H2924" i="11"/>
  <c r="H2923" i="11"/>
  <c r="H2922" i="11"/>
  <c r="H2921" i="11"/>
  <c r="H2920" i="11"/>
  <c r="H2919" i="11"/>
  <c r="H2918" i="11"/>
  <c r="H2917" i="11"/>
  <c r="H2916" i="11"/>
  <c r="H2915" i="11"/>
  <c r="H2914" i="11"/>
  <c r="H2913" i="11"/>
  <c r="H2912" i="11"/>
  <c r="H2911" i="11"/>
  <c r="H2910" i="11"/>
  <c r="H2909" i="11"/>
  <c r="H2908" i="11"/>
  <c r="H2907" i="11"/>
  <c r="H2906" i="11"/>
  <c r="H2905" i="11"/>
  <c r="H2904" i="11"/>
  <c r="H2903" i="11"/>
  <c r="H2902" i="11"/>
  <c r="H2901" i="11"/>
  <c r="H2900" i="11"/>
  <c r="H2899" i="11"/>
  <c r="H2898" i="11"/>
  <c r="H2897" i="11"/>
  <c r="H2896" i="11"/>
  <c r="H2895" i="11"/>
  <c r="H2894" i="11"/>
  <c r="H2893" i="11"/>
  <c r="H2892" i="11"/>
  <c r="H2891" i="11"/>
  <c r="H2890" i="11"/>
  <c r="H2889" i="11"/>
  <c r="H2888" i="11"/>
  <c r="H2887" i="11"/>
  <c r="H2886" i="11"/>
  <c r="H2885" i="11"/>
  <c r="H2884" i="11"/>
  <c r="H2883" i="11"/>
  <c r="H2882" i="11"/>
  <c r="H2881" i="11"/>
  <c r="H2880" i="11"/>
  <c r="H2879" i="11"/>
  <c r="H2878" i="11"/>
  <c r="H2877" i="11"/>
  <c r="H2876" i="11"/>
  <c r="H2875" i="11"/>
  <c r="H2874" i="11"/>
  <c r="H2873" i="11"/>
  <c r="H2872" i="11"/>
  <c r="H2871" i="11"/>
  <c r="H2870" i="11"/>
  <c r="H2869" i="11"/>
  <c r="H2868" i="11"/>
  <c r="H2867" i="11"/>
  <c r="H2866" i="11"/>
  <c r="H2865" i="11"/>
  <c r="H2864" i="11"/>
  <c r="H2863" i="11"/>
  <c r="H2862" i="11"/>
  <c r="H2861" i="11"/>
  <c r="H2860" i="11"/>
  <c r="H2859" i="11"/>
  <c r="H2858" i="11"/>
  <c r="H2857" i="11"/>
  <c r="H2856" i="11"/>
  <c r="H2855" i="11"/>
  <c r="H2854" i="11"/>
  <c r="H2853" i="11"/>
  <c r="H2852" i="11"/>
  <c r="H2851" i="11"/>
  <c r="H2850" i="11"/>
  <c r="H2849" i="11"/>
  <c r="H2848" i="11"/>
  <c r="H2847" i="11"/>
  <c r="H2846" i="11"/>
  <c r="H2845" i="11"/>
  <c r="H2844" i="11"/>
  <c r="H2843" i="11"/>
  <c r="H2842" i="11"/>
  <c r="H2841" i="11"/>
  <c r="H2840" i="11"/>
  <c r="H2839" i="11"/>
  <c r="H2838" i="11"/>
  <c r="H2837" i="11"/>
  <c r="H2836" i="11"/>
  <c r="H2835" i="11"/>
  <c r="H2834" i="11"/>
  <c r="H2833" i="11"/>
  <c r="H2832" i="11"/>
  <c r="H2831" i="11"/>
  <c r="H2830" i="11"/>
  <c r="H2829" i="11"/>
  <c r="H2828" i="11"/>
  <c r="H2827" i="11"/>
  <c r="H2826" i="11"/>
  <c r="H2825" i="11"/>
  <c r="H2824" i="11"/>
  <c r="H2823" i="11"/>
  <c r="H2822" i="11"/>
  <c r="H2821" i="11"/>
  <c r="H2820" i="11"/>
  <c r="H2819" i="11"/>
  <c r="H2818" i="11"/>
  <c r="H2817" i="11"/>
  <c r="H2816" i="11"/>
  <c r="H2815" i="11"/>
  <c r="H2814" i="11"/>
  <c r="H2813" i="11"/>
  <c r="H2812" i="11"/>
  <c r="H2811" i="11"/>
  <c r="H2810" i="11"/>
  <c r="H2809" i="11"/>
  <c r="H2808" i="11"/>
  <c r="H2807" i="11"/>
  <c r="H2806" i="11"/>
  <c r="H2805" i="11"/>
  <c r="H2804" i="11"/>
  <c r="H2803" i="11"/>
  <c r="H2802" i="11"/>
  <c r="H2801" i="11"/>
  <c r="H2800" i="11"/>
  <c r="H2799" i="11"/>
  <c r="H2798" i="11"/>
  <c r="H2797" i="11"/>
  <c r="H2796" i="11"/>
  <c r="H2795" i="11"/>
  <c r="H2794" i="11"/>
  <c r="H2793" i="11"/>
  <c r="H2792" i="11"/>
  <c r="H2791" i="11"/>
  <c r="H2790" i="11"/>
  <c r="H2789" i="11"/>
  <c r="H2788" i="11"/>
  <c r="H2787" i="11"/>
  <c r="H2786" i="11"/>
  <c r="H2785" i="11"/>
  <c r="H2784" i="11"/>
  <c r="H2783" i="11"/>
  <c r="H2782" i="11"/>
  <c r="H2781" i="11"/>
  <c r="H2780" i="11"/>
  <c r="H2779" i="11"/>
  <c r="H2778" i="11"/>
  <c r="H2777" i="11"/>
  <c r="H2776" i="11"/>
  <c r="H2775" i="11"/>
  <c r="H2774" i="11"/>
  <c r="H2773" i="11"/>
  <c r="H2772" i="11"/>
  <c r="H2771" i="11"/>
  <c r="H2770" i="11"/>
  <c r="H2769" i="11"/>
  <c r="H2768" i="11"/>
  <c r="H2767" i="11"/>
  <c r="H2766" i="11"/>
  <c r="H2765" i="11"/>
  <c r="H2764" i="11"/>
  <c r="H2763" i="11"/>
  <c r="H2762" i="11"/>
  <c r="H2761" i="11"/>
  <c r="H2760" i="11"/>
  <c r="H2759" i="11"/>
  <c r="H2758" i="11"/>
  <c r="H2757" i="11"/>
  <c r="H2756" i="11"/>
  <c r="H2755" i="11"/>
  <c r="H2754" i="11"/>
  <c r="H2753" i="11"/>
  <c r="H2752" i="11"/>
  <c r="H2751" i="11"/>
  <c r="H2750" i="11"/>
  <c r="H2749" i="11"/>
  <c r="H2748" i="11"/>
  <c r="H2747" i="11"/>
  <c r="H2746" i="11"/>
  <c r="H2745" i="11"/>
  <c r="H2744" i="11"/>
  <c r="H2743" i="11"/>
  <c r="H2742" i="11"/>
  <c r="H2741" i="11"/>
  <c r="H2740" i="11"/>
  <c r="H2739" i="11"/>
  <c r="H2738" i="11"/>
  <c r="H2737" i="11"/>
  <c r="H2736" i="11"/>
  <c r="H2735" i="11"/>
  <c r="H2734" i="11"/>
  <c r="H2733" i="11"/>
  <c r="H2732" i="11"/>
  <c r="H2731" i="11"/>
  <c r="H2730" i="11"/>
  <c r="H2729" i="11"/>
  <c r="H2728" i="11"/>
  <c r="H2727" i="11"/>
  <c r="H2726" i="11"/>
  <c r="H2725" i="11"/>
  <c r="H2724" i="11"/>
  <c r="H2723" i="11"/>
  <c r="H2722" i="11"/>
  <c r="H2721" i="11"/>
  <c r="H2720" i="11"/>
  <c r="H2719" i="11"/>
  <c r="H2718" i="11"/>
  <c r="H2717" i="11"/>
  <c r="H2716" i="11"/>
  <c r="H2715" i="11"/>
  <c r="H2714" i="11"/>
  <c r="H2713" i="11"/>
  <c r="H2712" i="11"/>
  <c r="H2711" i="11"/>
  <c r="H2710" i="11"/>
  <c r="H2709" i="11"/>
  <c r="H2708" i="11"/>
  <c r="H2707" i="11"/>
  <c r="H2706" i="11"/>
  <c r="H2705" i="11"/>
  <c r="H2704" i="11"/>
  <c r="H2703" i="11"/>
  <c r="H2702" i="11"/>
  <c r="H2701" i="11"/>
  <c r="H2700" i="11"/>
  <c r="H2699" i="11"/>
  <c r="H2698" i="11"/>
  <c r="H2697" i="11"/>
  <c r="H2696" i="11"/>
  <c r="H2695" i="11"/>
  <c r="H2694" i="11"/>
  <c r="H2693" i="11"/>
  <c r="H2692" i="11"/>
  <c r="H2691" i="11"/>
  <c r="H2690" i="11"/>
  <c r="H2689" i="11"/>
  <c r="H2688" i="11"/>
  <c r="H2687" i="11"/>
  <c r="H2686" i="11"/>
  <c r="H2685" i="11"/>
  <c r="H2684" i="11"/>
  <c r="H2683" i="11"/>
  <c r="H2682" i="11"/>
  <c r="H2681" i="11"/>
  <c r="H2680" i="11"/>
  <c r="H2679" i="11"/>
  <c r="H2678" i="11"/>
  <c r="H2677" i="11"/>
  <c r="H2676" i="11"/>
  <c r="H2675" i="11"/>
  <c r="H2674" i="11"/>
  <c r="H2673" i="11"/>
  <c r="H2672" i="11"/>
  <c r="H2671" i="11"/>
  <c r="H2670" i="11"/>
  <c r="H2669" i="11"/>
  <c r="H2668" i="11"/>
  <c r="H2667" i="11"/>
  <c r="H2666" i="11"/>
  <c r="H2665" i="11"/>
  <c r="H2664" i="11"/>
  <c r="H2663" i="11"/>
  <c r="H2662" i="11"/>
  <c r="H2661" i="11"/>
  <c r="H2660" i="11"/>
  <c r="H2659" i="11"/>
  <c r="H2658" i="11"/>
  <c r="H2657" i="11"/>
  <c r="H2656" i="11"/>
  <c r="H2655" i="11"/>
  <c r="H2654" i="11"/>
  <c r="H2653" i="11"/>
  <c r="H2652" i="11"/>
  <c r="H2651" i="11"/>
  <c r="H2650" i="11"/>
  <c r="H2649" i="11"/>
  <c r="H2648" i="11"/>
  <c r="H2647" i="11"/>
  <c r="H2646" i="11"/>
  <c r="H2645" i="11"/>
  <c r="H2644" i="11"/>
  <c r="H2643" i="11"/>
  <c r="H2642" i="11"/>
  <c r="H2641" i="11"/>
  <c r="H2640" i="11"/>
  <c r="H2639" i="11"/>
  <c r="H2638" i="11"/>
  <c r="H2637" i="11"/>
  <c r="H2636" i="11"/>
  <c r="H2635" i="11"/>
  <c r="H2634" i="11"/>
  <c r="H2633" i="11"/>
  <c r="H2632" i="11"/>
  <c r="H2631" i="11"/>
  <c r="H2630" i="11"/>
  <c r="H2629" i="11"/>
  <c r="H2628" i="11"/>
  <c r="H2627" i="11"/>
  <c r="H2626" i="11"/>
  <c r="H2625" i="11"/>
  <c r="H2624" i="11"/>
  <c r="H2623" i="11"/>
  <c r="H2622" i="11"/>
  <c r="H2621" i="11"/>
  <c r="H2620" i="11"/>
  <c r="H2619" i="11"/>
  <c r="H2618" i="11"/>
  <c r="H2617" i="11"/>
  <c r="H2616" i="11"/>
  <c r="H2615" i="11"/>
  <c r="H2614" i="11"/>
  <c r="H2613" i="11"/>
  <c r="H2612" i="11"/>
  <c r="H2611" i="11"/>
  <c r="H2610" i="11"/>
  <c r="H2609" i="11"/>
  <c r="H2608" i="11"/>
  <c r="H2607" i="11"/>
  <c r="H2606" i="11"/>
  <c r="H2605" i="11"/>
  <c r="H2604" i="11"/>
  <c r="H2603" i="11"/>
  <c r="H2602" i="11"/>
  <c r="H2601" i="11"/>
  <c r="H2600" i="11"/>
  <c r="H2599" i="11"/>
  <c r="H2598" i="11"/>
  <c r="H2597" i="11"/>
  <c r="H2596" i="11"/>
  <c r="H2595" i="11"/>
  <c r="H2594" i="11"/>
  <c r="H2593" i="11"/>
  <c r="H2592" i="11"/>
  <c r="H2591" i="11"/>
  <c r="H2590" i="11"/>
  <c r="H2589" i="11"/>
  <c r="H2588" i="11"/>
  <c r="H2587" i="11"/>
  <c r="H2586" i="11"/>
  <c r="H2585" i="11"/>
  <c r="H2584" i="11"/>
  <c r="H2583" i="11"/>
  <c r="H2582" i="11"/>
  <c r="H2581" i="11"/>
  <c r="H2580" i="11"/>
  <c r="H2579" i="11"/>
  <c r="H2578" i="11"/>
  <c r="H2577" i="11"/>
  <c r="H2576" i="11"/>
  <c r="H2575" i="11"/>
  <c r="H2574" i="11"/>
  <c r="H2573" i="11"/>
  <c r="H2572" i="11"/>
  <c r="H2571" i="11"/>
  <c r="H2570" i="11"/>
  <c r="H2569" i="11"/>
  <c r="H2568" i="11"/>
  <c r="H2567" i="11"/>
  <c r="H2566" i="11"/>
  <c r="H2565" i="11"/>
  <c r="H2564" i="11"/>
  <c r="H2563" i="11"/>
  <c r="H2562" i="11"/>
  <c r="H2561" i="11"/>
  <c r="H2560" i="11"/>
  <c r="H2559" i="11"/>
  <c r="H2558" i="11"/>
  <c r="H2557" i="11"/>
  <c r="H2556" i="11"/>
  <c r="H2555" i="11"/>
  <c r="H2554" i="11"/>
  <c r="H2553" i="11"/>
  <c r="H2552" i="11"/>
  <c r="H2551" i="11"/>
  <c r="H2550" i="11"/>
  <c r="H2549" i="11"/>
  <c r="H2548" i="11"/>
  <c r="H2547" i="11"/>
  <c r="H2546" i="11"/>
  <c r="H2545" i="11"/>
  <c r="H2544" i="11"/>
  <c r="H2543" i="11"/>
  <c r="H2542" i="11"/>
  <c r="H2541" i="11"/>
  <c r="H2540" i="11"/>
  <c r="H2539" i="11"/>
  <c r="H2538" i="11"/>
  <c r="H2537" i="11"/>
  <c r="H2536" i="11"/>
  <c r="H2535" i="11"/>
  <c r="H2534" i="11"/>
  <c r="H2533" i="11"/>
  <c r="H2532" i="11"/>
  <c r="H2531" i="11"/>
  <c r="H2530" i="11"/>
  <c r="H2529" i="11"/>
  <c r="H2528" i="11"/>
  <c r="H2527" i="11"/>
  <c r="H2526" i="11"/>
  <c r="H2525" i="11"/>
  <c r="H2524" i="11"/>
  <c r="H2523" i="11"/>
  <c r="H2522" i="11"/>
  <c r="H2521" i="11"/>
  <c r="H2520" i="11"/>
  <c r="H2519" i="11"/>
  <c r="H2518" i="11"/>
  <c r="H2517" i="11"/>
  <c r="H2516" i="11"/>
  <c r="H2515" i="11"/>
  <c r="H2514" i="11"/>
  <c r="H2513" i="11"/>
  <c r="H2512" i="11"/>
  <c r="H2511" i="11"/>
  <c r="H2510" i="11"/>
  <c r="H2509" i="11"/>
  <c r="H2508" i="11"/>
  <c r="H2507" i="11"/>
  <c r="H2506" i="11"/>
  <c r="H2505" i="11"/>
  <c r="H2504" i="11"/>
  <c r="H2503" i="11"/>
  <c r="H2502" i="11"/>
  <c r="H2501" i="11"/>
  <c r="H2500" i="11"/>
  <c r="H2499" i="11"/>
  <c r="H2498" i="11"/>
  <c r="H2497" i="11"/>
  <c r="H2496" i="11"/>
  <c r="H2495" i="11"/>
  <c r="H2494" i="11"/>
  <c r="H2493" i="11"/>
  <c r="H2492" i="11"/>
  <c r="H2491" i="11"/>
  <c r="H2490" i="11"/>
  <c r="H2489" i="11"/>
  <c r="H2488" i="11"/>
  <c r="H2487" i="11"/>
  <c r="H2486" i="11"/>
  <c r="H2485" i="11"/>
  <c r="H2484" i="11"/>
  <c r="H2483" i="11"/>
  <c r="H2482" i="11"/>
  <c r="H2481" i="11"/>
  <c r="H2480" i="11"/>
  <c r="H2479" i="11"/>
  <c r="H2478" i="11"/>
  <c r="H2477" i="11"/>
  <c r="H2476" i="11"/>
  <c r="H2475" i="11"/>
  <c r="H2474" i="11"/>
  <c r="H2473" i="11"/>
  <c r="H2472" i="11"/>
  <c r="H2471" i="11"/>
  <c r="H2470" i="11"/>
  <c r="H2469" i="11"/>
  <c r="H2468" i="11"/>
  <c r="H2467" i="11"/>
  <c r="H2466" i="11"/>
  <c r="H2465" i="11"/>
  <c r="H2464" i="11"/>
  <c r="H2463" i="11"/>
  <c r="H2462" i="11"/>
  <c r="H2461" i="11"/>
  <c r="H2460" i="11"/>
  <c r="H2459" i="11"/>
  <c r="H2458" i="11"/>
  <c r="H2457" i="11"/>
  <c r="H2456" i="11"/>
  <c r="H2455" i="11"/>
  <c r="H2454" i="11"/>
  <c r="H2453" i="11"/>
  <c r="H2452" i="11"/>
  <c r="H2451" i="11"/>
  <c r="H2450" i="11"/>
  <c r="H2449" i="11"/>
  <c r="H2448" i="11"/>
  <c r="H2447" i="11"/>
  <c r="H2446" i="11"/>
  <c r="H2445" i="11"/>
  <c r="H2444" i="11"/>
  <c r="H2443" i="11"/>
  <c r="H2442" i="11"/>
  <c r="H2441" i="11"/>
  <c r="H2440" i="11"/>
  <c r="H2439" i="11"/>
  <c r="H2438" i="11"/>
  <c r="H2437" i="11"/>
  <c r="H2436" i="11"/>
  <c r="H2435" i="11"/>
  <c r="H2434" i="11"/>
  <c r="H2433" i="11"/>
  <c r="H2432" i="11"/>
  <c r="H2431" i="11"/>
  <c r="H2430" i="11"/>
  <c r="H2429" i="11"/>
  <c r="H2428" i="11"/>
  <c r="H2427" i="11"/>
  <c r="H2426" i="11"/>
  <c r="H2425" i="11"/>
  <c r="H2424" i="11"/>
  <c r="H2423" i="11"/>
  <c r="H2422" i="11"/>
  <c r="H2421" i="11"/>
  <c r="H2420" i="11"/>
  <c r="H2419" i="11"/>
  <c r="H2418" i="11"/>
  <c r="H2417" i="11"/>
  <c r="H2416" i="11"/>
  <c r="H2415" i="11"/>
  <c r="H2414" i="11"/>
  <c r="H2413" i="11"/>
  <c r="H2412" i="11"/>
  <c r="H2411" i="11"/>
  <c r="H2410" i="11"/>
  <c r="H2409" i="11"/>
  <c r="H2408" i="11"/>
  <c r="H2407" i="11"/>
  <c r="H2406" i="11"/>
  <c r="H2405" i="11"/>
  <c r="H2404" i="11"/>
  <c r="H2403" i="11"/>
  <c r="H2402" i="11"/>
  <c r="H2401" i="11"/>
  <c r="H2400" i="11"/>
  <c r="H2399" i="11"/>
  <c r="H2398" i="11"/>
  <c r="H2397" i="11"/>
  <c r="H2396" i="11"/>
  <c r="H2395" i="11"/>
  <c r="H2394" i="11"/>
  <c r="H2393" i="11"/>
  <c r="H2392" i="11"/>
  <c r="H2391" i="11"/>
  <c r="H2390" i="11"/>
  <c r="H2389" i="11"/>
  <c r="H2388" i="11"/>
  <c r="H2387" i="11"/>
  <c r="H2386" i="11"/>
  <c r="H2385" i="11"/>
  <c r="H2384" i="11"/>
  <c r="H2383" i="11"/>
  <c r="H2382" i="11"/>
  <c r="H2381" i="11"/>
  <c r="H2380" i="11"/>
  <c r="H2379" i="11"/>
  <c r="H2378" i="11"/>
  <c r="H2377" i="11"/>
  <c r="H2376" i="11"/>
  <c r="H2375" i="11"/>
  <c r="H2374" i="11"/>
  <c r="H2373" i="11"/>
  <c r="H2372" i="11"/>
  <c r="H2371" i="11"/>
  <c r="H2370" i="11"/>
  <c r="H2369" i="11"/>
  <c r="H2368" i="11"/>
  <c r="H2367" i="11"/>
  <c r="H2366" i="11"/>
  <c r="H2365" i="11"/>
  <c r="H2364" i="11"/>
  <c r="H2363" i="11"/>
  <c r="H2362" i="11"/>
  <c r="H2361" i="11"/>
  <c r="H2360" i="11"/>
  <c r="H2359" i="11"/>
  <c r="H2358" i="11"/>
  <c r="H2357" i="11"/>
  <c r="H2356" i="11"/>
  <c r="H2355" i="11"/>
  <c r="H2354" i="11"/>
  <c r="H2353" i="11"/>
  <c r="H2352" i="11"/>
  <c r="H2351" i="11"/>
  <c r="H2350" i="11"/>
  <c r="H2349" i="11"/>
  <c r="H2348" i="11"/>
  <c r="H2347" i="11"/>
  <c r="H2346" i="11"/>
  <c r="H2345" i="11"/>
  <c r="H2344" i="11"/>
  <c r="H2343" i="11"/>
  <c r="H2342" i="11"/>
  <c r="H2341" i="11"/>
  <c r="H2340" i="11"/>
  <c r="H2339" i="11"/>
  <c r="H2338" i="11"/>
  <c r="H2337" i="11"/>
  <c r="H2336" i="11"/>
  <c r="H2335" i="11"/>
  <c r="H2334" i="11"/>
  <c r="H2333" i="11"/>
  <c r="H2332" i="11"/>
  <c r="H2331" i="11"/>
  <c r="H2330" i="11"/>
  <c r="H2329" i="11"/>
  <c r="H2328" i="11"/>
  <c r="H2327" i="11"/>
  <c r="H2326" i="11"/>
  <c r="H2325" i="11"/>
  <c r="H2324" i="11"/>
  <c r="H2323" i="11"/>
  <c r="H2322" i="11"/>
  <c r="H2321" i="11"/>
  <c r="H2320" i="11"/>
  <c r="H2319" i="11"/>
  <c r="H2318" i="11"/>
  <c r="H2317" i="11"/>
  <c r="H2316" i="11"/>
  <c r="H2315" i="11"/>
  <c r="H2314" i="11"/>
  <c r="H2313" i="11"/>
  <c r="H2312" i="11"/>
  <c r="H2311" i="11"/>
  <c r="H2310" i="11"/>
  <c r="H2309" i="11"/>
  <c r="H2308" i="11"/>
  <c r="H2307" i="11"/>
  <c r="H2306" i="11"/>
  <c r="H2305" i="11"/>
  <c r="H2304" i="11"/>
  <c r="H2303" i="11"/>
  <c r="H2302" i="11"/>
  <c r="H2301" i="11"/>
  <c r="H2300" i="11"/>
  <c r="H2299" i="11"/>
  <c r="H2298" i="11"/>
  <c r="H2297" i="11"/>
  <c r="H2296" i="11"/>
  <c r="H2295" i="11"/>
  <c r="H2294" i="11"/>
  <c r="H2293" i="11"/>
  <c r="H2292" i="11"/>
  <c r="H2291" i="11"/>
  <c r="H2290" i="11"/>
  <c r="H2289" i="11"/>
  <c r="H2288" i="11"/>
  <c r="H2287" i="11"/>
  <c r="H2286" i="11"/>
  <c r="H2285" i="11"/>
  <c r="H2284" i="11"/>
  <c r="H2283" i="11"/>
  <c r="H2282" i="11"/>
  <c r="H2281" i="11"/>
  <c r="H2280" i="11"/>
  <c r="H2279" i="11"/>
  <c r="H2278" i="11"/>
  <c r="H2277" i="11"/>
  <c r="H2276" i="11"/>
  <c r="H2275" i="11"/>
  <c r="H2274" i="11"/>
  <c r="H2273" i="11"/>
  <c r="H2272" i="11"/>
  <c r="H2271" i="11"/>
  <c r="H2270" i="11"/>
  <c r="H2269" i="11"/>
  <c r="H2268" i="11"/>
  <c r="H2267" i="11"/>
  <c r="H2266" i="11"/>
  <c r="H2265" i="11"/>
  <c r="H2264" i="11"/>
  <c r="H2263" i="11"/>
  <c r="H2262" i="11"/>
  <c r="H2261" i="11"/>
  <c r="H2260" i="11"/>
  <c r="H2259" i="11"/>
  <c r="H2258" i="11"/>
  <c r="H2257" i="11"/>
  <c r="H2256" i="11"/>
  <c r="H2255" i="11"/>
  <c r="H2254" i="11"/>
  <c r="H2253" i="11"/>
  <c r="H2252" i="11"/>
  <c r="H2251" i="11"/>
  <c r="H2250" i="11"/>
  <c r="H2249" i="11"/>
  <c r="H2248" i="11"/>
  <c r="H2247" i="11"/>
  <c r="H2246" i="11"/>
  <c r="H2245" i="11"/>
  <c r="H2244" i="11"/>
  <c r="H2243" i="11"/>
  <c r="H2242" i="11"/>
  <c r="H2241" i="11"/>
  <c r="H2240" i="11"/>
  <c r="H2239" i="11"/>
  <c r="H2238" i="11"/>
  <c r="H2237" i="11"/>
  <c r="H2236" i="11"/>
  <c r="H2235" i="11"/>
  <c r="H2234" i="11"/>
  <c r="H2233" i="11"/>
  <c r="H2232" i="11"/>
  <c r="H2231" i="11"/>
  <c r="H2230" i="11"/>
  <c r="H2229" i="11"/>
  <c r="H2228" i="11"/>
  <c r="H2227" i="11"/>
  <c r="H2226" i="11"/>
  <c r="H2225" i="11"/>
  <c r="H2224" i="11"/>
  <c r="H2223" i="11"/>
  <c r="H2222" i="11"/>
  <c r="H2221" i="11"/>
  <c r="H2220" i="11"/>
  <c r="H2219" i="11"/>
  <c r="H2218" i="11"/>
  <c r="H2217" i="11"/>
  <c r="H2216" i="11"/>
  <c r="H2215" i="11"/>
  <c r="H2214" i="11"/>
  <c r="H2213" i="11"/>
  <c r="H2212" i="11"/>
  <c r="H2211" i="11"/>
  <c r="H2210" i="11"/>
  <c r="H2209" i="11"/>
  <c r="H2208" i="11"/>
  <c r="H2207" i="11"/>
  <c r="H2206" i="11"/>
  <c r="H2205" i="11"/>
  <c r="H2204" i="11"/>
  <c r="H2203" i="11"/>
  <c r="H2202" i="11"/>
  <c r="H2201" i="11"/>
  <c r="H2200" i="11"/>
  <c r="H2199" i="11"/>
  <c r="H2198" i="11"/>
  <c r="H2197" i="11"/>
  <c r="H2196" i="11"/>
  <c r="H2195" i="11"/>
  <c r="H2194" i="11"/>
  <c r="H2193" i="11"/>
  <c r="H2192" i="11"/>
  <c r="H2191" i="11"/>
  <c r="H2190" i="11"/>
  <c r="H2189" i="11"/>
  <c r="H2188" i="11"/>
  <c r="H2187" i="11"/>
  <c r="H2186" i="11"/>
  <c r="H2185" i="11"/>
  <c r="H2184" i="11"/>
  <c r="H2183" i="11"/>
  <c r="H2182" i="11"/>
  <c r="H2181" i="11"/>
  <c r="H2180" i="11"/>
  <c r="H2179" i="11"/>
  <c r="H2178" i="11"/>
  <c r="H2177" i="11"/>
  <c r="H2176" i="11"/>
  <c r="H2175" i="11"/>
  <c r="H2174" i="11"/>
  <c r="H2173" i="11"/>
  <c r="H2172" i="11"/>
  <c r="H2171" i="11"/>
  <c r="H2170" i="11"/>
  <c r="H2169" i="11"/>
  <c r="H2168" i="11"/>
  <c r="H2167" i="11"/>
  <c r="H2166" i="11"/>
  <c r="H2165" i="11"/>
  <c r="H2164" i="11"/>
  <c r="H2163" i="11"/>
  <c r="H2162" i="11"/>
  <c r="H2161" i="11"/>
  <c r="H2160" i="11"/>
  <c r="H2159" i="11"/>
  <c r="H2158" i="11"/>
  <c r="H2157" i="11"/>
  <c r="H2156" i="11"/>
  <c r="H2155" i="11"/>
  <c r="H2154" i="11"/>
  <c r="H2153" i="11"/>
  <c r="H2152" i="11"/>
  <c r="H2151" i="11"/>
  <c r="H2150" i="11"/>
  <c r="H2149" i="11"/>
  <c r="H2148" i="11"/>
  <c r="H2147" i="11"/>
  <c r="H2146" i="11"/>
  <c r="H2145" i="11"/>
  <c r="H2144" i="11"/>
  <c r="H2143" i="11"/>
  <c r="H2142" i="11"/>
  <c r="H2141" i="11"/>
  <c r="H2140" i="11"/>
  <c r="H2139" i="11"/>
  <c r="H2138" i="11"/>
  <c r="H2137" i="11"/>
  <c r="H2136" i="11"/>
  <c r="H2135" i="11"/>
  <c r="H2134" i="11"/>
  <c r="H2133" i="11"/>
  <c r="H2132" i="11"/>
  <c r="H2131" i="11"/>
  <c r="H2130" i="11"/>
  <c r="H2129" i="11"/>
  <c r="H2128" i="11"/>
  <c r="H2127" i="11"/>
  <c r="H2126" i="11"/>
  <c r="H2125" i="11"/>
  <c r="H2124" i="11"/>
  <c r="H2123" i="11"/>
  <c r="H2122" i="11"/>
  <c r="H2121" i="11"/>
  <c r="H2120" i="11"/>
  <c r="H2119" i="11"/>
  <c r="H2118" i="11"/>
  <c r="H2117" i="11"/>
  <c r="H2116" i="11"/>
  <c r="H2115" i="11"/>
  <c r="H2114" i="11"/>
  <c r="H2113" i="11"/>
  <c r="H2112" i="11"/>
  <c r="H2111" i="11"/>
  <c r="H2110" i="11"/>
  <c r="H2109" i="11"/>
  <c r="H2108" i="11"/>
  <c r="H2107" i="11"/>
  <c r="H2106" i="11"/>
  <c r="H2105" i="11"/>
  <c r="H2104" i="11"/>
  <c r="H2103" i="11"/>
  <c r="H2102" i="11"/>
  <c r="H2101" i="11"/>
  <c r="H2100" i="11"/>
  <c r="H2099" i="11"/>
  <c r="H2098" i="11"/>
  <c r="H2097" i="11"/>
  <c r="H2096" i="11"/>
  <c r="H2095" i="11"/>
  <c r="H2094" i="11"/>
  <c r="H2093" i="11"/>
  <c r="H2092" i="11"/>
  <c r="H2091" i="11"/>
  <c r="H2090" i="11"/>
  <c r="H2089" i="11"/>
  <c r="H2088" i="11"/>
  <c r="H2087" i="11"/>
  <c r="H2086" i="11"/>
  <c r="H2085" i="11"/>
  <c r="H2084" i="11"/>
  <c r="H2083" i="11"/>
  <c r="H2082" i="11"/>
  <c r="H2081" i="11"/>
  <c r="H2080" i="11"/>
  <c r="H2079" i="11"/>
  <c r="H2078" i="11"/>
  <c r="H2077" i="11"/>
  <c r="H2076" i="11"/>
  <c r="H2075" i="11"/>
  <c r="H2074" i="11"/>
  <c r="H2073" i="11"/>
  <c r="H2072" i="11"/>
  <c r="H2071" i="11"/>
  <c r="H2070" i="11"/>
  <c r="H2069" i="11"/>
  <c r="H2068" i="11"/>
  <c r="H2067" i="11"/>
  <c r="H2066" i="11"/>
  <c r="H2065" i="11"/>
  <c r="H2064" i="11"/>
  <c r="H2063" i="11"/>
  <c r="H2062" i="11"/>
  <c r="H2061" i="11"/>
  <c r="H2060" i="11"/>
  <c r="H2059" i="11"/>
  <c r="H2058" i="11"/>
  <c r="H2057" i="11"/>
  <c r="H2056" i="11"/>
  <c r="H2055" i="11"/>
  <c r="H2054" i="11"/>
  <c r="H2053" i="11"/>
  <c r="H2052" i="11"/>
  <c r="H2051" i="11"/>
  <c r="H2050" i="11"/>
  <c r="H2049" i="11"/>
  <c r="H2048" i="11"/>
  <c r="H2047" i="11"/>
  <c r="H2046" i="11"/>
  <c r="H2045" i="11"/>
  <c r="H2044" i="11"/>
  <c r="H2043" i="11"/>
  <c r="H2042" i="11"/>
  <c r="H2041" i="11"/>
  <c r="H2040" i="11"/>
  <c r="H2039" i="11"/>
  <c r="H2038" i="11"/>
  <c r="H2037" i="11"/>
  <c r="H2036" i="11"/>
  <c r="H2035" i="11"/>
  <c r="H2034" i="11"/>
  <c r="H2033" i="11"/>
  <c r="H2032" i="11"/>
  <c r="H2031" i="11"/>
  <c r="H2030" i="11"/>
  <c r="H2029" i="11"/>
  <c r="H2028" i="11"/>
  <c r="H2027" i="11"/>
  <c r="H2026" i="11"/>
  <c r="H2025" i="11"/>
  <c r="H2024" i="11"/>
  <c r="H2023" i="11"/>
  <c r="H2022" i="11"/>
  <c r="H2021" i="11"/>
  <c r="H2020" i="11"/>
  <c r="H2019" i="11"/>
  <c r="H2018" i="11"/>
  <c r="H2017" i="11"/>
  <c r="H2016" i="11"/>
  <c r="H2015" i="11"/>
  <c r="H2014" i="11"/>
  <c r="H2013" i="11"/>
  <c r="H2012" i="11"/>
  <c r="H2011" i="11"/>
  <c r="H2010" i="11"/>
  <c r="H2009" i="11"/>
  <c r="H2008" i="11"/>
  <c r="H2007" i="11"/>
  <c r="H2006" i="11"/>
  <c r="H2005" i="11"/>
  <c r="H2004" i="11"/>
  <c r="H2003" i="11"/>
  <c r="H2002" i="11"/>
  <c r="H2001" i="11"/>
  <c r="H2000" i="11"/>
  <c r="H1999" i="11"/>
  <c r="H1998" i="11"/>
  <c r="H1997" i="11"/>
  <c r="H1996" i="11"/>
  <c r="H1995" i="11"/>
  <c r="H1994" i="11"/>
  <c r="H1993" i="11"/>
  <c r="H1992" i="11"/>
  <c r="H1991" i="11"/>
  <c r="H1990" i="11"/>
  <c r="H1989" i="11"/>
  <c r="H1988" i="11"/>
  <c r="H1987" i="11"/>
  <c r="H1986" i="11"/>
  <c r="H1985" i="11"/>
  <c r="H1984" i="11"/>
  <c r="H1983" i="11"/>
  <c r="H1982" i="11"/>
  <c r="H1981" i="11"/>
  <c r="H1980" i="11"/>
  <c r="H1979" i="11"/>
  <c r="H1978" i="11"/>
  <c r="H1977" i="11"/>
  <c r="H1976" i="11"/>
  <c r="H1975" i="11"/>
  <c r="H1974" i="11"/>
  <c r="H1973" i="11"/>
  <c r="H1972" i="11"/>
  <c r="H1971" i="11"/>
  <c r="H1970" i="11"/>
  <c r="H1969" i="11"/>
  <c r="H1968" i="11"/>
  <c r="H1967" i="11"/>
  <c r="H1966" i="11"/>
  <c r="H1965" i="11"/>
  <c r="H1964" i="11"/>
  <c r="H1963" i="11"/>
  <c r="H1962" i="11"/>
  <c r="H1961" i="11"/>
  <c r="H1960" i="11"/>
  <c r="H1959" i="11"/>
  <c r="H1958" i="11"/>
  <c r="H1957" i="11"/>
  <c r="H1956" i="11"/>
  <c r="H1955" i="11"/>
  <c r="H1954" i="11"/>
  <c r="H1953" i="11"/>
  <c r="H1952" i="11"/>
  <c r="H1951" i="11"/>
  <c r="H1950" i="11"/>
  <c r="H1949" i="11"/>
  <c r="H1948" i="11"/>
  <c r="H1947" i="11"/>
  <c r="H1946" i="11"/>
  <c r="H1945" i="11"/>
  <c r="H1944" i="11"/>
  <c r="H1943" i="11"/>
  <c r="H1942" i="11"/>
  <c r="H1941" i="11"/>
  <c r="H1940" i="11"/>
  <c r="H1939" i="11"/>
  <c r="H1938" i="11"/>
  <c r="H1937" i="11"/>
  <c r="H1936" i="11"/>
  <c r="H1935" i="11"/>
  <c r="H1934" i="11"/>
  <c r="H1933" i="11"/>
  <c r="H1932" i="11"/>
  <c r="H1931" i="11"/>
  <c r="H1930" i="11"/>
  <c r="H1929" i="11"/>
  <c r="H1928" i="11"/>
  <c r="H1927" i="11"/>
  <c r="H1926" i="11"/>
  <c r="H1925" i="11"/>
  <c r="H1924" i="11"/>
  <c r="H1923" i="11"/>
  <c r="H1922" i="11"/>
  <c r="H1921" i="11"/>
  <c r="H1920" i="11"/>
  <c r="H1919" i="11"/>
  <c r="H1918" i="11"/>
  <c r="H1917" i="11"/>
  <c r="H1916" i="11"/>
  <c r="H1915" i="11"/>
  <c r="H1914" i="11"/>
  <c r="H1913" i="11"/>
  <c r="H1912" i="11"/>
  <c r="H1911" i="11"/>
  <c r="H1910" i="11"/>
  <c r="H1909" i="11"/>
  <c r="H1908" i="11"/>
  <c r="H1907" i="11"/>
  <c r="H1906" i="11"/>
  <c r="H1905" i="11"/>
  <c r="H1904" i="11"/>
  <c r="H1903" i="11"/>
  <c r="H1902" i="11"/>
  <c r="H1901" i="11"/>
  <c r="H1900" i="11"/>
  <c r="H1899" i="11"/>
  <c r="H1898" i="11"/>
  <c r="H1897" i="11"/>
  <c r="H1896" i="11"/>
  <c r="H1895" i="11"/>
  <c r="H1894" i="11"/>
  <c r="H1893" i="11"/>
  <c r="H1892" i="11"/>
  <c r="H1891" i="11"/>
  <c r="H1890" i="11"/>
  <c r="H1889" i="11"/>
  <c r="H1888" i="11"/>
  <c r="H1887" i="11"/>
  <c r="H1886" i="11"/>
  <c r="H1885" i="11"/>
  <c r="H1884" i="11"/>
  <c r="H1883" i="11"/>
  <c r="H1882" i="11"/>
  <c r="H1881" i="11"/>
  <c r="H1880" i="11"/>
  <c r="H1879" i="11"/>
  <c r="H1878" i="11"/>
  <c r="H1877" i="11"/>
  <c r="H1876" i="11"/>
  <c r="H1875" i="11"/>
  <c r="H1874" i="11"/>
  <c r="H1873" i="11"/>
  <c r="H1872" i="11"/>
  <c r="H1871" i="11"/>
  <c r="H1870" i="11"/>
  <c r="H1869" i="11"/>
  <c r="H1868" i="11"/>
  <c r="H1867" i="11"/>
  <c r="H1866" i="11"/>
  <c r="H1865" i="11"/>
  <c r="H1864" i="11"/>
  <c r="H1863" i="11"/>
  <c r="H1862" i="11"/>
  <c r="H1861" i="11"/>
  <c r="H1860" i="11"/>
  <c r="H1859" i="11"/>
  <c r="H1858" i="11"/>
  <c r="H1857" i="11"/>
  <c r="H1856" i="11"/>
  <c r="H1855" i="11"/>
  <c r="H1854" i="11"/>
  <c r="H1853" i="11"/>
  <c r="H1852" i="11"/>
  <c r="H1851" i="11"/>
  <c r="H1850" i="11"/>
  <c r="H1849" i="11"/>
  <c r="H1848" i="11"/>
  <c r="H1847" i="11"/>
  <c r="H1846" i="11"/>
  <c r="H1845" i="11"/>
  <c r="H1844" i="11"/>
  <c r="H1843" i="11"/>
  <c r="H1842" i="11"/>
  <c r="H1841" i="11"/>
  <c r="H1840" i="11"/>
  <c r="H1839" i="11"/>
  <c r="H1838" i="11"/>
  <c r="H1837" i="11"/>
  <c r="H1836" i="11"/>
  <c r="H1835" i="11"/>
  <c r="H1834" i="11"/>
  <c r="H1833" i="11"/>
  <c r="H1832" i="11"/>
  <c r="H1831" i="11"/>
  <c r="H1830" i="11"/>
  <c r="H1829" i="11"/>
  <c r="H1828" i="11"/>
  <c r="H1827" i="11"/>
  <c r="H1826" i="11"/>
  <c r="H1825" i="11"/>
  <c r="H1824" i="11"/>
  <c r="H1823" i="11"/>
  <c r="H1822" i="11"/>
  <c r="H1821" i="11"/>
  <c r="H1820" i="11"/>
  <c r="H1819" i="11"/>
  <c r="H1818" i="11"/>
  <c r="H1817" i="11"/>
  <c r="H1816" i="11"/>
  <c r="H1815" i="11"/>
  <c r="H1814" i="11"/>
  <c r="H1813" i="11"/>
  <c r="H1812" i="11"/>
  <c r="H1811" i="11"/>
  <c r="H1810" i="11"/>
  <c r="H1809" i="11"/>
  <c r="H1808" i="11"/>
  <c r="H1807" i="11"/>
  <c r="H1806" i="11"/>
  <c r="H1805" i="11"/>
  <c r="H1804" i="11"/>
  <c r="H1803" i="11"/>
  <c r="H1802" i="11"/>
  <c r="H1801" i="11"/>
  <c r="H1800" i="11"/>
  <c r="H1799" i="11"/>
  <c r="H1798" i="11"/>
  <c r="H1797" i="11"/>
  <c r="H1796" i="11"/>
  <c r="H1795" i="11"/>
  <c r="H1794" i="11"/>
  <c r="H1793" i="11"/>
  <c r="H1792" i="11"/>
  <c r="H1791" i="11"/>
  <c r="H1790" i="11"/>
  <c r="H1789" i="11"/>
  <c r="H1788" i="11"/>
  <c r="H1787" i="11"/>
  <c r="H1786" i="11"/>
  <c r="H1785" i="11"/>
  <c r="H1784" i="11"/>
  <c r="H1783" i="11"/>
  <c r="H1782" i="11"/>
  <c r="H1781" i="11"/>
  <c r="H1780" i="11"/>
  <c r="H1779" i="11"/>
  <c r="H1778" i="11"/>
  <c r="H1777" i="11"/>
  <c r="H1776" i="11"/>
  <c r="H1775" i="11"/>
  <c r="H1774" i="11"/>
  <c r="H1773" i="11"/>
  <c r="H1772" i="11"/>
  <c r="H1771" i="11"/>
  <c r="H1770" i="11"/>
  <c r="H1769" i="11"/>
  <c r="H1768" i="11"/>
  <c r="H1767" i="11"/>
  <c r="H1766" i="11"/>
  <c r="H1765" i="11"/>
  <c r="H1764" i="11"/>
  <c r="H1763" i="11"/>
  <c r="H1762" i="11"/>
  <c r="H1761" i="11"/>
  <c r="H1760" i="11"/>
  <c r="H1759" i="11"/>
  <c r="H1758" i="11"/>
  <c r="H1757" i="11"/>
  <c r="H1756" i="11"/>
  <c r="H1755" i="11"/>
  <c r="H1754" i="11"/>
  <c r="H1753" i="11"/>
  <c r="H1752" i="11"/>
  <c r="H1751" i="11"/>
  <c r="H1750" i="11"/>
  <c r="H1749" i="11"/>
  <c r="H1748" i="11"/>
  <c r="H1747" i="11"/>
  <c r="H1746" i="11"/>
  <c r="H1745" i="11"/>
  <c r="H1744" i="11"/>
  <c r="H1743" i="11"/>
  <c r="H1742" i="11"/>
  <c r="H1741" i="11"/>
  <c r="H1740" i="11"/>
  <c r="H1739" i="11"/>
  <c r="H1738" i="11"/>
  <c r="H1737" i="11"/>
  <c r="H1736" i="11"/>
  <c r="H1735" i="11"/>
  <c r="H1734" i="11"/>
  <c r="H1733" i="11"/>
  <c r="H1732" i="11"/>
  <c r="H1731" i="11"/>
  <c r="H1730" i="11"/>
  <c r="H1729" i="11"/>
  <c r="H1728" i="11"/>
  <c r="H1727" i="11"/>
  <c r="H1726" i="11"/>
  <c r="H1725" i="11"/>
  <c r="H1724" i="11"/>
  <c r="H1723" i="11"/>
  <c r="H1722" i="11"/>
  <c r="H1721" i="11"/>
  <c r="H1720" i="11"/>
  <c r="H1719" i="11"/>
  <c r="H1718" i="11"/>
  <c r="H1717" i="11"/>
  <c r="H1716" i="11"/>
  <c r="H1715" i="11"/>
  <c r="H1714" i="11"/>
  <c r="H1713" i="11"/>
  <c r="H1712" i="11"/>
  <c r="H1711" i="11"/>
  <c r="H1710" i="11"/>
  <c r="H1709" i="11"/>
  <c r="H1708" i="11"/>
  <c r="H1707" i="11"/>
  <c r="H1706" i="11"/>
  <c r="H1705" i="11"/>
  <c r="H1704" i="11"/>
  <c r="H1703" i="11"/>
  <c r="H1702" i="11"/>
  <c r="H1701" i="11"/>
  <c r="H1700" i="11"/>
  <c r="H1699" i="11"/>
  <c r="H1698" i="11"/>
  <c r="H1697" i="11"/>
  <c r="H1696" i="11"/>
  <c r="H1695" i="11"/>
  <c r="H1694" i="11"/>
  <c r="H1693" i="11"/>
  <c r="H1692" i="11"/>
  <c r="H1691" i="11"/>
  <c r="H1690" i="11"/>
  <c r="H1689" i="11"/>
  <c r="H1688" i="11"/>
  <c r="H1687" i="11"/>
  <c r="H1686" i="11"/>
  <c r="H1685" i="11"/>
  <c r="H1684" i="11"/>
  <c r="H1683" i="11"/>
  <c r="H1682" i="11"/>
  <c r="H1681" i="11"/>
  <c r="H1680" i="11"/>
  <c r="H1679" i="11"/>
  <c r="H1678" i="11"/>
  <c r="H1677" i="11"/>
  <c r="H1676" i="11"/>
  <c r="H1675" i="11"/>
  <c r="H1674" i="11"/>
  <c r="H1673" i="11"/>
  <c r="H1672" i="11"/>
  <c r="H1671" i="11"/>
  <c r="H1670" i="11"/>
  <c r="H1669" i="11"/>
  <c r="H1668" i="11"/>
  <c r="H1667" i="11"/>
  <c r="H1666" i="11"/>
  <c r="H1665" i="11"/>
  <c r="H1664" i="11"/>
  <c r="H1663" i="11"/>
  <c r="H1662" i="11"/>
  <c r="H1661" i="11"/>
  <c r="H1660" i="11"/>
  <c r="H1659" i="11"/>
  <c r="H1658" i="11"/>
  <c r="H1657" i="11"/>
  <c r="H1656" i="11"/>
  <c r="H1655" i="11"/>
  <c r="H1654" i="11"/>
  <c r="H1653" i="11"/>
  <c r="H1652" i="11"/>
  <c r="H1651" i="11"/>
  <c r="H1650" i="11"/>
  <c r="H1649" i="11"/>
  <c r="H1648" i="11"/>
  <c r="H1647" i="11"/>
  <c r="H1646" i="11"/>
  <c r="H1645" i="11"/>
  <c r="H1644" i="11"/>
  <c r="H1643" i="11"/>
  <c r="H1642" i="11"/>
  <c r="H1641" i="11"/>
  <c r="H1640" i="11"/>
  <c r="H1639" i="11"/>
  <c r="H1638" i="11"/>
  <c r="H1637" i="11"/>
  <c r="H1636" i="11"/>
  <c r="H1635" i="11"/>
  <c r="H1634" i="11"/>
  <c r="H1633" i="11"/>
  <c r="H1632" i="11"/>
  <c r="H1631" i="11"/>
  <c r="H1630" i="11"/>
  <c r="H1629" i="11"/>
  <c r="H1628" i="11"/>
  <c r="H1627" i="11"/>
  <c r="H1626" i="11"/>
  <c r="H1625" i="11"/>
  <c r="H1624" i="11"/>
  <c r="H1623" i="11"/>
  <c r="H1622" i="11"/>
  <c r="H1621" i="11"/>
  <c r="H1620" i="11"/>
  <c r="H1619" i="11"/>
  <c r="H1618" i="11"/>
  <c r="H1617" i="11"/>
  <c r="H1616" i="11"/>
  <c r="H1615" i="11"/>
  <c r="H1614" i="11"/>
  <c r="H1613" i="11"/>
  <c r="H1612" i="11"/>
  <c r="H1611" i="11"/>
  <c r="H1610" i="11"/>
  <c r="H1609" i="11"/>
  <c r="H1608" i="11"/>
  <c r="H1607" i="11"/>
  <c r="H1606" i="11"/>
  <c r="H1605" i="11"/>
  <c r="H1604" i="11"/>
  <c r="H1603" i="11"/>
  <c r="H1602" i="11"/>
  <c r="H1601" i="11"/>
  <c r="H1600" i="11"/>
  <c r="H1599" i="11"/>
  <c r="H1598" i="11"/>
  <c r="H1597" i="11"/>
  <c r="H1596" i="11"/>
  <c r="H1595" i="11"/>
  <c r="H1594" i="11"/>
  <c r="H1593" i="11"/>
  <c r="H1592" i="11"/>
  <c r="H1591" i="11"/>
  <c r="H1590" i="11"/>
  <c r="H1589" i="11"/>
  <c r="H1588" i="11"/>
  <c r="H1587" i="11"/>
  <c r="H1586" i="11"/>
  <c r="H1585" i="11"/>
  <c r="H1584" i="11"/>
  <c r="H1583" i="11"/>
  <c r="H1582" i="11"/>
  <c r="H1581" i="11"/>
  <c r="H1580" i="11"/>
  <c r="H1579" i="11"/>
  <c r="H1578" i="11"/>
  <c r="H1577" i="11"/>
  <c r="H1576" i="11"/>
  <c r="H1575" i="11"/>
  <c r="H1574" i="11"/>
  <c r="H1573" i="11"/>
  <c r="H1572" i="11"/>
  <c r="H1571" i="11"/>
  <c r="H1570" i="11"/>
  <c r="H1569" i="11"/>
  <c r="H1568" i="11"/>
  <c r="H1567" i="11"/>
  <c r="H1566" i="11"/>
  <c r="H1565" i="11"/>
  <c r="H1564" i="11"/>
  <c r="H1563" i="11"/>
  <c r="H1562" i="11"/>
  <c r="H1561" i="11"/>
  <c r="H1560" i="11"/>
  <c r="H1559" i="11"/>
  <c r="H1558" i="11"/>
  <c r="H1557" i="11"/>
  <c r="H1556" i="11"/>
  <c r="H1555" i="11"/>
  <c r="H1554" i="11"/>
  <c r="H1553" i="11"/>
  <c r="H1552" i="11"/>
  <c r="H1551" i="11"/>
  <c r="H1550" i="11"/>
  <c r="H1549" i="11"/>
  <c r="H1548" i="11"/>
  <c r="H1547" i="11"/>
  <c r="H1546" i="11"/>
  <c r="H1545" i="11"/>
  <c r="H1544" i="11"/>
  <c r="H1543" i="11"/>
  <c r="H1542" i="11"/>
  <c r="H1541" i="11"/>
  <c r="H1540" i="11"/>
  <c r="H1539" i="11"/>
  <c r="H1538" i="11"/>
  <c r="H1537" i="11"/>
  <c r="H1536" i="11"/>
  <c r="H1535" i="11"/>
  <c r="H1534" i="11"/>
  <c r="H1533" i="11"/>
  <c r="H1532" i="11"/>
  <c r="H1531" i="11"/>
  <c r="H1530" i="11"/>
  <c r="H1529" i="11"/>
  <c r="H1528" i="11"/>
  <c r="H1527" i="11"/>
  <c r="H1526" i="11"/>
  <c r="H1525" i="11"/>
  <c r="H1524" i="11"/>
  <c r="H1523" i="11"/>
  <c r="H1522" i="11"/>
  <c r="H1521" i="11"/>
  <c r="H1520" i="11"/>
  <c r="H1519" i="11"/>
  <c r="H1518" i="11"/>
  <c r="H1517" i="11"/>
  <c r="H1516" i="11"/>
  <c r="H1515" i="11"/>
  <c r="H1514" i="11"/>
  <c r="H1513" i="11"/>
  <c r="H1512" i="11"/>
  <c r="H1511" i="11"/>
  <c r="H1510" i="11"/>
  <c r="H1509" i="11"/>
  <c r="H1508" i="11"/>
  <c r="H1507" i="11"/>
  <c r="H1506" i="11"/>
  <c r="H1505" i="11"/>
  <c r="H1504" i="11"/>
  <c r="H1503" i="11"/>
  <c r="H1502" i="11"/>
  <c r="H1501" i="11"/>
  <c r="H1500" i="11"/>
  <c r="H1499" i="11"/>
  <c r="H1498" i="11"/>
  <c r="H1497" i="11"/>
  <c r="H1496" i="11"/>
  <c r="H1495" i="11"/>
  <c r="H1494" i="11"/>
  <c r="H1493" i="11"/>
  <c r="H1492" i="11"/>
  <c r="H1491" i="11"/>
  <c r="H1490" i="11"/>
  <c r="H1489" i="11"/>
  <c r="H1488" i="11"/>
  <c r="H1487" i="11"/>
  <c r="H1486" i="11"/>
  <c r="H1485" i="11"/>
  <c r="H1484" i="11"/>
  <c r="H1483" i="11"/>
  <c r="H1482" i="11"/>
  <c r="H1481" i="11"/>
  <c r="H1480" i="11"/>
  <c r="H1479" i="11"/>
  <c r="H1478" i="11"/>
  <c r="H1477" i="11"/>
  <c r="H1476" i="11"/>
  <c r="H1475" i="11"/>
  <c r="H1474" i="11"/>
  <c r="H1473" i="11"/>
  <c r="H1472" i="11"/>
  <c r="H1471" i="11"/>
  <c r="H1470" i="11"/>
  <c r="H1469" i="11"/>
  <c r="H1468" i="11"/>
  <c r="H1467" i="11"/>
  <c r="H1466" i="11"/>
  <c r="H1465" i="11"/>
  <c r="H1464" i="11"/>
  <c r="H1463" i="11"/>
  <c r="H1462" i="11"/>
  <c r="H1461" i="11"/>
  <c r="H1460" i="11"/>
  <c r="H1459" i="11"/>
  <c r="H1458" i="11"/>
  <c r="H1457" i="11"/>
  <c r="H1456" i="11"/>
  <c r="H1455" i="11"/>
  <c r="H1454" i="11"/>
  <c r="H1453" i="11"/>
  <c r="H1452" i="11"/>
  <c r="H1451" i="11"/>
  <c r="H1450" i="11"/>
  <c r="H1449" i="11"/>
  <c r="H1448" i="11"/>
  <c r="H1447" i="11"/>
  <c r="H1446" i="11"/>
  <c r="H1445" i="11"/>
  <c r="H1444" i="11"/>
  <c r="H1443" i="11"/>
  <c r="H1442" i="11"/>
  <c r="H1441" i="11"/>
  <c r="H1440" i="11"/>
  <c r="H1439" i="11"/>
  <c r="H1438" i="11"/>
  <c r="H1437" i="11"/>
  <c r="H1436" i="11"/>
  <c r="H1435" i="11"/>
  <c r="H1434" i="11"/>
  <c r="H1433" i="11"/>
  <c r="H1432" i="11"/>
  <c r="H1431" i="11"/>
  <c r="H1430" i="11"/>
  <c r="H1429" i="11"/>
  <c r="H1428" i="11"/>
  <c r="H1427" i="11"/>
  <c r="H1426" i="11"/>
  <c r="H1425" i="11"/>
  <c r="H1424" i="11"/>
  <c r="H1423" i="11"/>
  <c r="H1422" i="11"/>
  <c r="H1421" i="11"/>
  <c r="H1420" i="11"/>
  <c r="H1419" i="11"/>
  <c r="H1418" i="11"/>
  <c r="H1417" i="11"/>
  <c r="H1416" i="11"/>
  <c r="H1415" i="11"/>
  <c r="H1414" i="11"/>
  <c r="H1413" i="11"/>
  <c r="H1412" i="11"/>
  <c r="H1411" i="11"/>
  <c r="H1410" i="11"/>
  <c r="H1409" i="11"/>
  <c r="H1408" i="11"/>
  <c r="H1407" i="11"/>
  <c r="H1406" i="11"/>
  <c r="H1405" i="11"/>
  <c r="H1404" i="11"/>
  <c r="H1403" i="11"/>
  <c r="H1402" i="11"/>
  <c r="H1401" i="11"/>
  <c r="H1400" i="11"/>
  <c r="H1399" i="11"/>
  <c r="H1398" i="11"/>
  <c r="H1397" i="11"/>
  <c r="H1396" i="11"/>
  <c r="H1395" i="11"/>
  <c r="H1394" i="11"/>
  <c r="H1393" i="11"/>
  <c r="H1392" i="11"/>
  <c r="H1391" i="11"/>
  <c r="H1390" i="11"/>
  <c r="H1389" i="11"/>
  <c r="H1388" i="11"/>
  <c r="H1387" i="11"/>
  <c r="H1386" i="11"/>
  <c r="H1385" i="11"/>
  <c r="H1384" i="11"/>
  <c r="H1383" i="11"/>
  <c r="H1382" i="11"/>
  <c r="H1381" i="11"/>
  <c r="H1380" i="11"/>
  <c r="H1379" i="11"/>
  <c r="H1378" i="11"/>
  <c r="H1377" i="11"/>
  <c r="H1376" i="11"/>
  <c r="H1375" i="11"/>
  <c r="H1374" i="11"/>
  <c r="H1373" i="11"/>
  <c r="H1372" i="11"/>
  <c r="H1371" i="11"/>
  <c r="H1370" i="11"/>
  <c r="H1369" i="11"/>
  <c r="H1368" i="11"/>
  <c r="H1367" i="11"/>
  <c r="H1366" i="11"/>
  <c r="H1365" i="11"/>
  <c r="H1364" i="11"/>
  <c r="H1363" i="11"/>
  <c r="H1362" i="11"/>
  <c r="H1361" i="11"/>
  <c r="H1360" i="11"/>
  <c r="H1359" i="11"/>
  <c r="H1358" i="11"/>
  <c r="H1357" i="11"/>
  <c r="H1356" i="11"/>
  <c r="H1355" i="11"/>
  <c r="H1354" i="11"/>
  <c r="H1353" i="11"/>
  <c r="H1352" i="11"/>
  <c r="H1351" i="11"/>
  <c r="H1350" i="11"/>
  <c r="H1349" i="11"/>
  <c r="H1348" i="11"/>
  <c r="H1347" i="11"/>
  <c r="H1346" i="11"/>
  <c r="H1345" i="11"/>
  <c r="H1344" i="11"/>
  <c r="H1343" i="11"/>
  <c r="H1342" i="11"/>
  <c r="H1341" i="11"/>
  <c r="H1340" i="11"/>
  <c r="H1339" i="11"/>
  <c r="H1338" i="11"/>
  <c r="H1337" i="11"/>
  <c r="H1336" i="11"/>
  <c r="H1335" i="11"/>
  <c r="H1334" i="11"/>
  <c r="H1333" i="11"/>
  <c r="H1332" i="11"/>
  <c r="H1331" i="11"/>
  <c r="H1330" i="11"/>
  <c r="H1329" i="11"/>
  <c r="H1328" i="11"/>
  <c r="H1327" i="11"/>
  <c r="H1326" i="11"/>
  <c r="H1325" i="11"/>
  <c r="H1324" i="11"/>
  <c r="H1323" i="11"/>
  <c r="H1322" i="11"/>
  <c r="H1321" i="11"/>
  <c r="H1320" i="11"/>
  <c r="H1319" i="11"/>
  <c r="H1318" i="11"/>
  <c r="H1317" i="11"/>
  <c r="H1316" i="11"/>
  <c r="H1315" i="11"/>
  <c r="H1314" i="11"/>
  <c r="H1313" i="11"/>
  <c r="H1312" i="11"/>
  <c r="H1311" i="11"/>
  <c r="H1310" i="11"/>
  <c r="H1309" i="11"/>
  <c r="H1308" i="11"/>
  <c r="H1307" i="11"/>
  <c r="H1306" i="11"/>
  <c r="H1305" i="11"/>
  <c r="H1304" i="11"/>
  <c r="H1303" i="11"/>
  <c r="H1302" i="11"/>
  <c r="H1301" i="11"/>
  <c r="H1300" i="11"/>
  <c r="H1299" i="11"/>
  <c r="H1298" i="11"/>
  <c r="H1297" i="11"/>
  <c r="H1296" i="11"/>
  <c r="H1295" i="11"/>
  <c r="H1294" i="11"/>
  <c r="H1293" i="11"/>
  <c r="H1292" i="11"/>
  <c r="H1291" i="11"/>
  <c r="H1290" i="11"/>
  <c r="H1289" i="11"/>
  <c r="H1288" i="11"/>
  <c r="H1287" i="11"/>
  <c r="H1286" i="11"/>
  <c r="H1285" i="11"/>
  <c r="H1284" i="11"/>
  <c r="H1283" i="11"/>
  <c r="H1282" i="11"/>
  <c r="H1281" i="11"/>
  <c r="H1280" i="11"/>
  <c r="H1279" i="11"/>
  <c r="H1278" i="11"/>
  <c r="H1277" i="11"/>
  <c r="H1276" i="11"/>
  <c r="H1275" i="11"/>
  <c r="H1274" i="11"/>
  <c r="H1273" i="11"/>
  <c r="H1272" i="11"/>
  <c r="H1271" i="11"/>
  <c r="H1270" i="11"/>
  <c r="H1269" i="11"/>
  <c r="H1268" i="11"/>
  <c r="H1267" i="11"/>
  <c r="H1266" i="11"/>
  <c r="H1265" i="11"/>
  <c r="H1264" i="11"/>
  <c r="H1263" i="11"/>
  <c r="H1262" i="11"/>
  <c r="H1261" i="11"/>
  <c r="H1260" i="11"/>
  <c r="H1259" i="11"/>
  <c r="H1258" i="11"/>
  <c r="H1257" i="11"/>
  <c r="H1256" i="11"/>
  <c r="H1255" i="11"/>
  <c r="H1254" i="11"/>
  <c r="H1253" i="11"/>
  <c r="H1252" i="11"/>
  <c r="H1251" i="11"/>
  <c r="H1250" i="11"/>
  <c r="H1249" i="11"/>
  <c r="H1248" i="11"/>
  <c r="H1247" i="11"/>
  <c r="H1246" i="11"/>
  <c r="H1245" i="11"/>
  <c r="H1244" i="11"/>
  <c r="H1243" i="11"/>
  <c r="H1242" i="11"/>
  <c r="H1241" i="11"/>
  <c r="H1240" i="11"/>
  <c r="H1239" i="11"/>
  <c r="H1238" i="11"/>
  <c r="H1237" i="11"/>
  <c r="H1236" i="11"/>
  <c r="H1235" i="11"/>
  <c r="H1234" i="11"/>
  <c r="H1233" i="11"/>
  <c r="H1232" i="11"/>
  <c r="H1231" i="11"/>
  <c r="H1230" i="11"/>
  <c r="H1229" i="11"/>
  <c r="H1228" i="11"/>
  <c r="H1227" i="11"/>
  <c r="H1226" i="11"/>
  <c r="H1225" i="11"/>
  <c r="H1224" i="11"/>
  <c r="H1223" i="11"/>
  <c r="H1222" i="11"/>
  <c r="H1221" i="11"/>
  <c r="H1220" i="11"/>
  <c r="H1219" i="11"/>
  <c r="H1218" i="11"/>
  <c r="H1217" i="11"/>
  <c r="H1216" i="11"/>
  <c r="H1215" i="11"/>
  <c r="H1214" i="11"/>
  <c r="H1213" i="11"/>
  <c r="H1212" i="11"/>
  <c r="H1211" i="11"/>
  <c r="H1210" i="11"/>
  <c r="H1209" i="11"/>
  <c r="H1208" i="11"/>
  <c r="H1207" i="11"/>
  <c r="H1206" i="11"/>
  <c r="H1205" i="11"/>
  <c r="H1204" i="11"/>
  <c r="H1203" i="11"/>
  <c r="H1202" i="11"/>
  <c r="H1201" i="11"/>
  <c r="H1200" i="11"/>
  <c r="H1199" i="11"/>
  <c r="H1198" i="11"/>
  <c r="H1197" i="11"/>
  <c r="H1196" i="11"/>
  <c r="H1195" i="11"/>
  <c r="H1194" i="11"/>
  <c r="H1193" i="11"/>
  <c r="H1192" i="11"/>
  <c r="H1191" i="11"/>
  <c r="H1190" i="11"/>
  <c r="H1189" i="11"/>
  <c r="H1188" i="11"/>
  <c r="H1187" i="11"/>
  <c r="H1186" i="11"/>
  <c r="H1185" i="11"/>
  <c r="H1184" i="11"/>
  <c r="H1183" i="11"/>
  <c r="H1182" i="11"/>
  <c r="H1181" i="11"/>
  <c r="H1180" i="11"/>
  <c r="H1179" i="11"/>
  <c r="H1178" i="11"/>
  <c r="H1177" i="11"/>
  <c r="H1176" i="11"/>
  <c r="H1175" i="11"/>
  <c r="H1174" i="11"/>
  <c r="H1173" i="11"/>
  <c r="H1172" i="11"/>
  <c r="H1171" i="11"/>
  <c r="H1170" i="11"/>
  <c r="H1169" i="11"/>
  <c r="H1168" i="11"/>
  <c r="H1167" i="11"/>
  <c r="H1166" i="11"/>
  <c r="H1165" i="11"/>
  <c r="H1164" i="11"/>
  <c r="H1163" i="11"/>
  <c r="H1162" i="11"/>
  <c r="H1161" i="11"/>
  <c r="H1160" i="11"/>
  <c r="H1159" i="11"/>
  <c r="H1158" i="11"/>
  <c r="H1157" i="11"/>
  <c r="H1156" i="11"/>
  <c r="H1155" i="11"/>
  <c r="H1154" i="11"/>
  <c r="H1153" i="11"/>
  <c r="H1152" i="11"/>
  <c r="H1151" i="11"/>
  <c r="H1150" i="11"/>
  <c r="H1149" i="11"/>
  <c r="H1148" i="11"/>
  <c r="H1147" i="11"/>
  <c r="H1146" i="11"/>
  <c r="H1145" i="11"/>
  <c r="H1144" i="11"/>
  <c r="H1143" i="11"/>
  <c r="H1142" i="11"/>
  <c r="H1141" i="11"/>
  <c r="H1140" i="11"/>
  <c r="H1139" i="11"/>
  <c r="H1138" i="11"/>
  <c r="H1137" i="11"/>
  <c r="H1136" i="11"/>
  <c r="H1135" i="11"/>
  <c r="H1134" i="11"/>
  <c r="H1133" i="11"/>
  <c r="H1132" i="11"/>
  <c r="H1131" i="11"/>
  <c r="H1130" i="11"/>
  <c r="H1129" i="11"/>
  <c r="H1128" i="11"/>
  <c r="H1127" i="11"/>
  <c r="H1126" i="11"/>
  <c r="H1125" i="11"/>
  <c r="H1124" i="11"/>
  <c r="H1123" i="11"/>
  <c r="H1122" i="11"/>
  <c r="H1121" i="11"/>
  <c r="H1120" i="11"/>
  <c r="H1119" i="11"/>
  <c r="H1118" i="11"/>
  <c r="H1117" i="11"/>
  <c r="H1116" i="11"/>
  <c r="H1115" i="11"/>
  <c r="H1114" i="11"/>
  <c r="H1113" i="11"/>
  <c r="H1112" i="11"/>
  <c r="H1111" i="11"/>
  <c r="H1110" i="11"/>
  <c r="H1109" i="11"/>
  <c r="H1108" i="11"/>
  <c r="H1107" i="11"/>
  <c r="H1106" i="11"/>
  <c r="H1105" i="11"/>
  <c r="H1104" i="11"/>
  <c r="H1103" i="11"/>
  <c r="H1102" i="11"/>
  <c r="H1101" i="11"/>
  <c r="H1100" i="11"/>
  <c r="H1099" i="11"/>
  <c r="H1098" i="11"/>
  <c r="H1097" i="11"/>
  <c r="H1096" i="11"/>
  <c r="H1095" i="11"/>
  <c r="H1094" i="11"/>
  <c r="H1093" i="11"/>
  <c r="H1092" i="11"/>
  <c r="H1091" i="11"/>
  <c r="H1090" i="11"/>
  <c r="H1089" i="11"/>
  <c r="H1088" i="11"/>
  <c r="H1087" i="11"/>
  <c r="H1086" i="11"/>
  <c r="H1085" i="11"/>
  <c r="H1084" i="11"/>
  <c r="H1083" i="11"/>
  <c r="H1082" i="11"/>
  <c r="H1081" i="11"/>
  <c r="H1080" i="11"/>
  <c r="H1079" i="11"/>
  <c r="H1078" i="11"/>
  <c r="H1077" i="11"/>
  <c r="H1076" i="11"/>
  <c r="H1075" i="11"/>
  <c r="H1074" i="11"/>
  <c r="H1073" i="11"/>
  <c r="H1072" i="11"/>
  <c r="H1071" i="11"/>
  <c r="H1070" i="11"/>
  <c r="H1069" i="11"/>
  <c r="H1068" i="11"/>
  <c r="H1067" i="11"/>
  <c r="H1066" i="11"/>
  <c r="H1065" i="11"/>
  <c r="H1064" i="11"/>
  <c r="H1063" i="11"/>
  <c r="H1062" i="11"/>
  <c r="H1061" i="11"/>
  <c r="H1060" i="11"/>
  <c r="H1059" i="11"/>
  <c r="H1058" i="11"/>
  <c r="H1057" i="11"/>
  <c r="H1056" i="11"/>
  <c r="H1055" i="11"/>
  <c r="H1054" i="11"/>
  <c r="H1053" i="11"/>
  <c r="H1052" i="11"/>
  <c r="H1051" i="11"/>
  <c r="H1050" i="11"/>
  <c r="H1049" i="11"/>
  <c r="H1048" i="11"/>
  <c r="H1047" i="11"/>
  <c r="H1046" i="11"/>
  <c r="H1045" i="11"/>
  <c r="H1044" i="11"/>
  <c r="H1043" i="11"/>
  <c r="H1042" i="11"/>
  <c r="H1041" i="11"/>
  <c r="H1040" i="11"/>
  <c r="H1039" i="11"/>
  <c r="H1038" i="11"/>
  <c r="H1037" i="11"/>
  <c r="H1036" i="11"/>
  <c r="H1035" i="11"/>
  <c r="H1034" i="11"/>
  <c r="H1033" i="11"/>
  <c r="H1032" i="11"/>
  <c r="H1031" i="11"/>
  <c r="H1030" i="11"/>
  <c r="H1029" i="11"/>
  <c r="H1028" i="11"/>
  <c r="H1027" i="11"/>
  <c r="H1026" i="11"/>
  <c r="H1025" i="11"/>
  <c r="H1024" i="11"/>
  <c r="H1023" i="11"/>
  <c r="H1022" i="11"/>
  <c r="H1021" i="11"/>
  <c r="H1020" i="11"/>
  <c r="H1019" i="11"/>
  <c r="H1018" i="11"/>
  <c r="H1017" i="11"/>
  <c r="H1016" i="11"/>
  <c r="H1015" i="11"/>
  <c r="H1014" i="11"/>
  <c r="H1013" i="11"/>
  <c r="H1012" i="11"/>
  <c r="H1011" i="11"/>
  <c r="H1010" i="11"/>
  <c r="H1009" i="11"/>
  <c r="H1008" i="11"/>
  <c r="H1007" i="11"/>
  <c r="H1006" i="11"/>
  <c r="H1005" i="11"/>
  <c r="H1004" i="11"/>
  <c r="H1003" i="11"/>
  <c r="H1002" i="11"/>
  <c r="H1001" i="11"/>
  <c r="H1000" i="11"/>
  <c r="H999" i="11"/>
  <c r="H998" i="11"/>
  <c r="H997" i="11"/>
  <c r="H996" i="11"/>
  <c r="H995" i="11"/>
  <c r="H994" i="11"/>
  <c r="H993" i="11"/>
  <c r="H992" i="11"/>
  <c r="H991" i="11"/>
  <c r="H990" i="11"/>
  <c r="H989" i="11"/>
  <c r="H988" i="11"/>
  <c r="H987" i="11"/>
  <c r="H986" i="11"/>
  <c r="H985" i="11"/>
  <c r="H984" i="11"/>
  <c r="H983" i="11"/>
  <c r="H982" i="11"/>
  <c r="H981" i="11"/>
  <c r="H980" i="11"/>
  <c r="H979" i="11"/>
  <c r="H978" i="11"/>
  <c r="H977" i="11"/>
  <c r="H976" i="11"/>
  <c r="H975" i="11"/>
  <c r="H974" i="11"/>
  <c r="H973" i="11"/>
  <c r="H972" i="11"/>
  <c r="H971" i="11"/>
  <c r="H970" i="11"/>
  <c r="H969" i="11"/>
  <c r="H968" i="11"/>
  <c r="H967" i="11"/>
  <c r="H966" i="11"/>
  <c r="H965" i="11"/>
  <c r="H964" i="11"/>
  <c r="H963" i="11"/>
  <c r="H962" i="11"/>
  <c r="H961" i="11"/>
  <c r="H960" i="11"/>
  <c r="H959" i="11"/>
  <c r="H958" i="11"/>
  <c r="H957" i="11"/>
  <c r="H956" i="11"/>
  <c r="H955" i="11"/>
  <c r="H954" i="11"/>
  <c r="H953" i="11"/>
  <c r="H952" i="11"/>
  <c r="H951" i="11"/>
  <c r="H950" i="11"/>
  <c r="H949" i="11"/>
  <c r="H948" i="11"/>
  <c r="H947" i="11"/>
  <c r="H946" i="11"/>
  <c r="H945" i="11"/>
  <c r="H944" i="11"/>
  <c r="H943" i="11"/>
  <c r="H942" i="11"/>
  <c r="H941" i="11"/>
  <c r="H940" i="11"/>
  <c r="H939" i="11"/>
  <c r="H938" i="11"/>
  <c r="H937" i="11"/>
  <c r="H936" i="11"/>
  <c r="H935" i="11"/>
  <c r="H934" i="11"/>
  <c r="H933" i="11"/>
  <c r="H932" i="11"/>
  <c r="H931" i="11"/>
  <c r="H930" i="11"/>
  <c r="H929" i="11"/>
  <c r="H928" i="11"/>
  <c r="H927" i="11"/>
  <c r="H926" i="11"/>
  <c r="H925" i="11"/>
  <c r="H924" i="11"/>
  <c r="H923" i="11"/>
  <c r="H922" i="11"/>
  <c r="H921" i="11"/>
  <c r="H920" i="11"/>
  <c r="H919" i="11"/>
  <c r="H918" i="11"/>
  <c r="H917" i="11"/>
  <c r="H916" i="11"/>
  <c r="H915" i="11"/>
  <c r="H914" i="11"/>
  <c r="H913" i="11"/>
  <c r="H912" i="11"/>
  <c r="H911" i="11"/>
  <c r="H910" i="11"/>
  <c r="H909" i="11"/>
  <c r="H908" i="11"/>
  <c r="H907" i="11"/>
  <c r="H906" i="11"/>
  <c r="H905" i="11"/>
  <c r="H904" i="11"/>
  <c r="H903" i="11"/>
  <c r="H902" i="11"/>
  <c r="H901" i="11"/>
  <c r="H900" i="11"/>
  <c r="H899" i="11"/>
  <c r="H898" i="11"/>
  <c r="H897" i="11"/>
  <c r="H896" i="11"/>
  <c r="H895" i="11"/>
  <c r="H894" i="11"/>
  <c r="H893" i="11"/>
  <c r="H892" i="11"/>
  <c r="H891" i="11"/>
  <c r="H890" i="11"/>
  <c r="H889" i="11"/>
  <c r="H888" i="11"/>
  <c r="H887" i="11"/>
  <c r="H886" i="11"/>
  <c r="H885" i="11"/>
  <c r="H884" i="11"/>
  <c r="H883" i="11"/>
  <c r="H882" i="11"/>
  <c r="H881" i="11"/>
  <c r="H880" i="11"/>
  <c r="H879" i="11"/>
  <c r="H878" i="11"/>
  <c r="H877" i="11"/>
  <c r="H876" i="11"/>
  <c r="H875" i="11"/>
  <c r="H874" i="11"/>
  <c r="H873" i="11"/>
  <c r="H872" i="11"/>
  <c r="H871" i="11"/>
  <c r="H870" i="11"/>
  <c r="H869" i="11"/>
  <c r="H868" i="11"/>
  <c r="H867" i="11"/>
  <c r="H866" i="11"/>
  <c r="H865" i="11"/>
  <c r="H864" i="11"/>
  <c r="H863" i="11"/>
  <c r="H862" i="11"/>
  <c r="H861" i="11"/>
  <c r="H860" i="11"/>
  <c r="H859" i="11"/>
  <c r="H858" i="11"/>
  <c r="H857" i="11"/>
  <c r="H856" i="11"/>
  <c r="H855" i="11"/>
  <c r="H854" i="11"/>
  <c r="H853" i="11"/>
  <c r="H852" i="11"/>
  <c r="H851" i="11"/>
  <c r="H850" i="11"/>
  <c r="H849" i="11"/>
  <c r="H848" i="11"/>
  <c r="H847" i="11"/>
  <c r="H846" i="11"/>
  <c r="H845" i="11"/>
  <c r="H844" i="11"/>
  <c r="H843" i="11"/>
  <c r="H842" i="11"/>
  <c r="H841" i="11"/>
  <c r="H840" i="11"/>
  <c r="H839" i="11"/>
  <c r="H838" i="11"/>
  <c r="H837" i="11"/>
  <c r="H836" i="11"/>
  <c r="H835" i="11"/>
  <c r="H834" i="11"/>
  <c r="H833" i="11"/>
  <c r="H832" i="11"/>
  <c r="H831" i="11"/>
  <c r="H830" i="11"/>
  <c r="H829" i="11"/>
  <c r="H828" i="11"/>
  <c r="H827" i="11"/>
  <c r="H826" i="11"/>
  <c r="H825" i="11"/>
  <c r="H824" i="11"/>
  <c r="H823" i="11"/>
  <c r="H822" i="11"/>
  <c r="H821" i="11"/>
  <c r="H820" i="11"/>
  <c r="H819" i="11"/>
  <c r="H818" i="11"/>
  <c r="H817" i="11"/>
  <c r="H816" i="11"/>
  <c r="H815" i="11"/>
  <c r="H814" i="11"/>
  <c r="H813" i="11"/>
  <c r="H812" i="11"/>
  <c r="H811" i="11"/>
  <c r="H810" i="11"/>
  <c r="H809" i="11"/>
  <c r="H808" i="11"/>
  <c r="H807" i="11"/>
  <c r="H806" i="11"/>
  <c r="H805" i="11"/>
  <c r="H804" i="11"/>
  <c r="H803" i="11"/>
  <c r="H802" i="11"/>
  <c r="H801" i="11"/>
  <c r="H800" i="11"/>
  <c r="H799" i="11"/>
  <c r="H798" i="11"/>
  <c r="H797" i="11"/>
  <c r="H796" i="11"/>
  <c r="H795" i="11"/>
  <c r="H794" i="11"/>
  <c r="H793" i="11"/>
  <c r="H792" i="11"/>
  <c r="H791" i="11"/>
  <c r="H790" i="11"/>
  <c r="H789" i="11"/>
  <c r="H788" i="11"/>
  <c r="H787" i="11"/>
  <c r="H786" i="11"/>
  <c r="H785" i="11"/>
  <c r="H784" i="11"/>
  <c r="H783" i="11"/>
  <c r="H782" i="11"/>
  <c r="H781" i="11"/>
  <c r="H780" i="11"/>
  <c r="H779" i="11"/>
  <c r="H778" i="11"/>
  <c r="H777" i="11"/>
  <c r="H776" i="11"/>
  <c r="H775" i="11"/>
  <c r="H774" i="11"/>
  <c r="H773" i="11"/>
  <c r="H772" i="11"/>
  <c r="H771" i="11"/>
  <c r="H770" i="11"/>
  <c r="H769" i="11"/>
  <c r="H768" i="11"/>
  <c r="H767" i="11"/>
  <c r="H766" i="11"/>
  <c r="H765" i="11"/>
  <c r="H764" i="11"/>
  <c r="H763" i="11"/>
  <c r="H762" i="11"/>
  <c r="H761" i="11"/>
  <c r="H760" i="11"/>
  <c r="H759" i="11"/>
  <c r="H758" i="11"/>
  <c r="H757" i="11"/>
  <c r="H756" i="11"/>
  <c r="H755" i="11"/>
  <c r="H754" i="11"/>
  <c r="H753" i="11"/>
  <c r="H752" i="11"/>
  <c r="H751" i="11"/>
  <c r="H750" i="11"/>
  <c r="H749" i="11"/>
  <c r="H748" i="11"/>
  <c r="H747" i="11"/>
  <c r="H746" i="11"/>
  <c r="H745" i="11"/>
  <c r="H744" i="11"/>
  <c r="H743" i="11"/>
  <c r="H742" i="11"/>
  <c r="H741" i="11"/>
  <c r="H740" i="11"/>
  <c r="H739" i="11"/>
  <c r="H738" i="11"/>
  <c r="H737" i="11"/>
  <c r="H736" i="11"/>
  <c r="H735" i="11"/>
  <c r="H734" i="11"/>
  <c r="H733" i="11"/>
  <c r="H732" i="11"/>
  <c r="H731" i="11"/>
  <c r="H730" i="11"/>
  <c r="H729" i="11"/>
  <c r="H728" i="11"/>
  <c r="H727" i="11"/>
  <c r="H726" i="11"/>
  <c r="H725" i="11"/>
  <c r="H724" i="11"/>
  <c r="H723" i="11"/>
  <c r="H722" i="11"/>
  <c r="H721" i="11"/>
  <c r="H720" i="11"/>
  <c r="H719" i="11"/>
  <c r="H718" i="11"/>
  <c r="H717" i="11"/>
  <c r="H716" i="11"/>
  <c r="H715" i="11"/>
  <c r="H714" i="11"/>
  <c r="H713" i="11"/>
  <c r="H712" i="11"/>
  <c r="H711" i="11"/>
  <c r="H710" i="11"/>
  <c r="H709" i="11"/>
  <c r="H708" i="11"/>
  <c r="H707" i="11"/>
  <c r="H706" i="11"/>
  <c r="H705" i="11"/>
  <c r="H704" i="11"/>
  <c r="H703" i="11"/>
  <c r="H702" i="11"/>
  <c r="H701" i="11"/>
  <c r="H700" i="11"/>
  <c r="H699" i="11"/>
  <c r="H698" i="11"/>
  <c r="H697" i="11"/>
  <c r="H696" i="11"/>
  <c r="H695" i="11"/>
  <c r="H694" i="11"/>
  <c r="H693" i="11"/>
  <c r="H692" i="11"/>
  <c r="H691" i="11"/>
  <c r="H690" i="11"/>
  <c r="H689" i="11"/>
  <c r="H688" i="11"/>
  <c r="H687" i="11"/>
  <c r="H686" i="11"/>
  <c r="H685" i="11"/>
  <c r="H684" i="11"/>
  <c r="H683" i="11"/>
  <c r="H682" i="11"/>
  <c r="H681" i="11"/>
  <c r="H680" i="11"/>
  <c r="H679" i="11"/>
  <c r="H678" i="11"/>
  <c r="H677" i="11"/>
  <c r="H676" i="11"/>
  <c r="H675" i="11"/>
  <c r="H674" i="11"/>
  <c r="H673" i="11"/>
  <c r="H672" i="11"/>
  <c r="H671" i="11"/>
  <c r="H670" i="11"/>
  <c r="H669" i="11"/>
  <c r="H668" i="11"/>
  <c r="H667" i="11"/>
  <c r="H666" i="11"/>
  <c r="H665" i="11"/>
  <c r="H664" i="11"/>
  <c r="H663" i="11"/>
  <c r="H662" i="11"/>
  <c r="H661" i="11"/>
  <c r="H660" i="11"/>
  <c r="H659" i="11"/>
  <c r="H658" i="11"/>
  <c r="H657" i="11"/>
  <c r="H656" i="11"/>
  <c r="H655" i="11"/>
  <c r="H654" i="11"/>
  <c r="H653" i="11"/>
  <c r="H652" i="11"/>
  <c r="H651" i="11"/>
  <c r="H650" i="11"/>
  <c r="H649" i="11"/>
  <c r="H648" i="11"/>
  <c r="H647" i="11"/>
  <c r="H646" i="11"/>
  <c r="H645" i="11"/>
  <c r="H644" i="11"/>
  <c r="H643" i="11"/>
  <c r="H642" i="11"/>
  <c r="H641" i="11"/>
  <c r="H640" i="11"/>
  <c r="H639" i="11"/>
  <c r="H638" i="11"/>
  <c r="H637" i="11"/>
  <c r="H636" i="11"/>
  <c r="H635" i="11"/>
  <c r="H634" i="11"/>
  <c r="H633" i="11"/>
  <c r="H632" i="11"/>
  <c r="H631" i="11"/>
  <c r="H630" i="11"/>
  <c r="H629" i="11"/>
  <c r="H628" i="11"/>
  <c r="H627" i="11"/>
  <c r="H626" i="11"/>
  <c r="H625" i="11"/>
  <c r="H624" i="11"/>
  <c r="H623" i="11"/>
  <c r="H622" i="11"/>
  <c r="H621" i="11"/>
  <c r="H620" i="11"/>
  <c r="H619" i="11"/>
  <c r="H618" i="11"/>
  <c r="H617" i="11"/>
  <c r="H616" i="11"/>
  <c r="H615" i="11"/>
  <c r="H614" i="11"/>
  <c r="H613" i="11"/>
  <c r="H612" i="11"/>
  <c r="H611" i="11"/>
  <c r="H610" i="11"/>
  <c r="H609" i="11"/>
  <c r="H608" i="11"/>
  <c r="H607" i="11"/>
  <c r="H606" i="11"/>
  <c r="H605" i="11"/>
  <c r="H604" i="11"/>
  <c r="H603" i="11"/>
  <c r="H602" i="11"/>
  <c r="H601" i="11"/>
  <c r="H600" i="11"/>
  <c r="H599" i="11"/>
  <c r="H598" i="11"/>
  <c r="H597" i="11"/>
  <c r="H596" i="11"/>
  <c r="H595" i="11"/>
  <c r="H594" i="11"/>
  <c r="H593" i="11"/>
  <c r="H592" i="11"/>
  <c r="H591" i="11"/>
  <c r="H590" i="11"/>
  <c r="H589" i="11"/>
  <c r="H588" i="11"/>
  <c r="H587" i="11"/>
  <c r="H586" i="11"/>
  <c r="H585" i="11"/>
  <c r="H584" i="11"/>
  <c r="H583" i="11"/>
  <c r="H582" i="11"/>
  <c r="H581" i="11"/>
  <c r="H580" i="11"/>
  <c r="H579" i="11"/>
  <c r="H578" i="11"/>
  <c r="H577" i="11"/>
  <c r="H576" i="11"/>
  <c r="H575" i="11"/>
  <c r="H574" i="11"/>
  <c r="H573" i="11"/>
  <c r="H572" i="11"/>
  <c r="H571" i="11"/>
  <c r="H570" i="11"/>
  <c r="H569" i="11"/>
  <c r="H568" i="11"/>
  <c r="H567" i="11"/>
  <c r="H566" i="11"/>
  <c r="H565" i="11"/>
  <c r="H564" i="11"/>
  <c r="H563" i="11"/>
  <c r="H562" i="11"/>
  <c r="H561" i="11"/>
  <c r="H560" i="11"/>
  <c r="H559" i="11"/>
  <c r="H558" i="11"/>
  <c r="H557" i="11"/>
  <c r="H556" i="11"/>
  <c r="H555" i="11"/>
  <c r="H554" i="11"/>
  <c r="H553" i="11"/>
  <c r="H552" i="11"/>
  <c r="H551" i="11"/>
  <c r="H550" i="11"/>
  <c r="H549" i="11"/>
  <c r="H548" i="11"/>
  <c r="H547" i="11"/>
  <c r="H546" i="11"/>
  <c r="H545" i="11"/>
  <c r="H544" i="11"/>
  <c r="H543" i="11"/>
  <c r="H542" i="11"/>
  <c r="H541" i="11"/>
  <c r="H540" i="11"/>
  <c r="H539" i="11"/>
  <c r="H538" i="11"/>
  <c r="H537" i="11"/>
  <c r="H536" i="11"/>
  <c r="H535" i="11"/>
  <c r="H534" i="11"/>
  <c r="H533" i="11"/>
  <c r="H532" i="11"/>
  <c r="H531" i="11"/>
  <c r="H530" i="11"/>
  <c r="H529" i="11"/>
  <c r="H528" i="11"/>
  <c r="H527" i="11"/>
  <c r="H526" i="11"/>
  <c r="H525" i="11"/>
  <c r="H524" i="11"/>
  <c r="H523" i="11"/>
  <c r="H522" i="11"/>
  <c r="H521" i="11"/>
  <c r="H520" i="11"/>
  <c r="H519" i="11"/>
  <c r="H518" i="11"/>
  <c r="H517" i="11"/>
  <c r="H516" i="11"/>
  <c r="H515" i="11"/>
  <c r="H514" i="11"/>
  <c r="H513" i="11"/>
  <c r="H512" i="11"/>
  <c r="H511" i="11"/>
  <c r="H510" i="11"/>
  <c r="H509" i="11"/>
  <c r="H508" i="11"/>
  <c r="H507" i="11"/>
  <c r="H506" i="11"/>
  <c r="H505" i="11"/>
  <c r="H504" i="11"/>
  <c r="H503" i="11"/>
  <c r="H502" i="11"/>
  <c r="H501" i="11"/>
  <c r="H500" i="11"/>
  <c r="H499" i="11"/>
  <c r="H498" i="11"/>
  <c r="H497" i="11"/>
  <c r="H496" i="11"/>
  <c r="H495" i="11"/>
  <c r="H494" i="11"/>
  <c r="H493" i="11"/>
  <c r="H492" i="11"/>
  <c r="H491" i="11"/>
  <c r="H490" i="11"/>
  <c r="H489" i="11"/>
  <c r="H488" i="11"/>
  <c r="H487" i="11"/>
  <c r="H486" i="11"/>
  <c r="H485" i="11"/>
  <c r="H484" i="11"/>
  <c r="H483" i="11"/>
  <c r="H482" i="11"/>
  <c r="H481" i="11"/>
  <c r="H480" i="11"/>
  <c r="H479" i="11"/>
  <c r="H478" i="11"/>
  <c r="H477" i="11"/>
  <c r="H476" i="11"/>
  <c r="H475" i="11"/>
  <c r="H474" i="11"/>
  <c r="H473" i="11"/>
  <c r="H472" i="11"/>
  <c r="H471" i="11"/>
  <c r="H470" i="11"/>
  <c r="H469" i="11"/>
  <c r="H468" i="11"/>
  <c r="H467" i="11"/>
  <c r="H466" i="11"/>
  <c r="H465" i="11"/>
  <c r="H464" i="11"/>
  <c r="H463" i="11"/>
  <c r="H462" i="11"/>
  <c r="H461" i="11"/>
  <c r="H460" i="11"/>
  <c r="H459" i="11"/>
  <c r="H458" i="11"/>
  <c r="H457" i="11"/>
  <c r="H456" i="11"/>
  <c r="H455" i="11"/>
  <c r="H454" i="11"/>
  <c r="H453" i="11"/>
  <c r="H452" i="11"/>
  <c r="H451" i="11"/>
  <c r="H450" i="11"/>
  <c r="H449" i="11"/>
  <c r="H448" i="11"/>
  <c r="H447" i="11"/>
  <c r="H446" i="11"/>
  <c r="H445" i="11"/>
  <c r="H444" i="11"/>
  <c r="H443" i="11"/>
  <c r="H442" i="11"/>
  <c r="H441" i="11"/>
  <c r="H440" i="11"/>
  <c r="H439" i="11"/>
  <c r="H438" i="11"/>
  <c r="H437" i="11"/>
  <c r="H436" i="11"/>
  <c r="H435" i="11"/>
  <c r="H434" i="11"/>
  <c r="H433" i="11"/>
  <c r="H432" i="11"/>
  <c r="H431" i="11"/>
  <c r="H430" i="11"/>
  <c r="H429" i="11"/>
  <c r="H428" i="11"/>
  <c r="H427" i="11"/>
  <c r="H426" i="11"/>
  <c r="H425" i="11"/>
  <c r="H424" i="11"/>
  <c r="H423" i="11"/>
  <c r="H422" i="11"/>
  <c r="H421" i="11"/>
  <c r="H420" i="11"/>
  <c r="H419" i="11"/>
  <c r="H418" i="11"/>
  <c r="H417" i="11"/>
  <c r="H416" i="11"/>
  <c r="H415" i="11"/>
  <c r="H414" i="11"/>
  <c r="H413" i="11"/>
  <c r="H412" i="11"/>
  <c r="H411" i="11"/>
  <c r="H410" i="11"/>
  <c r="H409" i="11"/>
  <c r="H408" i="11"/>
  <c r="H407" i="11"/>
  <c r="H406" i="11"/>
  <c r="H405" i="11"/>
  <c r="H404" i="11"/>
  <c r="H403" i="11"/>
  <c r="H402" i="11"/>
  <c r="H401" i="11"/>
  <c r="H400" i="11"/>
  <c r="H399" i="11"/>
  <c r="H398" i="11"/>
  <c r="H397" i="11"/>
  <c r="H396" i="11"/>
  <c r="H395" i="11"/>
  <c r="H394" i="11"/>
  <c r="H393" i="11"/>
  <c r="H392" i="11"/>
  <c r="H391" i="11"/>
  <c r="H390" i="11"/>
  <c r="H389" i="11"/>
  <c r="H388" i="11"/>
  <c r="H387" i="11"/>
  <c r="H386" i="11"/>
  <c r="H385" i="11"/>
  <c r="H384" i="11"/>
  <c r="H383" i="11"/>
  <c r="H382" i="11"/>
  <c r="H381" i="11"/>
  <c r="H380" i="11"/>
  <c r="H379" i="11"/>
  <c r="H378" i="11"/>
  <c r="H377" i="11"/>
  <c r="H376" i="11"/>
  <c r="H375" i="11"/>
  <c r="H374" i="11"/>
  <c r="H373" i="11"/>
  <c r="H372" i="11"/>
  <c r="H371" i="11"/>
  <c r="H370" i="11"/>
  <c r="H369" i="11"/>
  <c r="H368" i="11"/>
  <c r="H367" i="11"/>
  <c r="H366" i="11"/>
  <c r="H365" i="11"/>
  <c r="H364" i="11"/>
  <c r="H363" i="11"/>
  <c r="H362" i="11"/>
  <c r="H361" i="11"/>
  <c r="H360" i="11"/>
  <c r="H359" i="11"/>
  <c r="H358" i="11"/>
  <c r="H357" i="11"/>
  <c r="H356" i="11"/>
  <c r="H355" i="11"/>
  <c r="H354" i="11"/>
  <c r="H353" i="11"/>
  <c r="H352" i="11"/>
  <c r="H351" i="11"/>
  <c r="H350" i="11"/>
  <c r="H349" i="11"/>
  <c r="H348" i="11"/>
  <c r="H347" i="11"/>
  <c r="H346" i="11"/>
  <c r="H345" i="11"/>
  <c r="H344" i="11"/>
  <c r="H343" i="11"/>
  <c r="H342" i="11"/>
  <c r="H341" i="11"/>
  <c r="H340" i="11"/>
  <c r="H339" i="11"/>
  <c r="H338" i="11"/>
  <c r="H337" i="11"/>
  <c r="H336" i="11"/>
  <c r="H335" i="11"/>
  <c r="H334" i="11"/>
  <c r="H333" i="11"/>
  <c r="H332" i="11"/>
  <c r="H331" i="11"/>
  <c r="H330" i="11"/>
  <c r="H329" i="11"/>
  <c r="H328" i="11"/>
  <c r="H327" i="11"/>
  <c r="H326" i="11"/>
  <c r="H325" i="11"/>
  <c r="H324" i="11"/>
  <c r="H323" i="11"/>
  <c r="H322" i="11"/>
  <c r="H321" i="11"/>
  <c r="H320" i="11"/>
  <c r="H319" i="11"/>
  <c r="H318" i="11"/>
  <c r="H317" i="11"/>
  <c r="H316" i="11"/>
  <c r="H315" i="11"/>
  <c r="H314" i="11"/>
  <c r="H313" i="11"/>
  <c r="H312" i="11"/>
  <c r="H311" i="11"/>
  <c r="H310" i="11"/>
  <c r="H309" i="11"/>
  <c r="H308" i="11"/>
  <c r="H307" i="11"/>
  <c r="H306" i="11"/>
  <c r="H305" i="11"/>
  <c r="H304" i="11"/>
  <c r="H303" i="11"/>
  <c r="H302" i="11"/>
  <c r="H301" i="11"/>
  <c r="H300" i="11"/>
  <c r="H299" i="11"/>
  <c r="H298" i="11"/>
  <c r="H297" i="11"/>
  <c r="H296" i="11"/>
  <c r="H295" i="11"/>
  <c r="H294" i="11"/>
  <c r="H293" i="11"/>
  <c r="H292" i="11"/>
  <c r="H291" i="11"/>
  <c r="H290" i="11"/>
  <c r="H289" i="11"/>
  <c r="H288" i="11"/>
  <c r="H287" i="11"/>
  <c r="H286" i="11"/>
  <c r="H285" i="11"/>
  <c r="H284" i="11"/>
  <c r="H283" i="11"/>
  <c r="H282" i="11"/>
  <c r="H281" i="11"/>
  <c r="H280" i="11"/>
  <c r="H279" i="11"/>
  <c r="H278" i="11"/>
  <c r="H277" i="11"/>
  <c r="H276" i="11"/>
  <c r="H275" i="11"/>
  <c r="H274" i="11"/>
  <c r="H273" i="11"/>
  <c r="H272" i="11"/>
  <c r="H271" i="11"/>
  <c r="H270" i="11"/>
  <c r="H269" i="11"/>
  <c r="H268" i="11"/>
  <c r="H267" i="11"/>
  <c r="H266" i="11"/>
  <c r="H265" i="11"/>
  <c r="H264" i="11"/>
  <c r="H263" i="11"/>
  <c r="H262" i="11"/>
  <c r="H261" i="11"/>
  <c r="H260" i="11"/>
  <c r="H259" i="11"/>
  <c r="H258" i="11"/>
  <c r="H257" i="11"/>
  <c r="H256" i="11"/>
  <c r="H255" i="11"/>
  <c r="H254" i="11"/>
  <c r="H253" i="11"/>
  <c r="H252" i="11"/>
  <c r="H251" i="11"/>
  <c r="H250" i="11"/>
  <c r="H249" i="11"/>
  <c r="H248" i="11"/>
  <c r="H247" i="11"/>
  <c r="H246" i="11"/>
  <c r="H245" i="11"/>
  <c r="H244" i="11"/>
  <c r="H243" i="11"/>
  <c r="H242" i="11"/>
  <c r="H241" i="11"/>
  <c r="H240" i="11"/>
  <c r="H239" i="11"/>
  <c r="H238" i="11"/>
  <c r="H237" i="11"/>
  <c r="H236" i="11"/>
  <c r="H235" i="11"/>
  <c r="H234" i="11"/>
  <c r="H233" i="11"/>
  <c r="H232" i="11"/>
  <c r="H231" i="11"/>
  <c r="H230" i="11"/>
  <c r="H229" i="11"/>
  <c r="H228" i="11"/>
  <c r="H227" i="11"/>
  <c r="H226" i="11"/>
  <c r="H225" i="11"/>
  <c r="H224" i="11"/>
  <c r="H223" i="11"/>
  <c r="H222" i="11"/>
  <c r="H221" i="11"/>
  <c r="H220" i="11"/>
  <c r="H219" i="11"/>
  <c r="H218" i="11"/>
  <c r="H217" i="11"/>
  <c r="H216" i="11"/>
  <c r="H215" i="11"/>
  <c r="H214" i="11"/>
  <c r="H213" i="11"/>
  <c r="H212" i="11"/>
  <c r="H211" i="11"/>
  <c r="H210" i="11"/>
  <c r="H209" i="11"/>
  <c r="H208" i="11"/>
  <c r="H207" i="11"/>
  <c r="H206" i="11"/>
  <c r="H205" i="11"/>
  <c r="H204" i="11"/>
  <c r="H203" i="11"/>
  <c r="H202" i="11"/>
  <c r="H201" i="11"/>
  <c r="H200" i="11"/>
  <c r="H199" i="11"/>
  <c r="H198" i="11"/>
  <c r="H197" i="11"/>
  <c r="H196" i="11"/>
  <c r="H195" i="11"/>
  <c r="H194" i="11"/>
  <c r="H193" i="11"/>
  <c r="H192" i="11"/>
  <c r="H191" i="11"/>
  <c r="H190" i="11"/>
  <c r="H189" i="11"/>
  <c r="H188" i="11"/>
  <c r="H187" i="11"/>
  <c r="H186" i="11"/>
  <c r="H185" i="11"/>
  <c r="H184" i="11"/>
  <c r="H183" i="11"/>
  <c r="H182" i="11"/>
  <c r="H181" i="11"/>
  <c r="H180" i="11"/>
  <c r="H179" i="11"/>
  <c r="H178" i="11"/>
  <c r="H177" i="11"/>
  <c r="H176" i="11"/>
  <c r="H175" i="11"/>
  <c r="H174" i="11"/>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H4" i="11"/>
  <c r="H3" i="11"/>
  <c r="J20" i="9"/>
  <c r="I20" i="9"/>
  <c r="H20" i="9"/>
  <c r="J19" i="9"/>
  <c r="I19" i="9"/>
  <c r="H19" i="9"/>
  <c r="J18" i="9"/>
  <c r="I18" i="9"/>
  <c r="H18" i="9"/>
  <c r="J17" i="9"/>
  <c r="I17" i="9"/>
  <c r="H17" i="9"/>
  <c r="J16" i="9"/>
  <c r="I16" i="9"/>
  <c r="H16" i="9"/>
  <c r="J15" i="9"/>
  <c r="I15" i="9"/>
  <c r="H15" i="9"/>
  <c r="J14" i="9"/>
  <c r="I14" i="9"/>
  <c r="H14" i="9"/>
  <c r="J13" i="9"/>
  <c r="I13" i="9"/>
  <c r="H13" i="9"/>
  <c r="J12" i="9"/>
  <c r="I12" i="9"/>
  <c r="H12" i="9"/>
  <c r="J11" i="9"/>
  <c r="I11" i="9"/>
  <c r="H11" i="9"/>
  <c r="J10" i="9"/>
  <c r="I10" i="9"/>
  <c r="H10" i="9"/>
  <c r="J9" i="9"/>
  <c r="I9" i="9"/>
  <c r="H9" i="9"/>
  <c r="J8" i="9"/>
  <c r="I8" i="9"/>
  <c r="H8" i="9"/>
  <c r="J7" i="9"/>
  <c r="I7" i="9"/>
  <c r="H7" i="9"/>
  <c r="J6" i="9"/>
  <c r="I6" i="9"/>
  <c r="H6" i="9"/>
  <c r="J5" i="9"/>
  <c r="I5" i="9"/>
  <c r="H5" i="9"/>
  <c r="J4" i="9"/>
  <c r="I4" i="9"/>
  <c r="H4" i="9"/>
  <c r="J3" i="9"/>
  <c r="I3" i="9"/>
  <c r="H3" i="9"/>
  <c r="J2" i="9"/>
  <c r="I2" i="9"/>
  <c r="H2" i="9"/>
  <c r="G10" i="8"/>
  <c r="D10" i="8"/>
  <c r="C10" i="8"/>
  <c r="D11" i="8" s="1"/>
  <c r="B10" i="8"/>
  <c r="A10" i="8"/>
  <c r="G9" i="8"/>
  <c r="F9" i="8"/>
  <c r="E9" i="8"/>
  <c r="C9" i="8"/>
  <c r="B9" i="8"/>
  <c r="A10" i="7"/>
  <c r="H9" i="7"/>
  <c r="C9" i="7"/>
  <c r="B9" i="7"/>
  <c r="A12" i="6"/>
  <c r="E11" i="6"/>
  <c r="C11" i="6"/>
  <c r="A11" i="6"/>
  <c r="B11" i="6" s="1"/>
  <c r="E10" i="6"/>
  <c r="F10" i="6" s="1"/>
  <c r="C10" i="6"/>
  <c r="B10" i="6"/>
  <c r="A10" i="6"/>
  <c r="G9" i="6"/>
  <c r="E9" i="6"/>
  <c r="C9" i="6"/>
  <c r="D10" i="6" s="1"/>
  <c r="B9" i="6"/>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F115" i="10"/>
  <c r="D113" i="10"/>
  <c r="E112" i="10" a="1"/>
  <c r="E112" i="10"/>
  <c r="D112" i="10"/>
  <c r="D111" i="10"/>
  <c r="B111" i="10"/>
  <c r="B112" i="10" s="1"/>
  <c r="B113" i="10" s="1"/>
  <c r="E110" i="10" a="1"/>
  <c r="E110" i="10" s="1"/>
  <c r="D110" i="10"/>
  <c r="C110" i="10"/>
  <c r="C111" i="10" s="1"/>
  <c r="C112" i="10" s="1"/>
  <c r="C113" i="10" s="1"/>
  <c r="B110" i="10"/>
  <c r="D109" i="10"/>
  <c r="C109" i="10"/>
  <c r="E111" i="10" s="1" a="1"/>
  <c r="E111" i="10" s="1"/>
  <c r="D107" i="10"/>
  <c r="D106" i="10"/>
  <c r="D105" i="10"/>
  <c r="D104" i="10"/>
  <c r="D103" i="10"/>
  <c r="D102" i="10"/>
  <c r="D101" i="10"/>
  <c r="D100" i="10"/>
  <c r="D99" i="10"/>
  <c r="D98" i="10"/>
  <c r="D97" i="10"/>
  <c r="D96" i="10"/>
  <c r="D95" i="10"/>
  <c r="D94" i="10"/>
  <c r="D93" i="10"/>
  <c r="D92" i="10"/>
  <c r="D91" i="10"/>
  <c r="C91" i="10"/>
  <c r="C92" i="10" s="1"/>
  <c r="C93" i="10" s="1"/>
  <c r="C94" i="10" s="1"/>
  <c r="C95" i="10" s="1"/>
  <c r="C96" i="10" s="1"/>
  <c r="C97" i="10" s="1"/>
  <c r="C98" i="10" s="1"/>
  <c r="C99" i="10" s="1"/>
  <c r="C100" i="10" s="1"/>
  <c r="C101" i="10" s="1"/>
  <c r="C102" i="10" s="1"/>
  <c r="C103" i="10" s="1"/>
  <c r="C104" i="10" s="1"/>
  <c r="C105" i="10" s="1"/>
  <c r="C106" i="10" s="1"/>
  <c r="C107" i="10" s="1"/>
  <c r="B91" i="10"/>
  <c r="B92" i="10" s="1"/>
  <c r="E92" i="10" s="1" a="1"/>
  <c r="E92" i="10" s="1"/>
  <c r="E90" i="10" a="1"/>
  <c r="E90" i="10" s="1"/>
  <c r="D90" i="10"/>
  <c r="C90" i="10"/>
  <c r="D88" i="10"/>
  <c r="B88" i="10"/>
  <c r="D87" i="10"/>
  <c r="B87" i="10"/>
  <c r="D86" i="10"/>
  <c r="C86" i="10"/>
  <c r="D84" i="10"/>
  <c r="E83" i="10" a="1"/>
  <c r="E83" i="10"/>
  <c r="D83" i="10"/>
  <c r="C83" i="10"/>
  <c r="C84" i="10" s="1"/>
  <c r="D82" i="10"/>
  <c r="C82" i="10"/>
  <c r="B82" i="10"/>
  <c r="B83" i="10" s="1"/>
  <c r="B84" i="10" s="1"/>
  <c r="E84" i="10" s="1" a="1"/>
  <c r="E84" i="10" s="1"/>
  <c r="E81" i="10" a="1"/>
  <c r="E81" i="10"/>
  <c r="D81" i="10"/>
  <c r="C81" i="10"/>
  <c r="E82" i="10" s="1" a="1"/>
  <c r="E82" i="10" s="1"/>
  <c r="D79" i="10"/>
  <c r="D78" i="10"/>
  <c r="D77" i="10"/>
  <c r="D76" i="10"/>
  <c r="D75" i="10"/>
  <c r="D74" i="10"/>
  <c r="D73" i="10"/>
  <c r="E72" i="10" a="1"/>
  <c r="E72" i="10"/>
  <c r="D72" i="10"/>
  <c r="D71" i="10"/>
  <c r="B71" i="10"/>
  <c r="B72" i="10" s="1"/>
  <c r="B73" i="10" s="1"/>
  <c r="B74" i="10" s="1"/>
  <c r="E70" i="10" a="1"/>
  <c r="E70" i="10" s="1"/>
  <c r="D70" i="10"/>
  <c r="C70" i="10"/>
  <c r="C71" i="10" s="1"/>
  <c r="C72" i="10" s="1"/>
  <c r="C73" i="10" s="1"/>
  <c r="C74" i="10" s="1"/>
  <c r="C75" i="10" s="1"/>
  <c r="C76" i="10" s="1"/>
  <c r="C77" i="10" s="1"/>
  <c r="C78" i="10" s="1"/>
  <c r="C79" i="10" s="1"/>
  <c r="B70" i="10"/>
  <c r="D69" i="10"/>
  <c r="C69" i="10"/>
  <c r="D67" i="10"/>
  <c r="D66" i="10"/>
  <c r="D65" i="10"/>
  <c r="D64" i="10"/>
  <c r="D63" i="10"/>
  <c r="D62" i="10"/>
  <c r="D61" i="10"/>
  <c r="D60" i="10"/>
  <c r="D59" i="10"/>
  <c r="D58" i="10"/>
  <c r="D57" i="10"/>
  <c r="D56" i="10"/>
  <c r="D55" i="10"/>
  <c r="D54" i="10"/>
  <c r="D53" i="10"/>
  <c r="B53" i="10"/>
  <c r="D52" i="10"/>
  <c r="D51" i="10"/>
  <c r="C51" i="10"/>
  <c r="C52" i="10" s="1"/>
  <c r="C53" i="10" s="1"/>
  <c r="C54" i="10" s="1"/>
  <c r="C55" i="10" s="1"/>
  <c r="C56" i="10" s="1"/>
  <c r="C57" i="10" s="1"/>
  <c r="C58" i="10" s="1"/>
  <c r="C59" i="10" s="1"/>
  <c r="C60" i="10" s="1"/>
  <c r="C61" i="10" s="1"/>
  <c r="C62" i="10" s="1"/>
  <c r="C63" i="10" s="1"/>
  <c r="C64" i="10" s="1"/>
  <c r="C65" i="10" s="1"/>
  <c r="C66" i="10" s="1"/>
  <c r="C67" i="10" s="1"/>
  <c r="B51" i="10"/>
  <c r="B52" i="10" s="1"/>
  <c r="E52" i="10" s="1" a="1"/>
  <c r="E52" i="10" s="1"/>
  <c r="E50" i="10" a="1"/>
  <c r="E50" i="10" s="1"/>
  <c r="D50" i="10"/>
  <c r="C50" i="10"/>
  <c r="D48" i="10"/>
  <c r="D47" i="10"/>
  <c r="D46" i="10"/>
  <c r="D45" i="10"/>
  <c r="D44" i="10"/>
  <c r="D43" i="10"/>
  <c r="D42" i="10"/>
  <c r="D41" i="10"/>
  <c r="D40" i="10"/>
  <c r="B40" i="10"/>
  <c r="B41" i="10" s="1"/>
  <c r="B42" i="10" s="1"/>
  <c r="B43" i="10" s="1"/>
  <c r="D39" i="10"/>
  <c r="B39" i="10"/>
  <c r="D38" i="10"/>
  <c r="C38" i="10"/>
  <c r="C27" i="10"/>
  <c r="C28" i="10" s="1"/>
  <c r="C29" i="10" s="1"/>
  <c r="C30" i="10" s="1"/>
  <c r="C31" i="10" s="1"/>
  <c r="C32" i="10" s="1"/>
  <c r="C33" i="10" s="1"/>
  <c r="C34" i="10" s="1"/>
  <c r="C35" i="10" s="1"/>
  <c r="C36" i="10" s="1"/>
  <c r="B27" i="10"/>
  <c r="E26" i="10" a="1"/>
  <c r="E26" i="10" s="1"/>
  <c r="D26" i="10"/>
  <c r="C26" i="10"/>
  <c r="C5" i="10"/>
  <c r="C6" i="10" s="1"/>
  <c r="C7" i="10" s="1"/>
  <c r="C8" i="10" s="1"/>
  <c r="C9" i="10" s="1"/>
  <c r="C10" i="10" s="1"/>
  <c r="C11" i="10" s="1"/>
  <c r="C12" i="10" s="1"/>
  <c r="C13" i="10" s="1"/>
  <c r="C14" i="10" s="1"/>
  <c r="C15" i="10" s="1"/>
  <c r="C16" i="10" s="1"/>
  <c r="C17" i="10" s="1"/>
  <c r="C18" i="10" s="1"/>
  <c r="C19" i="10" s="1"/>
  <c r="C20" i="10" s="1"/>
  <c r="C21" i="10" s="1"/>
  <c r="C22" i="10" s="1"/>
  <c r="C23" i="10" s="1"/>
  <c r="C24" i="10" s="1"/>
  <c r="C3" i="10"/>
  <c r="C4" i="10" s="1"/>
  <c r="B3" i="10"/>
  <c r="E2" i="10" a="1"/>
  <c r="E2" i="10" s="1"/>
  <c r="D2" i="10"/>
  <c r="C2" i="10"/>
  <c r="B44" i="10" l="1"/>
  <c r="B45" i="10" s="1"/>
  <c r="B46" i="10" s="1"/>
  <c r="B47" i="10" s="1"/>
  <c r="B48" i="10" s="1"/>
  <c r="E43" i="10" a="1"/>
  <c r="E43" i="10" s="1"/>
  <c r="B4" i="10"/>
  <c r="B5" i="10" s="1"/>
  <c r="E3" i="10" a="1"/>
  <c r="E3" i="10" s="1"/>
  <c r="C12" i="6"/>
  <c r="B12" i="6"/>
  <c r="A13" i="6"/>
  <c r="E12" i="6"/>
  <c r="G10" i="6"/>
  <c r="D11" i="6"/>
  <c r="B93" i="10"/>
  <c r="F9" i="6"/>
  <c r="B54" i="10"/>
  <c r="E53" i="10" a="1"/>
  <c r="E53" i="10" s="1"/>
  <c r="E74" i="10" a="1"/>
  <c r="E74" i="10" s="1"/>
  <c r="B75" i="10"/>
  <c r="B76" i="10" s="1"/>
  <c r="B77" i="10" s="1"/>
  <c r="B78" i="10" s="1"/>
  <c r="B28" i="10"/>
  <c r="B29" i="10" s="1"/>
  <c r="E27" i="10" a="1"/>
  <c r="E27" i="10" s="1"/>
  <c r="E45" i="10" a="1"/>
  <c r="E45" i="10" s="1"/>
  <c r="E48" i="10" a="1"/>
  <c r="E48" i="10" s="1"/>
  <c r="E40" i="10" a="1"/>
  <c r="E40" i="10" s="1"/>
  <c r="C39" i="10"/>
  <c r="C40" i="10" s="1"/>
  <c r="C41" i="10" s="1"/>
  <c r="C42" i="10" s="1"/>
  <c r="C43" i="10" s="1"/>
  <c r="C44" i="10" s="1"/>
  <c r="C45" i="10" s="1"/>
  <c r="C46" i="10" s="1"/>
  <c r="C47" i="10" s="1"/>
  <c r="C48" i="10" s="1"/>
  <c r="E44" i="10" a="1"/>
  <c r="E44" i="10" s="1"/>
  <c r="E38" i="10" a="1"/>
  <c r="E38" i="10" s="1"/>
  <c r="E46" i="10" a="1"/>
  <c r="E46" i="10" s="1"/>
  <c r="E42" i="10" a="1"/>
  <c r="E42" i="10" s="1"/>
  <c r="E47" i="10" a="1"/>
  <c r="E47" i="10" s="1"/>
  <c r="E41" i="10" a="1"/>
  <c r="E41" i="10" s="1"/>
  <c r="E39" i="10" a="1"/>
  <c r="E39" i="10" s="1"/>
  <c r="E88" i="10" a="1"/>
  <c r="E88" i="10" s="1"/>
  <c r="C87" i="10"/>
  <c r="C88" i="10" s="1"/>
  <c r="E86" i="10" a="1"/>
  <c r="E86" i="10" s="1"/>
  <c r="E87" i="10" a="1"/>
  <c r="E87" i="10" s="1"/>
  <c r="E71" i="10" a="1"/>
  <c r="E71" i="10" s="1"/>
  <c r="C10" i="7"/>
  <c r="H10" i="7" s="1"/>
  <c r="B10" i="7"/>
  <c r="E73" i="10" a="1"/>
  <c r="E73" i="10" s="1"/>
  <c r="E76" i="10" a="1"/>
  <c r="E76" i="10" s="1"/>
  <c r="E113" i="10" a="1"/>
  <c r="E113" i="10" s="1"/>
  <c r="A11" i="7"/>
  <c r="E4" i="10" a="1"/>
  <c r="E4" i="10" s="1"/>
  <c r="E69" i="10" a="1"/>
  <c r="E69" i="10" s="1"/>
  <c r="E75" i="10" a="1"/>
  <c r="E75" i="10" s="1"/>
  <c r="E77" i="10" a="1"/>
  <c r="E77" i="10" s="1"/>
  <c r="E109" i="10" a="1"/>
  <c r="E109" i="10" s="1"/>
  <c r="F10" i="8"/>
  <c r="E51" i="10" a="1"/>
  <c r="E51" i="10" s="1"/>
  <c r="E91" i="10" a="1"/>
  <c r="E91" i="10" s="1"/>
  <c r="E10" i="8"/>
  <c r="A11" i="8"/>
  <c r="C13" i="6" l="1"/>
  <c r="E13" i="6"/>
  <c r="B13" i="6"/>
  <c r="A14" i="6"/>
  <c r="E11" i="8"/>
  <c r="C11" i="8"/>
  <c r="D12" i="8" s="1"/>
  <c r="A12" i="8"/>
  <c r="B11" i="8"/>
  <c r="B55" i="10"/>
  <c r="E54" i="10" a="1"/>
  <c r="E54" i="10" s="1"/>
  <c r="B79" i="10"/>
  <c r="E79" i="10" s="1" a="1"/>
  <c r="E79" i="10" s="1"/>
  <c r="E78" i="10" a="1"/>
  <c r="E78" i="10" s="1"/>
  <c r="B6" i="10"/>
  <c r="E5" i="10" a="1"/>
  <c r="E5" i="10" s="1"/>
  <c r="G11" i="8"/>
  <c r="B30" i="10"/>
  <c r="E29" i="10" a="1"/>
  <c r="E29" i="10" s="1"/>
  <c r="D12" i="6"/>
  <c r="F11" i="6"/>
  <c r="G11" i="6"/>
  <c r="B94" i="10"/>
  <c r="E93" i="10" a="1"/>
  <c r="E93" i="10" s="1"/>
  <c r="C11" i="7"/>
  <c r="H11" i="7" s="1"/>
  <c r="B11" i="7"/>
  <c r="A12" i="7"/>
  <c r="E28" i="10" a="1"/>
  <c r="E28" i="10" s="1"/>
  <c r="G12" i="8" l="1"/>
  <c r="F12" i="8"/>
  <c r="B7" i="10"/>
  <c r="E6" i="10" a="1"/>
  <c r="E6" i="10" s="1"/>
  <c r="F11" i="8"/>
  <c r="B95" i="10"/>
  <c r="E94" i="10" a="1"/>
  <c r="E94" i="10" s="1"/>
  <c r="A13" i="7"/>
  <c r="C12" i="7"/>
  <c r="H12" i="7" s="1"/>
  <c r="B12" i="7"/>
  <c r="E55" i="10" a="1"/>
  <c r="E55" i="10" s="1"/>
  <c r="B56" i="10"/>
  <c r="B31" i="10"/>
  <c r="E30" i="10" a="1"/>
  <c r="E30" i="10" s="1"/>
  <c r="E14" i="6"/>
  <c r="A15" i="6"/>
  <c r="C14" i="6"/>
  <c r="B14" i="6"/>
  <c r="D13" i="6"/>
  <c r="F12" i="6"/>
  <c r="G12" i="6"/>
  <c r="A13" i="8"/>
  <c r="B12" i="8"/>
  <c r="C12" i="8"/>
  <c r="D13" i="8" s="1"/>
  <c r="E12" i="8"/>
  <c r="G13" i="8" l="1"/>
  <c r="A14" i="8"/>
  <c r="C13" i="8"/>
  <c r="D14" i="8" s="1"/>
  <c r="B13" i="8"/>
  <c r="E13" i="8"/>
  <c r="F13" i="8" s="1"/>
  <c r="B32" i="10"/>
  <c r="E31" i="10" a="1"/>
  <c r="E31" i="10" s="1"/>
  <c r="D14" i="6"/>
  <c r="F13" i="6"/>
  <c r="G13" i="6"/>
  <c r="E56" i="10" a="1"/>
  <c r="E56" i="10" s="1"/>
  <c r="B57" i="10"/>
  <c r="E7" i="10" a="1"/>
  <c r="E7" i="10" s="1"/>
  <c r="B8" i="10"/>
  <c r="C13" i="7"/>
  <c r="H13" i="7" s="1"/>
  <c r="A14" i="7"/>
  <c r="B13" i="7"/>
  <c r="E15" i="6"/>
  <c r="B15" i="6"/>
  <c r="C15" i="6"/>
  <c r="A16" i="6"/>
  <c r="E95" i="10" a="1"/>
  <c r="E95" i="10" s="1"/>
  <c r="B96" i="10"/>
  <c r="G14" i="8" l="1"/>
  <c r="B14" i="8"/>
  <c r="A15" i="8"/>
  <c r="C14" i="8"/>
  <c r="D15" i="8" s="1"/>
  <c r="E14" i="8"/>
  <c r="F14" i="8" s="1"/>
  <c r="A15" i="7"/>
  <c r="B14" i="7"/>
  <c r="C14" i="7"/>
  <c r="H14" i="7" s="1"/>
  <c r="B58" i="10"/>
  <c r="E57" i="10" a="1"/>
  <c r="E57" i="10" s="1"/>
  <c r="E96" i="10" a="1"/>
  <c r="E96" i="10" s="1"/>
  <c r="B97" i="10"/>
  <c r="F14" i="6"/>
  <c r="G14" i="6"/>
  <c r="D15" i="6"/>
  <c r="B9" i="10"/>
  <c r="E8" i="10" a="1"/>
  <c r="E8" i="10" s="1"/>
  <c r="A17" i="6"/>
  <c r="B16" i="6"/>
  <c r="E16" i="6"/>
  <c r="C16" i="6"/>
  <c r="B33" i="10"/>
  <c r="E32" i="10" a="1"/>
  <c r="E32" i="10" s="1"/>
  <c r="G15" i="8" l="1"/>
  <c r="C15" i="8"/>
  <c r="D16" i="8" s="1"/>
  <c r="B15" i="8"/>
  <c r="A16" i="8"/>
  <c r="E15" i="8"/>
  <c r="E58" i="10" a="1"/>
  <c r="E58" i="10" s="1"/>
  <c r="B59" i="10"/>
  <c r="E9" i="10" a="1"/>
  <c r="E9" i="10" s="1"/>
  <c r="B10" i="10"/>
  <c r="E33" i="10" a="1"/>
  <c r="E33" i="10" s="1"/>
  <c r="B34" i="10"/>
  <c r="F15" i="6"/>
  <c r="G15" i="6"/>
  <c r="D16" i="6"/>
  <c r="B98" i="10"/>
  <c r="E97" i="10" a="1"/>
  <c r="E97" i="10" s="1"/>
  <c r="A18" i="6"/>
  <c r="B17" i="6"/>
  <c r="C17" i="6"/>
  <c r="E17" i="6"/>
  <c r="A16" i="7"/>
  <c r="C15" i="7"/>
  <c r="H15" i="7" s="1"/>
  <c r="B15" i="7"/>
  <c r="G16" i="8" l="1"/>
  <c r="B16" i="7"/>
  <c r="C16" i="7"/>
  <c r="H16" i="7" s="1"/>
  <c r="A17" i="7"/>
  <c r="C16" i="8"/>
  <c r="D17" i="8" s="1"/>
  <c r="B16" i="8"/>
  <c r="E16" i="8"/>
  <c r="A17" i="8"/>
  <c r="G16" i="6"/>
  <c r="F16" i="6"/>
  <c r="D17" i="6"/>
  <c r="B35" i="10"/>
  <c r="E34" i="10" a="1"/>
  <c r="E34" i="10" s="1"/>
  <c r="A19" i="6"/>
  <c r="B18" i="6"/>
  <c r="C18" i="6"/>
  <c r="E18" i="6"/>
  <c r="E10" i="10" a="1"/>
  <c r="E10" i="10" s="1"/>
  <c r="B11" i="10"/>
  <c r="F15" i="8"/>
  <c r="E98" i="10" a="1"/>
  <c r="E98" i="10" s="1"/>
  <c r="B99" i="10"/>
  <c r="B60" i="10"/>
  <c r="E59" i="10" a="1"/>
  <c r="E59" i="10" s="1"/>
  <c r="G17" i="8" l="1"/>
  <c r="B100" i="10"/>
  <c r="E99" i="10" a="1"/>
  <c r="E99" i="10" s="1"/>
  <c r="B19" i="6"/>
  <c r="C19" i="6"/>
  <c r="A20" i="6"/>
  <c r="E19" i="6"/>
  <c r="B36" i="10"/>
  <c r="E36" i="10" s="1" a="1"/>
  <c r="E36" i="10" s="1"/>
  <c r="E35" i="10" a="1"/>
  <c r="E35" i="10" s="1"/>
  <c r="C17" i="7"/>
  <c r="H17" i="7" s="1"/>
  <c r="B17" i="7"/>
  <c r="A18" i="7"/>
  <c r="B12" i="10"/>
  <c r="E11" i="10" a="1"/>
  <c r="E11" i="10" s="1"/>
  <c r="G17" i="6"/>
  <c r="D18" i="6"/>
  <c r="F17" i="6"/>
  <c r="F16" i="8"/>
  <c r="E17" i="8"/>
  <c r="F17" i="8" s="1"/>
  <c r="C17" i="8"/>
  <c r="D18" i="8" s="1"/>
  <c r="B17" i="8"/>
  <c r="A18" i="8"/>
  <c r="E60" i="10" a="1"/>
  <c r="E60" i="10" s="1"/>
  <c r="B61" i="10"/>
  <c r="G18" i="8" l="1"/>
  <c r="E18" i="8"/>
  <c r="F18" i="8" s="1"/>
  <c r="A19" i="8"/>
  <c r="C18" i="8"/>
  <c r="D19" i="8" s="1"/>
  <c r="B18" i="8"/>
  <c r="C18" i="7"/>
  <c r="H18" i="7" s="1"/>
  <c r="B18" i="7"/>
  <c r="A19" i="7"/>
  <c r="C20" i="6"/>
  <c r="B20" i="6"/>
  <c r="E20" i="6"/>
  <c r="A21" i="6"/>
  <c r="B13" i="10"/>
  <c r="E12" i="10" a="1"/>
  <c r="E12" i="10" s="1"/>
  <c r="E100" i="10" a="1"/>
  <c r="E100" i="10" s="1"/>
  <c r="B101" i="10"/>
  <c r="E61" i="10" a="1"/>
  <c r="E61" i="10" s="1"/>
  <c r="B62" i="10"/>
  <c r="F18" i="6"/>
  <c r="G18" i="6"/>
  <c r="D19" i="6"/>
  <c r="G19" i="8" l="1"/>
  <c r="F19" i="8"/>
  <c r="D20" i="8"/>
  <c r="D20" i="6"/>
  <c r="G19" i="6"/>
  <c r="F19" i="6"/>
  <c r="B14" i="10"/>
  <c r="E13" i="10" a="1"/>
  <c r="E13" i="10" s="1"/>
  <c r="C21" i="6"/>
  <c r="E21" i="6"/>
  <c r="B21" i="6"/>
  <c r="A22" i="6"/>
  <c r="A20" i="7"/>
  <c r="C19" i="7"/>
  <c r="H19" i="7" s="1"/>
  <c r="B19" i="7"/>
  <c r="E19" i="8"/>
  <c r="C19" i="8"/>
  <c r="B19" i="8"/>
  <c r="A20" i="8"/>
  <c r="B63" i="10"/>
  <c r="E62" i="10" a="1"/>
  <c r="E62" i="10" s="1"/>
  <c r="E101" i="10" a="1"/>
  <c r="E101" i="10" s="1"/>
  <c r="B102" i="10"/>
  <c r="B103" i="10" l="1"/>
  <c r="E102" i="10" a="1"/>
  <c r="E102" i="10" s="1"/>
  <c r="A21" i="7"/>
  <c r="B20" i="7"/>
  <c r="C20" i="7"/>
  <c r="H20" i="7" s="1"/>
  <c r="E22" i="6"/>
  <c r="C22" i="6"/>
  <c r="B22" i="6"/>
  <c r="A23" i="6"/>
  <c r="A21" i="8"/>
  <c r="E20" i="8"/>
  <c r="C20" i="8"/>
  <c r="B20" i="8"/>
  <c r="G20" i="8"/>
  <c r="F20" i="8"/>
  <c r="D21" i="8"/>
  <c r="B15" i="10"/>
  <c r="E14" i="10" a="1"/>
  <c r="E14" i="10" s="1"/>
  <c r="B64" i="10"/>
  <c r="E63" i="10" a="1"/>
  <c r="E63" i="10" s="1"/>
  <c r="D21" i="6"/>
  <c r="F20" i="6"/>
  <c r="G20" i="6"/>
  <c r="G21" i="8" l="1"/>
  <c r="D22" i="6"/>
  <c r="F21" i="6"/>
  <c r="G21" i="6"/>
  <c r="E64" i="10" a="1"/>
  <c r="E64" i="10" s="1"/>
  <c r="B65" i="10"/>
  <c r="C21" i="7"/>
  <c r="H21" i="7" s="1"/>
  <c r="B21" i="7"/>
  <c r="A22" i="7"/>
  <c r="A22" i="8"/>
  <c r="E21" i="8"/>
  <c r="F21" i="8" s="1"/>
  <c r="C21" i="8"/>
  <c r="D22" i="8" s="1"/>
  <c r="B21" i="8"/>
  <c r="B16" i="10"/>
  <c r="E15" i="10" a="1"/>
  <c r="E15" i="10" s="1"/>
  <c r="E23" i="6"/>
  <c r="B23" i="6"/>
  <c r="A24" i="6"/>
  <c r="C23" i="6"/>
  <c r="E103" i="10" a="1"/>
  <c r="E103" i="10" s="1"/>
  <c r="B104" i="10"/>
  <c r="G22" i="8" l="1"/>
  <c r="B66" i="10"/>
  <c r="E65" i="10" a="1"/>
  <c r="E65" i="10" s="1"/>
  <c r="E104" i="10" a="1"/>
  <c r="E104" i="10" s="1"/>
  <c r="B105" i="10"/>
  <c r="B17" i="10"/>
  <c r="E16" i="10" a="1"/>
  <c r="E16" i="10" s="1"/>
  <c r="A25" i="6"/>
  <c r="C24" i="6"/>
  <c r="B24" i="6"/>
  <c r="E24" i="6"/>
  <c r="B22" i="8"/>
  <c r="A23" i="8"/>
  <c r="C22" i="8"/>
  <c r="D23" i="8" s="1"/>
  <c r="E22" i="8"/>
  <c r="F22" i="6"/>
  <c r="D23" i="6"/>
  <c r="G22" i="6"/>
  <c r="A23" i="7"/>
  <c r="B22" i="7"/>
  <c r="C22" i="7"/>
  <c r="H22" i="7" s="1"/>
  <c r="G23" i="8" l="1"/>
  <c r="E17" i="10" a="1"/>
  <c r="E17" i="10" s="1"/>
  <c r="B18" i="10"/>
  <c r="C23" i="8"/>
  <c r="D24" i="8" s="1"/>
  <c r="B23" i="8"/>
  <c r="A24" i="8"/>
  <c r="E23" i="8"/>
  <c r="B106" i="10"/>
  <c r="E105" i="10" a="1"/>
  <c r="E105" i="10" s="1"/>
  <c r="B23" i="7"/>
  <c r="A24" i="7"/>
  <c r="C23" i="7"/>
  <c r="H23" i="7" s="1"/>
  <c r="E66" i="10" a="1"/>
  <c r="E66" i="10" s="1"/>
  <c r="B67" i="10"/>
  <c r="E67" i="10" s="1" a="1"/>
  <c r="E67" i="10" s="1"/>
  <c r="F23" i="6"/>
  <c r="G23" i="6"/>
  <c r="D24" i="6"/>
  <c r="F22" i="8"/>
  <c r="A26" i="6"/>
  <c r="B25" i="6"/>
  <c r="E25" i="6"/>
  <c r="C25" i="6"/>
  <c r="G24" i="8" l="1"/>
  <c r="C24" i="8"/>
  <c r="D25" i="8" s="1"/>
  <c r="B24" i="8"/>
  <c r="E24" i="8"/>
  <c r="F24" i="8" s="1"/>
  <c r="A25" i="8"/>
  <c r="A27" i="6"/>
  <c r="B26" i="6"/>
  <c r="C26" i="6"/>
  <c r="E26" i="6"/>
  <c r="C24" i="7"/>
  <c r="H24" i="7" s="1"/>
  <c r="B24" i="7"/>
  <c r="A25" i="7"/>
  <c r="E18" i="10" a="1"/>
  <c r="E18" i="10" s="1"/>
  <c r="B19" i="10"/>
  <c r="G24" i="6"/>
  <c r="F24" i="6"/>
  <c r="D25" i="6"/>
  <c r="F23" i="8"/>
  <c r="E106" i="10" a="1"/>
  <c r="E106" i="10" s="1"/>
  <c r="B107" i="10"/>
  <c r="E107" i="10" s="1" a="1"/>
  <c r="E107" i="10" s="1"/>
  <c r="G25" i="8" l="1"/>
  <c r="B20" i="10"/>
  <c r="E19" i="10" a="1"/>
  <c r="E19" i="10" s="1"/>
  <c r="B27" i="6"/>
  <c r="C27" i="6"/>
  <c r="E27" i="6"/>
  <c r="A28" i="6"/>
  <c r="E25" i="8"/>
  <c r="F25" i="8" s="1"/>
  <c r="C25" i="8"/>
  <c r="D26" i="8" s="1"/>
  <c r="A26" i="8"/>
  <c r="B25" i="8"/>
  <c r="C25" i="7"/>
  <c r="H25" i="7" s="1"/>
  <c r="B25" i="7"/>
  <c r="A26" i="7"/>
  <c r="G25" i="6"/>
  <c r="F25" i="6"/>
  <c r="D26" i="6"/>
  <c r="G26" i="8" l="1"/>
  <c r="G26" i="6"/>
  <c r="D27" i="6"/>
  <c r="F26" i="6"/>
  <c r="E26" i="8"/>
  <c r="F26" i="8" s="1"/>
  <c r="C26" i="8"/>
  <c r="D27" i="8" s="1"/>
  <c r="B26" i="8"/>
  <c r="A27" i="8"/>
  <c r="B21" i="10"/>
  <c r="E20" i="10" a="1"/>
  <c r="E20" i="10" s="1"/>
  <c r="C26" i="7"/>
  <c r="H26" i="7" s="1"/>
  <c r="A27" i="7"/>
  <c r="B26" i="7"/>
  <c r="C28" i="6"/>
  <c r="B28" i="6"/>
  <c r="A29" i="6"/>
  <c r="E28" i="6"/>
  <c r="G27" i="8" l="1"/>
  <c r="A28" i="7"/>
  <c r="C27" i="7"/>
  <c r="H27" i="7" s="1"/>
  <c r="B27" i="7"/>
  <c r="D28" i="6"/>
  <c r="G27" i="6"/>
  <c r="F27" i="6"/>
  <c r="B22" i="10"/>
  <c r="E21" i="10" a="1"/>
  <c r="E21" i="10" s="1"/>
  <c r="C29" i="6"/>
  <c r="E29" i="6"/>
  <c r="B29" i="6"/>
  <c r="A30" i="6"/>
  <c r="E27" i="8"/>
  <c r="A28" i="8"/>
  <c r="C27" i="8"/>
  <c r="F27" i="8" s="1"/>
  <c r="B27" i="8"/>
  <c r="E30" i="6" l="1"/>
  <c r="C30" i="6"/>
  <c r="A31" i="6"/>
  <c r="B30" i="6"/>
  <c r="D29" i="6"/>
  <c r="G28" i="6"/>
  <c r="F28" i="6"/>
  <c r="B28" i="7"/>
  <c r="A29" i="7"/>
  <c r="C28" i="7"/>
  <c r="H28" i="7" s="1"/>
  <c r="B23" i="10"/>
  <c r="E22" i="10" a="1"/>
  <c r="E22" i="10" s="1"/>
  <c r="D28" i="8"/>
  <c r="A29" i="8"/>
  <c r="E28" i="8"/>
  <c r="C28" i="8"/>
  <c r="B28" i="8"/>
  <c r="A30" i="8" l="1"/>
  <c r="E29" i="8"/>
  <c r="B29" i="8"/>
  <c r="C29" i="8"/>
  <c r="G28" i="8"/>
  <c r="F28" i="8"/>
  <c r="D29" i="8"/>
  <c r="D30" i="6"/>
  <c r="G29" i="6"/>
  <c r="F29" i="6"/>
  <c r="B24" i="10"/>
  <c r="E24" i="10" s="1" a="1"/>
  <c r="E24" i="10" s="1"/>
  <c r="E23" i="10" a="1"/>
  <c r="E23" i="10" s="1"/>
  <c r="E31" i="6"/>
  <c r="C31" i="6"/>
  <c r="B31" i="6"/>
  <c r="A32" i="6"/>
  <c r="C29" i="7"/>
  <c r="H29" i="7" s="1"/>
  <c r="A30" i="7"/>
  <c r="B29" i="7"/>
  <c r="F30" i="6" l="1"/>
  <c r="D31" i="6"/>
  <c r="G30" i="6"/>
  <c r="G29" i="8"/>
  <c r="F29" i="8"/>
  <c r="D30" i="8"/>
  <c r="E115" i="10"/>
  <c r="E117" i="10" s="1"/>
  <c r="A31" i="7"/>
  <c r="B30" i="7"/>
  <c r="C30" i="7"/>
  <c r="H30" i="7" s="1"/>
  <c r="A33" i="6"/>
  <c r="E32" i="6"/>
  <c r="C32" i="6"/>
  <c r="B32" i="6"/>
  <c r="B30" i="8"/>
  <c r="A31" i="8"/>
  <c r="E30" i="8"/>
  <c r="C30" i="8"/>
  <c r="C31" i="7" l="1"/>
  <c r="H31" i="7" s="1"/>
  <c r="B31" i="7"/>
  <c r="A32" i="7"/>
  <c r="C31" i="8"/>
  <c r="B31" i="8"/>
  <c r="E31" i="8"/>
  <c r="A32" i="8"/>
  <c r="G30" i="8"/>
  <c r="F30" i="8"/>
  <c r="D31" i="8"/>
  <c r="A34" i="6"/>
  <c r="B33" i="6"/>
  <c r="C33" i="6" s="1"/>
  <c r="E33" i="6"/>
  <c r="F31" i="6"/>
  <c r="G31" i="6"/>
  <c r="D32" i="6"/>
  <c r="C32" i="8" l="1"/>
  <c r="B32" i="8"/>
  <c r="A33" i="8"/>
  <c r="E32" i="8"/>
  <c r="A35" i="6"/>
  <c r="B34" i="6"/>
  <c r="E34" i="6"/>
  <c r="C34" i="6"/>
  <c r="C32" i="7"/>
  <c r="H32" i="7" s="1"/>
  <c r="B32" i="7"/>
  <c r="A33" i="7"/>
  <c r="D32" i="8"/>
  <c r="G31" i="8"/>
  <c r="F31" i="8"/>
  <c r="G32" i="6"/>
  <c r="F32" i="6"/>
  <c r="D33" i="6"/>
  <c r="B35" i="6" l="1"/>
  <c r="C35" i="6"/>
  <c r="A36" i="6"/>
  <c r="E35" i="6"/>
  <c r="D33" i="8"/>
  <c r="G32" i="8"/>
  <c r="F32" i="8"/>
  <c r="C33" i="7"/>
  <c r="H33" i="7" s="1"/>
  <c r="A34" i="7"/>
  <c r="B33" i="7"/>
  <c r="E33" i="8"/>
  <c r="B33" i="8"/>
  <c r="C33" i="8" s="1"/>
  <c r="A34" i="8"/>
  <c r="G33" i="6"/>
  <c r="D34" i="6"/>
  <c r="F33" i="6"/>
  <c r="E34" i="8" l="1"/>
  <c r="A35" i="8"/>
  <c r="B34" i="8"/>
  <c r="C34" i="8" s="1"/>
  <c r="A35" i="7"/>
  <c r="C34" i="7"/>
  <c r="H34" i="7" s="1"/>
  <c r="B34" i="7"/>
  <c r="D35" i="6"/>
  <c r="G34" i="6"/>
  <c r="F34" i="6"/>
  <c r="B36" i="6"/>
  <c r="C36" i="6" s="1"/>
  <c r="A37" i="6"/>
  <c r="E36" i="6"/>
  <c r="D34" i="8"/>
  <c r="F33" i="8"/>
  <c r="G33" i="8"/>
  <c r="F34" i="8" l="1"/>
  <c r="D35" i="8"/>
  <c r="G34" i="8"/>
  <c r="E37" i="6"/>
  <c r="B37" i="6"/>
  <c r="C37" i="6" s="1"/>
  <c r="A38" i="6"/>
  <c r="B35" i="7"/>
  <c r="A36" i="7"/>
  <c r="C35" i="7"/>
  <c r="H35" i="7" s="1"/>
  <c r="E35" i="8"/>
  <c r="B35" i="8"/>
  <c r="A36" i="8"/>
  <c r="C35" i="8"/>
  <c r="D36" i="6"/>
  <c r="G35" i="6"/>
  <c r="F35" i="6"/>
  <c r="D37" i="6" l="1"/>
  <c r="G36" i="6"/>
  <c r="F36" i="6"/>
  <c r="E38" i="6"/>
  <c r="A39" i="6"/>
  <c r="B38" i="6"/>
  <c r="C38" i="6"/>
  <c r="A37" i="8"/>
  <c r="B36" i="8"/>
  <c r="C36" i="8"/>
  <c r="E36" i="8"/>
  <c r="G35" i="8"/>
  <c r="F35" i="8"/>
  <c r="D36" i="8"/>
  <c r="A37" i="7"/>
  <c r="C36" i="7"/>
  <c r="H36" i="7" s="1"/>
  <c r="B36" i="7"/>
  <c r="A38" i="8" l="1"/>
  <c r="B37" i="8"/>
  <c r="E37" i="8"/>
  <c r="C37" i="8"/>
  <c r="C37" i="7"/>
  <c r="H37" i="7" s="1"/>
  <c r="A38" i="7"/>
  <c r="B37" i="7"/>
  <c r="G36" i="8"/>
  <c r="F36" i="8"/>
  <c r="D37" i="8"/>
  <c r="E39" i="6"/>
  <c r="A40" i="6"/>
  <c r="B39" i="6"/>
  <c r="C39" i="6"/>
  <c r="D38" i="6"/>
  <c r="G37" i="6"/>
  <c r="F37" i="6"/>
  <c r="F38" i="6" l="1"/>
  <c r="G38" i="6"/>
  <c r="D39" i="6"/>
  <c r="A39" i="7"/>
  <c r="B38" i="7"/>
  <c r="C38" i="7"/>
  <c r="H38" i="7" s="1"/>
  <c r="A41" i="6"/>
  <c r="E40" i="6"/>
  <c r="B40" i="6"/>
  <c r="C40" i="6" s="1"/>
  <c r="G37" i="8"/>
  <c r="D38" i="8"/>
  <c r="F37" i="8"/>
  <c r="B38" i="8"/>
  <c r="C38" i="8" s="1"/>
  <c r="A39" i="8"/>
  <c r="E38" i="8"/>
  <c r="B39" i="8" l="1"/>
  <c r="C39" i="8" s="1"/>
  <c r="A40" i="8"/>
  <c r="E39" i="8"/>
  <c r="A42" i="6"/>
  <c r="E41" i="6"/>
  <c r="B41" i="6"/>
  <c r="C41" i="6" s="1"/>
  <c r="F38" i="8"/>
  <c r="D39" i="8"/>
  <c r="G38" i="8"/>
  <c r="C39" i="7"/>
  <c r="H39" i="7" s="1"/>
  <c r="B39" i="7"/>
  <c r="A40" i="7"/>
  <c r="F39" i="6"/>
  <c r="G39" i="6"/>
  <c r="D40" i="6"/>
  <c r="C40" i="7" l="1"/>
  <c r="H40" i="7" s="1"/>
  <c r="A41" i="7"/>
  <c r="B40" i="7"/>
  <c r="A43" i="6"/>
  <c r="B42" i="6"/>
  <c r="E42" i="6"/>
  <c r="C42" i="6"/>
  <c r="C40" i="8"/>
  <c r="B40" i="8"/>
  <c r="E40" i="8"/>
  <c r="A41" i="8"/>
  <c r="D40" i="8"/>
  <c r="G39" i="8"/>
  <c r="F39" i="8"/>
  <c r="G40" i="6"/>
  <c r="F40" i="6"/>
  <c r="D41" i="6"/>
  <c r="D41" i="8" l="1"/>
  <c r="F40" i="8"/>
  <c r="G40" i="8"/>
  <c r="B43" i="6"/>
  <c r="C43" i="6" s="1"/>
  <c r="A44" i="6"/>
  <c r="E43" i="6"/>
  <c r="E41" i="8"/>
  <c r="C41" i="8"/>
  <c r="B41" i="8"/>
  <c r="A42" i="8"/>
  <c r="A42" i="7"/>
  <c r="C41" i="7"/>
  <c r="H41" i="7" s="1"/>
  <c r="B41" i="7"/>
  <c r="G41" i="6"/>
  <c r="F41" i="6"/>
  <c r="D42" i="6"/>
  <c r="E42" i="8" l="1"/>
  <c r="B42" i="8"/>
  <c r="C42" i="8" s="1"/>
  <c r="A43" i="8"/>
  <c r="D43" i="6"/>
  <c r="F42" i="6"/>
  <c r="G42" i="6"/>
  <c r="D42" i="8"/>
  <c r="G41" i="8"/>
  <c r="F41" i="8"/>
  <c r="B42" i="7"/>
  <c r="A43" i="7"/>
  <c r="C42" i="7"/>
  <c r="H42" i="7" s="1"/>
  <c r="B44" i="6"/>
  <c r="C44" i="6" s="1"/>
  <c r="E44" i="6"/>
  <c r="A45" i="6"/>
  <c r="D44" i="6" l="1"/>
  <c r="F43" i="6"/>
  <c r="G43" i="6"/>
  <c r="A44" i="7"/>
  <c r="C43" i="7"/>
  <c r="H43" i="7" s="1"/>
  <c r="B43" i="7"/>
  <c r="E43" i="8"/>
  <c r="B43" i="8"/>
  <c r="C43" i="8"/>
  <c r="A44" i="8"/>
  <c r="E45" i="6"/>
  <c r="B45" i="6"/>
  <c r="C45" i="6" s="1"/>
  <c r="A46" i="6"/>
  <c r="F42" i="8"/>
  <c r="G42" i="8"/>
  <c r="D43" i="8"/>
  <c r="E46" i="6" l="1"/>
  <c r="B46" i="6"/>
  <c r="A47" i="6"/>
  <c r="C46" i="6"/>
  <c r="A45" i="7"/>
  <c r="C44" i="7"/>
  <c r="H44" i="7" s="1"/>
  <c r="B44" i="7"/>
  <c r="A45" i="8"/>
  <c r="E44" i="8"/>
  <c r="B44" i="8"/>
  <c r="C44" i="8" s="1"/>
  <c r="G43" i="8"/>
  <c r="F43" i="8"/>
  <c r="D44" i="8"/>
  <c r="D45" i="6"/>
  <c r="F44" i="6"/>
  <c r="G44" i="6"/>
  <c r="D46" i="6" l="1"/>
  <c r="G45" i="6"/>
  <c r="F45" i="6"/>
  <c r="G44" i="8"/>
  <c r="F44" i="8"/>
  <c r="D45" i="8"/>
  <c r="C45" i="7"/>
  <c r="H45" i="7" s="1"/>
  <c r="B45" i="7"/>
  <c r="A46" i="7"/>
  <c r="E47" i="6"/>
  <c r="A48" i="6"/>
  <c r="B47" i="6"/>
  <c r="C47" i="6" s="1"/>
  <c r="A46" i="8"/>
  <c r="C45" i="8"/>
  <c r="B45" i="8"/>
  <c r="E45" i="8"/>
  <c r="B46" i="8" l="1"/>
  <c r="A47" i="8"/>
  <c r="C46" i="8"/>
  <c r="E46" i="8"/>
  <c r="G45" i="8"/>
  <c r="F45" i="8"/>
  <c r="D46" i="8"/>
  <c r="A49" i="6"/>
  <c r="B48" i="6"/>
  <c r="E48" i="6"/>
  <c r="C48" i="6"/>
  <c r="A47" i="7"/>
  <c r="B46" i="7"/>
  <c r="C46" i="7"/>
  <c r="H46" i="7" s="1"/>
  <c r="F46" i="6"/>
  <c r="D47" i="6"/>
  <c r="G46" i="6"/>
  <c r="D47" i="8" l="1"/>
  <c r="G46" i="8"/>
  <c r="F46" i="8"/>
  <c r="A48" i="7"/>
  <c r="B47" i="7"/>
  <c r="C47" i="7"/>
  <c r="H47" i="7" s="1"/>
  <c r="B47" i="8"/>
  <c r="C47" i="8" s="1"/>
  <c r="E47" i="8"/>
  <c r="A48" i="8"/>
  <c r="F47" i="6"/>
  <c r="G47" i="6"/>
  <c r="D48" i="6"/>
  <c r="A50" i="6"/>
  <c r="B49" i="6"/>
  <c r="C49" i="6" s="1"/>
  <c r="E49" i="6"/>
  <c r="A51" i="6" l="1"/>
  <c r="B50" i="6"/>
  <c r="E50" i="6"/>
  <c r="C50" i="6"/>
  <c r="G48" i="6"/>
  <c r="F48" i="6"/>
  <c r="D49" i="6"/>
  <c r="A49" i="7"/>
  <c r="B48" i="7"/>
  <c r="C48" i="7"/>
  <c r="H48" i="7" s="1"/>
  <c r="B48" i="8"/>
  <c r="C48" i="8" s="1"/>
  <c r="A49" i="8"/>
  <c r="E48" i="8"/>
  <c r="D48" i="8"/>
  <c r="G47" i="8"/>
  <c r="F47" i="8"/>
  <c r="A50" i="7" l="1"/>
  <c r="B49" i="7"/>
  <c r="C49" i="7"/>
  <c r="H49" i="7" s="1"/>
  <c r="D49" i="8"/>
  <c r="F48" i="8"/>
  <c r="G48" i="8"/>
  <c r="G49" i="6"/>
  <c r="F49" i="6"/>
  <c r="D50" i="6"/>
  <c r="E49" i="8"/>
  <c r="A50" i="8"/>
  <c r="B49" i="8"/>
  <c r="C49" i="8" s="1"/>
  <c r="B51" i="6"/>
  <c r="C51" i="6"/>
  <c r="E51" i="6"/>
  <c r="A52" i="6"/>
  <c r="E50" i="8" l="1"/>
  <c r="B50" i="8"/>
  <c r="C50" i="8"/>
  <c r="A51" i="8"/>
  <c r="D50" i="8"/>
  <c r="G49" i="8"/>
  <c r="F49" i="8"/>
  <c r="B52" i="6"/>
  <c r="C52" i="6" s="1"/>
  <c r="E52" i="6"/>
  <c r="A53" i="6"/>
  <c r="G50" i="6"/>
  <c r="D51" i="6"/>
  <c r="F50" i="6"/>
  <c r="A51" i="7"/>
  <c r="B50" i="7"/>
  <c r="C50" i="7"/>
  <c r="H50" i="7" s="1"/>
  <c r="A52" i="7" l="1"/>
  <c r="B51" i="7"/>
  <c r="C51" i="7"/>
  <c r="H51" i="7" s="1"/>
  <c r="D52" i="6"/>
  <c r="F51" i="6"/>
  <c r="G51" i="6"/>
  <c r="F50" i="8"/>
  <c r="D51" i="8"/>
  <c r="G50" i="8"/>
  <c r="E51" i="8"/>
  <c r="A52" i="8"/>
  <c r="B51" i="8"/>
  <c r="C51" i="8" s="1"/>
  <c r="C53" i="6"/>
  <c r="E53" i="6"/>
  <c r="B53" i="6"/>
  <c r="A54" i="6"/>
  <c r="D53" i="6" l="1"/>
  <c r="G52" i="6"/>
  <c r="F52" i="6"/>
  <c r="A53" i="8"/>
  <c r="E52" i="8"/>
  <c r="B52" i="8"/>
  <c r="C52" i="8" s="1"/>
  <c r="E54" i="6"/>
  <c r="B54" i="6"/>
  <c r="C54" i="6" s="1"/>
  <c r="A55" i="6"/>
  <c r="A53" i="7"/>
  <c r="B52" i="7"/>
  <c r="C52" i="7"/>
  <c r="H52" i="7" s="1"/>
  <c r="G51" i="8"/>
  <c r="F51" i="8"/>
  <c r="D52" i="8"/>
  <c r="C53" i="7" l="1"/>
  <c r="H53" i="7" s="1"/>
  <c r="A54" i="7"/>
  <c r="B53" i="7"/>
  <c r="A54" i="8"/>
  <c r="B53" i="8"/>
  <c r="E53" i="8"/>
  <c r="C53" i="8"/>
  <c r="E55" i="6"/>
  <c r="B55" i="6"/>
  <c r="C55" i="6" s="1"/>
  <c r="A56" i="6"/>
  <c r="G52" i="8"/>
  <c r="F52" i="8"/>
  <c r="D53" i="8"/>
  <c r="D54" i="6"/>
  <c r="F53" i="6"/>
  <c r="G53" i="6"/>
  <c r="F54" i="6" l="1"/>
  <c r="G54" i="6"/>
  <c r="D55" i="6"/>
  <c r="G53" i="8"/>
  <c r="D54" i="8"/>
  <c r="F53" i="8"/>
  <c r="B54" i="8"/>
  <c r="C54" i="8" s="1"/>
  <c r="A55" i="8"/>
  <c r="E54" i="8"/>
  <c r="A57" i="6"/>
  <c r="B56" i="6"/>
  <c r="E56" i="6"/>
  <c r="C56" i="6"/>
  <c r="A55" i="7"/>
  <c r="B54" i="7"/>
  <c r="C54" i="7"/>
  <c r="H54" i="7" s="1"/>
  <c r="B55" i="8" l="1"/>
  <c r="C55" i="8" s="1"/>
  <c r="E55" i="8"/>
  <c r="A56" i="8"/>
  <c r="B55" i="7"/>
  <c r="A56" i="7"/>
  <c r="C55" i="7"/>
  <c r="H55" i="7" s="1"/>
  <c r="D55" i="8"/>
  <c r="F54" i="8"/>
  <c r="G54" i="8"/>
  <c r="A58" i="6"/>
  <c r="B57" i="6"/>
  <c r="C57" i="6" s="1"/>
  <c r="E57" i="6"/>
  <c r="F55" i="6"/>
  <c r="G55" i="6"/>
  <c r="D56" i="6"/>
  <c r="D56" i="8" l="1"/>
  <c r="F55" i="8"/>
  <c r="G55" i="8"/>
  <c r="B56" i="7"/>
  <c r="A57" i="7"/>
  <c r="C56" i="7"/>
  <c r="H56" i="7" s="1"/>
  <c r="B56" i="8"/>
  <c r="C56" i="8" s="1"/>
  <c r="A57" i="8"/>
  <c r="E56" i="8"/>
  <c r="A59" i="6"/>
  <c r="B58" i="6"/>
  <c r="E58" i="6"/>
  <c r="C58" i="6"/>
  <c r="G56" i="6"/>
  <c r="F56" i="6"/>
  <c r="D57" i="6"/>
  <c r="B57" i="7" l="1"/>
  <c r="A58" i="7"/>
  <c r="C57" i="7"/>
  <c r="H57" i="7" s="1"/>
  <c r="B59" i="6"/>
  <c r="C59" i="6"/>
  <c r="A60" i="6"/>
  <c r="E59" i="6"/>
  <c r="G57" i="6"/>
  <c r="D58" i="6"/>
  <c r="F57" i="6"/>
  <c r="E57" i="8"/>
  <c r="C57" i="8"/>
  <c r="B57" i="8"/>
  <c r="A58" i="8"/>
  <c r="D57" i="8"/>
  <c r="G56" i="8"/>
  <c r="F56" i="8"/>
  <c r="B60" i="6" l="1"/>
  <c r="C60" i="6" s="1"/>
  <c r="E60" i="6"/>
  <c r="A61" i="6"/>
  <c r="D58" i="8"/>
  <c r="F57" i="8"/>
  <c r="G57" i="8"/>
  <c r="E58" i="8"/>
  <c r="A59" i="8"/>
  <c r="B58" i="8"/>
  <c r="C58" i="8" s="1"/>
  <c r="B58" i="7"/>
  <c r="A59" i="7"/>
  <c r="C58" i="7"/>
  <c r="H58" i="7" s="1"/>
  <c r="G58" i="6"/>
  <c r="F58" i="6"/>
  <c r="D59" i="6"/>
  <c r="B59" i="7" l="1"/>
  <c r="A60" i="7"/>
  <c r="C59" i="7"/>
  <c r="H59" i="7" s="1"/>
  <c r="F58" i="8"/>
  <c r="D59" i="8"/>
  <c r="G58" i="8"/>
  <c r="C61" i="6"/>
  <c r="E61" i="6"/>
  <c r="A62" i="6"/>
  <c r="B61" i="6"/>
  <c r="D60" i="6"/>
  <c r="G59" i="6"/>
  <c r="F59" i="6"/>
  <c r="E59" i="8"/>
  <c r="B59" i="8"/>
  <c r="C59" i="8" s="1"/>
  <c r="A60" i="8"/>
  <c r="A61" i="8" l="1"/>
  <c r="E60" i="8"/>
  <c r="B60" i="8"/>
  <c r="C60" i="8"/>
  <c r="G59" i="8"/>
  <c r="F59" i="8"/>
  <c r="D60" i="8"/>
  <c r="D61" i="6"/>
  <c r="G60" i="6"/>
  <c r="F60" i="6"/>
  <c r="B60" i="7"/>
  <c r="A61" i="7"/>
  <c r="C60" i="7"/>
  <c r="H60" i="7" s="1"/>
  <c r="E62" i="6"/>
  <c r="B62" i="6"/>
  <c r="C62" i="6" s="1"/>
  <c r="A63" i="6"/>
  <c r="D62" i="6" l="1"/>
  <c r="F61" i="6"/>
  <c r="G61" i="6"/>
  <c r="G60" i="8"/>
  <c r="F60" i="8"/>
  <c r="D61" i="8"/>
  <c r="C61" i="7"/>
  <c r="H61" i="7" s="1"/>
  <c r="B61" i="7"/>
  <c r="A62" i="7"/>
  <c r="E63" i="6"/>
  <c r="A64" i="6"/>
  <c r="B63" i="6"/>
  <c r="C63" i="6" s="1"/>
  <c r="A62" i="8"/>
  <c r="C61" i="8"/>
  <c r="E61" i="8"/>
  <c r="B61" i="8"/>
  <c r="G61" i="8" l="1"/>
  <c r="F61" i="8"/>
  <c r="D62" i="8"/>
  <c r="B62" i="8"/>
  <c r="A63" i="8"/>
  <c r="E62" i="8"/>
  <c r="C62" i="8"/>
  <c r="A65" i="6"/>
  <c r="B64" i="6"/>
  <c r="C64" i="6" s="1"/>
  <c r="E64" i="6"/>
  <c r="A63" i="7"/>
  <c r="B62" i="7"/>
  <c r="C62" i="7"/>
  <c r="H62" i="7" s="1"/>
  <c r="F62" i="6"/>
  <c r="G62" i="6"/>
  <c r="D63" i="6"/>
  <c r="A66" i="6" l="1"/>
  <c r="E65" i="6"/>
  <c r="B65" i="6"/>
  <c r="C65" i="6" s="1"/>
  <c r="C63" i="7"/>
  <c r="H63" i="7" s="1"/>
  <c r="B63" i="7"/>
  <c r="A64" i="7"/>
  <c r="C63" i="8"/>
  <c r="B63" i="8"/>
  <c r="A64" i="8"/>
  <c r="E63" i="8"/>
  <c r="D63" i="8"/>
  <c r="G62" i="8"/>
  <c r="F62" i="8"/>
  <c r="F63" i="6"/>
  <c r="G63" i="6"/>
  <c r="D64" i="6"/>
  <c r="C64" i="7" l="1"/>
  <c r="H64" i="7" s="1"/>
  <c r="B64" i="7"/>
  <c r="A65" i="7"/>
  <c r="D64" i="8"/>
  <c r="G63" i="8"/>
  <c r="F63" i="8"/>
  <c r="B64" i="8"/>
  <c r="C64" i="8" s="1"/>
  <c r="E64" i="8"/>
  <c r="A65" i="8"/>
  <c r="G64" i="6"/>
  <c r="F64" i="6"/>
  <c r="D65" i="6"/>
  <c r="A67" i="6"/>
  <c r="B66" i="6"/>
  <c r="C66" i="6"/>
  <c r="E66" i="6"/>
  <c r="D65" i="8" l="1"/>
  <c r="F64" i="8"/>
  <c r="G64" i="8"/>
  <c r="C65" i="7"/>
  <c r="H65" i="7" s="1"/>
  <c r="B65" i="7"/>
  <c r="A66" i="7"/>
  <c r="E65" i="8"/>
  <c r="C65" i="8"/>
  <c r="B65" i="8"/>
  <c r="A66" i="8"/>
  <c r="B67" i="6"/>
  <c r="C67" i="6"/>
  <c r="A68" i="6"/>
  <c r="E67" i="6"/>
  <c r="G65" i="6"/>
  <c r="D66" i="6"/>
  <c r="F65" i="6"/>
  <c r="G66" i="6" l="1"/>
  <c r="D67" i="6"/>
  <c r="F66" i="6"/>
  <c r="C66" i="7"/>
  <c r="H66" i="7" s="1"/>
  <c r="B66" i="7"/>
  <c r="A67" i="7"/>
  <c r="C68" i="6"/>
  <c r="B68" i="6"/>
  <c r="A69" i="6"/>
  <c r="E68" i="6"/>
  <c r="E66" i="8"/>
  <c r="B66" i="8"/>
  <c r="A67" i="8"/>
  <c r="C66" i="8"/>
  <c r="D66" i="8"/>
  <c r="G65" i="8"/>
  <c r="F65" i="8"/>
  <c r="F66" i="8" l="1"/>
  <c r="G66" i="8"/>
  <c r="D67" i="8"/>
  <c r="C67" i="7"/>
  <c r="H67" i="7" s="1"/>
  <c r="B67" i="7"/>
  <c r="A68" i="7"/>
  <c r="E67" i="8"/>
  <c r="C67" i="8"/>
  <c r="B67" i="8"/>
  <c r="A68" i="8"/>
  <c r="D68" i="6"/>
  <c r="G67" i="6"/>
  <c r="F67" i="6"/>
  <c r="E69" i="6"/>
  <c r="C69" i="6"/>
  <c r="A70" i="6"/>
  <c r="B69" i="6"/>
  <c r="A71" i="6" l="1"/>
  <c r="B70" i="6"/>
  <c r="C70" i="6" s="1"/>
  <c r="E70" i="6"/>
  <c r="C68" i="7"/>
  <c r="H68" i="7" s="1"/>
  <c r="B68" i="7"/>
  <c r="A69" i="7"/>
  <c r="F68" i="6"/>
  <c r="D69" i="6"/>
  <c r="G68" i="6"/>
  <c r="G67" i="8"/>
  <c r="F67" i="8"/>
  <c r="D68" i="8"/>
  <c r="A69" i="8"/>
  <c r="B68" i="8"/>
  <c r="C68" i="8" s="1"/>
  <c r="E68" i="8"/>
  <c r="C69" i="7" l="1"/>
  <c r="H69" i="7" s="1"/>
  <c r="B69" i="7"/>
  <c r="A70" i="7"/>
  <c r="A70" i="8"/>
  <c r="B69" i="8"/>
  <c r="C69" i="8" s="1"/>
  <c r="E69" i="8"/>
  <c r="G68" i="8"/>
  <c r="F68" i="8"/>
  <c r="D69" i="8"/>
  <c r="G69" i="6"/>
  <c r="F69" i="6"/>
  <c r="D70" i="6"/>
  <c r="A72" i="6"/>
  <c r="B71" i="6"/>
  <c r="E71" i="6"/>
  <c r="C71" i="6"/>
  <c r="B72" i="6" l="1"/>
  <c r="C72" i="6"/>
  <c r="E72" i="6"/>
  <c r="A73" i="6"/>
  <c r="B70" i="8"/>
  <c r="A71" i="8"/>
  <c r="C70" i="8"/>
  <c r="E70" i="8"/>
  <c r="A71" i="7"/>
  <c r="C70" i="7"/>
  <c r="H70" i="7" s="1"/>
  <c r="B70" i="7"/>
  <c r="G70" i="6"/>
  <c r="F70" i="6"/>
  <c r="D71" i="6"/>
  <c r="G69" i="8"/>
  <c r="F69" i="8"/>
  <c r="D70" i="8"/>
  <c r="D72" i="6" l="1"/>
  <c r="G71" i="6"/>
  <c r="F71" i="6"/>
  <c r="E73" i="6"/>
  <c r="A74" i="6"/>
  <c r="B73" i="6"/>
  <c r="C73" i="6" s="1"/>
  <c r="C71" i="8"/>
  <c r="B71" i="8"/>
  <c r="E71" i="8"/>
  <c r="A72" i="8"/>
  <c r="D71" i="8"/>
  <c r="G70" i="8"/>
  <c r="F70" i="8"/>
  <c r="A72" i="7"/>
  <c r="C71" i="7"/>
  <c r="H71" i="7" s="1"/>
  <c r="B71" i="7"/>
  <c r="A73" i="7" l="1"/>
  <c r="C72" i="7"/>
  <c r="H72" i="7" s="1"/>
  <c r="B72" i="7"/>
  <c r="A75" i="6"/>
  <c r="B74" i="6"/>
  <c r="C74" i="6" s="1"/>
  <c r="E74" i="6"/>
  <c r="D72" i="8"/>
  <c r="F71" i="8"/>
  <c r="G71" i="8"/>
  <c r="B72" i="8"/>
  <c r="C72" i="8" s="1"/>
  <c r="A73" i="8"/>
  <c r="E72" i="8"/>
  <c r="D73" i="6"/>
  <c r="F72" i="6"/>
  <c r="G72" i="6"/>
  <c r="D73" i="8" l="1"/>
  <c r="G72" i="8"/>
  <c r="F72" i="8"/>
  <c r="D74" i="6"/>
  <c r="F73" i="6"/>
  <c r="G73" i="6"/>
  <c r="E73" i="8"/>
  <c r="C73" i="8"/>
  <c r="A74" i="8"/>
  <c r="B73" i="8"/>
  <c r="E75" i="6"/>
  <c r="A76" i="6"/>
  <c r="B75" i="6"/>
  <c r="C75" i="6" s="1"/>
  <c r="C73" i="7"/>
  <c r="H73" i="7" s="1"/>
  <c r="A74" i="7"/>
  <c r="B73" i="7"/>
  <c r="A75" i="7" l="1"/>
  <c r="B74" i="7"/>
  <c r="C74" i="7"/>
  <c r="H74" i="7" s="1"/>
  <c r="B76" i="6"/>
  <c r="C76" i="6"/>
  <c r="E76" i="6"/>
  <c r="A77" i="6"/>
  <c r="G74" i="6"/>
  <c r="F74" i="6"/>
  <c r="D75" i="6"/>
  <c r="E74" i="8"/>
  <c r="B74" i="8"/>
  <c r="C74" i="8"/>
  <c r="A75" i="8"/>
  <c r="D74" i="8"/>
  <c r="F73" i="8"/>
  <c r="G73" i="8"/>
  <c r="F74" i="8" l="1"/>
  <c r="G74" i="8"/>
  <c r="D75" i="8"/>
  <c r="E77" i="6"/>
  <c r="A78" i="6"/>
  <c r="B77" i="6"/>
  <c r="C77" i="6" s="1"/>
  <c r="E75" i="8"/>
  <c r="A76" i="8"/>
  <c r="B75" i="8"/>
  <c r="C75" i="8" s="1"/>
  <c r="D76" i="6"/>
  <c r="F75" i="6"/>
  <c r="G75" i="6"/>
  <c r="C75" i="7"/>
  <c r="H75" i="7" s="1"/>
  <c r="B75" i="7"/>
  <c r="A76" i="7"/>
  <c r="A79" i="6" l="1"/>
  <c r="E78" i="6"/>
  <c r="B78" i="6"/>
  <c r="C78" i="6" s="1"/>
  <c r="F76" i="6"/>
  <c r="D77" i="6"/>
  <c r="G76" i="6"/>
  <c r="G75" i="8"/>
  <c r="F75" i="8"/>
  <c r="D76" i="8"/>
  <c r="A77" i="8"/>
  <c r="B76" i="8"/>
  <c r="C76" i="8" s="1"/>
  <c r="E76" i="8"/>
  <c r="C76" i="7"/>
  <c r="H76" i="7" s="1"/>
  <c r="B76" i="7"/>
  <c r="A77" i="7"/>
  <c r="G77" i="6" l="1"/>
  <c r="D78" i="6"/>
  <c r="F77" i="6"/>
  <c r="A78" i="8"/>
  <c r="E77" i="8"/>
  <c r="B77" i="8"/>
  <c r="C77" i="8" s="1"/>
  <c r="G76" i="8"/>
  <c r="F76" i="8"/>
  <c r="D77" i="8"/>
  <c r="A78" i="7"/>
  <c r="C77" i="7"/>
  <c r="H77" i="7" s="1"/>
  <c r="B77" i="7"/>
  <c r="A80" i="6"/>
  <c r="E79" i="6"/>
  <c r="B79" i="6"/>
  <c r="C79" i="6"/>
  <c r="B80" i="6" l="1"/>
  <c r="C80" i="6"/>
  <c r="E80" i="6"/>
  <c r="A81" i="6"/>
  <c r="B78" i="8"/>
  <c r="C78" i="8" s="1"/>
  <c r="A79" i="8"/>
  <c r="E78" i="8"/>
  <c r="A79" i="7"/>
  <c r="C78" i="7"/>
  <c r="H78" i="7" s="1"/>
  <c r="B78" i="7"/>
  <c r="G77" i="8"/>
  <c r="F77" i="8"/>
  <c r="D78" i="8"/>
  <c r="F78" i="6"/>
  <c r="G78" i="6"/>
  <c r="D79" i="6"/>
  <c r="G78" i="8" l="1"/>
  <c r="F78" i="8"/>
  <c r="D79" i="8"/>
  <c r="B79" i="8"/>
  <c r="C79" i="8" s="1"/>
  <c r="E79" i="8"/>
  <c r="A80" i="8"/>
  <c r="G79" i="6"/>
  <c r="F79" i="6"/>
  <c r="D80" i="6"/>
  <c r="A80" i="7"/>
  <c r="B79" i="7"/>
  <c r="C79" i="7"/>
  <c r="H79" i="7" s="1"/>
  <c r="B81" i="6"/>
  <c r="C81" i="6" s="1"/>
  <c r="E81" i="6"/>
  <c r="A82" i="6"/>
  <c r="B80" i="8" l="1"/>
  <c r="C80" i="8" s="1"/>
  <c r="A81" i="8"/>
  <c r="E80" i="8"/>
  <c r="A81" i="7"/>
  <c r="B80" i="7"/>
  <c r="C80" i="7"/>
  <c r="H80" i="7" s="1"/>
  <c r="D80" i="8"/>
  <c r="G79" i="8"/>
  <c r="F79" i="8"/>
  <c r="D81" i="6"/>
  <c r="F80" i="6"/>
  <c r="G80" i="6"/>
  <c r="E82" i="6"/>
  <c r="A83" i="6"/>
  <c r="C82" i="6"/>
  <c r="B82" i="6"/>
  <c r="D81" i="8" l="1"/>
  <c r="G80" i="8"/>
  <c r="F80" i="8"/>
  <c r="E83" i="6"/>
  <c r="A84" i="6"/>
  <c r="B83" i="6"/>
  <c r="C83" i="6"/>
  <c r="C81" i="7"/>
  <c r="H81" i="7" s="1"/>
  <c r="B81" i="7"/>
  <c r="A82" i="7"/>
  <c r="D82" i="6"/>
  <c r="G81" i="6"/>
  <c r="F81" i="6"/>
  <c r="E81" i="8"/>
  <c r="C81" i="8"/>
  <c r="A82" i="8"/>
  <c r="B81" i="8"/>
  <c r="E82" i="8" l="1"/>
  <c r="A83" i="8"/>
  <c r="B82" i="8"/>
  <c r="C82" i="8" s="1"/>
  <c r="B84" i="6"/>
  <c r="E84" i="6"/>
  <c r="C84" i="6"/>
  <c r="A85" i="6"/>
  <c r="F82" i="6"/>
  <c r="G82" i="6"/>
  <c r="D83" i="6"/>
  <c r="A83" i="7"/>
  <c r="B82" i="7"/>
  <c r="C82" i="7"/>
  <c r="H82" i="7" s="1"/>
  <c r="D82" i="8"/>
  <c r="F81" i="8"/>
  <c r="G81" i="8"/>
  <c r="B85" i="6" l="1"/>
  <c r="C85" i="6" s="1"/>
  <c r="A86" i="6"/>
  <c r="E85" i="6"/>
  <c r="F82" i="8"/>
  <c r="G82" i="8"/>
  <c r="D83" i="8"/>
  <c r="C83" i="7"/>
  <c r="H83" i="7" s="1"/>
  <c r="B83" i="7"/>
  <c r="A84" i="7"/>
  <c r="G83" i="6"/>
  <c r="D84" i="6"/>
  <c r="F83" i="6"/>
  <c r="E83" i="8"/>
  <c r="C83" i="8"/>
  <c r="B83" i="8"/>
  <c r="A84" i="8"/>
  <c r="G83" i="8" l="1"/>
  <c r="F83" i="8"/>
  <c r="D84" i="8"/>
  <c r="F84" i="6"/>
  <c r="D85" i="6"/>
  <c r="G84" i="6"/>
  <c r="A87" i="6"/>
  <c r="E86" i="6"/>
  <c r="B86" i="6"/>
  <c r="C86" i="6"/>
  <c r="A85" i="7"/>
  <c r="C84" i="7"/>
  <c r="H84" i="7" s="1"/>
  <c r="B84" i="7"/>
  <c r="A85" i="8"/>
  <c r="B84" i="8"/>
  <c r="C84" i="8" s="1"/>
  <c r="E84" i="8"/>
  <c r="A88" i="6" l="1"/>
  <c r="B87" i="6"/>
  <c r="E87" i="6"/>
  <c r="C87" i="6"/>
  <c r="A86" i="8"/>
  <c r="E85" i="8"/>
  <c r="C85" i="8"/>
  <c r="B85" i="8"/>
  <c r="G85" i="6"/>
  <c r="D86" i="6"/>
  <c r="F85" i="6"/>
  <c r="A86" i="7"/>
  <c r="C85" i="7"/>
  <c r="H85" i="7" s="1"/>
  <c r="B85" i="7"/>
  <c r="G84" i="8"/>
  <c r="F84" i="8"/>
  <c r="D85" i="8"/>
  <c r="B86" i="8" l="1"/>
  <c r="A87" i="8"/>
  <c r="C86" i="8"/>
  <c r="E86" i="8"/>
  <c r="A87" i="7"/>
  <c r="B86" i="7"/>
  <c r="C86" i="7"/>
  <c r="H86" i="7" s="1"/>
  <c r="F86" i="6"/>
  <c r="G86" i="6"/>
  <c r="D87" i="6"/>
  <c r="G85" i="8"/>
  <c r="D86" i="8"/>
  <c r="F85" i="8"/>
  <c r="B88" i="6"/>
  <c r="C88" i="6" s="1"/>
  <c r="A89" i="6"/>
  <c r="E88" i="6"/>
  <c r="B89" i="6" l="1"/>
  <c r="C89" i="6" s="1"/>
  <c r="A90" i="6"/>
  <c r="E89" i="6"/>
  <c r="A88" i="7"/>
  <c r="B87" i="7"/>
  <c r="C87" i="7"/>
  <c r="H87" i="7" s="1"/>
  <c r="D87" i="8"/>
  <c r="G86" i="8"/>
  <c r="F86" i="8"/>
  <c r="G87" i="6"/>
  <c r="F87" i="6"/>
  <c r="D88" i="6"/>
  <c r="B87" i="8"/>
  <c r="C87" i="8" s="1"/>
  <c r="E87" i="8"/>
  <c r="G87" i="8" l="1"/>
  <c r="G89" i="8" s="1"/>
  <c r="F87" i="8"/>
  <c r="F89" i="8" s="1"/>
  <c r="D106" i="8" s="1"/>
  <c r="G3" i="8" s="1"/>
  <c r="D89" i="6"/>
  <c r="G88" i="6"/>
  <c r="F88" i="6"/>
  <c r="B88" i="7"/>
  <c r="A89" i="7"/>
  <c r="C88" i="7"/>
  <c r="H88" i="7" s="1"/>
  <c r="E90" i="6"/>
  <c r="B90" i="6"/>
  <c r="C90" i="6" s="1"/>
  <c r="A91" i="6"/>
  <c r="C89" i="7" l="1"/>
  <c r="H89" i="7" s="1"/>
  <c r="B89" i="7"/>
  <c r="A90" i="7"/>
  <c r="E91" i="6"/>
  <c r="A92" i="6"/>
  <c r="B91" i="6"/>
  <c r="C91" i="6" s="1"/>
  <c r="D90" i="6"/>
  <c r="G89" i="6"/>
  <c r="F89" i="6"/>
  <c r="G90" i="6" l="1"/>
  <c r="F90" i="6"/>
  <c r="D91" i="6"/>
  <c r="A93" i="6"/>
  <c r="B92" i="6"/>
  <c r="E92" i="6"/>
  <c r="C92" i="6"/>
  <c r="A91" i="7"/>
  <c r="B90" i="7"/>
  <c r="C90" i="7"/>
  <c r="H90" i="7" s="1"/>
  <c r="A92" i="7" l="1"/>
  <c r="C91" i="7"/>
  <c r="H91" i="7" s="1"/>
  <c r="B91" i="7"/>
  <c r="B93" i="6"/>
  <c r="C93" i="6"/>
  <c r="A94" i="6"/>
  <c r="E93" i="6"/>
  <c r="G91" i="6"/>
  <c r="F91" i="6"/>
  <c r="D92" i="6"/>
  <c r="A95" i="6" l="1"/>
  <c r="E94" i="6"/>
  <c r="B94" i="6"/>
  <c r="C94" i="6" s="1"/>
  <c r="F92" i="6"/>
  <c r="D93" i="6"/>
  <c r="G92" i="6"/>
  <c r="A93" i="7"/>
  <c r="C92" i="7"/>
  <c r="H92" i="7" s="1"/>
  <c r="B92" i="7"/>
  <c r="A94" i="7" l="1"/>
  <c r="B93" i="7"/>
  <c r="C93" i="7"/>
  <c r="H93" i="7" s="1"/>
  <c r="G93" i="6"/>
  <c r="D94" i="6"/>
  <c r="F93" i="6"/>
  <c r="E95" i="6"/>
  <c r="A96" i="6"/>
  <c r="B95" i="6"/>
  <c r="C95" i="6"/>
  <c r="B96" i="6" l="1"/>
  <c r="A97" i="6"/>
  <c r="E96" i="6"/>
  <c r="C96" i="6"/>
  <c r="F94" i="6"/>
  <c r="D95" i="6"/>
  <c r="G94" i="6"/>
  <c r="B94" i="7"/>
  <c r="C94" i="7"/>
  <c r="H94" i="7" s="1"/>
  <c r="A95" i="7"/>
  <c r="F95" i="6" l="1"/>
  <c r="G95" i="6"/>
  <c r="D96" i="6"/>
  <c r="C95" i="7"/>
  <c r="H95" i="7" s="1"/>
  <c r="B95" i="7"/>
  <c r="A96" i="7"/>
  <c r="C97" i="6"/>
  <c r="B97" i="6"/>
  <c r="A98" i="6"/>
  <c r="E97" i="6"/>
  <c r="C96" i="7" l="1"/>
  <c r="H96" i="7" s="1"/>
  <c r="A97" i="7"/>
  <c r="B96" i="7"/>
  <c r="G96" i="6"/>
  <c r="D97" i="6"/>
  <c r="F96" i="6"/>
  <c r="B98" i="6"/>
  <c r="C98" i="6" s="1"/>
  <c r="E98" i="6"/>
  <c r="A99" i="6"/>
  <c r="D98" i="6" l="1"/>
  <c r="F97" i="6"/>
  <c r="G97" i="6"/>
  <c r="E99" i="6"/>
  <c r="A100" i="6"/>
  <c r="B99" i="6"/>
  <c r="C99" i="6"/>
  <c r="A98" i="7"/>
  <c r="B97" i="7"/>
  <c r="C97" i="7"/>
  <c r="H97" i="7" s="1"/>
  <c r="A101" i="6" l="1"/>
  <c r="E100" i="6"/>
  <c r="B100" i="6"/>
  <c r="C100" i="6" s="1"/>
  <c r="D99" i="6"/>
  <c r="F98" i="6"/>
  <c r="G98" i="6"/>
  <c r="A99" i="7"/>
  <c r="C98" i="7"/>
  <c r="H98" i="7" s="1"/>
  <c r="B98" i="7"/>
  <c r="A100" i="7" l="1"/>
  <c r="C99" i="7"/>
  <c r="H99" i="7" s="1"/>
  <c r="B99" i="7"/>
  <c r="F99" i="6"/>
  <c r="G99" i="6"/>
  <c r="D100" i="6"/>
  <c r="C101" i="6"/>
  <c r="B101" i="6"/>
  <c r="E101" i="6"/>
  <c r="A102" i="6"/>
  <c r="F100" i="6" l="1"/>
  <c r="G100" i="6"/>
  <c r="D101" i="6"/>
  <c r="B102" i="6"/>
  <c r="C102" i="6" s="1"/>
  <c r="E102" i="6"/>
  <c r="A101" i="7"/>
  <c r="C100" i="7"/>
  <c r="H100" i="7" s="1"/>
  <c r="B100" i="7"/>
  <c r="A102" i="7" l="1"/>
  <c r="B101" i="7"/>
  <c r="C101" i="7"/>
  <c r="H101" i="7" s="1"/>
  <c r="G101" i="6"/>
  <c r="D102" i="6"/>
  <c r="F101" i="6"/>
  <c r="G102" i="6" l="1"/>
  <c r="G103" i="6" s="1"/>
  <c r="F102" i="6"/>
  <c r="F103" i="6" s="1"/>
  <c r="C102" i="7"/>
  <c r="H102" i="7" s="1"/>
  <c r="B102" i="7"/>
  <c r="A103" i="7"/>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B135" i="7" s="1"/>
  <c r="B6" i="7" l="1"/>
  <c r="D106" i="6"/>
  <c r="G3" i="6" s="1"/>
  <c r="E102" i="7" l="1"/>
  <c r="E94" i="7"/>
  <c r="E87" i="7"/>
  <c r="E79" i="7"/>
  <c r="E71" i="7"/>
  <c r="E96" i="7"/>
  <c r="E70" i="7"/>
  <c r="E69" i="7"/>
  <c r="E68" i="7"/>
  <c r="E67" i="7"/>
  <c r="E59" i="7"/>
  <c r="E51" i="7"/>
  <c r="E43" i="7"/>
  <c r="E35" i="7"/>
  <c r="E27" i="7"/>
  <c r="E19" i="7"/>
  <c r="E11" i="7"/>
  <c r="E99" i="7"/>
  <c r="E90" i="7"/>
  <c r="E83" i="7"/>
  <c r="E76" i="7"/>
  <c r="E18" i="7"/>
  <c r="E17" i="7"/>
  <c r="E16" i="7"/>
  <c r="E15" i="7"/>
  <c r="E14" i="7"/>
  <c r="E13" i="7"/>
  <c r="E12" i="7"/>
  <c r="E95" i="7"/>
  <c r="E91" i="7"/>
  <c r="E84" i="7"/>
  <c r="E77" i="7"/>
  <c r="E100" i="7"/>
  <c r="E92" i="7"/>
  <c r="E85" i="7"/>
  <c r="E78" i="7"/>
  <c r="E89" i="7"/>
  <c r="E82" i="7"/>
  <c r="E75" i="7"/>
  <c r="E66" i="7"/>
  <c r="E64" i="7"/>
  <c r="E62" i="7"/>
  <c r="E60" i="7"/>
  <c r="E40" i="7"/>
  <c r="E33" i="7"/>
  <c r="E26" i="7"/>
  <c r="E86" i="7"/>
  <c r="E41" i="7"/>
  <c r="E34" i="7"/>
  <c r="E101" i="7"/>
  <c r="E93" i="7"/>
  <c r="E72" i="7"/>
  <c r="E49" i="7"/>
  <c r="E47" i="7"/>
  <c r="E42" i="7"/>
  <c r="E98" i="7"/>
  <c r="E88" i="7"/>
  <c r="E81" i="7"/>
  <c r="E74" i="7"/>
  <c r="E44" i="7"/>
  <c r="E37" i="7"/>
  <c r="E30" i="7"/>
  <c r="E23" i="7"/>
  <c r="E97" i="7"/>
  <c r="E50" i="7"/>
  <c r="E48" i="7"/>
  <c r="E45" i="7"/>
  <c r="E38" i="7"/>
  <c r="E31" i="7"/>
  <c r="E24" i="7"/>
  <c r="E9" i="7"/>
  <c r="F9" i="7" s="1"/>
  <c r="G9" i="7" s="1"/>
  <c r="I9" i="7" s="1"/>
  <c r="D10" i="7" s="1"/>
  <c r="E80" i="7"/>
  <c r="E73" i="7"/>
  <c r="E58" i="7"/>
  <c r="E56" i="7"/>
  <c r="E54" i="7"/>
  <c r="E52" i="7"/>
  <c r="E46" i="7"/>
  <c r="E39" i="7"/>
  <c r="E32" i="7"/>
  <c r="E25" i="7"/>
  <c r="E10" i="7"/>
  <c r="E28" i="7"/>
  <c r="E57" i="7"/>
  <c r="E20" i="7"/>
  <c r="E65" i="7"/>
  <c r="E29" i="7"/>
  <c r="E55" i="7"/>
  <c r="E63" i="7"/>
  <c r="E53" i="7"/>
  <c r="E61" i="7"/>
  <c r="E36" i="7"/>
  <c r="E22" i="7"/>
  <c r="E21" i="7"/>
  <c r="F10" i="7" l="1"/>
  <c r="G10" i="7" s="1"/>
  <c r="I10" i="7" s="1"/>
  <c r="D11" i="7" s="1"/>
  <c r="F11" i="7" s="1"/>
  <c r="G11" i="7" s="1"/>
  <c r="I11" i="7" s="1"/>
  <c r="D12" i="7" s="1"/>
  <c r="F12" i="7" s="1"/>
  <c r="G12" i="7" s="1"/>
  <c r="I12" i="7" s="1"/>
  <c r="D13" i="7" s="1"/>
  <c r="F13" i="7" s="1"/>
  <c r="G13" i="7" s="1"/>
  <c r="I13" i="7" s="1"/>
  <c r="D14" i="7" s="1"/>
  <c r="F14" i="7" s="1"/>
  <c r="G14" i="7" s="1"/>
  <c r="I14" i="7" s="1"/>
  <c r="D15" i="7" s="1"/>
  <c r="F15" i="7" s="1"/>
  <c r="G15" i="7" s="1"/>
  <c r="I15" i="7" s="1"/>
  <c r="D16" i="7" s="1"/>
  <c r="F16" i="7" s="1"/>
  <c r="G16" i="7" s="1"/>
  <c r="I16" i="7" s="1"/>
  <c r="D17" i="7" s="1"/>
  <c r="F17" i="7" s="1"/>
  <c r="G17" i="7" s="1"/>
  <c r="I17" i="7" s="1"/>
  <c r="D18" i="7" s="1"/>
  <c r="F18" i="7" s="1"/>
  <c r="G18" i="7" s="1"/>
  <c r="I18" i="7" s="1"/>
  <c r="D19" i="7" s="1"/>
  <c r="F19" i="7" s="1"/>
  <c r="G19" i="7" s="1"/>
  <c r="I19" i="7" s="1"/>
  <c r="D20" i="7" s="1"/>
  <c r="F20" i="7" s="1"/>
  <c r="G20" i="7" s="1"/>
  <c r="I20" i="7" s="1"/>
  <c r="D21" i="7" s="1"/>
  <c r="F21" i="7" s="1"/>
  <c r="G21" i="7" s="1"/>
  <c r="I21" i="7" s="1"/>
  <c r="D22" i="7" s="1"/>
  <c r="F22" i="7" s="1"/>
  <c r="G22" i="7" s="1"/>
  <c r="I22" i="7" s="1"/>
  <c r="D23" i="7" s="1"/>
  <c r="F23" i="7" s="1"/>
  <c r="G23" i="7" s="1"/>
  <c r="I23" i="7" s="1"/>
  <c r="D24" i="7" s="1"/>
  <c r="F24" i="7" s="1"/>
  <c r="G24" i="7" s="1"/>
  <c r="I24" i="7" s="1"/>
  <c r="D25" i="7" s="1"/>
  <c r="F25" i="7" s="1"/>
  <c r="G25" i="7" s="1"/>
  <c r="I25" i="7" s="1"/>
  <c r="D26" i="7" s="1"/>
  <c r="F26" i="7" s="1"/>
  <c r="G26" i="7" s="1"/>
  <c r="I26" i="7" s="1"/>
  <c r="D27" i="7" s="1"/>
  <c r="F27" i="7" s="1"/>
  <c r="G27" i="7" s="1"/>
  <c r="I27" i="7" s="1"/>
  <c r="D28" i="7" s="1"/>
  <c r="F28" i="7" s="1"/>
  <c r="G28" i="7" s="1"/>
  <c r="I28" i="7" s="1"/>
  <c r="D29" i="7" s="1"/>
  <c r="F29" i="7" s="1"/>
  <c r="G29" i="7" s="1"/>
  <c r="I29" i="7" s="1"/>
  <c r="D30" i="7" s="1"/>
  <c r="F30" i="7" s="1"/>
  <c r="G30" i="7" s="1"/>
  <c r="I30" i="7" s="1"/>
  <c r="D31" i="7" s="1"/>
  <c r="F31" i="7" s="1"/>
  <c r="G31" i="7" s="1"/>
  <c r="I31" i="7" s="1"/>
  <c r="D32" i="7" s="1"/>
  <c r="F32" i="7" s="1"/>
  <c r="G32" i="7" s="1"/>
  <c r="I32" i="7" s="1"/>
  <c r="D33" i="7" s="1"/>
  <c r="F33" i="7" s="1"/>
  <c r="G33" i="7" s="1"/>
  <c r="I33" i="7" s="1"/>
  <c r="D34" i="7" s="1"/>
  <c r="F34" i="7" s="1"/>
  <c r="G34" i="7" s="1"/>
  <c r="I34" i="7" s="1"/>
  <c r="D35" i="7" s="1"/>
  <c r="F35" i="7" s="1"/>
  <c r="G35" i="7" s="1"/>
  <c r="I35" i="7" s="1"/>
  <c r="D36" i="7" s="1"/>
  <c r="F36" i="7" s="1"/>
  <c r="G36" i="7" s="1"/>
  <c r="I36" i="7" s="1"/>
  <c r="D37" i="7" s="1"/>
  <c r="F37" i="7" s="1"/>
  <c r="G37" i="7" s="1"/>
  <c r="I37" i="7" s="1"/>
  <c r="D38" i="7" s="1"/>
  <c r="F38" i="7" s="1"/>
  <c r="G38" i="7" s="1"/>
  <c r="I38" i="7" s="1"/>
  <c r="D39" i="7" s="1"/>
  <c r="F39" i="7" s="1"/>
  <c r="G39" i="7" s="1"/>
  <c r="I39" i="7" s="1"/>
  <c r="D40" i="7" s="1"/>
  <c r="F40" i="7" s="1"/>
  <c r="G40" i="7" s="1"/>
  <c r="I40" i="7" s="1"/>
  <c r="D41" i="7" s="1"/>
  <c r="F41" i="7" s="1"/>
  <c r="G41" i="7" s="1"/>
  <c r="I41" i="7" s="1"/>
  <c r="D42" i="7" s="1"/>
  <c r="F42" i="7" s="1"/>
  <c r="G42" i="7" s="1"/>
  <c r="I42" i="7" s="1"/>
  <c r="D43" i="7" s="1"/>
  <c r="F43" i="7" s="1"/>
  <c r="G43" i="7" s="1"/>
  <c r="I43" i="7" s="1"/>
  <c r="D44" i="7" s="1"/>
  <c r="F44" i="7" s="1"/>
  <c r="G44" i="7" s="1"/>
  <c r="I44" i="7" s="1"/>
  <c r="D45" i="7" s="1"/>
  <c r="F45" i="7" s="1"/>
  <c r="G45" i="7" s="1"/>
  <c r="I45" i="7" s="1"/>
  <c r="D46" i="7" s="1"/>
  <c r="F46" i="7" s="1"/>
  <c r="G46" i="7" s="1"/>
  <c r="I46" i="7" s="1"/>
  <c r="D47" i="7" s="1"/>
  <c r="F47" i="7" s="1"/>
  <c r="G47" i="7" s="1"/>
  <c r="I47" i="7" s="1"/>
  <c r="D48" i="7" s="1"/>
  <c r="F48" i="7" s="1"/>
  <c r="G48" i="7" s="1"/>
  <c r="I48" i="7" s="1"/>
  <c r="D49" i="7" s="1"/>
  <c r="F49" i="7" s="1"/>
  <c r="G49" i="7" s="1"/>
  <c r="I49" i="7" s="1"/>
  <c r="D50" i="7" s="1"/>
  <c r="F50" i="7" s="1"/>
  <c r="G50" i="7" s="1"/>
  <c r="I50" i="7" s="1"/>
  <c r="D51" i="7" s="1"/>
  <c r="F51" i="7" s="1"/>
  <c r="G51" i="7" s="1"/>
  <c r="I51" i="7" s="1"/>
  <c r="D52" i="7" s="1"/>
  <c r="F52" i="7" s="1"/>
  <c r="G52" i="7" s="1"/>
  <c r="I52" i="7" s="1"/>
  <c r="D53" i="7" s="1"/>
  <c r="F53" i="7" s="1"/>
  <c r="G53" i="7" s="1"/>
  <c r="I53" i="7" s="1"/>
  <c r="D54" i="7" s="1"/>
  <c r="F54" i="7" s="1"/>
  <c r="G54" i="7" s="1"/>
  <c r="I54" i="7" s="1"/>
  <c r="D55" i="7" s="1"/>
  <c r="F55" i="7" s="1"/>
  <c r="G55" i="7" s="1"/>
  <c r="I55" i="7" s="1"/>
  <c r="D56" i="7" s="1"/>
  <c r="F56" i="7" s="1"/>
  <c r="G56" i="7" s="1"/>
  <c r="I56" i="7" s="1"/>
  <c r="D57" i="7" s="1"/>
  <c r="F57" i="7" s="1"/>
  <c r="G57" i="7" s="1"/>
  <c r="I57" i="7" s="1"/>
  <c r="D58" i="7" s="1"/>
  <c r="F58" i="7" s="1"/>
  <c r="G58" i="7" s="1"/>
  <c r="I58" i="7" s="1"/>
  <c r="D59" i="7" s="1"/>
  <c r="F59" i="7" s="1"/>
  <c r="G59" i="7" s="1"/>
  <c r="I59" i="7" s="1"/>
  <c r="D60" i="7" s="1"/>
  <c r="F60" i="7" s="1"/>
  <c r="G60" i="7" s="1"/>
  <c r="I60" i="7" s="1"/>
  <c r="D61" i="7" s="1"/>
  <c r="F61" i="7" s="1"/>
  <c r="G61" i="7" s="1"/>
  <c r="I61" i="7" s="1"/>
  <c r="D62" i="7" s="1"/>
  <c r="F62" i="7" s="1"/>
  <c r="G62" i="7" s="1"/>
  <c r="I62" i="7" s="1"/>
  <c r="D63" i="7" s="1"/>
  <c r="F63" i="7" s="1"/>
  <c r="G63" i="7" s="1"/>
  <c r="I63" i="7" s="1"/>
  <c r="D64" i="7" s="1"/>
  <c r="F64" i="7" s="1"/>
  <c r="G64" i="7" s="1"/>
  <c r="I64" i="7" s="1"/>
  <c r="D65" i="7" s="1"/>
  <c r="F65" i="7" s="1"/>
  <c r="G65" i="7" s="1"/>
  <c r="I65" i="7" s="1"/>
  <c r="D66" i="7" s="1"/>
  <c r="F66" i="7" s="1"/>
  <c r="G66" i="7" s="1"/>
  <c r="I66" i="7" s="1"/>
  <c r="D67" i="7" s="1"/>
  <c r="F67" i="7" s="1"/>
  <c r="G67" i="7" s="1"/>
  <c r="I67" i="7" s="1"/>
  <c r="D68" i="7" s="1"/>
  <c r="F68" i="7" s="1"/>
  <c r="G68" i="7" s="1"/>
  <c r="I68" i="7" s="1"/>
  <c r="D69" i="7" s="1"/>
  <c r="F69" i="7" s="1"/>
  <c r="G69" i="7" s="1"/>
  <c r="I69" i="7" s="1"/>
  <c r="D70" i="7" s="1"/>
  <c r="F70" i="7" s="1"/>
  <c r="G70" i="7" s="1"/>
  <c r="I70" i="7" s="1"/>
  <c r="D71" i="7" s="1"/>
  <c r="F71" i="7" s="1"/>
  <c r="G71" i="7" s="1"/>
  <c r="I71" i="7" s="1"/>
  <c r="D72" i="7" s="1"/>
  <c r="F72" i="7" s="1"/>
  <c r="G72" i="7" s="1"/>
  <c r="I72" i="7" s="1"/>
  <c r="D73" i="7" s="1"/>
  <c r="F73" i="7" s="1"/>
  <c r="G73" i="7" s="1"/>
  <c r="I73" i="7" s="1"/>
  <c r="D74" i="7" s="1"/>
  <c r="F74" i="7" s="1"/>
  <c r="G74" i="7" s="1"/>
  <c r="I74" i="7" s="1"/>
  <c r="D75" i="7" s="1"/>
  <c r="F75" i="7" s="1"/>
  <c r="G75" i="7" s="1"/>
  <c r="I75" i="7" s="1"/>
  <c r="D76" i="7" s="1"/>
  <c r="F76" i="7" s="1"/>
  <c r="G76" i="7" s="1"/>
  <c r="I76" i="7" s="1"/>
  <c r="D77" i="7" s="1"/>
  <c r="F77" i="7" s="1"/>
  <c r="G77" i="7" s="1"/>
  <c r="I77" i="7" s="1"/>
  <c r="D78" i="7" s="1"/>
  <c r="F78" i="7" s="1"/>
  <c r="G78" i="7" s="1"/>
  <c r="I78" i="7" s="1"/>
  <c r="D79" i="7" s="1"/>
  <c r="F79" i="7" s="1"/>
  <c r="G79" i="7" s="1"/>
  <c r="I79" i="7" s="1"/>
  <c r="D80" i="7" s="1"/>
  <c r="F80" i="7" s="1"/>
  <c r="G80" i="7" s="1"/>
  <c r="I80" i="7" s="1"/>
  <c r="D81" i="7" s="1"/>
  <c r="F81" i="7" s="1"/>
  <c r="G81" i="7" s="1"/>
  <c r="I81" i="7" s="1"/>
  <c r="D82" i="7" s="1"/>
  <c r="F82" i="7" s="1"/>
  <c r="G82" i="7" s="1"/>
  <c r="I82" i="7" s="1"/>
  <c r="D83" i="7" s="1"/>
  <c r="F83" i="7" s="1"/>
  <c r="G83" i="7" s="1"/>
  <c r="I83" i="7" s="1"/>
  <c r="D84" i="7" s="1"/>
  <c r="F84" i="7" s="1"/>
  <c r="G84" i="7" s="1"/>
  <c r="I84" i="7" s="1"/>
  <c r="D85" i="7" s="1"/>
  <c r="F85" i="7" s="1"/>
  <c r="G85" i="7" s="1"/>
  <c r="I85" i="7" s="1"/>
  <c r="D86" i="7" s="1"/>
  <c r="F86" i="7" s="1"/>
  <c r="G86" i="7" s="1"/>
  <c r="I86" i="7" s="1"/>
  <c r="D87" i="7" s="1"/>
  <c r="F87" i="7" s="1"/>
  <c r="G87" i="7" s="1"/>
  <c r="I87" i="7" s="1"/>
  <c r="D88" i="7" s="1"/>
  <c r="F88" i="7" s="1"/>
  <c r="G88" i="7" s="1"/>
  <c r="I88" i="7" s="1"/>
  <c r="D89" i="7" s="1"/>
  <c r="F89" i="7" s="1"/>
  <c r="G89" i="7" s="1"/>
  <c r="I89" i="7" s="1"/>
  <c r="D90" i="7" s="1"/>
  <c r="F90" i="7" s="1"/>
  <c r="G90" i="7" s="1"/>
  <c r="I90" i="7" s="1"/>
  <c r="D91" i="7" s="1"/>
  <c r="F91" i="7" s="1"/>
  <c r="G91" i="7" s="1"/>
  <c r="I91" i="7" s="1"/>
  <c r="D92" i="7" s="1"/>
  <c r="F92" i="7" s="1"/>
  <c r="G92" i="7" s="1"/>
  <c r="I92" i="7" s="1"/>
  <c r="D93" i="7" s="1"/>
  <c r="F93" i="7" s="1"/>
  <c r="G93" i="7" s="1"/>
  <c r="I93" i="7" s="1"/>
  <c r="D94" i="7" s="1"/>
  <c r="F94" i="7" s="1"/>
  <c r="G94" i="7" s="1"/>
  <c r="I94" i="7" s="1"/>
  <c r="D95" i="7" s="1"/>
  <c r="F95" i="7" s="1"/>
  <c r="G95" i="7" s="1"/>
  <c r="I95" i="7" s="1"/>
  <c r="D96" i="7" s="1"/>
  <c r="F96" i="7" s="1"/>
  <c r="G96" i="7" s="1"/>
  <c r="I96" i="7" s="1"/>
  <c r="D97" i="7" s="1"/>
  <c r="F97" i="7" s="1"/>
  <c r="G97" i="7" s="1"/>
  <c r="I97" i="7" s="1"/>
  <c r="D98" i="7" s="1"/>
  <c r="F98" i="7" s="1"/>
  <c r="G98" i="7" s="1"/>
  <c r="I98" i="7" s="1"/>
  <c r="D99" i="7" s="1"/>
  <c r="F99" i="7" s="1"/>
  <c r="G99" i="7" s="1"/>
  <c r="I99" i="7" s="1"/>
  <c r="D100" i="7" s="1"/>
  <c r="F100" i="7" s="1"/>
  <c r="G100" i="7" s="1"/>
  <c r="I100" i="7" s="1"/>
  <c r="D101" i="7" s="1"/>
  <c r="F101" i="7" s="1"/>
  <c r="G101" i="7" s="1"/>
  <c r="I101" i="7" s="1"/>
  <c r="D102" i="7" s="1"/>
  <c r="F102" i="7" s="1"/>
  <c r="G102" i="7" s="1"/>
</calcChain>
</file>

<file path=xl/sharedStrings.xml><?xml version="1.0" encoding="utf-8"?>
<sst xmlns="http://schemas.openxmlformats.org/spreadsheetml/2006/main" count="16478" uniqueCount="5111">
  <si>
    <t>Policy ID</t>
  </si>
  <si>
    <t>Policy Year</t>
  </si>
  <si>
    <t>Age at Start of Year</t>
  </si>
  <si>
    <t>Gender</t>
  </si>
  <si>
    <t>Expected qx</t>
  </si>
  <si>
    <t>Actual Death</t>
  </si>
  <si>
    <t>POL1015</t>
  </si>
  <si>
    <t>Female</t>
  </si>
  <si>
    <t>POL1014</t>
  </si>
  <si>
    <t>Male</t>
  </si>
  <si>
    <t>POL1017</t>
  </si>
  <si>
    <t>POL1004</t>
  </si>
  <si>
    <t>POL1005</t>
  </si>
  <si>
    <t>POL1007</t>
  </si>
  <si>
    <t>POL1008</t>
  </si>
  <si>
    <t>POL1011</t>
  </si>
  <si>
    <t>POL1018</t>
  </si>
  <si>
    <t xml:space="preserve">AERatio </t>
  </si>
  <si>
    <t>Iss. Age</t>
  </si>
  <si>
    <t>Ult.</t>
  </si>
  <si>
    <t>Att. Age</t>
  </si>
  <si>
    <t>To divide by</t>
  </si>
  <si>
    <t>To Divide By</t>
  </si>
  <si>
    <t>Policy Duration (Year)</t>
  </si>
  <si>
    <t>Lapse Rate</t>
  </si>
  <si>
    <t>Persistency Rate</t>
  </si>
  <si>
    <t>Expense Category</t>
  </si>
  <si>
    <t>Basis</t>
  </si>
  <si>
    <t>Year 1 Rate</t>
  </si>
  <si>
    <t>Renewal Rate</t>
  </si>
  <si>
    <t>Notes</t>
  </si>
  <si>
    <t>Commissions (Agent)</t>
  </si>
  <si>
    <t>% of Premium</t>
  </si>
  <si>
    <t>Heaped first-year commission, level renewal</t>
  </si>
  <si>
    <t>Brokerage (Broker-sourced biz)</t>
  </si>
  <si>
    <t>Similar structure, paid to broker not captive agent</t>
  </si>
  <si>
    <t>Underwriting/Acquisition Expense</t>
  </si>
  <si>
    <t>% of Face Amount</t>
  </si>
  <si>
    <t>Medical exams, processing new business</t>
  </si>
  <si>
    <t>Maintenance Expense</t>
  </si>
  <si>
    <t>Per Policy ($)</t>
  </si>
  <si>
    <t>Annual servicing cost per in-force policy</t>
  </si>
  <si>
    <t>Premium Tax</t>
  </si>
  <si>
    <t>State premium tax, flat across years</t>
  </si>
  <si>
    <t>PolicyID:</t>
  </si>
  <si>
    <t>Issue Age:</t>
  </si>
  <si>
    <t xml:space="preserve">Net Annual Premium </t>
  </si>
  <si>
    <t>Face Amount</t>
  </si>
  <si>
    <t>Interest Rate</t>
  </si>
  <si>
    <t>qx</t>
  </si>
  <si>
    <t>Survivial Probability to Year t</t>
  </si>
  <si>
    <t>Discount factor</t>
  </si>
  <si>
    <t>PV of Death Benefit</t>
  </si>
  <si>
    <t>PV of Premium Payment</t>
  </si>
  <si>
    <t xml:space="preserve">Net Premium </t>
  </si>
  <si>
    <t>Reserve at Start of Year</t>
  </si>
  <si>
    <t>Premium Collected</t>
  </si>
  <si>
    <t>Fund After Premium</t>
  </si>
  <si>
    <t>Fund Accumulated with Interest</t>
  </si>
  <si>
    <t>Expected Death Benefit Payout</t>
  </si>
  <si>
    <t>Reserve at End of Year</t>
  </si>
  <si>
    <t>Issue Age</t>
  </si>
  <si>
    <t>Policy Type</t>
  </si>
  <si>
    <t>Face Amount ($)</t>
  </si>
  <si>
    <t>Issue Date</t>
  </si>
  <si>
    <t>Current Duration (Yr)</t>
  </si>
  <si>
    <t>Attained Age</t>
  </si>
  <si>
    <t>qx (2-D lookup)</t>
  </si>
  <si>
    <t>Lapse Rate (lookup)</t>
  </si>
  <si>
    <t>Annual Premium (placeholder)</t>
  </si>
  <si>
    <t>POL1001</t>
  </si>
  <si>
    <t>Term-20</t>
  </si>
  <si>
    <t>POL1002</t>
  </si>
  <si>
    <t>POL1003</t>
  </si>
  <si>
    <t>Whole Life</t>
  </si>
  <si>
    <t>POL1006</t>
  </si>
  <si>
    <t>POL1009</t>
  </si>
  <si>
    <t>POL1010</t>
  </si>
  <si>
    <t>POL1012</t>
  </si>
  <si>
    <t>POL1013</t>
  </si>
  <si>
    <t>POL1016</t>
  </si>
  <si>
    <t>POL1019</t>
  </si>
  <si>
    <t>Duration (Yr)</t>
  </si>
  <si>
    <t>Actual Death (0/1)</t>
  </si>
  <si>
    <t>SYN0001</t>
  </si>
  <si>
    <t>SYN0002</t>
  </si>
  <si>
    <t>SYN0003</t>
  </si>
  <si>
    <t>SYN0004</t>
  </si>
  <si>
    <t>SYN0005</t>
  </si>
  <si>
    <t>SYN0006</t>
  </si>
  <si>
    <t>SYN0007</t>
  </si>
  <si>
    <t>SYN0008</t>
  </si>
  <si>
    <t>SYN0009</t>
  </si>
  <si>
    <t>SYN0010</t>
  </si>
  <si>
    <t>SYN0011</t>
  </si>
  <si>
    <t>SYN0012</t>
  </si>
  <si>
    <t>SYN0013</t>
  </si>
  <si>
    <t>SYN0014</t>
  </si>
  <si>
    <t>SYN0015</t>
  </si>
  <si>
    <t>SYN0016</t>
  </si>
  <si>
    <t>SYN0017</t>
  </si>
  <si>
    <t>SYN0018</t>
  </si>
  <si>
    <t>SYN0019</t>
  </si>
  <si>
    <t>SYN0020</t>
  </si>
  <si>
    <t>SYN0021</t>
  </si>
  <si>
    <t>SYN0022</t>
  </si>
  <si>
    <t>SYN0023</t>
  </si>
  <si>
    <t>SYN0024</t>
  </si>
  <si>
    <t>SYN0025</t>
  </si>
  <si>
    <t>SYN0026</t>
  </si>
  <si>
    <t>SYN0027</t>
  </si>
  <si>
    <t>SYN0028</t>
  </si>
  <si>
    <t>SYN0029</t>
  </si>
  <si>
    <t>SYN0030</t>
  </si>
  <si>
    <t>SYN0031</t>
  </si>
  <si>
    <t>SYN0032</t>
  </si>
  <si>
    <t>SYN0033</t>
  </si>
  <si>
    <t>SYN0034</t>
  </si>
  <si>
    <t>SYN0035</t>
  </si>
  <si>
    <t>SYN0036</t>
  </si>
  <si>
    <t>SYN0037</t>
  </si>
  <si>
    <t>SYN0038</t>
  </si>
  <si>
    <t>SYN0039</t>
  </si>
  <si>
    <t>SYN0040</t>
  </si>
  <si>
    <t>SYN0041</t>
  </si>
  <si>
    <t>SYN0042</t>
  </si>
  <si>
    <t>SYN0043</t>
  </si>
  <si>
    <t>SYN0044</t>
  </si>
  <si>
    <t>SYN0045</t>
  </si>
  <si>
    <t>SYN0046</t>
  </si>
  <si>
    <t>SYN0047</t>
  </si>
  <si>
    <t>SYN0048</t>
  </si>
  <si>
    <t>SYN0049</t>
  </si>
  <si>
    <t>SYN0050</t>
  </si>
  <si>
    <t>SYN0051</t>
  </si>
  <si>
    <t>SYN0052</t>
  </si>
  <si>
    <t>SYN0053</t>
  </si>
  <si>
    <t>SYN0054</t>
  </si>
  <si>
    <t>SYN0055</t>
  </si>
  <si>
    <t>SYN0056</t>
  </si>
  <si>
    <t>SYN0057</t>
  </si>
  <si>
    <t>SYN0058</t>
  </si>
  <si>
    <t>SYN0059</t>
  </si>
  <si>
    <t>SYN0060</t>
  </si>
  <si>
    <t>SYN0061</t>
  </si>
  <si>
    <t>SYN0062</t>
  </si>
  <si>
    <t>SYN0063</t>
  </si>
  <si>
    <t>SYN0064</t>
  </si>
  <si>
    <t>SYN0065</t>
  </si>
  <si>
    <t>SYN0066</t>
  </si>
  <si>
    <t>SYN0067</t>
  </si>
  <si>
    <t>SYN0068</t>
  </si>
  <si>
    <t>SYN0069</t>
  </si>
  <si>
    <t>SYN0070</t>
  </si>
  <si>
    <t>SYN0071</t>
  </si>
  <si>
    <t>SYN0072</t>
  </si>
  <si>
    <t>SYN0073</t>
  </si>
  <si>
    <t>SYN0074</t>
  </si>
  <si>
    <t>SYN0075</t>
  </si>
  <si>
    <t>SYN0076</t>
  </si>
  <si>
    <t>SYN0077</t>
  </si>
  <si>
    <t>SYN0078</t>
  </si>
  <si>
    <t>SYN0079</t>
  </si>
  <si>
    <t>SYN0080</t>
  </si>
  <si>
    <t>SYN0081</t>
  </si>
  <si>
    <t>SYN0082</t>
  </si>
  <si>
    <t>SYN0083</t>
  </si>
  <si>
    <t>SYN0084</t>
  </si>
  <si>
    <t>SYN0085</t>
  </si>
  <si>
    <t>SYN0086</t>
  </si>
  <si>
    <t>SYN0087</t>
  </si>
  <si>
    <t>SYN0088</t>
  </si>
  <si>
    <t>SYN0089</t>
  </si>
  <si>
    <t>SYN0090</t>
  </si>
  <si>
    <t>SYN0091</t>
  </si>
  <si>
    <t>SYN0092</t>
  </si>
  <si>
    <t>SYN0093</t>
  </si>
  <si>
    <t>SYN0094</t>
  </si>
  <si>
    <t>SYN0095</t>
  </si>
  <si>
    <t>SYN0096</t>
  </si>
  <si>
    <t>SYN0097</t>
  </si>
  <si>
    <t>SYN0098</t>
  </si>
  <si>
    <t>SYN0099</t>
  </si>
  <si>
    <t>SYN0100</t>
  </si>
  <si>
    <t>SYN0101</t>
  </si>
  <si>
    <t>SYN0102</t>
  </si>
  <si>
    <t>SYN0103</t>
  </si>
  <si>
    <t>SYN0104</t>
  </si>
  <si>
    <t>SYN0105</t>
  </si>
  <si>
    <t>SYN0106</t>
  </si>
  <si>
    <t>SYN0107</t>
  </si>
  <si>
    <t>SYN0108</t>
  </si>
  <si>
    <t>SYN0109</t>
  </si>
  <si>
    <t>SYN0110</t>
  </si>
  <si>
    <t>SYN0111</t>
  </si>
  <si>
    <t>SYN0112</t>
  </si>
  <si>
    <t>SYN0113</t>
  </si>
  <si>
    <t>SYN0114</t>
  </si>
  <si>
    <t>SYN0115</t>
  </si>
  <si>
    <t>SYN0116</t>
  </si>
  <si>
    <t>SYN0117</t>
  </si>
  <si>
    <t>SYN0118</t>
  </si>
  <si>
    <t>SYN0119</t>
  </si>
  <si>
    <t>SYN0120</t>
  </si>
  <si>
    <t>SYN0121</t>
  </si>
  <si>
    <t>SYN0122</t>
  </si>
  <si>
    <t>SYN0123</t>
  </si>
  <si>
    <t>SYN0124</t>
  </si>
  <si>
    <t>SYN0125</t>
  </si>
  <si>
    <t>SYN0126</t>
  </si>
  <si>
    <t>SYN0127</t>
  </si>
  <si>
    <t>SYN0128</t>
  </si>
  <si>
    <t>SYN0129</t>
  </si>
  <si>
    <t>SYN0130</t>
  </si>
  <si>
    <t>SYN0131</t>
  </si>
  <si>
    <t>SYN0132</t>
  </si>
  <si>
    <t>SYN0133</t>
  </si>
  <si>
    <t>SYN0134</t>
  </si>
  <si>
    <t>SYN0135</t>
  </si>
  <si>
    <t>SYN0136</t>
  </si>
  <si>
    <t>SYN0137</t>
  </si>
  <si>
    <t>SYN0138</t>
  </si>
  <si>
    <t>SYN0139</t>
  </si>
  <si>
    <t>SYN0140</t>
  </si>
  <si>
    <t>SYN0141</t>
  </si>
  <si>
    <t>SYN0142</t>
  </si>
  <si>
    <t>SYN0143</t>
  </si>
  <si>
    <t>SYN0144</t>
  </si>
  <si>
    <t>SYN0145</t>
  </si>
  <si>
    <t>SYN0146</t>
  </si>
  <si>
    <t>SYN0147</t>
  </si>
  <si>
    <t>SYN0148</t>
  </si>
  <si>
    <t>SYN0149</t>
  </si>
  <si>
    <t>SYN0150</t>
  </si>
  <si>
    <t>SYN0151</t>
  </si>
  <si>
    <t>SYN0152</t>
  </si>
  <si>
    <t>SYN0153</t>
  </si>
  <si>
    <t>SYN0154</t>
  </si>
  <si>
    <t>SYN0155</t>
  </si>
  <si>
    <t>SYN0156</t>
  </si>
  <si>
    <t>SYN0157</t>
  </si>
  <si>
    <t>SYN0158</t>
  </si>
  <si>
    <t>SYN0159</t>
  </si>
  <si>
    <t>SYN0160</t>
  </si>
  <si>
    <t>SYN0161</t>
  </si>
  <si>
    <t>SYN0162</t>
  </si>
  <si>
    <t>SYN0163</t>
  </si>
  <si>
    <t>SYN0164</t>
  </si>
  <si>
    <t>SYN0165</t>
  </si>
  <si>
    <t>SYN0166</t>
  </si>
  <si>
    <t>SYN0167</t>
  </si>
  <si>
    <t>SYN0168</t>
  </si>
  <si>
    <t>SYN0169</t>
  </si>
  <si>
    <t>SYN0170</t>
  </si>
  <si>
    <t>SYN0171</t>
  </si>
  <si>
    <t>SYN0172</t>
  </si>
  <si>
    <t>SYN0173</t>
  </si>
  <si>
    <t>SYN0174</t>
  </si>
  <si>
    <t>SYN0175</t>
  </si>
  <si>
    <t>SYN0176</t>
  </si>
  <si>
    <t>SYN0177</t>
  </si>
  <si>
    <t>SYN0178</t>
  </si>
  <si>
    <t>SYN0179</t>
  </si>
  <si>
    <t>SYN0180</t>
  </si>
  <si>
    <t>SYN0181</t>
  </si>
  <si>
    <t>SYN0182</t>
  </si>
  <si>
    <t>SYN0183</t>
  </si>
  <si>
    <t>SYN0184</t>
  </si>
  <si>
    <t>SYN0185</t>
  </si>
  <si>
    <t>SYN0186</t>
  </si>
  <si>
    <t>SYN0187</t>
  </si>
  <si>
    <t>SYN0188</t>
  </si>
  <si>
    <t>SYN0189</t>
  </si>
  <si>
    <t>SYN0190</t>
  </si>
  <si>
    <t>SYN0191</t>
  </si>
  <si>
    <t>SYN0192</t>
  </si>
  <si>
    <t>SYN0193</t>
  </si>
  <si>
    <t>SYN0194</t>
  </si>
  <si>
    <t>SYN0195</t>
  </si>
  <si>
    <t>SYN0196</t>
  </si>
  <si>
    <t>SYN0197</t>
  </si>
  <si>
    <t>SYN0198</t>
  </si>
  <si>
    <t>SYN0199</t>
  </si>
  <si>
    <t>SYN0200</t>
  </si>
  <si>
    <t>SYN0201</t>
  </si>
  <si>
    <t>SYN0202</t>
  </si>
  <si>
    <t>SYN0203</t>
  </si>
  <si>
    <t>SYN0204</t>
  </si>
  <si>
    <t>SYN0205</t>
  </si>
  <si>
    <t>SYN0206</t>
  </si>
  <si>
    <t>SYN0207</t>
  </si>
  <si>
    <t>SYN0208</t>
  </si>
  <si>
    <t>SYN0209</t>
  </si>
  <si>
    <t>SYN0210</t>
  </si>
  <si>
    <t>SYN0211</t>
  </si>
  <si>
    <t>SYN0212</t>
  </si>
  <si>
    <t>SYN0213</t>
  </si>
  <si>
    <t>SYN0214</t>
  </si>
  <si>
    <t>SYN0215</t>
  </si>
  <si>
    <t>SYN0216</t>
  </si>
  <si>
    <t>SYN0217</t>
  </si>
  <si>
    <t>SYN0218</t>
  </si>
  <si>
    <t>SYN0219</t>
  </si>
  <si>
    <t>SYN0220</t>
  </si>
  <si>
    <t>SYN0221</t>
  </si>
  <si>
    <t>SYN0222</t>
  </si>
  <si>
    <t>SYN0223</t>
  </si>
  <si>
    <t>SYN0224</t>
  </si>
  <si>
    <t>SYN0225</t>
  </si>
  <si>
    <t>SYN0226</t>
  </si>
  <si>
    <t>SYN0227</t>
  </si>
  <si>
    <t>SYN0228</t>
  </si>
  <si>
    <t>SYN0229</t>
  </si>
  <si>
    <t>SYN0230</t>
  </si>
  <si>
    <t>SYN0231</t>
  </si>
  <si>
    <t>SYN0232</t>
  </si>
  <si>
    <t>SYN0233</t>
  </si>
  <si>
    <t>SYN0234</t>
  </si>
  <si>
    <t>SYN0235</t>
  </si>
  <si>
    <t>SYN0236</t>
  </si>
  <si>
    <t>SYN0237</t>
  </si>
  <si>
    <t>SYN0238</t>
  </si>
  <si>
    <t>SYN0239</t>
  </si>
  <si>
    <t>SYN0240</t>
  </si>
  <si>
    <t>SYN0241</t>
  </si>
  <si>
    <t>SYN0242</t>
  </si>
  <si>
    <t>SYN0243</t>
  </si>
  <si>
    <t>SYN0244</t>
  </si>
  <si>
    <t>SYN0245</t>
  </si>
  <si>
    <t>SYN0246</t>
  </si>
  <si>
    <t>SYN0247</t>
  </si>
  <si>
    <t>SYN0248</t>
  </si>
  <si>
    <t>SYN0249</t>
  </si>
  <si>
    <t>SYN0250</t>
  </si>
  <si>
    <t>SYN0251</t>
  </si>
  <si>
    <t>SYN0252</t>
  </si>
  <si>
    <t>SYN0253</t>
  </si>
  <si>
    <t>SYN0254</t>
  </si>
  <si>
    <t>SYN0255</t>
  </si>
  <si>
    <t>SYN0256</t>
  </si>
  <si>
    <t>SYN0257</t>
  </si>
  <si>
    <t>SYN0258</t>
  </si>
  <si>
    <t>SYN0259</t>
  </si>
  <si>
    <t>SYN0260</t>
  </si>
  <si>
    <t>SYN0261</t>
  </si>
  <si>
    <t>SYN0262</t>
  </si>
  <si>
    <t>SYN0263</t>
  </si>
  <si>
    <t>SYN0264</t>
  </si>
  <si>
    <t>SYN0265</t>
  </si>
  <si>
    <t>SYN0266</t>
  </si>
  <si>
    <t>SYN0267</t>
  </si>
  <si>
    <t>SYN0268</t>
  </si>
  <si>
    <t>SYN0269</t>
  </si>
  <si>
    <t>SYN0270</t>
  </si>
  <si>
    <t>SYN0271</t>
  </si>
  <si>
    <t>SYN0272</t>
  </si>
  <si>
    <t>SYN0273</t>
  </si>
  <si>
    <t>SYN0274</t>
  </si>
  <si>
    <t>SYN0275</t>
  </si>
  <si>
    <t>SYN0276</t>
  </si>
  <si>
    <t>SYN0277</t>
  </si>
  <si>
    <t>SYN0278</t>
  </si>
  <si>
    <t>SYN0279</t>
  </si>
  <si>
    <t>SYN0280</t>
  </si>
  <si>
    <t>SYN0281</t>
  </si>
  <si>
    <t>SYN0282</t>
  </si>
  <si>
    <t>SYN0283</t>
  </si>
  <si>
    <t>SYN0284</t>
  </si>
  <si>
    <t>SYN0285</t>
  </si>
  <si>
    <t>SYN0286</t>
  </si>
  <si>
    <t>SYN0287</t>
  </si>
  <si>
    <t>SYN0288</t>
  </si>
  <si>
    <t>SYN0289</t>
  </si>
  <si>
    <t>SYN0290</t>
  </si>
  <si>
    <t>SYN0291</t>
  </si>
  <si>
    <t>SYN0292</t>
  </si>
  <si>
    <t>SYN0293</t>
  </si>
  <si>
    <t>SYN0294</t>
  </si>
  <si>
    <t>SYN0295</t>
  </si>
  <si>
    <t>SYN0296</t>
  </si>
  <si>
    <t>SYN0297</t>
  </si>
  <si>
    <t>SYN0298</t>
  </si>
  <si>
    <t>SYN0299</t>
  </si>
  <si>
    <t>SYN0300</t>
  </si>
  <si>
    <t>SYN0301</t>
  </si>
  <si>
    <t>SYN0302</t>
  </si>
  <si>
    <t>SYN0303</t>
  </si>
  <si>
    <t>SYN0304</t>
  </si>
  <si>
    <t>SYN0305</t>
  </si>
  <si>
    <t>SYN0306</t>
  </si>
  <si>
    <t>SYN0307</t>
  </si>
  <si>
    <t>SYN0308</t>
  </si>
  <si>
    <t>SYN0309</t>
  </si>
  <si>
    <t>SYN0310</t>
  </si>
  <si>
    <t>SYN0311</t>
  </si>
  <si>
    <t>SYN0312</t>
  </si>
  <si>
    <t>SYN0313</t>
  </si>
  <si>
    <t>SYN0314</t>
  </si>
  <si>
    <t>SYN0315</t>
  </si>
  <si>
    <t>SYN0316</t>
  </si>
  <si>
    <t>SYN0317</t>
  </si>
  <si>
    <t>SYN0318</t>
  </si>
  <si>
    <t>SYN0319</t>
  </si>
  <si>
    <t>SYN0320</t>
  </si>
  <si>
    <t>SYN0321</t>
  </si>
  <si>
    <t>SYN0322</t>
  </si>
  <si>
    <t>SYN0323</t>
  </si>
  <si>
    <t>SYN0324</t>
  </si>
  <si>
    <t>SYN0325</t>
  </si>
  <si>
    <t>SYN0326</t>
  </si>
  <si>
    <t>SYN0327</t>
  </si>
  <si>
    <t>SYN0328</t>
  </si>
  <si>
    <t>SYN0329</t>
  </si>
  <si>
    <t>SYN0330</t>
  </si>
  <si>
    <t>SYN0331</t>
  </si>
  <si>
    <t>SYN0332</t>
  </si>
  <si>
    <t>SYN0333</t>
  </si>
  <si>
    <t>SYN0334</t>
  </si>
  <si>
    <t>SYN0335</t>
  </si>
  <si>
    <t>SYN0336</t>
  </si>
  <si>
    <t>SYN0337</t>
  </si>
  <si>
    <t>SYN0338</t>
  </si>
  <si>
    <t>SYN0339</t>
  </si>
  <si>
    <t>SYN0340</t>
  </si>
  <si>
    <t>SYN0341</t>
  </si>
  <si>
    <t>SYN0342</t>
  </si>
  <si>
    <t>SYN0343</t>
  </si>
  <si>
    <t>SYN0344</t>
  </si>
  <si>
    <t>SYN0345</t>
  </si>
  <si>
    <t>SYN0346</t>
  </si>
  <si>
    <t>SYN0347</t>
  </si>
  <si>
    <t>SYN0348</t>
  </si>
  <si>
    <t>SYN0349</t>
  </si>
  <si>
    <t>SYN0350</t>
  </si>
  <si>
    <t>SYN0351</t>
  </si>
  <si>
    <t>SYN0352</t>
  </si>
  <si>
    <t>SYN0353</t>
  </si>
  <si>
    <t>SYN0354</t>
  </si>
  <si>
    <t>SYN0355</t>
  </si>
  <si>
    <t>SYN0356</t>
  </si>
  <si>
    <t>SYN0357</t>
  </si>
  <si>
    <t>SYN0358</t>
  </si>
  <si>
    <t>SYN0359</t>
  </si>
  <si>
    <t>SYN0360</t>
  </si>
  <si>
    <t>SYN0361</t>
  </si>
  <si>
    <t>SYN0362</t>
  </si>
  <si>
    <t>SYN0363</t>
  </si>
  <si>
    <t>SYN0364</t>
  </si>
  <si>
    <t>SYN0365</t>
  </si>
  <si>
    <t>SYN0366</t>
  </si>
  <si>
    <t>SYN0367</t>
  </si>
  <si>
    <t>SYN0368</t>
  </si>
  <si>
    <t>SYN0369</t>
  </si>
  <si>
    <t>SYN0370</t>
  </si>
  <si>
    <t>SYN0371</t>
  </si>
  <si>
    <t>SYN0372</t>
  </si>
  <si>
    <t>SYN0373</t>
  </si>
  <si>
    <t>SYN0374</t>
  </si>
  <si>
    <t>SYN0375</t>
  </si>
  <si>
    <t>SYN0376</t>
  </si>
  <si>
    <t>SYN0377</t>
  </si>
  <si>
    <t>SYN0378</t>
  </si>
  <si>
    <t>SYN0379</t>
  </si>
  <si>
    <t>SYN0380</t>
  </si>
  <si>
    <t>SYN0381</t>
  </si>
  <si>
    <t>SYN0382</t>
  </si>
  <si>
    <t>SYN0383</t>
  </si>
  <si>
    <t>SYN0384</t>
  </si>
  <si>
    <t>SYN0385</t>
  </si>
  <si>
    <t>SYN0386</t>
  </si>
  <si>
    <t>SYN0387</t>
  </si>
  <si>
    <t>SYN0388</t>
  </si>
  <si>
    <t>SYN0389</t>
  </si>
  <si>
    <t>SYN0390</t>
  </si>
  <si>
    <t>SYN0391</t>
  </si>
  <si>
    <t>SYN0392</t>
  </si>
  <si>
    <t>SYN0393</t>
  </si>
  <si>
    <t>SYN0394</t>
  </si>
  <si>
    <t>SYN0395</t>
  </si>
  <si>
    <t>SYN0396</t>
  </si>
  <si>
    <t>SYN0397</t>
  </si>
  <si>
    <t>SYN0398</t>
  </si>
  <si>
    <t>SYN0399</t>
  </si>
  <si>
    <t>SYN0400</t>
  </si>
  <si>
    <t>SYN0401</t>
  </si>
  <si>
    <t>SYN0402</t>
  </si>
  <si>
    <t>SYN0403</t>
  </si>
  <si>
    <t>SYN0404</t>
  </si>
  <si>
    <t>SYN0405</t>
  </si>
  <si>
    <t>SYN0406</t>
  </si>
  <si>
    <t>SYN0407</t>
  </si>
  <si>
    <t>SYN0408</t>
  </si>
  <si>
    <t>SYN0409</t>
  </si>
  <si>
    <t>SYN0410</t>
  </si>
  <si>
    <t>SYN0411</t>
  </si>
  <si>
    <t>SYN0412</t>
  </si>
  <si>
    <t>SYN0413</t>
  </si>
  <si>
    <t>SYN0414</t>
  </si>
  <si>
    <t>SYN0415</t>
  </si>
  <si>
    <t>SYN0416</t>
  </si>
  <si>
    <t>SYN0417</t>
  </si>
  <si>
    <t>SYN0418</t>
  </si>
  <si>
    <t>SYN0419</t>
  </si>
  <si>
    <t>SYN0420</t>
  </si>
  <si>
    <t>SYN0421</t>
  </si>
  <si>
    <t>SYN0422</t>
  </si>
  <si>
    <t>SYN0423</t>
  </si>
  <si>
    <t>SYN0424</t>
  </si>
  <si>
    <t>SYN0425</t>
  </si>
  <si>
    <t>SYN0426</t>
  </si>
  <si>
    <t>SYN0427</t>
  </si>
  <si>
    <t>SYN0428</t>
  </si>
  <si>
    <t>SYN0429</t>
  </si>
  <si>
    <t>SYN0430</t>
  </si>
  <si>
    <t>SYN0431</t>
  </si>
  <si>
    <t>SYN0432</t>
  </si>
  <si>
    <t>SYN0433</t>
  </si>
  <si>
    <t>SYN0434</t>
  </si>
  <si>
    <t>SYN0435</t>
  </si>
  <si>
    <t>SYN0436</t>
  </si>
  <si>
    <t>SYN0437</t>
  </si>
  <si>
    <t>SYN0438</t>
  </si>
  <si>
    <t>SYN0439</t>
  </si>
  <si>
    <t>SYN0440</t>
  </si>
  <si>
    <t>SYN0441</t>
  </si>
  <si>
    <t>SYN0442</t>
  </si>
  <si>
    <t>SYN0443</t>
  </si>
  <si>
    <t>SYN0444</t>
  </si>
  <si>
    <t>SYN0445</t>
  </si>
  <si>
    <t>SYN0446</t>
  </si>
  <si>
    <t>SYN0447</t>
  </si>
  <si>
    <t>SYN0448</t>
  </si>
  <si>
    <t>SYN0449</t>
  </si>
  <si>
    <t>SYN0450</t>
  </si>
  <si>
    <t>SYN0451</t>
  </si>
  <si>
    <t>SYN0452</t>
  </si>
  <si>
    <t>SYN0453</t>
  </si>
  <si>
    <t>SYN0454</t>
  </si>
  <si>
    <t>SYN0455</t>
  </si>
  <si>
    <t>SYN0456</t>
  </si>
  <si>
    <t>SYN0457</t>
  </si>
  <si>
    <t>SYN0458</t>
  </si>
  <si>
    <t>SYN0459</t>
  </si>
  <si>
    <t>SYN0460</t>
  </si>
  <si>
    <t>SYN0461</t>
  </si>
  <si>
    <t>SYN0462</t>
  </si>
  <si>
    <t>SYN0463</t>
  </si>
  <si>
    <t>SYN0464</t>
  </si>
  <si>
    <t>SYN0465</t>
  </si>
  <si>
    <t>SYN0466</t>
  </si>
  <si>
    <t>SYN0467</t>
  </si>
  <si>
    <t>SYN0468</t>
  </si>
  <si>
    <t>SYN0469</t>
  </si>
  <si>
    <t>SYN0470</t>
  </si>
  <si>
    <t>SYN0471</t>
  </si>
  <si>
    <t>SYN0472</t>
  </si>
  <si>
    <t>SYN0473</t>
  </si>
  <si>
    <t>SYN0474</t>
  </si>
  <si>
    <t>SYN0475</t>
  </si>
  <si>
    <t>SYN0476</t>
  </si>
  <si>
    <t>SYN0477</t>
  </si>
  <si>
    <t>SYN0478</t>
  </si>
  <si>
    <t>SYN0479</t>
  </si>
  <si>
    <t>SYN0480</t>
  </si>
  <si>
    <t>SYN0481</t>
  </si>
  <si>
    <t>SYN0482</t>
  </si>
  <si>
    <t>SYN0483</t>
  </si>
  <si>
    <t>SYN0484</t>
  </si>
  <si>
    <t>SYN0485</t>
  </si>
  <si>
    <t>SYN0486</t>
  </si>
  <si>
    <t>SYN0487</t>
  </si>
  <si>
    <t>SYN0488</t>
  </si>
  <si>
    <t>SYN0489</t>
  </si>
  <si>
    <t>SYN0490</t>
  </si>
  <si>
    <t>SYN0491</t>
  </si>
  <si>
    <t>SYN0492</t>
  </si>
  <si>
    <t>SYN0493</t>
  </si>
  <si>
    <t>SYN0494</t>
  </si>
  <si>
    <t>SYN0495</t>
  </si>
  <si>
    <t>SYN0496</t>
  </si>
  <si>
    <t>SYN0497</t>
  </si>
  <si>
    <t>SYN0498</t>
  </si>
  <si>
    <t>SYN0499</t>
  </si>
  <si>
    <t>SYN0500</t>
  </si>
  <si>
    <t>SYN0501</t>
  </si>
  <si>
    <t>SYN0502</t>
  </si>
  <si>
    <t>SYN0503</t>
  </si>
  <si>
    <t>SYN0504</t>
  </si>
  <si>
    <t>SYN0505</t>
  </si>
  <si>
    <t>SYN0506</t>
  </si>
  <si>
    <t>SYN0507</t>
  </si>
  <si>
    <t>SYN0508</t>
  </si>
  <si>
    <t>SYN0509</t>
  </si>
  <si>
    <t>SYN0510</t>
  </si>
  <si>
    <t>SYN0511</t>
  </si>
  <si>
    <t>SYN0512</t>
  </si>
  <si>
    <t>SYN0513</t>
  </si>
  <si>
    <t>SYN0514</t>
  </si>
  <si>
    <t>SYN0515</t>
  </si>
  <si>
    <t>SYN0516</t>
  </si>
  <si>
    <t>SYN0517</t>
  </si>
  <si>
    <t>SYN0518</t>
  </si>
  <si>
    <t>SYN0519</t>
  </si>
  <si>
    <t>SYN0520</t>
  </si>
  <si>
    <t>SYN0521</t>
  </si>
  <si>
    <t>SYN0522</t>
  </si>
  <si>
    <t>SYN0523</t>
  </si>
  <si>
    <t>SYN0524</t>
  </si>
  <si>
    <t>SYN0525</t>
  </si>
  <si>
    <t>SYN0526</t>
  </si>
  <si>
    <t>SYN0527</t>
  </si>
  <si>
    <t>SYN0528</t>
  </si>
  <si>
    <t>SYN0529</t>
  </si>
  <si>
    <t>SYN0530</t>
  </si>
  <si>
    <t>SYN0531</t>
  </si>
  <si>
    <t>SYN0532</t>
  </si>
  <si>
    <t>SYN0533</t>
  </si>
  <si>
    <t>SYN0534</t>
  </si>
  <si>
    <t>SYN0535</t>
  </si>
  <si>
    <t>SYN0536</t>
  </si>
  <si>
    <t>SYN0537</t>
  </si>
  <si>
    <t>SYN0538</t>
  </si>
  <si>
    <t>SYN0539</t>
  </si>
  <si>
    <t>SYN0540</t>
  </si>
  <si>
    <t>SYN0541</t>
  </si>
  <si>
    <t>SYN0542</t>
  </si>
  <si>
    <t>SYN0543</t>
  </si>
  <si>
    <t>SYN0544</t>
  </si>
  <si>
    <t>SYN0545</t>
  </si>
  <si>
    <t>SYN0546</t>
  </si>
  <si>
    <t>SYN0547</t>
  </si>
  <si>
    <t>SYN0548</t>
  </si>
  <si>
    <t>SYN0549</t>
  </si>
  <si>
    <t>SYN0550</t>
  </si>
  <si>
    <t>SYN0551</t>
  </si>
  <si>
    <t>SYN0552</t>
  </si>
  <si>
    <t>SYN0553</t>
  </si>
  <si>
    <t>SYN0554</t>
  </si>
  <si>
    <t>SYN0555</t>
  </si>
  <si>
    <t>SYN0556</t>
  </si>
  <si>
    <t>SYN0557</t>
  </si>
  <si>
    <t>SYN0558</t>
  </si>
  <si>
    <t>SYN0559</t>
  </si>
  <si>
    <t>SYN0560</t>
  </si>
  <si>
    <t>SYN0561</t>
  </si>
  <si>
    <t>SYN0562</t>
  </si>
  <si>
    <t>SYN0563</t>
  </si>
  <si>
    <t>SYN0564</t>
  </si>
  <si>
    <t>SYN0565</t>
  </si>
  <si>
    <t>SYN0566</t>
  </si>
  <si>
    <t>SYN0567</t>
  </si>
  <si>
    <t>SYN0568</t>
  </si>
  <si>
    <t>SYN0569</t>
  </si>
  <si>
    <t>SYN0570</t>
  </si>
  <si>
    <t>SYN0571</t>
  </si>
  <si>
    <t>SYN0572</t>
  </si>
  <si>
    <t>SYN0573</t>
  </si>
  <si>
    <t>SYN0574</t>
  </si>
  <si>
    <t>SYN0575</t>
  </si>
  <si>
    <t>SYN0576</t>
  </si>
  <si>
    <t>SYN0577</t>
  </si>
  <si>
    <t>SYN0578</t>
  </si>
  <si>
    <t>SYN0579</t>
  </si>
  <si>
    <t>SYN0580</t>
  </si>
  <si>
    <t>SYN0581</t>
  </si>
  <si>
    <t>SYN0582</t>
  </si>
  <si>
    <t>SYN0583</t>
  </si>
  <si>
    <t>SYN0584</t>
  </si>
  <si>
    <t>SYN0585</t>
  </si>
  <si>
    <t>SYN0586</t>
  </si>
  <si>
    <t>SYN0587</t>
  </si>
  <si>
    <t>SYN0588</t>
  </si>
  <si>
    <t>SYN0589</t>
  </si>
  <si>
    <t>SYN0590</t>
  </si>
  <si>
    <t>SYN0591</t>
  </si>
  <si>
    <t>SYN0592</t>
  </si>
  <si>
    <t>SYN0593</t>
  </si>
  <si>
    <t>SYN0594</t>
  </si>
  <si>
    <t>SYN0595</t>
  </si>
  <si>
    <t>SYN0596</t>
  </si>
  <si>
    <t>SYN0597</t>
  </si>
  <si>
    <t>SYN0598</t>
  </si>
  <si>
    <t>SYN0599</t>
  </si>
  <si>
    <t>SYN0600</t>
  </si>
  <si>
    <t>SYN0601</t>
  </si>
  <si>
    <t>SYN0602</t>
  </si>
  <si>
    <t>SYN0603</t>
  </si>
  <si>
    <t>SYN0604</t>
  </si>
  <si>
    <t>SYN0605</t>
  </si>
  <si>
    <t>SYN0606</t>
  </si>
  <si>
    <t>SYN0607</t>
  </si>
  <si>
    <t>SYN0608</t>
  </si>
  <si>
    <t>SYN0609</t>
  </si>
  <si>
    <t>SYN0610</t>
  </si>
  <si>
    <t>SYN0611</t>
  </si>
  <si>
    <t>SYN0612</t>
  </si>
  <si>
    <t>SYN0613</t>
  </si>
  <si>
    <t>SYN0614</t>
  </si>
  <si>
    <t>SYN0615</t>
  </si>
  <si>
    <t>SYN0616</t>
  </si>
  <si>
    <t>SYN0617</t>
  </si>
  <si>
    <t>SYN0618</t>
  </si>
  <si>
    <t>SYN0619</t>
  </si>
  <si>
    <t>SYN0620</t>
  </si>
  <si>
    <t>SYN0621</t>
  </si>
  <si>
    <t>SYN0622</t>
  </si>
  <si>
    <t>SYN0623</t>
  </si>
  <si>
    <t>SYN0624</t>
  </si>
  <si>
    <t>SYN0625</t>
  </si>
  <si>
    <t>SYN0626</t>
  </si>
  <si>
    <t>SYN0627</t>
  </si>
  <si>
    <t>SYN0628</t>
  </si>
  <si>
    <t>SYN0629</t>
  </si>
  <si>
    <t>SYN0630</t>
  </si>
  <si>
    <t>SYN0631</t>
  </si>
  <si>
    <t>SYN0632</t>
  </si>
  <si>
    <t>SYN0633</t>
  </si>
  <si>
    <t>SYN0634</t>
  </si>
  <si>
    <t>SYN0635</t>
  </si>
  <si>
    <t>SYN0636</t>
  </si>
  <si>
    <t>SYN0637</t>
  </si>
  <si>
    <t>SYN0638</t>
  </si>
  <si>
    <t>SYN0639</t>
  </si>
  <si>
    <t>SYN0640</t>
  </si>
  <si>
    <t>SYN0641</t>
  </si>
  <si>
    <t>SYN0642</t>
  </si>
  <si>
    <t>SYN0643</t>
  </si>
  <si>
    <t>SYN0644</t>
  </si>
  <si>
    <t>SYN0645</t>
  </si>
  <si>
    <t>SYN0646</t>
  </si>
  <si>
    <t>SYN0647</t>
  </si>
  <si>
    <t>SYN0648</t>
  </si>
  <si>
    <t>SYN0649</t>
  </si>
  <si>
    <t>SYN0650</t>
  </si>
  <si>
    <t>SYN0651</t>
  </si>
  <si>
    <t>SYN0652</t>
  </si>
  <si>
    <t>SYN0653</t>
  </si>
  <si>
    <t>SYN0654</t>
  </si>
  <si>
    <t>SYN0655</t>
  </si>
  <si>
    <t>SYN0656</t>
  </si>
  <si>
    <t>SYN0657</t>
  </si>
  <si>
    <t>SYN0658</t>
  </si>
  <si>
    <t>SYN0659</t>
  </si>
  <si>
    <t>SYN0660</t>
  </si>
  <si>
    <t>SYN0661</t>
  </si>
  <si>
    <t>SYN0662</t>
  </si>
  <si>
    <t>SYN0663</t>
  </si>
  <si>
    <t>SYN0664</t>
  </si>
  <si>
    <t>SYN0665</t>
  </si>
  <si>
    <t>SYN0666</t>
  </si>
  <si>
    <t>SYN0667</t>
  </si>
  <si>
    <t>SYN0668</t>
  </si>
  <si>
    <t>SYN0669</t>
  </si>
  <si>
    <t>SYN0670</t>
  </si>
  <si>
    <t>SYN0671</t>
  </si>
  <si>
    <t>SYN0672</t>
  </si>
  <si>
    <t>SYN0673</t>
  </si>
  <si>
    <t>SYN0674</t>
  </si>
  <si>
    <t>SYN0675</t>
  </si>
  <si>
    <t>SYN0676</t>
  </si>
  <si>
    <t>SYN0677</t>
  </si>
  <si>
    <t>SYN0678</t>
  </si>
  <si>
    <t>SYN0679</t>
  </si>
  <si>
    <t>SYN0680</t>
  </si>
  <si>
    <t>SYN0681</t>
  </si>
  <si>
    <t>SYN0682</t>
  </si>
  <si>
    <t>SYN0683</t>
  </si>
  <si>
    <t>SYN0684</t>
  </si>
  <si>
    <t>SYN0685</t>
  </si>
  <si>
    <t>SYN0686</t>
  </si>
  <si>
    <t>SYN0687</t>
  </si>
  <si>
    <t>SYN0688</t>
  </si>
  <si>
    <t>SYN0689</t>
  </si>
  <si>
    <t>SYN0690</t>
  </si>
  <si>
    <t>SYN0691</t>
  </si>
  <si>
    <t>SYN0692</t>
  </si>
  <si>
    <t>SYN0693</t>
  </si>
  <si>
    <t>SYN0694</t>
  </si>
  <si>
    <t>SYN0695</t>
  </si>
  <si>
    <t>SYN0696</t>
  </si>
  <si>
    <t>SYN0697</t>
  </si>
  <si>
    <t>SYN0698</t>
  </si>
  <si>
    <t>SYN0699</t>
  </si>
  <si>
    <t>SYN0700</t>
  </si>
  <si>
    <t>SYN0701</t>
  </si>
  <si>
    <t>SYN0702</t>
  </si>
  <si>
    <t>SYN0703</t>
  </si>
  <si>
    <t>SYN0704</t>
  </si>
  <si>
    <t>SYN0705</t>
  </si>
  <si>
    <t>SYN0706</t>
  </si>
  <si>
    <t>SYN0707</t>
  </si>
  <si>
    <t>SYN0708</t>
  </si>
  <si>
    <t>SYN0709</t>
  </si>
  <si>
    <t>SYN0710</t>
  </si>
  <si>
    <t>SYN0711</t>
  </si>
  <si>
    <t>SYN0712</t>
  </si>
  <si>
    <t>SYN0713</t>
  </si>
  <si>
    <t>SYN0714</t>
  </si>
  <si>
    <t>SYN0715</t>
  </si>
  <si>
    <t>SYN0716</t>
  </si>
  <si>
    <t>SYN0717</t>
  </si>
  <si>
    <t>SYN0718</t>
  </si>
  <si>
    <t>SYN0719</t>
  </si>
  <si>
    <t>SYN0720</t>
  </si>
  <si>
    <t>SYN0721</t>
  </si>
  <si>
    <t>SYN0722</t>
  </si>
  <si>
    <t>SYN0723</t>
  </si>
  <si>
    <t>SYN0724</t>
  </si>
  <si>
    <t>SYN0725</t>
  </si>
  <si>
    <t>SYN0726</t>
  </si>
  <si>
    <t>SYN0727</t>
  </si>
  <si>
    <t>SYN0728</t>
  </si>
  <si>
    <t>SYN0729</t>
  </si>
  <si>
    <t>SYN0730</t>
  </si>
  <si>
    <t>SYN0731</t>
  </si>
  <si>
    <t>SYN0732</t>
  </si>
  <si>
    <t>SYN0733</t>
  </si>
  <si>
    <t>SYN0734</t>
  </si>
  <si>
    <t>SYN0735</t>
  </si>
  <si>
    <t>SYN0736</t>
  </si>
  <si>
    <t>SYN0737</t>
  </si>
  <si>
    <t>SYN0738</t>
  </si>
  <si>
    <t>SYN0739</t>
  </si>
  <si>
    <t>SYN0740</t>
  </si>
  <si>
    <t>SYN0741</t>
  </si>
  <si>
    <t>SYN0742</t>
  </si>
  <si>
    <t>SYN0743</t>
  </si>
  <si>
    <t>SYN0744</t>
  </si>
  <si>
    <t>SYN0745</t>
  </si>
  <si>
    <t>SYN0746</t>
  </si>
  <si>
    <t>SYN0747</t>
  </si>
  <si>
    <t>SYN0748</t>
  </si>
  <si>
    <t>SYN0749</t>
  </si>
  <si>
    <t>SYN0750</t>
  </si>
  <si>
    <t>SYN0751</t>
  </si>
  <si>
    <t>SYN0752</t>
  </si>
  <si>
    <t>SYN0753</t>
  </si>
  <si>
    <t>SYN0754</t>
  </si>
  <si>
    <t>SYN0755</t>
  </si>
  <si>
    <t>SYN0756</t>
  </si>
  <si>
    <t>SYN0757</t>
  </si>
  <si>
    <t>SYN0758</t>
  </si>
  <si>
    <t>SYN0759</t>
  </si>
  <si>
    <t>SYN0760</t>
  </si>
  <si>
    <t>SYN0761</t>
  </si>
  <si>
    <t>SYN0762</t>
  </si>
  <si>
    <t>SYN0763</t>
  </si>
  <si>
    <t>SYN0764</t>
  </si>
  <si>
    <t>SYN0765</t>
  </si>
  <si>
    <t>SYN0766</t>
  </si>
  <si>
    <t>SYN0767</t>
  </si>
  <si>
    <t>SYN0768</t>
  </si>
  <si>
    <t>SYN0769</t>
  </si>
  <si>
    <t>SYN0770</t>
  </si>
  <si>
    <t>SYN0771</t>
  </si>
  <si>
    <t>SYN0772</t>
  </si>
  <si>
    <t>SYN0773</t>
  </si>
  <si>
    <t>SYN0774</t>
  </si>
  <si>
    <t>SYN0775</t>
  </si>
  <si>
    <t>SYN0776</t>
  </si>
  <si>
    <t>SYN0777</t>
  </si>
  <si>
    <t>SYN0778</t>
  </si>
  <si>
    <t>SYN0779</t>
  </si>
  <si>
    <t>SYN0780</t>
  </si>
  <si>
    <t>SYN0781</t>
  </si>
  <si>
    <t>SYN0782</t>
  </si>
  <si>
    <t>SYN0783</t>
  </si>
  <si>
    <t>SYN0784</t>
  </si>
  <si>
    <t>SYN0785</t>
  </si>
  <si>
    <t>SYN0786</t>
  </si>
  <si>
    <t>SYN0787</t>
  </si>
  <si>
    <t>SYN0788</t>
  </si>
  <si>
    <t>SYN0789</t>
  </si>
  <si>
    <t>SYN0790</t>
  </si>
  <si>
    <t>SYN0791</t>
  </si>
  <si>
    <t>SYN0792</t>
  </si>
  <si>
    <t>SYN0793</t>
  </si>
  <si>
    <t>SYN0794</t>
  </si>
  <si>
    <t>SYN0795</t>
  </si>
  <si>
    <t>SYN0796</t>
  </si>
  <si>
    <t>SYN0797</t>
  </si>
  <si>
    <t>SYN0798</t>
  </si>
  <si>
    <t>SYN0799</t>
  </si>
  <si>
    <t>SYN0800</t>
  </si>
  <si>
    <t>SYN0801</t>
  </si>
  <si>
    <t>SYN0802</t>
  </si>
  <si>
    <t>SYN0803</t>
  </si>
  <si>
    <t>SYN0804</t>
  </si>
  <si>
    <t>SYN0805</t>
  </si>
  <si>
    <t>SYN0806</t>
  </si>
  <si>
    <t>SYN0807</t>
  </si>
  <si>
    <t>SYN0808</t>
  </si>
  <si>
    <t>SYN0809</t>
  </si>
  <si>
    <t>SYN0810</t>
  </si>
  <si>
    <t>SYN0811</t>
  </si>
  <si>
    <t>SYN0812</t>
  </si>
  <si>
    <t>SYN0813</t>
  </si>
  <si>
    <t>SYN0814</t>
  </si>
  <si>
    <t>SYN0815</t>
  </si>
  <si>
    <t>SYN0816</t>
  </si>
  <si>
    <t>SYN0817</t>
  </si>
  <si>
    <t>SYN0818</t>
  </si>
  <si>
    <t>SYN0819</t>
  </si>
  <si>
    <t>SYN0820</t>
  </si>
  <si>
    <t>SYN0821</t>
  </si>
  <si>
    <t>SYN0822</t>
  </si>
  <si>
    <t>SYN0823</t>
  </si>
  <si>
    <t>SYN0824</t>
  </si>
  <si>
    <t>SYN0825</t>
  </si>
  <si>
    <t>SYN0826</t>
  </si>
  <si>
    <t>SYN0827</t>
  </si>
  <si>
    <t>SYN0828</t>
  </si>
  <si>
    <t>SYN0829</t>
  </si>
  <si>
    <t>SYN0830</t>
  </si>
  <si>
    <t>SYN0831</t>
  </si>
  <si>
    <t>SYN0832</t>
  </si>
  <si>
    <t>SYN0833</t>
  </si>
  <si>
    <t>SYN0834</t>
  </si>
  <si>
    <t>SYN0835</t>
  </si>
  <si>
    <t>SYN0836</t>
  </si>
  <si>
    <t>SYN0837</t>
  </si>
  <si>
    <t>SYN0838</t>
  </si>
  <si>
    <t>SYN0839</t>
  </si>
  <si>
    <t>SYN0840</t>
  </si>
  <si>
    <t>SYN0841</t>
  </si>
  <si>
    <t>SYN0842</t>
  </si>
  <si>
    <t>SYN0843</t>
  </si>
  <si>
    <t>SYN0844</t>
  </si>
  <si>
    <t>SYN0845</t>
  </si>
  <si>
    <t>SYN0846</t>
  </si>
  <si>
    <t>SYN0847</t>
  </si>
  <si>
    <t>SYN0848</t>
  </si>
  <si>
    <t>SYN0849</t>
  </si>
  <si>
    <t>SYN0850</t>
  </si>
  <si>
    <t>SYN0851</t>
  </si>
  <si>
    <t>SYN0852</t>
  </si>
  <si>
    <t>SYN0853</t>
  </si>
  <si>
    <t>SYN0854</t>
  </si>
  <si>
    <t>SYN0855</t>
  </si>
  <si>
    <t>SYN0856</t>
  </si>
  <si>
    <t>SYN0857</t>
  </si>
  <si>
    <t>SYN0858</t>
  </si>
  <si>
    <t>SYN0859</t>
  </si>
  <si>
    <t>SYN0860</t>
  </si>
  <si>
    <t>SYN0861</t>
  </si>
  <si>
    <t>SYN0862</t>
  </si>
  <si>
    <t>SYN0863</t>
  </si>
  <si>
    <t>SYN0864</t>
  </si>
  <si>
    <t>SYN0865</t>
  </si>
  <si>
    <t>SYN0866</t>
  </si>
  <si>
    <t>SYN0867</t>
  </si>
  <si>
    <t>SYN0868</t>
  </si>
  <si>
    <t>SYN0869</t>
  </si>
  <si>
    <t>SYN0870</t>
  </si>
  <si>
    <t>SYN0871</t>
  </si>
  <si>
    <t>SYN0872</t>
  </si>
  <si>
    <t>SYN0873</t>
  </si>
  <si>
    <t>SYN0874</t>
  </si>
  <si>
    <t>SYN0875</t>
  </si>
  <si>
    <t>SYN0876</t>
  </si>
  <si>
    <t>SYN0877</t>
  </si>
  <si>
    <t>SYN0878</t>
  </si>
  <si>
    <t>SYN0879</t>
  </si>
  <si>
    <t>SYN0880</t>
  </si>
  <si>
    <t>SYN0881</t>
  </si>
  <si>
    <t>SYN0882</t>
  </si>
  <si>
    <t>SYN0883</t>
  </si>
  <si>
    <t>SYN0884</t>
  </si>
  <si>
    <t>SYN0885</t>
  </si>
  <si>
    <t>SYN0886</t>
  </si>
  <si>
    <t>SYN0887</t>
  </si>
  <si>
    <t>SYN0888</t>
  </si>
  <si>
    <t>SYN0889</t>
  </si>
  <si>
    <t>SYN0890</t>
  </si>
  <si>
    <t>SYN0891</t>
  </si>
  <si>
    <t>SYN0892</t>
  </si>
  <si>
    <t>SYN0893</t>
  </si>
  <si>
    <t>SYN0894</t>
  </si>
  <si>
    <t>SYN0895</t>
  </si>
  <si>
    <t>SYN0896</t>
  </si>
  <si>
    <t>SYN0897</t>
  </si>
  <si>
    <t>SYN0898</t>
  </si>
  <si>
    <t>SYN0899</t>
  </si>
  <si>
    <t>SYN0900</t>
  </si>
  <si>
    <t>SYN0901</t>
  </si>
  <si>
    <t>SYN0902</t>
  </si>
  <si>
    <t>SYN0903</t>
  </si>
  <si>
    <t>SYN0904</t>
  </si>
  <si>
    <t>SYN0905</t>
  </si>
  <si>
    <t>SYN0906</t>
  </si>
  <si>
    <t>SYN0907</t>
  </si>
  <si>
    <t>SYN0908</t>
  </si>
  <si>
    <t>SYN0909</t>
  </si>
  <si>
    <t>SYN0910</t>
  </si>
  <si>
    <t>SYN0911</t>
  </si>
  <si>
    <t>SYN0912</t>
  </si>
  <si>
    <t>SYN0913</t>
  </si>
  <si>
    <t>SYN0914</t>
  </si>
  <si>
    <t>SYN0915</t>
  </si>
  <si>
    <t>SYN0916</t>
  </si>
  <si>
    <t>SYN0917</t>
  </si>
  <si>
    <t>SYN0918</t>
  </si>
  <si>
    <t>SYN0919</t>
  </si>
  <si>
    <t>SYN0920</t>
  </si>
  <si>
    <t>SYN0921</t>
  </si>
  <si>
    <t>SYN0922</t>
  </si>
  <si>
    <t>SYN0923</t>
  </si>
  <si>
    <t>SYN0924</t>
  </si>
  <si>
    <t>SYN0925</t>
  </si>
  <si>
    <t>SYN0926</t>
  </si>
  <si>
    <t>SYN0927</t>
  </si>
  <si>
    <t>SYN0928</t>
  </si>
  <si>
    <t>SYN0929</t>
  </si>
  <si>
    <t>SYN0930</t>
  </si>
  <si>
    <t>SYN0931</t>
  </si>
  <si>
    <t>SYN0932</t>
  </si>
  <si>
    <t>SYN0933</t>
  </si>
  <si>
    <t>SYN0934</t>
  </si>
  <si>
    <t>SYN0935</t>
  </si>
  <si>
    <t>SYN0936</t>
  </si>
  <si>
    <t>SYN0937</t>
  </si>
  <si>
    <t>SYN0938</t>
  </si>
  <si>
    <t>SYN0939</t>
  </si>
  <si>
    <t>SYN0940</t>
  </si>
  <si>
    <t>SYN0941</t>
  </si>
  <si>
    <t>SYN0942</t>
  </si>
  <si>
    <t>SYN0943</t>
  </si>
  <si>
    <t>SYN0944</t>
  </si>
  <si>
    <t>SYN0945</t>
  </si>
  <si>
    <t>SYN0946</t>
  </si>
  <si>
    <t>SYN0947</t>
  </si>
  <si>
    <t>SYN0948</t>
  </si>
  <si>
    <t>SYN0949</t>
  </si>
  <si>
    <t>SYN0950</t>
  </si>
  <si>
    <t>SYN0951</t>
  </si>
  <si>
    <t>SYN0952</t>
  </si>
  <si>
    <t>SYN0953</t>
  </si>
  <si>
    <t>SYN0954</t>
  </si>
  <si>
    <t>SYN0955</t>
  </si>
  <si>
    <t>SYN0956</t>
  </si>
  <si>
    <t>SYN0957</t>
  </si>
  <si>
    <t>SYN0958</t>
  </si>
  <si>
    <t>SYN0959</t>
  </si>
  <si>
    <t>SYN0960</t>
  </si>
  <si>
    <t>SYN0961</t>
  </si>
  <si>
    <t>SYN0962</t>
  </si>
  <si>
    <t>SYN0963</t>
  </si>
  <si>
    <t>SYN0964</t>
  </si>
  <si>
    <t>SYN0965</t>
  </si>
  <si>
    <t>SYN0966</t>
  </si>
  <si>
    <t>SYN0967</t>
  </si>
  <si>
    <t>SYN0968</t>
  </si>
  <si>
    <t>SYN0969</t>
  </si>
  <si>
    <t>SYN0970</t>
  </si>
  <si>
    <t>SYN0971</t>
  </si>
  <si>
    <t>SYN0972</t>
  </si>
  <si>
    <t>SYN0973</t>
  </si>
  <si>
    <t>SYN0974</t>
  </si>
  <si>
    <t>SYN0975</t>
  </si>
  <si>
    <t>SYN0976</t>
  </si>
  <si>
    <t>SYN0977</t>
  </si>
  <si>
    <t>SYN0978</t>
  </si>
  <si>
    <t>SYN0979</t>
  </si>
  <si>
    <t>SYN0980</t>
  </si>
  <si>
    <t>SYN0981</t>
  </si>
  <si>
    <t>SYN0982</t>
  </si>
  <si>
    <t>SYN0983</t>
  </si>
  <si>
    <t>SYN0984</t>
  </si>
  <si>
    <t>SYN0985</t>
  </si>
  <si>
    <t>SYN0986</t>
  </si>
  <si>
    <t>SYN0987</t>
  </si>
  <si>
    <t>SYN0988</t>
  </si>
  <si>
    <t>SYN0989</t>
  </si>
  <si>
    <t>SYN0990</t>
  </si>
  <si>
    <t>SYN0991</t>
  </si>
  <si>
    <t>SYN0992</t>
  </si>
  <si>
    <t>SYN0993</t>
  </si>
  <si>
    <t>SYN0994</t>
  </si>
  <si>
    <t>SYN0995</t>
  </si>
  <si>
    <t>SYN0996</t>
  </si>
  <si>
    <t>SYN0997</t>
  </si>
  <si>
    <t>SYN0998</t>
  </si>
  <si>
    <t>SYN0999</t>
  </si>
  <si>
    <t>SYN1000</t>
  </si>
  <si>
    <t>SYN1001</t>
  </si>
  <si>
    <t>SYN1002</t>
  </si>
  <si>
    <t>SYN1003</t>
  </si>
  <si>
    <t>SYN1004</t>
  </si>
  <si>
    <t>SYN1005</t>
  </si>
  <si>
    <t>SYN1006</t>
  </si>
  <si>
    <t>SYN1007</t>
  </si>
  <si>
    <t>SYN1008</t>
  </si>
  <si>
    <t>SYN1009</t>
  </si>
  <si>
    <t>SYN1010</t>
  </si>
  <si>
    <t>SYN1011</t>
  </si>
  <si>
    <t>SYN1012</t>
  </si>
  <si>
    <t>SYN1013</t>
  </si>
  <si>
    <t>SYN1014</t>
  </si>
  <si>
    <t>SYN1015</t>
  </si>
  <si>
    <t>SYN1016</t>
  </si>
  <si>
    <t>SYN1017</t>
  </si>
  <si>
    <t>SYN1018</t>
  </si>
  <si>
    <t>SYN1019</t>
  </si>
  <si>
    <t>SYN1020</t>
  </si>
  <si>
    <t>SYN1021</t>
  </si>
  <si>
    <t>SYN1022</t>
  </si>
  <si>
    <t>SYN1023</t>
  </si>
  <si>
    <t>SYN1024</t>
  </si>
  <si>
    <t>SYN1025</t>
  </si>
  <si>
    <t>SYN1026</t>
  </si>
  <si>
    <t>SYN1027</t>
  </si>
  <si>
    <t>SYN1028</t>
  </si>
  <si>
    <t>SYN1029</t>
  </si>
  <si>
    <t>SYN1030</t>
  </si>
  <si>
    <t>SYN1031</t>
  </si>
  <si>
    <t>SYN1032</t>
  </si>
  <si>
    <t>SYN1033</t>
  </si>
  <si>
    <t>SYN1034</t>
  </si>
  <si>
    <t>SYN1035</t>
  </si>
  <si>
    <t>SYN1036</t>
  </si>
  <si>
    <t>SYN1037</t>
  </si>
  <si>
    <t>SYN1038</t>
  </si>
  <si>
    <t>SYN1039</t>
  </si>
  <si>
    <t>SYN1040</t>
  </si>
  <si>
    <t>SYN1041</t>
  </si>
  <si>
    <t>SYN1042</t>
  </si>
  <si>
    <t>SYN1043</t>
  </si>
  <si>
    <t>SYN1044</t>
  </si>
  <si>
    <t>SYN1045</t>
  </si>
  <si>
    <t>SYN1046</t>
  </si>
  <si>
    <t>SYN1047</t>
  </si>
  <si>
    <t>SYN1048</t>
  </si>
  <si>
    <t>SYN1049</t>
  </si>
  <si>
    <t>SYN1050</t>
  </si>
  <si>
    <t>SYN1051</t>
  </si>
  <si>
    <t>SYN1052</t>
  </si>
  <si>
    <t>SYN1053</t>
  </si>
  <si>
    <t>SYN1054</t>
  </si>
  <si>
    <t>SYN1055</t>
  </si>
  <si>
    <t>SYN1056</t>
  </si>
  <si>
    <t>SYN1057</t>
  </si>
  <si>
    <t>SYN1058</t>
  </si>
  <si>
    <t>SYN1059</t>
  </si>
  <si>
    <t>SYN1060</t>
  </si>
  <si>
    <t>SYN1061</t>
  </si>
  <si>
    <t>SYN1062</t>
  </si>
  <si>
    <t>SYN1063</t>
  </si>
  <si>
    <t>SYN1064</t>
  </si>
  <si>
    <t>SYN1065</t>
  </si>
  <si>
    <t>SYN1066</t>
  </si>
  <si>
    <t>SYN1067</t>
  </si>
  <si>
    <t>SYN1068</t>
  </si>
  <si>
    <t>SYN1069</t>
  </si>
  <si>
    <t>SYN1070</t>
  </si>
  <si>
    <t>SYN1071</t>
  </si>
  <si>
    <t>SYN1072</t>
  </si>
  <si>
    <t>SYN1073</t>
  </si>
  <si>
    <t>SYN1074</t>
  </si>
  <si>
    <t>SYN1075</t>
  </si>
  <si>
    <t>SYN1076</t>
  </si>
  <si>
    <t>SYN1077</t>
  </si>
  <si>
    <t>SYN1078</t>
  </si>
  <si>
    <t>SYN1079</t>
  </si>
  <si>
    <t>SYN1080</t>
  </si>
  <si>
    <t>SYN1081</t>
  </si>
  <si>
    <t>SYN1082</t>
  </si>
  <si>
    <t>SYN1083</t>
  </si>
  <si>
    <t>SYN1084</t>
  </si>
  <si>
    <t>SYN1085</t>
  </si>
  <si>
    <t>SYN1086</t>
  </si>
  <si>
    <t>SYN1087</t>
  </si>
  <si>
    <t>SYN1088</t>
  </si>
  <si>
    <t>SYN1089</t>
  </si>
  <si>
    <t>SYN1090</t>
  </si>
  <si>
    <t>SYN1091</t>
  </si>
  <si>
    <t>SYN1092</t>
  </si>
  <si>
    <t>SYN1093</t>
  </si>
  <si>
    <t>SYN1094</t>
  </si>
  <si>
    <t>SYN1095</t>
  </si>
  <si>
    <t>SYN1096</t>
  </si>
  <si>
    <t>SYN1097</t>
  </si>
  <si>
    <t>SYN1098</t>
  </si>
  <si>
    <t>SYN1099</t>
  </si>
  <si>
    <t>SYN1100</t>
  </si>
  <si>
    <t>SYN1101</t>
  </si>
  <si>
    <t>SYN1102</t>
  </si>
  <si>
    <t>SYN1103</t>
  </si>
  <si>
    <t>SYN1104</t>
  </si>
  <si>
    <t>SYN1105</t>
  </si>
  <si>
    <t>SYN1106</t>
  </si>
  <si>
    <t>SYN1107</t>
  </si>
  <si>
    <t>SYN1108</t>
  </si>
  <si>
    <t>SYN1109</t>
  </si>
  <si>
    <t>SYN1110</t>
  </si>
  <si>
    <t>SYN1111</t>
  </si>
  <si>
    <t>SYN1112</t>
  </si>
  <si>
    <t>SYN1113</t>
  </si>
  <si>
    <t>SYN1114</t>
  </si>
  <si>
    <t>SYN1115</t>
  </si>
  <si>
    <t>SYN1116</t>
  </si>
  <si>
    <t>SYN1117</t>
  </si>
  <si>
    <t>SYN1118</t>
  </si>
  <si>
    <t>SYN1119</t>
  </si>
  <si>
    <t>SYN1120</t>
  </si>
  <si>
    <t>SYN1121</t>
  </si>
  <si>
    <t>SYN1122</t>
  </si>
  <si>
    <t>SYN1123</t>
  </si>
  <si>
    <t>SYN1124</t>
  </si>
  <si>
    <t>SYN1125</t>
  </si>
  <si>
    <t>SYN1126</t>
  </si>
  <si>
    <t>SYN1127</t>
  </si>
  <si>
    <t>SYN1128</t>
  </si>
  <si>
    <t>SYN1129</t>
  </si>
  <si>
    <t>SYN1130</t>
  </si>
  <si>
    <t>SYN1131</t>
  </si>
  <si>
    <t>SYN1132</t>
  </si>
  <si>
    <t>SYN1133</t>
  </si>
  <si>
    <t>SYN1134</t>
  </si>
  <si>
    <t>SYN1135</t>
  </si>
  <si>
    <t>SYN1136</t>
  </si>
  <si>
    <t>SYN1137</t>
  </si>
  <si>
    <t>SYN1138</t>
  </si>
  <si>
    <t>SYN1139</t>
  </si>
  <si>
    <t>SYN1140</t>
  </si>
  <si>
    <t>SYN1141</t>
  </si>
  <si>
    <t>SYN1142</t>
  </si>
  <si>
    <t>SYN1143</t>
  </si>
  <si>
    <t>SYN1144</t>
  </si>
  <si>
    <t>SYN1145</t>
  </si>
  <si>
    <t>SYN1146</t>
  </si>
  <si>
    <t>SYN1147</t>
  </si>
  <si>
    <t>SYN1148</t>
  </si>
  <si>
    <t>SYN1149</t>
  </si>
  <si>
    <t>SYN1150</t>
  </si>
  <si>
    <t>SYN1151</t>
  </si>
  <si>
    <t>SYN1152</t>
  </si>
  <si>
    <t>SYN1153</t>
  </si>
  <si>
    <t>SYN1154</t>
  </si>
  <si>
    <t>SYN1155</t>
  </si>
  <si>
    <t>SYN1156</t>
  </si>
  <si>
    <t>SYN1157</t>
  </si>
  <si>
    <t>SYN1158</t>
  </si>
  <si>
    <t>SYN1159</t>
  </si>
  <si>
    <t>SYN1160</t>
  </si>
  <si>
    <t>SYN1161</t>
  </si>
  <si>
    <t>SYN1162</t>
  </si>
  <si>
    <t>SYN1163</t>
  </si>
  <si>
    <t>SYN1164</t>
  </si>
  <si>
    <t>SYN1165</t>
  </si>
  <si>
    <t>SYN1166</t>
  </si>
  <si>
    <t>SYN1167</t>
  </si>
  <si>
    <t>SYN1168</t>
  </si>
  <si>
    <t>SYN1169</t>
  </si>
  <si>
    <t>SYN1170</t>
  </si>
  <si>
    <t>SYN1171</t>
  </si>
  <si>
    <t>SYN1172</t>
  </si>
  <si>
    <t>SYN1173</t>
  </si>
  <si>
    <t>SYN1174</t>
  </si>
  <si>
    <t>SYN1175</t>
  </si>
  <si>
    <t>SYN1176</t>
  </si>
  <si>
    <t>SYN1177</t>
  </si>
  <si>
    <t>SYN1178</t>
  </si>
  <si>
    <t>SYN1179</t>
  </si>
  <si>
    <t>SYN1180</t>
  </si>
  <si>
    <t>SYN1181</t>
  </si>
  <si>
    <t>SYN1182</t>
  </si>
  <si>
    <t>SYN1183</t>
  </si>
  <si>
    <t>SYN1184</t>
  </si>
  <si>
    <t>SYN1185</t>
  </si>
  <si>
    <t>SYN1186</t>
  </si>
  <si>
    <t>SYN1187</t>
  </si>
  <si>
    <t>SYN1188</t>
  </si>
  <si>
    <t>SYN1189</t>
  </si>
  <si>
    <t>SYN1190</t>
  </si>
  <si>
    <t>SYN1191</t>
  </si>
  <si>
    <t>SYN1192</t>
  </si>
  <si>
    <t>SYN1193</t>
  </si>
  <si>
    <t>SYN1194</t>
  </si>
  <si>
    <t>SYN1195</t>
  </si>
  <si>
    <t>SYN1196</t>
  </si>
  <si>
    <t>SYN1197</t>
  </si>
  <si>
    <t>SYN1198</t>
  </si>
  <si>
    <t>SYN1199</t>
  </si>
  <si>
    <t>SYN1200</t>
  </si>
  <si>
    <t>SYN1201</t>
  </si>
  <si>
    <t>SYN1202</t>
  </si>
  <si>
    <t>SYN1203</t>
  </si>
  <si>
    <t>SYN1204</t>
  </si>
  <si>
    <t>SYN1205</t>
  </si>
  <si>
    <t>SYN1206</t>
  </si>
  <si>
    <t>SYN1207</t>
  </si>
  <si>
    <t>SYN1208</t>
  </si>
  <si>
    <t>SYN1209</t>
  </si>
  <si>
    <t>SYN1210</t>
  </si>
  <si>
    <t>SYN1211</t>
  </si>
  <si>
    <t>SYN1212</t>
  </si>
  <si>
    <t>SYN1213</t>
  </si>
  <si>
    <t>SYN1214</t>
  </si>
  <si>
    <t>SYN1215</t>
  </si>
  <si>
    <t>SYN1216</t>
  </si>
  <si>
    <t>SYN1217</t>
  </si>
  <si>
    <t>SYN1218</t>
  </si>
  <si>
    <t>SYN1219</t>
  </si>
  <si>
    <t>SYN1220</t>
  </si>
  <si>
    <t>SYN1221</t>
  </si>
  <si>
    <t>SYN1222</t>
  </si>
  <si>
    <t>SYN1223</t>
  </si>
  <si>
    <t>SYN1224</t>
  </si>
  <si>
    <t>SYN1225</t>
  </si>
  <si>
    <t>SYN1226</t>
  </si>
  <si>
    <t>SYN1227</t>
  </si>
  <si>
    <t>SYN1228</t>
  </si>
  <si>
    <t>SYN1229</t>
  </si>
  <si>
    <t>SYN1230</t>
  </si>
  <si>
    <t>SYN1231</t>
  </si>
  <si>
    <t>SYN1232</t>
  </si>
  <si>
    <t>SYN1233</t>
  </si>
  <si>
    <t>SYN1234</t>
  </si>
  <si>
    <t>SYN1235</t>
  </si>
  <si>
    <t>SYN1236</t>
  </si>
  <si>
    <t>SYN1237</t>
  </si>
  <si>
    <t>SYN1238</t>
  </si>
  <si>
    <t>SYN1239</t>
  </si>
  <si>
    <t>SYN1240</t>
  </si>
  <si>
    <t>SYN1241</t>
  </si>
  <si>
    <t>SYN1242</t>
  </si>
  <si>
    <t>SYN1243</t>
  </si>
  <si>
    <t>SYN1244</t>
  </si>
  <si>
    <t>SYN1245</t>
  </si>
  <si>
    <t>SYN1246</t>
  </si>
  <si>
    <t>SYN1247</t>
  </si>
  <si>
    <t>SYN1248</t>
  </si>
  <si>
    <t>SYN1249</t>
  </si>
  <si>
    <t>SYN1250</t>
  </si>
  <si>
    <t>SYN1251</t>
  </si>
  <si>
    <t>SYN1252</t>
  </si>
  <si>
    <t>SYN1253</t>
  </si>
  <si>
    <t>SYN1254</t>
  </si>
  <si>
    <t>SYN1255</t>
  </si>
  <si>
    <t>SYN1256</t>
  </si>
  <si>
    <t>SYN1257</t>
  </si>
  <si>
    <t>SYN1258</t>
  </si>
  <si>
    <t>SYN1259</t>
  </si>
  <si>
    <t>SYN1260</t>
  </si>
  <si>
    <t>SYN1261</t>
  </si>
  <si>
    <t>SYN1262</t>
  </si>
  <si>
    <t>SYN1263</t>
  </si>
  <si>
    <t>SYN1264</t>
  </si>
  <si>
    <t>SYN1265</t>
  </si>
  <si>
    <t>SYN1266</t>
  </si>
  <si>
    <t>SYN1267</t>
  </si>
  <si>
    <t>SYN1268</t>
  </si>
  <si>
    <t>SYN1269</t>
  </si>
  <si>
    <t>SYN1270</t>
  </si>
  <si>
    <t>SYN1271</t>
  </si>
  <si>
    <t>SYN1272</t>
  </si>
  <si>
    <t>SYN1273</t>
  </si>
  <si>
    <t>SYN1274</t>
  </si>
  <si>
    <t>SYN1275</t>
  </si>
  <si>
    <t>SYN1276</t>
  </si>
  <si>
    <t>SYN1277</t>
  </si>
  <si>
    <t>SYN1278</t>
  </si>
  <si>
    <t>SYN1279</t>
  </si>
  <si>
    <t>SYN1280</t>
  </si>
  <si>
    <t>SYN1281</t>
  </si>
  <si>
    <t>SYN1282</t>
  </si>
  <si>
    <t>SYN1283</t>
  </si>
  <si>
    <t>SYN1284</t>
  </si>
  <si>
    <t>SYN1285</t>
  </si>
  <si>
    <t>SYN1286</t>
  </si>
  <si>
    <t>SYN1287</t>
  </si>
  <si>
    <t>SYN1288</t>
  </si>
  <si>
    <t>SYN1289</t>
  </si>
  <si>
    <t>SYN1290</t>
  </si>
  <si>
    <t>SYN1291</t>
  </si>
  <si>
    <t>SYN1292</t>
  </si>
  <si>
    <t>SYN1293</t>
  </si>
  <si>
    <t>SYN1294</t>
  </si>
  <si>
    <t>SYN1295</t>
  </si>
  <si>
    <t>SYN1296</t>
  </si>
  <si>
    <t>SYN1297</t>
  </si>
  <si>
    <t>SYN1298</t>
  </si>
  <si>
    <t>SYN1299</t>
  </si>
  <si>
    <t>SYN1300</t>
  </si>
  <si>
    <t>SYN1301</t>
  </si>
  <si>
    <t>SYN1302</t>
  </si>
  <si>
    <t>SYN1303</t>
  </si>
  <si>
    <t>SYN1304</t>
  </si>
  <si>
    <t>SYN1305</t>
  </si>
  <si>
    <t>SYN1306</t>
  </si>
  <si>
    <t>SYN1307</t>
  </si>
  <si>
    <t>SYN1308</t>
  </si>
  <si>
    <t>SYN1309</t>
  </si>
  <si>
    <t>SYN1310</t>
  </si>
  <si>
    <t>SYN1311</t>
  </si>
  <si>
    <t>SYN1312</t>
  </si>
  <si>
    <t>SYN1313</t>
  </si>
  <si>
    <t>SYN1314</t>
  </si>
  <si>
    <t>SYN1315</t>
  </si>
  <si>
    <t>SYN1316</t>
  </si>
  <si>
    <t>SYN1317</t>
  </si>
  <si>
    <t>SYN1318</t>
  </si>
  <si>
    <t>SYN1319</t>
  </si>
  <si>
    <t>SYN1320</t>
  </si>
  <si>
    <t>SYN1321</t>
  </si>
  <si>
    <t>SYN1322</t>
  </si>
  <si>
    <t>SYN1323</t>
  </si>
  <si>
    <t>SYN1324</t>
  </si>
  <si>
    <t>SYN1325</t>
  </si>
  <si>
    <t>SYN1326</t>
  </si>
  <si>
    <t>SYN1327</t>
  </si>
  <si>
    <t>SYN1328</t>
  </si>
  <si>
    <t>SYN1329</t>
  </si>
  <si>
    <t>SYN1330</t>
  </si>
  <si>
    <t>SYN1331</t>
  </si>
  <si>
    <t>SYN1332</t>
  </si>
  <si>
    <t>SYN1333</t>
  </si>
  <si>
    <t>SYN1334</t>
  </si>
  <si>
    <t>SYN1335</t>
  </si>
  <si>
    <t>SYN1336</t>
  </si>
  <si>
    <t>SYN1337</t>
  </si>
  <si>
    <t>SYN1338</t>
  </si>
  <si>
    <t>SYN1339</t>
  </si>
  <si>
    <t>SYN1340</t>
  </si>
  <si>
    <t>SYN1341</t>
  </si>
  <si>
    <t>SYN1342</t>
  </si>
  <si>
    <t>SYN1343</t>
  </si>
  <si>
    <t>SYN1344</t>
  </si>
  <si>
    <t>SYN1345</t>
  </si>
  <si>
    <t>SYN1346</t>
  </si>
  <si>
    <t>SYN1347</t>
  </si>
  <si>
    <t>SYN1348</t>
  </si>
  <si>
    <t>SYN1349</t>
  </si>
  <si>
    <t>SYN1350</t>
  </si>
  <si>
    <t>SYN1351</t>
  </si>
  <si>
    <t>SYN1352</t>
  </si>
  <si>
    <t>SYN1353</t>
  </si>
  <si>
    <t>SYN1354</t>
  </si>
  <si>
    <t>SYN1355</t>
  </si>
  <si>
    <t>SYN1356</t>
  </si>
  <si>
    <t>SYN1357</t>
  </si>
  <si>
    <t>SYN1358</t>
  </si>
  <si>
    <t>SYN1359</t>
  </si>
  <si>
    <t>SYN1360</t>
  </si>
  <si>
    <t>SYN1361</t>
  </si>
  <si>
    <t>SYN1362</t>
  </si>
  <si>
    <t>SYN1363</t>
  </si>
  <si>
    <t>SYN1364</t>
  </si>
  <si>
    <t>SYN1365</t>
  </si>
  <si>
    <t>SYN1366</t>
  </si>
  <si>
    <t>SYN1367</t>
  </si>
  <si>
    <t>SYN1368</t>
  </si>
  <si>
    <t>SYN1369</t>
  </si>
  <si>
    <t>SYN1370</t>
  </si>
  <si>
    <t>SYN1371</t>
  </si>
  <si>
    <t>SYN1372</t>
  </si>
  <si>
    <t>SYN1373</t>
  </si>
  <si>
    <t>SYN1374</t>
  </si>
  <si>
    <t>SYN1375</t>
  </si>
  <si>
    <t>SYN1376</t>
  </si>
  <si>
    <t>SYN1377</t>
  </si>
  <si>
    <t>SYN1378</t>
  </si>
  <si>
    <t>SYN1379</t>
  </si>
  <si>
    <t>SYN1380</t>
  </si>
  <si>
    <t>SYN1381</t>
  </si>
  <si>
    <t>SYN1382</t>
  </si>
  <si>
    <t>SYN1383</t>
  </si>
  <si>
    <t>SYN1384</t>
  </si>
  <si>
    <t>SYN1385</t>
  </si>
  <si>
    <t>SYN1386</t>
  </si>
  <si>
    <t>SYN1387</t>
  </si>
  <si>
    <t>SYN1388</t>
  </si>
  <si>
    <t>SYN1389</t>
  </si>
  <si>
    <t>SYN1390</t>
  </si>
  <si>
    <t>SYN1391</t>
  </si>
  <si>
    <t>SYN1392</t>
  </si>
  <si>
    <t>SYN1393</t>
  </si>
  <si>
    <t>SYN1394</t>
  </si>
  <si>
    <t>SYN1395</t>
  </si>
  <si>
    <t>SYN1396</t>
  </si>
  <si>
    <t>SYN1397</t>
  </si>
  <si>
    <t>SYN1398</t>
  </si>
  <si>
    <t>SYN1399</t>
  </si>
  <si>
    <t>SYN1400</t>
  </si>
  <si>
    <t>SYN1401</t>
  </si>
  <si>
    <t>SYN1402</t>
  </si>
  <si>
    <t>SYN1403</t>
  </si>
  <si>
    <t>SYN1404</t>
  </si>
  <si>
    <t>SYN1405</t>
  </si>
  <si>
    <t>SYN1406</t>
  </si>
  <si>
    <t>SYN1407</t>
  </si>
  <si>
    <t>SYN1408</t>
  </si>
  <si>
    <t>SYN1409</t>
  </si>
  <si>
    <t>SYN1410</t>
  </si>
  <si>
    <t>SYN1411</t>
  </si>
  <si>
    <t>SYN1412</t>
  </si>
  <si>
    <t>SYN1413</t>
  </si>
  <si>
    <t>SYN1414</t>
  </si>
  <si>
    <t>SYN1415</t>
  </si>
  <si>
    <t>SYN1416</t>
  </si>
  <si>
    <t>SYN1417</t>
  </si>
  <si>
    <t>SYN1418</t>
  </si>
  <si>
    <t>SYN1419</t>
  </si>
  <si>
    <t>SYN1420</t>
  </si>
  <si>
    <t>SYN1421</t>
  </si>
  <si>
    <t>SYN1422</t>
  </si>
  <si>
    <t>SYN1423</t>
  </si>
  <si>
    <t>SYN1424</t>
  </si>
  <si>
    <t>SYN1425</t>
  </si>
  <si>
    <t>SYN1426</t>
  </si>
  <si>
    <t>SYN1427</t>
  </si>
  <si>
    <t>SYN1428</t>
  </si>
  <si>
    <t>SYN1429</t>
  </si>
  <si>
    <t>SYN1430</t>
  </si>
  <si>
    <t>SYN1431</t>
  </si>
  <si>
    <t>SYN1432</t>
  </si>
  <si>
    <t>SYN1433</t>
  </si>
  <si>
    <t>SYN1434</t>
  </si>
  <si>
    <t>SYN1435</t>
  </si>
  <si>
    <t>SYN1436</t>
  </si>
  <si>
    <t>SYN1437</t>
  </si>
  <si>
    <t>SYN1438</t>
  </si>
  <si>
    <t>SYN1439</t>
  </si>
  <si>
    <t>SYN1440</t>
  </si>
  <si>
    <t>SYN1441</t>
  </si>
  <si>
    <t>SYN1442</t>
  </si>
  <si>
    <t>SYN1443</t>
  </si>
  <si>
    <t>SYN1444</t>
  </si>
  <si>
    <t>SYN1445</t>
  </si>
  <si>
    <t>SYN1446</t>
  </si>
  <si>
    <t>SYN1447</t>
  </si>
  <si>
    <t>SYN1448</t>
  </si>
  <si>
    <t>SYN1449</t>
  </si>
  <si>
    <t>SYN1450</t>
  </si>
  <si>
    <t>SYN1451</t>
  </si>
  <si>
    <t>SYN1452</t>
  </si>
  <si>
    <t>SYN1453</t>
  </si>
  <si>
    <t>SYN1454</t>
  </si>
  <si>
    <t>SYN1455</t>
  </si>
  <si>
    <t>SYN1456</t>
  </si>
  <si>
    <t>SYN1457</t>
  </si>
  <si>
    <t>SYN1458</t>
  </si>
  <si>
    <t>SYN1459</t>
  </si>
  <si>
    <t>SYN1460</t>
  </si>
  <si>
    <t>SYN1461</t>
  </si>
  <si>
    <t>SYN1462</t>
  </si>
  <si>
    <t>SYN1463</t>
  </si>
  <si>
    <t>SYN1464</t>
  </si>
  <si>
    <t>SYN1465</t>
  </si>
  <si>
    <t>SYN1466</t>
  </si>
  <si>
    <t>SYN1467</t>
  </si>
  <si>
    <t>SYN1468</t>
  </si>
  <si>
    <t>SYN1469</t>
  </si>
  <si>
    <t>SYN1470</t>
  </si>
  <si>
    <t>SYN1471</t>
  </si>
  <si>
    <t>SYN1472</t>
  </si>
  <si>
    <t>SYN1473</t>
  </si>
  <si>
    <t>SYN1474</t>
  </si>
  <si>
    <t>SYN1475</t>
  </si>
  <si>
    <t>SYN1476</t>
  </si>
  <si>
    <t>SYN1477</t>
  </si>
  <si>
    <t>SYN1478</t>
  </si>
  <si>
    <t>SYN1479</t>
  </si>
  <si>
    <t>SYN1480</t>
  </si>
  <si>
    <t>SYN1481</t>
  </si>
  <si>
    <t>SYN1482</t>
  </si>
  <si>
    <t>SYN1483</t>
  </si>
  <si>
    <t>SYN1484</t>
  </si>
  <si>
    <t>SYN1485</t>
  </si>
  <si>
    <t>SYN1486</t>
  </si>
  <si>
    <t>SYN1487</t>
  </si>
  <si>
    <t>SYN1488</t>
  </si>
  <si>
    <t>SYN1489</t>
  </si>
  <si>
    <t>SYN1490</t>
  </si>
  <si>
    <t>SYN1491</t>
  </si>
  <si>
    <t>SYN1492</t>
  </si>
  <si>
    <t>SYN1493</t>
  </si>
  <si>
    <t>SYN1494</t>
  </si>
  <si>
    <t>SYN1495</t>
  </si>
  <si>
    <t>SYN1496</t>
  </si>
  <si>
    <t>SYN1497</t>
  </si>
  <si>
    <t>SYN1498</t>
  </si>
  <si>
    <t>SYN1499</t>
  </si>
  <si>
    <t>SYN1500</t>
  </si>
  <si>
    <t>SYN1501</t>
  </si>
  <si>
    <t>SYN1502</t>
  </si>
  <si>
    <t>SYN1503</t>
  </si>
  <si>
    <t>SYN1504</t>
  </si>
  <si>
    <t>SYN1505</t>
  </si>
  <si>
    <t>SYN1506</t>
  </si>
  <si>
    <t>SYN1507</t>
  </si>
  <si>
    <t>SYN1508</t>
  </si>
  <si>
    <t>SYN1509</t>
  </si>
  <si>
    <t>SYN1510</t>
  </si>
  <si>
    <t>SYN1511</t>
  </si>
  <si>
    <t>SYN1512</t>
  </si>
  <si>
    <t>SYN1513</t>
  </si>
  <si>
    <t>SYN1514</t>
  </si>
  <si>
    <t>SYN1515</t>
  </si>
  <si>
    <t>SYN1516</t>
  </si>
  <si>
    <t>SYN1517</t>
  </si>
  <si>
    <t>SYN1518</t>
  </si>
  <si>
    <t>SYN1519</t>
  </si>
  <si>
    <t>SYN1520</t>
  </si>
  <si>
    <t>SYN1521</t>
  </si>
  <si>
    <t>SYN1522</t>
  </si>
  <si>
    <t>SYN1523</t>
  </si>
  <si>
    <t>SYN1524</t>
  </si>
  <si>
    <t>SYN1525</t>
  </si>
  <si>
    <t>SYN1526</t>
  </si>
  <si>
    <t>SYN1527</t>
  </si>
  <si>
    <t>SYN1528</t>
  </si>
  <si>
    <t>SYN1529</t>
  </si>
  <si>
    <t>SYN1530</t>
  </si>
  <si>
    <t>SYN1531</t>
  </si>
  <si>
    <t>SYN1532</t>
  </si>
  <si>
    <t>SYN1533</t>
  </si>
  <si>
    <t>SYN1534</t>
  </si>
  <si>
    <t>SYN1535</t>
  </si>
  <si>
    <t>SYN1536</t>
  </si>
  <si>
    <t>SYN1537</t>
  </si>
  <si>
    <t>SYN1538</t>
  </si>
  <si>
    <t>SYN1539</t>
  </si>
  <si>
    <t>SYN1540</t>
  </si>
  <si>
    <t>SYN1541</t>
  </si>
  <si>
    <t>SYN1542</t>
  </si>
  <si>
    <t>SYN1543</t>
  </si>
  <si>
    <t>SYN1544</t>
  </si>
  <si>
    <t>SYN1545</t>
  </si>
  <si>
    <t>SYN1546</t>
  </si>
  <si>
    <t>SYN1547</t>
  </si>
  <si>
    <t>SYN1548</t>
  </si>
  <si>
    <t>SYN1549</t>
  </si>
  <si>
    <t>SYN1550</t>
  </si>
  <si>
    <t>SYN1551</t>
  </si>
  <si>
    <t>SYN1552</t>
  </si>
  <si>
    <t>SYN1553</t>
  </si>
  <si>
    <t>SYN1554</t>
  </si>
  <si>
    <t>SYN1555</t>
  </si>
  <si>
    <t>SYN1556</t>
  </si>
  <si>
    <t>SYN1557</t>
  </si>
  <si>
    <t>SYN1558</t>
  </si>
  <si>
    <t>SYN1559</t>
  </si>
  <si>
    <t>SYN1560</t>
  </si>
  <si>
    <t>SYN1561</t>
  </si>
  <si>
    <t>SYN1562</t>
  </si>
  <si>
    <t>SYN1563</t>
  </si>
  <si>
    <t>SYN1564</t>
  </si>
  <si>
    <t>SYN1565</t>
  </si>
  <si>
    <t>SYN1566</t>
  </si>
  <si>
    <t>SYN1567</t>
  </si>
  <si>
    <t>SYN1568</t>
  </si>
  <si>
    <t>SYN1569</t>
  </si>
  <si>
    <t>SYN1570</t>
  </si>
  <si>
    <t>SYN1571</t>
  </si>
  <si>
    <t>SYN1572</t>
  </si>
  <si>
    <t>SYN1573</t>
  </si>
  <si>
    <t>SYN1574</t>
  </si>
  <si>
    <t>SYN1575</t>
  </si>
  <si>
    <t>SYN1576</t>
  </si>
  <si>
    <t>SYN1577</t>
  </si>
  <si>
    <t>SYN1578</t>
  </si>
  <si>
    <t>SYN1579</t>
  </si>
  <si>
    <t>SYN1580</t>
  </si>
  <si>
    <t>SYN1581</t>
  </si>
  <si>
    <t>SYN1582</t>
  </si>
  <si>
    <t>SYN1583</t>
  </si>
  <si>
    <t>SYN1584</t>
  </si>
  <si>
    <t>SYN1585</t>
  </si>
  <si>
    <t>SYN1586</t>
  </si>
  <si>
    <t>SYN1587</t>
  </si>
  <si>
    <t>SYN1588</t>
  </si>
  <si>
    <t>SYN1589</t>
  </si>
  <si>
    <t>SYN1590</t>
  </si>
  <si>
    <t>SYN1591</t>
  </si>
  <si>
    <t>SYN1592</t>
  </si>
  <si>
    <t>SYN1593</t>
  </si>
  <si>
    <t>SYN1594</t>
  </si>
  <si>
    <t>SYN1595</t>
  </si>
  <si>
    <t>SYN1596</t>
  </si>
  <si>
    <t>SYN1597</t>
  </si>
  <si>
    <t>SYN1598</t>
  </si>
  <si>
    <t>SYN1599</t>
  </si>
  <si>
    <t>SYN1600</t>
  </si>
  <si>
    <t>SYN1601</t>
  </si>
  <si>
    <t>SYN1602</t>
  </si>
  <si>
    <t>SYN1603</t>
  </si>
  <si>
    <t>SYN1604</t>
  </si>
  <si>
    <t>SYN1605</t>
  </si>
  <si>
    <t>SYN1606</t>
  </si>
  <si>
    <t>SYN1607</t>
  </si>
  <si>
    <t>SYN1608</t>
  </si>
  <si>
    <t>SYN1609</t>
  </si>
  <si>
    <t>SYN1610</t>
  </si>
  <si>
    <t>SYN1611</t>
  </si>
  <si>
    <t>SYN1612</t>
  </si>
  <si>
    <t>SYN1613</t>
  </si>
  <si>
    <t>SYN1614</t>
  </si>
  <si>
    <t>SYN1615</t>
  </si>
  <si>
    <t>SYN1616</t>
  </si>
  <si>
    <t>SYN1617</t>
  </si>
  <si>
    <t>SYN1618</t>
  </si>
  <si>
    <t>SYN1619</t>
  </si>
  <si>
    <t>SYN1620</t>
  </si>
  <si>
    <t>SYN1621</t>
  </si>
  <si>
    <t>SYN1622</t>
  </si>
  <si>
    <t>SYN1623</t>
  </si>
  <si>
    <t>SYN1624</t>
  </si>
  <si>
    <t>SYN1625</t>
  </si>
  <si>
    <t>SYN1626</t>
  </si>
  <si>
    <t>SYN1627</t>
  </si>
  <si>
    <t>SYN1628</t>
  </si>
  <si>
    <t>SYN1629</t>
  </si>
  <si>
    <t>SYN1630</t>
  </si>
  <si>
    <t>SYN1631</t>
  </si>
  <si>
    <t>SYN1632</t>
  </si>
  <si>
    <t>SYN1633</t>
  </si>
  <si>
    <t>SYN1634</t>
  </si>
  <si>
    <t>SYN1635</t>
  </si>
  <si>
    <t>SYN1636</t>
  </si>
  <si>
    <t>SYN1637</t>
  </si>
  <si>
    <t>SYN1638</t>
  </si>
  <si>
    <t>SYN1639</t>
  </si>
  <si>
    <t>SYN1640</t>
  </si>
  <si>
    <t>SYN1641</t>
  </si>
  <si>
    <t>SYN1642</t>
  </si>
  <si>
    <t>SYN1643</t>
  </si>
  <si>
    <t>SYN1644</t>
  </si>
  <si>
    <t>SYN1645</t>
  </si>
  <si>
    <t>SYN1646</t>
  </si>
  <si>
    <t>SYN1647</t>
  </si>
  <si>
    <t>SYN1648</t>
  </si>
  <si>
    <t>SYN1649</t>
  </si>
  <si>
    <t>SYN1650</t>
  </si>
  <si>
    <t>SYN1651</t>
  </si>
  <si>
    <t>SYN1652</t>
  </si>
  <si>
    <t>SYN1653</t>
  </si>
  <si>
    <t>SYN1654</t>
  </si>
  <si>
    <t>SYN1655</t>
  </si>
  <si>
    <t>SYN1656</t>
  </si>
  <si>
    <t>SYN1657</t>
  </si>
  <si>
    <t>SYN1658</t>
  </si>
  <si>
    <t>SYN1659</t>
  </si>
  <si>
    <t>SYN1660</t>
  </si>
  <si>
    <t>SYN1661</t>
  </si>
  <si>
    <t>SYN1662</t>
  </si>
  <si>
    <t>SYN1663</t>
  </si>
  <si>
    <t>SYN1664</t>
  </si>
  <si>
    <t>SYN1665</t>
  </si>
  <si>
    <t>SYN1666</t>
  </si>
  <si>
    <t>SYN1667</t>
  </si>
  <si>
    <t>SYN1668</t>
  </si>
  <si>
    <t>SYN1669</t>
  </si>
  <si>
    <t>SYN1670</t>
  </si>
  <si>
    <t>SYN1671</t>
  </si>
  <si>
    <t>SYN1672</t>
  </si>
  <si>
    <t>SYN1673</t>
  </si>
  <si>
    <t>SYN1674</t>
  </si>
  <si>
    <t>SYN1675</t>
  </si>
  <si>
    <t>SYN1676</t>
  </si>
  <si>
    <t>SYN1677</t>
  </si>
  <si>
    <t>SYN1678</t>
  </si>
  <si>
    <t>SYN1679</t>
  </si>
  <si>
    <t>SYN1680</t>
  </si>
  <si>
    <t>SYN1681</t>
  </si>
  <si>
    <t>SYN1682</t>
  </si>
  <si>
    <t>SYN1683</t>
  </si>
  <si>
    <t>SYN1684</t>
  </si>
  <si>
    <t>SYN1685</t>
  </si>
  <si>
    <t>SYN1686</t>
  </si>
  <si>
    <t>SYN1687</t>
  </si>
  <si>
    <t>SYN1688</t>
  </si>
  <si>
    <t>SYN1689</t>
  </si>
  <si>
    <t>SYN1690</t>
  </si>
  <si>
    <t>SYN1691</t>
  </si>
  <si>
    <t>SYN1692</t>
  </si>
  <si>
    <t>SYN1693</t>
  </si>
  <si>
    <t>SYN1694</t>
  </si>
  <si>
    <t>SYN1695</t>
  </si>
  <si>
    <t>SYN1696</t>
  </si>
  <si>
    <t>SYN1697</t>
  </si>
  <si>
    <t>SYN1698</t>
  </si>
  <si>
    <t>SYN1699</t>
  </si>
  <si>
    <t>SYN1700</t>
  </si>
  <si>
    <t>SYN1701</t>
  </si>
  <si>
    <t>SYN1702</t>
  </si>
  <si>
    <t>SYN1703</t>
  </si>
  <si>
    <t>SYN1704</t>
  </si>
  <si>
    <t>SYN1705</t>
  </si>
  <si>
    <t>SYN1706</t>
  </si>
  <si>
    <t>SYN1707</t>
  </si>
  <si>
    <t>SYN1708</t>
  </si>
  <si>
    <t>SYN1709</t>
  </si>
  <si>
    <t>SYN1710</t>
  </si>
  <si>
    <t>SYN1711</t>
  </si>
  <si>
    <t>SYN1712</t>
  </si>
  <si>
    <t>SYN1713</t>
  </si>
  <si>
    <t>SYN1714</t>
  </si>
  <si>
    <t>SYN1715</t>
  </si>
  <si>
    <t>SYN1716</t>
  </si>
  <si>
    <t>SYN1717</t>
  </si>
  <si>
    <t>SYN1718</t>
  </si>
  <si>
    <t>SYN1719</t>
  </si>
  <si>
    <t>SYN1720</t>
  </si>
  <si>
    <t>SYN1721</t>
  </si>
  <si>
    <t>SYN1722</t>
  </si>
  <si>
    <t>SYN1723</t>
  </si>
  <si>
    <t>SYN1724</t>
  </si>
  <si>
    <t>SYN1725</t>
  </si>
  <si>
    <t>SYN1726</t>
  </si>
  <si>
    <t>SYN1727</t>
  </si>
  <si>
    <t>SYN1728</t>
  </si>
  <si>
    <t>SYN1729</t>
  </si>
  <si>
    <t>SYN1730</t>
  </si>
  <si>
    <t>SYN1731</t>
  </si>
  <si>
    <t>SYN1732</t>
  </si>
  <si>
    <t>SYN1733</t>
  </si>
  <si>
    <t>SYN1734</t>
  </si>
  <si>
    <t>SYN1735</t>
  </si>
  <si>
    <t>SYN1736</t>
  </si>
  <si>
    <t>SYN1737</t>
  </si>
  <si>
    <t>SYN1738</t>
  </si>
  <si>
    <t>SYN1739</t>
  </si>
  <si>
    <t>SYN1740</t>
  </si>
  <si>
    <t>SYN1741</t>
  </si>
  <si>
    <t>SYN1742</t>
  </si>
  <si>
    <t>SYN1743</t>
  </si>
  <si>
    <t>SYN1744</t>
  </si>
  <si>
    <t>SYN1745</t>
  </si>
  <si>
    <t>SYN1746</t>
  </si>
  <si>
    <t>SYN1747</t>
  </si>
  <si>
    <t>SYN1748</t>
  </si>
  <si>
    <t>SYN1749</t>
  </si>
  <si>
    <t>SYN1750</t>
  </si>
  <si>
    <t>SYN1751</t>
  </si>
  <si>
    <t>SYN1752</t>
  </si>
  <si>
    <t>SYN1753</t>
  </si>
  <si>
    <t>SYN1754</t>
  </si>
  <si>
    <t>SYN1755</t>
  </si>
  <si>
    <t>SYN1756</t>
  </si>
  <si>
    <t>SYN1757</t>
  </si>
  <si>
    <t>SYN1758</t>
  </si>
  <si>
    <t>SYN1759</t>
  </si>
  <si>
    <t>SYN1760</t>
  </si>
  <si>
    <t>SYN1761</t>
  </si>
  <si>
    <t>SYN1762</t>
  </si>
  <si>
    <t>SYN1763</t>
  </si>
  <si>
    <t>SYN1764</t>
  </si>
  <si>
    <t>SYN1765</t>
  </si>
  <si>
    <t>SYN1766</t>
  </si>
  <si>
    <t>SYN1767</t>
  </si>
  <si>
    <t>SYN1768</t>
  </si>
  <si>
    <t>SYN1769</t>
  </si>
  <si>
    <t>SYN1770</t>
  </si>
  <si>
    <t>SYN1771</t>
  </si>
  <si>
    <t>SYN1772</t>
  </si>
  <si>
    <t>SYN1773</t>
  </si>
  <si>
    <t>SYN1774</t>
  </si>
  <si>
    <t>SYN1775</t>
  </si>
  <si>
    <t>SYN1776</t>
  </si>
  <si>
    <t>SYN1777</t>
  </si>
  <si>
    <t>SYN1778</t>
  </si>
  <si>
    <t>SYN1779</t>
  </si>
  <si>
    <t>SYN1780</t>
  </si>
  <si>
    <t>SYN1781</t>
  </si>
  <si>
    <t>SYN1782</t>
  </si>
  <si>
    <t>SYN1783</t>
  </si>
  <si>
    <t>SYN1784</t>
  </si>
  <si>
    <t>SYN1785</t>
  </si>
  <si>
    <t>SYN1786</t>
  </si>
  <si>
    <t>SYN1787</t>
  </si>
  <si>
    <t>SYN1788</t>
  </si>
  <si>
    <t>SYN1789</t>
  </si>
  <si>
    <t>SYN1790</t>
  </si>
  <si>
    <t>SYN1791</t>
  </si>
  <si>
    <t>SYN1792</t>
  </si>
  <si>
    <t>SYN1793</t>
  </si>
  <si>
    <t>SYN1794</t>
  </si>
  <si>
    <t>SYN1795</t>
  </si>
  <si>
    <t>SYN1796</t>
  </si>
  <si>
    <t>SYN1797</t>
  </si>
  <si>
    <t>SYN1798</t>
  </si>
  <si>
    <t>SYN1799</t>
  </si>
  <si>
    <t>SYN1800</t>
  </si>
  <si>
    <t>SYN1801</t>
  </si>
  <si>
    <t>SYN1802</t>
  </si>
  <si>
    <t>SYN1803</t>
  </si>
  <si>
    <t>SYN1804</t>
  </si>
  <si>
    <t>SYN1805</t>
  </si>
  <si>
    <t>SYN1806</t>
  </si>
  <si>
    <t>SYN1807</t>
  </si>
  <si>
    <t>SYN1808</t>
  </si>
  <si>
    <t>SYN1809</t>
  </si>
  <si>
    <t>SYN1810</t>
  </si>
  <si>
    <t>SYN1811</t>
  </si>
  <si>
    <t>SYN1812</t>
  </si>
  <si>
    <t>SYN1813</t>
  </si>
  <si>
    <t>SYN1814</t>
  </si>
  <si>
    <t>SYN1815</t>
  </si>
  <si>
    <t>SYN1816</t>
  </si>
  <si>
    <t>SYN1817</t>
  </si>
  <si>
    <t>SYN1818</t>
  </si>
  <si>
    <t>SYN1819</t>
  </si>
  <si>
    <t>SYN1820</t>
  </si>
  <si>
    <t>SYN1821</t>
  </si>
  <si>
    <t>SYN1822</t>
  </si>
  <si>
    <t>SYN1823</t>
  </si>
  <si>
    <t>SYN1824</t>
  </si>
  <si>
    <t>SYN1825</t>
  </si>
  <si>
    <t>SYN1826</t>
  </si>
  <si>
    <t>SYN1827</t>
  </si>
  <si>
    <t>SYN1828</t>
  </si>
  <si>
    <t>SYN1829</t>
  </si>
  <si>
    <t>SYN1830</t>
  </si>
  <si>
    <t>SYN1831</t>
  </si>
  <si>
    <t>SYN1832</t>
  </si>
  <si>
    <t>SYN1833</t>
  </si>
  <si>
    <t>SYN1834</t>
  </si>
  <si>
    <t>SYN1835</t>
  </si>
  <si>
    <t>SYN1836</t>
  </si>
  <si>
    <t>SYN1837</t>
  </si>
  <si>
    <t>SYN1838</t>
  </si>
  <si>
    <t>SYN1839</t>
  </si>
  <si>
    <t>SYN1840</t>
  </si>
  <si>
    <t>SYN1841</t>
  </si>
  <si>
    <t>SYN1842</t>
  </si>
  <si>
    <t>SYN1843</t>
  </si>
  <si>
    <t>SYN1844</t>
  </si>
  <si>
    <t>SYN1845</t>
  </si>
  <si>
    <t>SYN1846</t>
  </si>
  <si>
    <t>SYN1847</t>
  </si>
  <si>
    <t>SYN1848</t>
  </si>
  <si>
    <t>SYN1849</t>
  </si>
  <si>
    <t>SYN1850</t>
  </si>
  <si>
    <t>SYN1851</t>
  </si>
  <si>
    <t>SYN1852</t>
  </si>
  <si>
    <t>SYN1853</t>
  </si>
  <si>
    <t>SYN1854</t>
  </si>
  <si>
    <t>SYN1855</t>
  </si>
  <si>
    <t>SYN1856</t>
  </si>
  <si>
    <t>SYN1857</t>
  </si>
  <si>
    <t>SYN1858</t>
  </si>
  <si>
    <t>SYN1859</t>
  </si>
  <si>
    <t>SYN1860</t>
  </si>
  <si>
    <t>SYN1861</t>
  </si>
  <si>
    <t>SYN1862</t>
  </si>
  <si>
    <t>SYN1863</t>
  </si>
  <si>
    <t>SYN1864</t>
  </si>
  <si>
    <t>SYN1865</t>
  </si>
  <si>
    <t>SYN1866</t>
  </si>
  <si>
    <t>SYN1867</t>
  </si>
  <si>
    <t>SYN1868</t>
  </si>
  <si>
    <t>SYN1869</t>
  </si>
  <si>
    <t>SYN1870</t>
  </si>
  <si>
    <t>SYN1871</t>
  </si>
  <si>
    <t>SYN1872</t>
  </si>
  <si>
    <t>SYN1873</t>
  </si>
  <si>
    <t>SYN1874</t>
  </si>
  <si>
    <t>SYN1875</t>
  </si>
  <si>
    <t>SYN1876</t>
  </si>
  <si>
    <t>SYN1877</t>
  </si>
  <si>
    <t>SYN1878</t>
  </si>
  <si>
    <t>SYN1879</t>
  </si>
  <si>
    <t>SYN1880</t>
  </si>
  <si>
    <t>SYN1881</t>
  </si>
  <si>
    <t>SYN1882</t>
  </si>
  <si>
    <t>SYN1883</t>
  </si>
  <si>
    <t>SYN1884</t>
  </si>
  <si>
    <t>SYN1885</t>
  </si>
  <si>
    <t>SYN1886</t>
  </si>
  <si>
    <t>SYN1887</t>
  </si>
  <si>
    <t>SYN1888</t>
  </si>
  <si>
    <t>SYN1889</t>
  </si>
  <si>
    <t>SYN1890</t>
  </si>
  <si>
    <t>SYN1891</t>
  </si>
  <si>
    <t>SYN1892</t>
  </si>
  <si>
    <t>SYN1893</t>
  </si>
  <si>
    <t>SYN1894</t>
  </si>
  <si>
    <t>SYN1895</t>
  </si>
  <si>
    <t>SYN1896</t>
  </si>
  <si>
    <t>SYN1897</t>
  </si>
  <si>
    <t>SYN1898</t>
  </si>
  <si>
    <t>SYN1899</t>
  </si>
  <si>
    <t>SYN1900</t>
  </si>
  <si>
    <t>SYN1901</t>
  </si>
  <si>
    <t>SYN1902</t>
  </si>
  <si>
    <t>SYN1903</t>
  </si>
  <si>
    <t>SYN1904</t>
  </si>
  <si>
    <t>SYN1905</t>
  </si>
  <si>
    <t>SYN1906</t>
  </si>
  <si>
    <t>SYN1907</t>
  </si>
  <si>
    <t>SYN1908</t>
  </si>
  <si>
    <t>SYN1909</t>
  </si>
  <si>
    <t>SYN1910</t>
  </si>
  <si>
    <t>SYN1911</t>
  </si>
  <si>
    <t>SYN1912</t>
  </si>
  <si>
    <t>SYN1913</t>
  </si>
  <si>
    <t>SYN1914</t>
  </si>
  <si>
    <t>SYN1915</t>
  </si>
  <si>
    <t>SYN1916</t>
  </si>
  <si>
    <t>SYN1917</t>
  </si>
  <si>
    <t>SYN1918</t>
  </si>
  <si>
    <t>SYN1919</t>
  </si>
  <si>
    <t>SYN1920</t>
  </si>
  <si>
    <t>SYN1921</t>
  </si>
  <si>
    <t>SYN1922</t>
  </si>
  <si>
    <t>SYN1923</t>
  </si>
  <si>
    <t>SYN1924</t>
  </si>
  <si>
    <t>SYN1925</t>
  </si>
  <si>
    <t>SYN1926</t>
  </si>
  <si>
    <t>SYN1927</t>
  </si>
  <si>
    <t>SYN1928</t>
  </si>
  <si>
    <t>SYN1929</t>
  </si>
  <si>
    <t>SYN1930</t>
  </si>
  <si>
    <t>SYN1931</t>
  </si>
  <si>
    <t>SYN1932</t>
  </si>
  <si>
    <t>SYN1933</t>
  </si>
  <si>
    <t>SYN1934</t>
  </si>
  <si>
    <t>SYN1935</t>
  </si>
  <si>
    <t>SYN1936</t>
  </si>
  <si>
    <t>SYN1937</t>
  </si>
  <si>
    <t>SYN1938</t>
  </si>
  <si>
    <t>SYN1939</t>
  </si>
  <si>
    <t>SYN1940</t>
  </si>
  <si>
    <t>SYN1941</t>
  </si>
  <si>
    <t>SYN1942</t>
  </si>
  <si>
    <t>SYN1943</t>
  </si>
  <si>
    <t>SYN1944</t>
  </si>
  <si>
    <t>SYN1945</t>
  </si>
  <si>
    <t>SYN1946</t>
  </si>
  <si>
    <t>SYN1947</t>
  </si>
  <si>
    <t>SYN1948</t>
  </si>
  <si>
    <t>SYN1949</t>
  </si>
  <si>
    <t>SYN1950</t>
  </si>
  <si>
    <t>SYN1951</t>
  </si>
  <si>
    <t>SYN1952</t>
  </si>
  <si>
    <t>SYN1953</t>
  </si>
  <si>
    <t>SYN1954</t>
  </si>
  <si>
    <t>SYN1955</t>
  </si>
  <si>
    <t>SYN1956</t>
  </si>
  <si>
    <t>SYN1957</t>
  </si>
  <si>
    <t>SYN1958</t>
  </si>
  <si>
    <t>SYN1959</t>
  </si>
  <si>
    <t>SYN1960</t>
  </si>
  <si>
    <t>SYN1961</t>
  </si>
  <si>
    <t>SYN1962</t>
  </si>
  <si>
    <t>SYN1963</t>
  </si>
  <si>
    <t>SYN1964</t>
  </si>
  <si>
    <t>SYN1965</t>
  </si>
  <si>
    <t>SYN1966</t>
  </si>
  <si>
    <t>SYN1967</t>
  </si>
  <si>
    <t>SYN1968</t>
  </si>
  <si>
    <t>SYN1969</t>
  </si>
  <si>
    <t>SYN1970</t>
  </si>
  <si>
    <t>SYN1971</t>
  </si>
  <si>
    <t>SYN1972</t>
  </si>
  <si>
    <t>SYN1973</t>
  </si>
  <si>
    <t>SYN1974</t>
  </si>
  <si>
    <t>SYN1975</t>
  </si>
  <si>
    <t>SYN1976</t>
  </si>
  <si>
    <t>SYN1977</t>
  </si>
  <si>
    <t>SYN1978</t>
  </si>
  <si>
    <t>SYN1979</t>
  </si>
  <si>
    <t>SYN1980</t>
  </si>
  <si>
    <t>SYN1981</t>
  </si>
  <si>
    <t>SYN1982</t>
  </si>
  <si>
    <t>SYN1983</t>
  </si>
  <si>
    <t>SYN1984</t>
  </si>
  <si>
    <t>SYN1985</t>
  </si>
  <si>
    <t>SYN1986</t>
  </si>
  <si>
    <t>SYN1987</t>
  </si>
  <si>
    <t>SYN1988</t>
  </si>
  <si>
    <t>SYN1989</t>
  </si>
  <si>
    <t>SYN1990</t>
  </si>
  <si>
    <t>SYN1991</t>
  </si>
  <si>
    <t>SYN1992</t>
  </si>
  <si>
    <t>SYN1993</t>
  </si>
  <si>
    <t>SYN1994</t>
  </si>
  <si>
    <t>SYN1995</t>
  </si>
  <si>
    <t>SYN1996</t>
  </si>
  <si>
    <t>SYN1997</t>
  </si>
  <si>
    <t>SYN1998</t>
  </si>
  <si>
    <t>SYN1999</t>
  </si>
  <si>
    <t>SYN2000</t>
  </si>
  <si>
    <t>SYN2001</t>
  </si>
  <si>
    <t>SYN2002</t>
  </si>
  <si>
    <t>SYN2003</t>
  </si>
  <si>
    <t>SYN2004</t>
  </si>
  <si>
    <t>SYN2005</t>
  </si>
  <si>
    <t>SYN2006</t>
  </si>
  <si>
    <t>SYN2007</t>
  </si>
  <si>
    <t>SYN2008</t>
  </si>
  <si>
    <t>SYN2009</t>
  </si>
  <si>
    <t>SYN2010</t>
  </si>
  <si>
    <t>SYN2011</t>
  </si>
  <si>
    <t>SYN2012</t>
  </si>
  <si>
    <t>SYN2013</t>
  </si>
  <si>
    <t>SYN2014</t>
  </si>
  <si>
    <t>SYN2015</t>
  </si>
  <si>
    <t>SYN2016</t>
  </si>
  <si>
    <t>SYN2017</t>
  </si>
  <si>
    <t>SYN2018</t>
  </si>
  <si>
    <t>SYN2019</t>
  </si>
  <si>
    <t>SYN2020</t>
  </si>
  <si>
    <t>SYN2021</t>
  </si>
  <si>
    <t>SYN2022</t>
  </si>
  <si>
    <t>SYN2023</t>
  </si>
  <si>
    <t>SYN2024</t>
  </si>
  <si>
    <t>SYN2025</t>
  </si>
  <si>
    <t>SYN2026</t>
  </si>
  <si>
    <t>SYN2027</t>
  </si>
  <si>
    <t>SYN2028</t>
  </si>
  <si>
    <t>SYN2029</t>
  </si>
  <si>
    <t>SYN2030</t>
  </si>
  <si>
    <t>SYN2031</t>
  </si>
  <si>
    <t>SYN2032</t>
  </si>
  <si>
    <t>SYN2033</t>
  </si>
  <si>
    <t>SYN2034</t>
  </si>
  <si>
    <t>SYN2035</t>
  </si>
  <si>
    <t>SYN2036</t>
  </si>
  <si>
    <t>SYN2037</t>
  </si>
  <si>
    <t>SYN2038</t>
  </si>
  <si>
    <t>SYN2039</t>
  </si>
  <si>
    <t>SYN2040</t>
  </si>
  <si>
    <t>SYN2041</t>
  </si>
  <si>
    <t>SYN2042</t>
  </si>
  <si>
    <t>SYN2043</t>
  </si>
  <si>
    <t>SYN2044</t>
  </si>
  <si>
    <t>SYN2045</t>
  </si>
  <si>
    <t>SYN2046</t>
  </si>
  <si>
    <t>SYN2047</t>
  </si>
  <si>
    <t>SYN2048</t>
  </si>
  <si>
    <t>SYN2049</t>
  </si>
  <si>
    <t>SYN2050</t>
  </si>
  <si>
    <t>SYN2051</t>
  </si>
  <si>
    <t>SYN2052</t>
  </si>
  <si>
    <t>SYN2053</t>
  </si>
  <si>
    <t>SYN2054</t>
  </si>
  <si>
    <t>SYN2055</t>
  </si>
  <si>
    <t>SYN2056</t>
  </si>
  <si>
    <t>SYN2057</t>
  </si>
  <si>
    <t>SYN2058</t>
  </si>
  <si>
    <t>SYN2059</t>
  </si>
  <si>
    <t>SYN2060</t>
  </si>
  <si>
    <t>SYN2061</t>
  </si>
  <si>
    <t>SYN2062</t>
  </si>
  <si>
    <t>SYN2063</t>
  </si>
  <si>
    <t>SYN2064</t>
  </si>
  <si>
    <t>SYN2065</t>
  </si>
  <si>
    <t>SYN2066</t>
  </si>
  <si>
    <t>SYN2067</t>
  </si>
  <si>
    <t>SYN2068</t>
  </si>
  <si>
    <t>SYN2069</t>
  </si>
  <si>
    <t>SYN2070</t>
  </si>
  <si>
    <t>SYN2071</t>
  </si>
  <si>
    <t>SYN2072</t>
  </si>
  <si>
    <t>SYN2073</t>
  </si>
  <si>
    <t>SYN2074</t>
  </si>
  <si>
    <t>SYN2075</t>
  </si>
  <si>
    <t>SYN2076</t>
  </si>
  <si>
    <t>SYN2077</t>
  </si>
  <si>
    <t>SYN2078</t>
  </si>
  <si>
    <t>SYN2079</t>
  </si>
  <si>
    <t>SYN2080</t>
  </si>
  <si>
    <t>SYN2081</t>
  </si>
  <si>
    <t>SYN2082</t>
  </si>
  <si>
    <t>SYN2083</t>
  </si>
  <si>
    <t>SYN2084</t>
  </si>
  <si>
    <t>SYN2085</t>
  </si>
  <si>
    <t>SYN2086</t>
  </si>
  <si>
    <t>SYN2087</t>
  </si>
  <si>
    <t>SYN2088</t>
  </si>
  <si>
    <t>SYN2089</t>
  </si>
  <si>
    <t>SYN2090</t>
  </si>
  <si>
    <t>SYN2091</t>
  </si>
  <si>
    <t>SYN2092</t>
  </si>
  <si>
    <t>SYN2093</t>
  </si>
  <si>
    <t>SYN2094</t>
  </si>
  <si>
    <t>SYN2095</t>
  </si>
  <si>
    <t>SYN2096</t>
  </si>
  <si>
    <t>SYN2097</t>
  </si>
  <si>
    <t>SYN2098</t>
  </si>
  <si>
    <t>SYN2099</t>
  </si>
  <si>
    <t>SYN2100</t>
  </si>
  <si>
    <t>SYN2101</t>
  </si>
  <si>
    <t>SYN2102</t>
  </si>
  <si>
    <t>SYN2103</t>
  </si>
  <si>
    <t>SYN2104</t>
  </si>
  <si>
    <t>SYN2105</t>
  </si>
  <si>
    <t>SYN2106</t>
  </si>
  <si>
    <t>SYN2107</t>
  </si>
  <si>
    <t>SYN2108</t>
  </si>
  <si>
    <t>SYN2109</t>
  </si>
  <si>
    <t>SYN2110</t>
  </si>
  <si>
    <t>SYN2111</t>
  </si>
  <si>
    <t>SYN2112</t>
  </si>
  <si>
    <t>SYN2113</t>
  </si>
  <si>
    <t>SYN2114</t>
  </si>
  <si>
    <t>SYN2115</t>
  </si>
  <si>
    <t>SYN2116</t>
  </si>
  <si>
    <t>SYN2117</t>
  </si>
  <si>
    <t>SYN2118</t>
  </si>
  <si>
    <t>SYN2119</t>
  </si>
  <si>
    <t>SYN2120</t>
  </si>
  <si>
    <t>SYN2121</t>
  </si>
  <si>
    <t>SYN2122</t>
  </si>
  <si>
    <t>SYN2123</t>
  </si>
  <si>
    <t>SYN2124</t>
  </si>
  <si>
    <t>SYN2125</t>
  </si>
  <si>
    <t>SYN2126</t>
  </si>
  <si>
    <t>SYN2127</t>
  </si>
  <si>
    <t>SYN2128</t>
  </si>
  <si>
    <t>SYN2129</t>
  </si>
  <si>
    <t>SYN2130</t>
  </si>
  <si>
    <t>SYN2131</t>
  </si>
  <si>
    <t>SYN2132</t>
  </si>
  <si>
    <t>SYN2133</t>
  </si>
  <si>
    <t>SYN2134</t>
  </si>
  <si>
    <t>SYN2135</t>
  </si>
  <si>
    <t>SYN2136</t>
  </si>
  <si>
    <t>SYN2137</t>
  </si>
  <si>
    <t>SYN2138</t>
  </si>
  <si>
    <t>SYN2139</t>
  </si>
  <si>
    <t>SYN2140</t>
  </si>
  <si>
    <t>SYN2141</t>
  </si>
  <si>
    <t>SYN2142</t>
  </si>
  <si>
    <t>SYN2143</t>
  </si>
  <si>
    <t>SYN2144</t>
  </si>
  <si>
    <t>SYN2145</t>
  </si>
  <si>
    <t>SYN2146</t>
  </si>
  <si>
    <t>SYN2147</t>
  </si>
  <si>
    <t>SYN2148</t>
  </si>
  <si>
    <t>SYN2149</t>
  </si>
  <si>
    <t>SYN2150</t>
  </si>
  <si>
    <t>SYN2151</t>
  </si>
  <si>
    <t>SYN2152</t>
  </si>
  <si>
    <t>SYN2153</t>
  </si>
  <si>
    <t>SYN2154</t>
  </si>
  <si>
    <t>SYN2155</t>
  </si>
  <si>
    <t>SYN2156</t>
  </si>
  <si>
    <t>SYN2157</t>
  </si>
  <si>
    <t>SYN2158</t>
  </si>
  <si>
    <t>SYN2159</t>
  </si>
  <si>
    <t>SYN2160</t>
  </si>
  <si>
    <t>SYN2161</t>
  </si>
  <si>
    <t>SYN2162</t>
  </si>
  <si>
    <t>SYN2163</t>
  </si>
  <si>
    <t>SYN2164</t>
  </si>
  <si>
    <t>SYN2165</t>
  </si>
  <si>
    <t>SYN2166</t>
  </si>
  <si>
    <t>SYN2167</t>
  </si>
  <si>
    <t>SYN2168</t>
  </si>
  <si>
    <t>SYN2169</t>
  </si>
  <si>
    <t>SYN2170</t>
  </si>
  <si>
    <t>SYN2171</t>
  </si>
  <si>
    <t>SYN2172</t>
  </si>
  <si>
    <t>SYN2173</t>
  </si>
  <si>
    <t>SYN2174</t>
  </si>
  <si>
    <t>SYN2175</t>
  </si>
  <si>
    <t>SYN2176</t>
  </si>
  <si>
    <t>SYN2177</t>
  </si>
  <si>
    <t>SYN2178</t>
  </si>
  <si>
    <t>SYN2179</t>
  </si>
  <si>
    <t>SYN2180</t>
  </si>
  <si>
    <t>SYN2181</t>
  </si>
  <si>
    <t>SYN2182</t>
  </si>
  <si>
    <t>SYN2183</t>
  </si>
  <si>
    <t>SYN2184</t>
  </si>
  <si>
    <t>SYN2185</t>
  </si>
  <si>
    <t>SYN2186</t>
  </si>
  <si>
    <t>SYN2187</t>
  </si>
  <si>
    <t>SYN2188</t>
  </si>
  <si>
    <t>SYN2189</t>
  </si>
  <si>
    <t>SYN2190</t>
  </si>
  <si>
    <t>SYN2191</t>
  </si>
  <si>
    <t>SYN2192</t>
  </si>
  <si>
    <t>SYN2193</t>
  </si>
  <si>
    <t>SYN2194</t>
  </si>
  <si>
    <t>SYN2195</t>
  </si>
  <si>
    <t>SYN2196</t>
  </si>
  <si>
    <t>SYN2197</t>
  </si>
  <si>
    <t>SYN2198</t>
  </si>
  <si>
    <t>SYN2199</t>
  </si>
  <si>
    <t>SYN2200</t>
  </si>
  <si>
    <t>SYN2201</t>
  </si>
  <si>
    <t>SYN2202</t>
  </si>
  <si>
    <t>SYN2203</t>
  </si>
  <si>
    <t>SYN2204</t>
  </si>
  <si>
    <t>SYN2205</t>
  </si>
  <si>
    <t>SYN2206</t>
  </si>
  <si>
    <t>SYN2207</t>
  </si>
  <si>
    <t>SYN2208</t>
  </si>
  <si>
    <t>SYN2209</t>
  </si>
  <si>
    <t>SYN2210</t>
  </si>
  <si>
    <t>SYN2211</t>
  </si>
  <si>
    <t>SYN2212</t>
  </si>
  <si>
    <t>SYN2213</t>
  </si>
  <si>
    <t>SYN2214</t>
  </si>
  <si>
    <t>SYN2215</t>
  </si>
  <si>
    <t>SYN2216</t>
  </si>
  <si>
    <t>SYN2217</t>
  </si>
  <si>
    <t>SYN2218</t>
  </si>
  <si>
    <t>SYN2219</t>
  </si>
  <si>
    <t>SYN2220</t>
  </si>
  <si>
    <t>SYN2221</t>
  </si>
  <si>
    <t>SYN2222</t>
  </si>
  <si>
    <t>SYN2223</t>
  </si>
  <si>
    <t>SYN2224</t>
  </si>
  <si>
    <t>SYN2225</t>
  </si>
  <si>
    <t>SYN2226</t>
  </si>
  <si>
    <t>SYN2227</t>
  </si>
  <si>
    <t>SYN2228</t>
  </si>
  <si>
    <t>SYN2229</t>
  </si>
  <si>
    <t>SYN2230</t>
  </si>
  <si>
    <t>SYN2231</t>
  </si>
  <si>
    <t>SYN2232</t>
  </si>
  <si>
    <t>SYN2233</t>
  </si>
  <si>
    <t>SYN2234</t>
  </si>
  <si>
    <t>SYN2235</t>
  </si>
  <si>
    <t>SYN2236</t>
  </si>
  <si>
    <t>SYN2237</t>
  </si>
  <si>
    <t>SYN2238</t>
  </si>
  <si>
    <t>SYN2239</t>
  </si>
  <si>
    <t>SYN2240</t>
  </si>
  <si>
    <t>SYN2241</t>
  </si>
  <si>
    <t>SYN2242</t>
  </si>
  <si>
    <t>SYN2243</t>
  </si>
  <si>
    <t>SYN2244</t>
  </si>
  <si>
    <t>SYN2245</t>
  </si>
  <si>
    <t>SYN2246</t>
  </si>
  <si>
    <t>SYN2247</t>
  </si>
  <si>
    <t>SYN2248</t>
  </si>
  <si>
    <t>SYN2249</t>
  </si>
  <si>
    <t>SYN2250</t>
  </si>
  <si>
    <t>SYN2251</t>
  </si>
  <si>
    <t>SYN2252</t>
  </si>
  <si>
    <t>SYN2253</t>
  </si>
  <si>
    <t>SYN2254</t>
  </si>
  <si>
    <t>SYN2255</t>
  </si>
  <si>
    <t>SYN2256</t>
  </si>
  <si>
    <t>SYN2257</t>
  </si>
  <si>
    <t>SYN2258</t>
  </si>
  <si>
    <t>SYN2259</t>
  </si>
  <si>
    <t>SYN2260</t>
  </si>
  <si>
    <t>SYN2261</t>
  </si>
  <si>
    <t>SYN2262</t>
  </si>
  <si>
    <t>SYN2263</t>
  </si>
  <si>
    <t>SYN2264</t>
  </si>
  <si>
    <t>SYN2265</t>
  </si>
  <si>
    <t>SYN2266</t>
  </si>
  <si>
    <t>SYN2267</t>
  </si>
  <si>
    <t>SYN2268</t>
  </si>
  <si>
    <t>SYN2269</t>
  </si>
  <si>
    <t>SYN2270</t>
  </si>
  <si>
    <t>SYN2271</t>
  </si>
  <si>
    <t>SYN2272</t>
  </si>
  <si>
    <t>SYN2273</t>
  </si>
  <si>
    <t>SYN2274</t>
  </si>
  <si>
    <t>SYN2275</t>
  </si>
  <si>
    <t>SYN2276</t>
  </si>
  <si>
    <t>SYN2277</t>
  </si>
  <si>
    <t>SYN2278</t>
  </si>
  <si>
    <t>SYN2279</t>
  </si>
  <si>
    <t>SYN2280</t>
  </si>
  <si>
    <t>SYN2281</t>
  </si>
  <si>
    <t>SYN2282</t>
  </si>
  <si>
    <t>SYN2283</t>
  </si>
  <si>
    <t>SYN2284</t>
  </si>
  <si>
    <t>SYN2285</t>
  </si>
  <si>
    <t>SYN2286</t>
  </si>
  <si>
    <t>SYN2287</t>
  </si>
  <si>
    <t>SYN2288</t>
  </si>
  <si>
    <t>SYN2289</t>
  </si>
  <si>
    <t>SYN2290</t>
  </si>
  <si>
    <t>SYN2291</t>
  </si>
  <si>
    <t>SYN2292</t>
  </si>
  <si>
    <t>SYN2293</t>
  </si>
  <si>
    <t>SYN2294</t>
  </si>
  <si>
    <t>SYN2295</t>
  </si>
  <si>
    <t>SYN2296</t>
  </si>
  <si>
    <t>SYN2297</t>
  </si>
  <si>
    <t>SYN2298</t>
  </si>
  <si>
    <t>SYN2299</t>
  </si>
  <si>
    <t>SYN2300</t>
  </si>
  <si>
    <t>SYN2301</t>
  </si>
  <si>
    <t>SYN2302</t>
  </si>
  <si>
    <t>SYN2303</t>
  </si>
  <si>
    <t>SYN2304</t>
  </si>
  <si>
    <t>SYN2305</t>
  </si>
  <si>
    <t>SYN2306</t>
  </si>
  <si>
    <t>SYN2307</t>
  </si>
  <si>
    <t>SYN2308</t>
  </si>
  <si>
    <t>SYN2309</t>
  </si>
  <si>
    <t>SYN2310</t>
  </si>
  <si>
    <t>SYN2311</t>
  </si>
  <si>
    <t>SYN2312</t>
  </si>
  <si>
    <t>SYN2313</t>
  </si>
  <si>
    <t>SYN2314</t>
  </si>
  <si>
    <t>SYN2315</t>
  </si>
  <si>
    <t>SYN2316</t>
  </si>
  <si>
    <t>SYN2317</t>
  </si>
  <si>
    <t>SYN2318</t>
  </si>
  <si>
    <t>SYN2319</t>
  </si>
  <si>
    <t>SYN2320</t>
  </si>
  <si>
    <t>SYN2321</t>
  </si>
  <si>
    <t>SYN2322</t>
  </si>
  <si>
    <t>SYN2323</t>
  </si>
  <si>
    <t>SYN2324</t>
  </si>
  <si>
    <t>SYN2325</t>
  </si>
  <si>
    <t>SYN2326</t>
  </si>
  <si>
    <t>SYN2327</t>
  </si>
  <si>
    <t>SYN2328</t>
  </si>
  <si>
    <t>SYN2329</t>
  </si>
  <si>
    <t>SYN2330</t>
  </si>
  <si>
    <t>SYN2331</t>
  </si>
  <si>
    <t>SYN2332</t>
  </si>
  <si>
    <t>SYN2333</t>
  </si>
  <si>
    <t>SYN2334</t>
  </si>
  <si>
    <t>SYN2335</t>
  </si>
  <si>
    <t>SYN2336</t>
  </si>
  <si>
    <t>SYN2337</t>
  </si>
  <si>
    <t>SYN2338</t>
  </si>
  <si>
    <t>SYN2339</t>
  </si>
  <si>
    <t>SYN2340</t>
  </si>
  <si>
    <t>SYN2341</t>
  </si>
  <si>
    <t>SYN2342</t>
  </si>
  <si>
    <t>SYN2343</t>
  </si>
  <si>
    <t>SYN2344</t>
  </si>
  <si>
    <t>SYN2345</t>
  </si>
  <si>
    <t>SYN2346</t>
  </si>
  <si>
    <t>SYN2347</t>
  </si>
  <si>
    <t>SYN2348</t>
  </si>
  <si>
    <t>SYN2349</t>
  </si>
  <si>
    <t>SYN2350</t>
  </si>
  <si>
    <t>SYN2351</t>
  </si>
  <si>
    <t>SYN2352</t>
  </si>
  <si>
    <t>SYN2353</t>
  </si>
  <si>
    <t>SYN2354</t>
  </si>
  <si>
    <t>SYN2355</t>
  </si>
  <si>
    <t>SYN2356</t>
  </si>
  <si>
    <t>SYN2357</t>
  </si>
  <si>
    <t>SYN2358</t>
  </si>
  <si>
    <t>SYN2359</t>
  </si>
  <si>
    <t>SYN2360</t>
  </si>
  <si>
    <t>SYN2361</t>
  </si>
  <si>
    <t>SYN2362</t>
  </si>
  <si>
    <t>SYN2363</t>
  </si>
  <si>
    <t>SYN2364</t>
  </si>
  <si>
    <t>SYN2365</t>
  </si>
  <si>
    <t>SYN2366</t>
  </si>
  <si>
    <t>SYN2367</t>
  </si>
  <si>
    <t>SYN2368</t>
  </si>
  <si>
    <t>SYN2369</t>
  </si>
  <si>
    <t>SYN2370</t>
  </si>
  <si>
    <t>SYN2371</t>
  </si>
  <si>
    <t>SYN2372</t>
  </si>
  <si>
    <t>SYN2373</t>
  </si>
  <si>
    <t>SYN2374</t>
  </si>
  <si>
    <t>SYN2375</t>
  </si>
  <si>
    <t>SYN2376</t>
  </si>
  <si>
    <t>SYN2377</t>
  </si>
  <si>
    <t>SYN2378</t>
  </si>
  <si>
    <t>SYN2379</t>
  </si>
  <si>
    <t>SYN2380</t>
  </si>
  <si>
    <t>SYN2381</t>
  </si>
  <si>
    <t>SYN2382</t>
  </si>
  <si>
    <t>SYN2383</t>
  </si>
  <si>
    <t>SYN2384</t>
  </si>
  <si>
    <t>SYN2385</t>
  </si>
  <si>
    <t>SYN2386</t>
  </si>
  <si>
    <t>SYN2387</t>
  </si>
  <si>
    <t>SYN2388</t>
  </si>
  <si>
    <t>SYN2389</t>
  </si>
  <si>
    <t>SYN2390</t>
  </si>
  <si>
    <t>SYN2391</t>
  </si>
  <si>
    <t>SYN2392</t>
  </si>
  <si>
    <t>SYN2393</t>
  </si>
  <si>
    <t>SYN2394</t>
  </si>
  <si>
    <t>SYN2395</t>
  </si>
  <si>
    <t>SYN2396</t>
  </si>
  <si>
    <t>SYN2397</t>
  </si>
  <si>
    <t>SYN2398</t>
  </si>
  <si>
    <t>SYN2399</t>
  </si>
  <si>
    <t>SYN2400</t>
  </si>
  <si>
    <t>SYN2401</t>
  </si>
  <si>
    <t>SYN2402</t>
  </si>
  <si>
    <t>SYN2403</t>
  </si>
  <si>
    <t>SYN2404</t>
  </si>
  <si>
    <t>SYN2405</t>
  </si>
  <si>
    <t>SYN2406</t>
  </si>
  <si>
    <t>SYN2407</t>
  </si>
  <si>
    <t>SYN2408</t>
  </si>
  <si>
    <t>SYN2409</t>
  </si>
  <si>
    <t>SYN2410</t>
  </si>
  <si>
    <t>SYN2411</t>
  </si>
  <si>
    <t>SYN2412</t>
  </si>
  <si>
    <t>SYN2413</t>
  </si>
  <si>
    <t>SYN2414</t>
  </si>
  <si>
    <t>SYN2415</t>
  </si>
  <si>
    <t>SYN2416</t>
  </si>
  <si>
    <t>SYN2417</t>
  </si>
  <si>
    <t>SYN2418</t>
  </si>
  <si>
    <t>SYN2419</t>
  </si>
  <si>
    <t>SYN2420</t>
  </si>
  <si>
    <t>SYN2421</t>
  </si>
  <si>
    <t>SYN2422</t>
  </si>
  <si>
    <t>SYN2423</t>
  </si>
  <si>
    <t>SYN2424</t>
  </si>
  <si>
    <t>SYN2425</t>
  </si>
  <si>
    <t>SYN2426</t>
  </si>
  <si>
    <t>SYN2427</t>
  </si>
  <si>
    <t>SYN2428</t>
  </si>
  <si>
    <t>SYN2429</t>
  </si>
  <si>
    <t>SYN2430</t>
  </si>
  <si>
    <t>SYN2431</t>
  </si>
  <si>
    <t>SYN2432</t>
  </si>
  <si>
    <t>SYN2433</t>
  </si>
  <si>
    <t>SYN2434</t>
  </si>
  <si>
    <t>SYN2435</t>
  </si>
  <si>
    <t>SYN2436</t>
  </si>
  <si>
    <t>SYN2437</t>
  </si>
  <si>
    <t>SYN2438</t>
  </si>
  <si>
    <t>SYN2439</t>
  </si>
  <si>
    <t>SYN2440</t>
  </si>
  <si>
    <t>SYN2441</t>
  </si>
  <si>
    <t>SYN2442</t>
  </si>
  <si>
    <t>SYN2443</t>
  </si>
  <si>
    <t>SYN2444</t>
  </si>
  <si>
    <t>SYN2445</t>
  </si>
  <si>
    <t>SYN2446</t>
  </si>
  <si>
    <t>SYN2447</t>
  </si>
  <si>
    <t>SYN2448</t>
  </si>
  <si>
    <t>SYN2449</t>
  </si>
  <si>
    <t>SYN2450</t>
  </si>
  <si>
    <t>SYN2451</t>
  </si>
  <si>
    <t>SYN2452</t>
  </si>
  <si>
    <t>SYN2453</t>
  </si>
  <si>
    <t>SYN2454</t>
  </si>
  <si>
    <t>SYN2455</t>
  </si>
  <si>
    <t>SYN2456</t>
  </si>
  <si>
    <t>SYN2457</t>
  </si>
  <si>
    <t>SYN2458</t>
  </si>
  <si>
    <t>SYN2459</t>
  </si>
  <si>
    <t>SYN2460</t>
  </si>
  <si>
    <t>SYN2461</t>
  </si>
  <si>
    <t>SYN2462</t>
  </si>
  <si>
    <t>SYN2463</t>
  </si>
  <si>
    <t>SYN2464</t>
  </si>
  <si>
    <t>SYN2465</t>
  </si>
  <si>
    <t>SYN2466</t>
  </si>
  <si>
    <t>SYN2467</t>
  </si>
  <si>
    <t>SYN2468</t>
  </si>
  <si>
    <t>SYN2469</t>
  </si>
  <si>
    <t>SYN2470</t>
  </si>
  <si>
    <t>SYN2471</t>
  </si>
  <si>
    <t>SYN2472</t>
  </si>
  <si>
    <t>SYN2473</t>
  </si>
  <si>
    <t>SYN2474</t>
  </si>
  <si>
    <t>SYN2475</t>
  </si>
  <si>
    <t>SYN2476</t>
  </si>
  <si>
    <t>SYN2477</t>
  </si>
  <si>
    <t>SYN2478</t>
  </si>
  <si>
    <t>SYN2479</t>
  </si>
  <si>
    <t>SYN2480</t>
  </si>
  <si>
    <t>SYN2481</t>
  </si>
  <si>
    <t>SYN2482</t>
  </si>
  <si>
    <t>SYN2483</t>
  </si>
  <si>
    <t>SYN2484</t>
  </si>
  <si>
    <t>SYN2485</t>
  </si>
  <si>
    <t>SYN2486</t>
  </si>
  <si>
    <t>SYN2487</t>
  </si>
  <si>
    <t>SYN2488</t>
  </si>
  <si>
    <t>SYN2489</t>
  </si>
  <si>
    <t>SYN2490</t>
  </si>
  <si>
    <t>SYN2491</t>
  </si>
  <si>
    <t>SYN2492</t>
  </si>
  <si>
    <t>SYN2493</t>
  </si>
  <si>
    <t>SYN2494</t>
  </si>
  <si>
    <t>SYN2495</t>
  </si>
  <si>
    <t>SYN2496</t>
  </si>
  <si>
    <t>SYN2497</t>
  </si>
  <si>
    <t>SYN2498</t>
  </si>
  <si>
    <t>SYN2499</t>
  </si>
  <si>
    <t>SYN2500</t>
  </si>
  <si>
    <t>SYN2501</t>
  </si>
  <si>
    <t>SYN2502</t>
  </si>
  <si>
    <t>SYN2503</t>
  </si>
  <si>
    <t>SYN2504</t>
  </si>
  <si>
    <t>SYN2505</t>
  </si>
  <si>
    <t>SYN2506</t>
  </si>
  <si>
    <t>SYN2507</t>
  </si>
  <si>
    <t>SYN2508</t>
  </si>
  <si>
    <t>SYN2509</t>
  </si>
  <si>
    <t>SYN2510</t>
  </si>
  <si>
    <t>SYN2511</t>
  </si>
  <si>
    <t>SYN2512</t>
  </si>
  <si>
    <t>SYN2513</t>
  </si>
  <si>
    <t>SYN2514</t>
  </si>
  <si>
    <t>SYN2515</t>
  </si>
  <si>
    <t>SYN2516</t>
  </si>
  <si>
    <t>SYN2517</t>
  </si>
  <si>
    <t>SYN2518</t>
  </si>
  <si>
    <t>SYN2519</t>
  </si>
  <si>
    <t>SYN2520</t>
  </si>
  <si>
    <t>SYN2521</t>
  </si>
  <si>
    <t>SYN2522</t>
  </si>
  <si>
    <t>SYN2523</t>
  </si>
  <si>
    <t>SYN2524</t>
  </si>
  <si>
    <t>SYN2525</t>
  </si>
  <si>
    <t>SYN2526</t>
  </si>
  <si>
    <t>SYN2527</t>
  </si>
  <si>
    <t>SYN2528</t>
  </si>
  <si>
    <t>SYN2529</t>
  </si>
  <si>
    <t>SYN2530</t>
  </si>
  <si>
    <t>SYN2531</t>
  </si>
  <si>
    <t>SYN2532</t>
  </si>
  <si>
    <t>SYN2533</t>
  </si>
  <si>
    <t>SYN2534</t>
  </si>
  <si>
    <t>SYN2535</t>
  </si>
  <si>
    <t>SYN2536</t>
  </si>
  <si>
    <t>SYN2537</t>
  </si>
  <si>
    <t>SYN2538</t>
  </si>
  <si>
    <t>SYN2539</t>
  </si>
  <si>
    <t>SYN2540</t>
  </si>
  <si>
    <t>SYN2541</t>
  </si>
  <si>
    <t>SYN2542</t>
  </si>
  <si>
    <t>SYN2543</t>
  </si>
  <si>
    <t>SYN2544</t>
  </si>
  <si>
    <t>SYN2545</t>
  </si>
  <si>
    <t>SYN2546</t>
  </si>
  <si>
    <t>SYN2547</t>
  </si>
  <si>
    <t>SYN2548</t>
  </si>
  <si>
    <t>SYN2549</t>
  </si>
  <si>
    <t>SYN2550</t>
  </si>
  <si>
    <t>SYN2551</t>
  </si>
  <si>
    <t>SYN2552</t>
  </si>
  <si>
    <t>SYN2553</t>
  </si>
  <si>
    <t>SYN2554</t>
  </si>
  <si>
    <t>SYN2555</t>
  </si>
  <si>
    <t>SYN2556</t>
  </si>
  <si>
    <t>SYN2557</t>
  </si>
  <si>
    <t>SYN2558</t>
  </si>
  <si>
    <t>SYN2559</t>
  </si>
  <si>
    <t>SYN2560</t>
  </si>
  <si>
    <t>SYN2561</t>
  </si>
  <si>
    <t>SYN2562</t>
  </si>
  <si>
    <t>SYN2563</t>
  </si>
  <si>
    <t>SYN2564</t>
  </si>
  <si>
    <t>SYN2565</t>
  </si>
  <si>
    <t>SYN2566</t>
  </si>
  <si>
    <t>SYN2567</t>
  </si>
  <si>
    <t>SYN2568</t>
  </si>
  <si>
    <t>SYN2569</t>
  </si>
  <si>
    <t>SYN2570</t>
  </si>
  <si>
    <t>SYN2571</t>
  </si>
  <si>
    <t>SYN2572</t>
  </si>
  <si>
    <t>SYN2573</t>
  </si>
  <si>
    <t>SYN2574</t>
  </si>
  <si>
    <t>SYN2575</t>
  </si>
  <si>
    <t>SYN2576</t>
  </si>
  <si>
    <t>SYN2577</t>
  </si>
  <si>
    <t>SYN2578</t>
  </si>
  <si>
    <t>SYN2579</t>
  </si>
  <si>
    <t>SYN2580</t>
  </si>
  <si>
    <t>SYN2581</t>
  </si>
  <si>
    <t>SYN2582</t>
  </si>
  <si>
    <t>SYN2583</t>
  </si>
  <si>
    <t>SYN2584</t>
  </si>
  <si>
    <t>SYN2585</t>
  </si>
  <si>
    <t>SYN2586</t>
  </si>
  <si>
    <t>SYN2587</t>
  </si>
  <si>
    <t>SYN2588</t>
  </si>
  <si>
    <t>SYN2589</t>
  </si>
  <si>
    <t>SYN2590</t>
  </si>
  <si>
    <t>SYN2591</t>
  </si>
  <si>
    <t>SYN2592</t>
  </si>
  <si>
    <t>SYN2593</t>
  </si>
  <si>
    <t>SYN2594</t>
  </si>
  <si>
    <t>SYN2595</t>
  </si>
  <si>
    <t>SYN2596</t>
  </si>
  <si>
    <t>SYN2597</t>
  </si>
  <si>
    <t>SYN2598</t>
  </si>
  <si>
    <t>SYN2599</t>
  </si>
  <si>
    <t>SYN2600</t>
  </si>
  <si>
    <t>SYN2601</t>
  </si>
  <si>
    <t>SYN2602</t>
  </si>
  <si>
    <t>SYN2603</t>
  </si>
  <si>
    <t>SYN2604</t>
  </si>
  <si>
    <t>SYN2605</t>
  </si>
  <si>
    <t>SYN2606</t>
  </si>
  <si>
    <t>SYN2607</t>
  </si>
  <si>
    <t>SYN2608</t>
  </si>
  <si>
    <t>SYN2609</t>
  </si>
  <si>
    <t>SYN2610</t>
  </si>
  <si>
    <t>SYN2611</t>
  </si>
  <si>
    <t>SYN2612</t>
  </si>
  <si>
    <t>SYN2613</t>
  </si>
  <si>
    <t>SYN2614</t>
  </si>
  <si>
    <t>SYN2615</t>
  </si>
  <si>
    <t>SYN2616</t>
  </si>
  <si>
    <t>SYN2617</t>
  </si>
  <si>
    <t>SYN2618</t>
  </si>
  <si>
    <t>SYN2619</t>
  </si>
  <si>
    <t>SYN2620</t>
  </si>
  <si>
    <t>SYN2621</t>
  </si>
  <si>
    <t>SYN2622</t>
  </si>
  <si>
    <t>SYN2623</t>
  </si>
  <si>
    <t>SYN2624</t>
  </si>
  <si>
    <t>SYN2625</t>
  </si>
  <si>
    <t>SYN2626</t>
  </si>
  <si>
    <t>SYN2627</t>
  </si>
  <si>
    <t>SYN2628</t>
  </si>
  <si>
    <t>SYN2629</t>
  </si>
  <si>
    <t>SYN2630</t>
  </si>
  <si>
    <t>SYN2631</t>
  </si>
  <si>
    <t>SYN2632</t>
  </si>
  <si>
    <t>SYN2633</t>
  </si>
  <si>
    <t>SYN2634</t>
  </si>
  <si>
    <t>SYN2635</t>
  </si>
  <si>
    <t>SYN2636</t>
  </si>
  <si>
    <t>SYN2637</t>
  </si>
  <si>
    <t>SYN2638</t>
  </si>
  <si>
    <t>SYN2639</t>
  </si>
  <si>
    <t>SYN2640</t>
  </si>
  <si>
    <t>SYN2641</t>
  </si>
  <si>
    <t>SYN2642</t>
  </si>
  <si>
    <t>SYN2643</t>
  </si>
  <si>
    <t>SYN2644</t>
  </si>
  <si>
    <t>SYN2645</t>
  </si>
  <si>
    <t>SYN2646</t>
  </si>
  <si>
    <t>SYN2647</t>
  </si>
  <si>
    <t>SYN2648</t>
  </si>
  <si>
    <t>SYN2649</t>
  </si>
  <si>
    <t>SYN2650</t>
  </si>
  <si>
    <t>SYN2651</t>
  </si>
  <si>
    <t>SYN2652</t>
  </si>
  <si>
    <t>SYN2653</t>
  </si>
  <si>
    <t>SYN2654</t>
  </si>
  <si>
    <t>SYN2655</t>
  </si>
  <si>
    <t>SYN2656</t>
  </si>
  <si>
    <t>SYN2657</t>
  </si>
  <si>
    <t>SYN2658</t>
  </si>
  <si>
    <t>SYN2659</t>
  </si>
  <si>
    <t>SYN2660</t>
  </si>
  <si>
    <t>SYN2661</t>
  </si>
  <si>
    <t>SYN2662</t>
  </si>
  <si>
    <t>SYN2663</t>
  </si>
  <si>
    <t>SYN2664</t>
  </si>
  <si>
    <t>SYN2665</t>
  </si>
  <si>
    <t>SYN2666</t>
  </si>
  <si>
    <t>SYN2667</t>
  </si>
  <si>
    <t>SYN2668</t>
  </si>
  <si>
    <t>SYN2669</t>
  </si>
  <si>
    <t>SYN2670</t>
  </si>
  <si>
    <t>SYN2671</t>
  </si>
  <si>
    <t>SYN2672</t>
  </si>
  <si>
    <t>SYN2673</t>
  </si>
  <si>
    <t>SYN2674</t>
  </si>
  <si>
    <t>SYN2675</t>
  </si>
  <si>
    <t>SYN2676</t>
  </si>
  <si>
    <t>SYN2677</t>
  </si>
  <si>
    <t>SYN2678</t>
  </si>
  <si>
    <t>SYN2679</t>
  </si>
  <si>
    <t>SYN2680</t>
  </si>
  <si>
    <t>SYN2681</t>
  </si>
  <si>
    <t>SYN2682</t>
  </si>
  <si>
    <t>SYN2683</t>
  </si>
  <si>
    <t>SYN2684</t>
  </si>
  <si>
    <t>SYN2685</t>
  </si>
  <si>
    <t>SYN2686</t>
  </si>
  <si>
    <t>SYN2687</t>
  </si>
  <si>
    <t>SYN2688</t>
  </si>
  <si>
    <t>SYN2689</t>
  </si>
  <si>
    <t>SYN2690</t>
  </si>
  <si>
    <t>SYN2691</t>
  </si>
  <si>
    <t>SYN2692</t>
  </si>
  <si>
    <t>SYN2693</t>
  </si>
  <si>
    <t>SYN2694</t>
  </si>
  <si>
    <t>SYN2695</t>
  </si>
  <si>
    <t>SYN2696</t>
  </si>
  <si>
    <t>SYN2697</t>
  </si>
  <si>
    <t>SYN2698</t>
  </si>
  <si>
    <t>SYN2699</t>
  </si>
  <si>
    <t>SYN2700</t>
  </si>
  <si>
    <t>SYN2701</t>
  </si>
  <si>
    <t>SYN2702</t>
  </si>
  <si>
    <t>SYN2703</t>
  </si>
  <si>
    <t>SYN2704</t>
  </si>
  <si>
    <t>SYN2705</t>
  </si>
  <si>
    <t>SYN2706</t>
  </si>
  <si>
    <t>SYN2707</t>
  </si>
  <si>
    <t>SYN2708</t>
  </si>
  <si>
    <t>SYN2709</t>
  </si>
  <si>
    <t>SYN2710</t>
  </si>
  <si>
    <t>SYN2711</t>
  </si>
  <si>
    <t>SYN2712</t>
  </si>
  <si>
    <t>SYN2713</t>
  </si>
  <si>
    <t>SYN2714</t>
  </si>
  <si>
    <t>SYN2715</t>
  </si>
  <si>
    <t>SYN2716</t>
  </si>
  <si>
    <t>SYN2717</t>
  </si>
  <si>
    <t>SYN2718</t>
  </si>
  <si>
    <t>SYN2719</t>
  </si>
  <si>
    <t>SYN2720</t>
  </si>
  <si>
    <t>SYN2721</t>
  </si>
  <si>
    <t>SYN2722</t>
  </si>
  <si>
    <t>SYN2723</t>
  </si>
  <si>
    <t>SYN2724</t>
  </si>
  <si>
    <t>SYN2725</t>
  </si>
  <si>
    <t>SYN2726</t>
  </si>
  <si>
    <t>SYN2727</t>
  </si>
  <si>
    <t>SYN2728</t>
  </si>
  <si>
    <t>SYN2729</t>
  </si>
  <si>
    <t>SYN2730</t>
  </si>
  <si>
    <t>SYN2731</t>
  </si>
  <si>
    <t>SYN2732</t>
  </si>
  <si>
    <t>SYN2733</t>
  </si>
  <si>
    <t>SYN2734</t>
  </si>
  <si>
    <t>SYN2735</t>
  </si>
  <si>
    <t>SYN2736</t>
  </si>
  <si>
    <t>SYN2737</t>
  </si>
  <si>
    <t>SYN2738</t>
  </si>
  <si>
    <t>SYN2739</t>
  </si>
  <si>
    <t>SYN2740</t>
  </si>
  <si>
    <t>SYN2741</t>
  </si>
  <si>
    <t>SYN2742</t>
  </si>
  <si>
    <t>SYN2743</t>
  </si>
  <si>
    <t>SYN2744</t>
  </si>
  <si>
    <t>SYN2745</t>
  </si>
  <si>
    <t>SYN2746</t>
  </si>
  <si>
    <t>SYN2747</t>
  </si>
  <si>
    <t>SYN2748</t>
  </si>
  <si>
    <t>SYN2749</t>
  </si>
  <si>
    <t>SYN2750</t>
  </si>
  <si>
    <t>SYN2751</t>
  </si>
  <si>
    <t>SYN2752</t>
  </si>
  <si>
    <t>SYN2753</t>
  </si>
  <si>
    <t>SYN2754</t>
  </si>
  <si>
    <t>SYN2755</t>
  </si>
  <si>
    <t>SYN2756</t>
  </si>
  <si>
    <t>SYN2757</t>
  </si>
  <si>
    <t>SYN2758</t>
  </si>
  <si>
    <t>SYN2759</t>
  </si>
  <si>
    <t>SYN2760</t>
  </si>
  <si>
    <t>SYN2761</t>
  </si>
  <si>
    <t>SYN2762</t>
  </si>
  <si>
    <t>SYN2763</t>
  </si>
  <si>
    <t>SYN2764</t>
  </si>
  <si>
    <t>SYN2765</t>
  </si>
  <si>
    <t>SYN2766</t>
  </si>
  <si>
    <t>SYN2767</t>
  </si>
  <si>
    <t>SYN2768</t>
  </si>
  <si>
    <t>SYN2769</t>
  </si>
  <si>
    <t>SYN2770</t>
  </si>
  <si>
    <t>SYN2771</t>
  </si>
  <si>
    <t>SYN2772</t>
  </si>
  <si>
    <t>SYN2773</t>
  </si>
  <si>
    <t>SYN2774</t>
  </si>
  <si>
    <t>SYN2775</t>
  </si>
  <si>
    <t>SYN2776</t>
  </si>
  <si>
    <t>SYN2777</t>
  </si>
  <si>
    <t>SYN2778</t>
  </si>
  <si>
    <t>SYN2779</t>
  </si>
  <si>
    <t>SYN2780</t>
  </si>
  <si>
    <t>SYN2781</t>
  </si>
  <si>
    <t>SYN2782</t>
  </si>
  <si>
    <t>SYN2783</t>
  </si>
  <si>
    <t>SYN2784</t>
  </si>
  <si>
    <t>SYN2785</t>
  </si>
  <si>
    <t>SYN2786</t>
  </si>
  <si>
    <t>SYN2787</t>
  </si>
  <si>
    <t>SYN2788</t>
  </si>
  <si>
    <t>SYN2789</t>
  </si>
  <si>
    <t>SYN2790</t>
  </si>
  <si>
    <t>SYN2791</t>
  </si>
  <si>
    <t>SYN2792</t>
  </si>
  <si>
    <t>SYN2793</t>
  </si>
  <si>
    <t>SYN2794</t>
  </si>
  <si>
    <t>SYN2795</t>
  </si>
  <si>
    <t>SYN2796</t>
  </si>
  <si>
    <t>SYN2797</t>
  </si>
  <si>
    <t>SYN2798</t>
  </si>
  <si>
    <t>SYN2799</t>
  </si>
  <si>
    <t>SYN2800</t>
  </si>
  <si>
    <t>SYN2801</t>
  </si>
  <si>
    <t>SYN2802</t>
  </si>
  <si>
    <t>SYN2803</t>
  </si>
  <si>
    <t>SYN2804</t>
  </si>
  <si>
    <t>SYN2805</t>
  </si>
  <si>
    <t>SYN2806</t>
  </si>
  <si>
    <t>SYN2807</t>
  </si>
  <si>
    <t>SYN2808</t>
  </si>
  <si>
    <t>SYN2809</t>
  </si>
  <si>
    <t>SYN2810</t>
  </si>
  <si>
    <t>SYN2811</t>
  </si>
  <si>
    <t>SYN2812</t>
  </si>
  <si>
    <t>SYN2813</t>
  </si>
  <si>
    <t>SYN2814</t>
  </si>
  <si>
    <t>SYN2815</t>
  </si>
  <si>
    <t>SYN2816</t>
  </si>
  <si>
    <t>SYN2817</t>
  </si>
  <si>
    <t>SYN2818</t>
  </si>
  <si>
    <t>SYN2819</t>
  </si>
  <si>
    <t>SYN2820</t>
  </si>
  <si>
    <t>SYN2821</t>
  </si>
  <si>
    <t>SYN2822</t>
  </si>
  <si>
    <t>SYN2823</t>
  </si>
  <si>
    <t>SYN2824</t>
  </si>
  <si>
    <t>SYN2825</t>
  </si>
  <si>
    <t>SYN2826</t>
  </si>
  <si>
    <t>SYN2827</t>
  </si>
  <si>
    <t>SYN2828</t>
  </si>
  <si>
    <t>SYN2829</t>
  </si>
  <si>
    <t>SYN2830</t>
  </si>
  <si>
    <t>SYN2831</t>
  </si>
  <si>
    <t>SYN2832</t>
  </si>
  <si>
    <t>SYN2833</t>
  </si>
  <si>
    <t>SYN2834</t>
  </si>
  <si>
    <t>SYN2835</t>
  </si>
  <si>
    <t>SYN2836</t>
  </si>
  <si>
    <t>SYN2837</t>
  </si>
  <si>
    <t>SYN2838</t>
  </si>
  <si>
    <t>SYN2839</t>
  </si>
  <si>
    <t>SYN2840</t>
  </si>
  <si>
    <t>SYN2841</t>
  </si>
  <si>
    <t>SYN2842</t>
  </si>
  <si>
    <t>SYN2843</t>
  </si>
  <si>
    <t>SYN2844</t>
  </si>
  <si>
    <t>SYN2845</t>
  </si>
  <si>
    <t>SYN2846</t>
  </si>
  <si>
    <t>SYN2847</t>
  </si>
  <si>
    <t>SYN2848</t>
  </si>
  <si>
    <t>SYN2849</t>
  </si>
  <si>
    <t>SYN2850</t>
  </si>
  <si>
    <t>SYN2851</t>
  </si>
  <si>
    <t>SYN2852</t>
  </si>
  <si>
    <t>SYN2853</t>
  </si>
  <si>
    <t>SYN2854</t>
  </si>
  <si>
    <t>SYN2855</t>
  </si>
  <si>
    <t>SYN2856</t>
  </si>
  <si>
    <t>SYN2857</t>
  </si>
  <si>
    <t>SYN2858</t>
  </si>
  <si>
    <t>SYN2859</t>
  </si>
  <si>
    <t>SYN2860</t>
  </si>
  <si>
    <t>SYN2861</t>
  </si>
  <si>
    <t>SYN2862</t>
  </si>
  <si>
    <t>SYN2863</t>
  </si>
  <si>
    <t>SYN2864</t>
  </si>
  <si>
    <t>SYN2865</t>
  </si>
  <si>
    <t>SYN2866</t>
  </si>
  <si>
    <t>SYN2867</t>
  </si>
  <si>
    <t>SYN2868</t>
  </si>
  <si>
    <t>SYN2869</t>
  </si>
  <si>
    <t>SYN2870</t>
  </si>
  <si>
    <t>SYN2871</t>
  </si>
  <si>
    <t>SYN2872</t>
  </si>
  <si>
    <t>SYN2873</t>
  </si>
  <si>
    <t>SYN2874</t>
  </si>
  <si>
    <t>SYN2875</t>
  </si>
  <si>
    <t>SYN2876</t>
  </si>
  <si>
    <t>SYN2877</t>
  </si>
  <si>
    <t>SYN2878</t>
  </si>
  <si>
    <t>SYN2879</t>
  </si>
  <si>
    <t>SYN2880</t>
  </si>
  <si>
    <t>SYN2881</t>
  </si>
  <si>
    <t>SYN2882</t>
  </si>
  <si>
    <t>SYN2883</t>
  </si>
  <si>
    <t>SYN2884</t>
  </si>
  <si>
    <t>SYN2885</t>
  </si>
  <si>
    <t>SYN2886</t>
  </si>
  <si>
    <t>SYN2887</t>
  </si>
  <si>
    <t>SYN2888</t>
  </si>
  <si>
    <t>SYN2889</t>
  </si>
  <si>
    <t>SYN2890</t>
  </si>
  <si>
    <t>SYN2891</t>
  </si>
  <si>
    <t>SYN2892</t>
  </si>
  <si>
    <t>SYN2893</t>
  </si>
  <si>
    <t>SYN2894</t>
  </si>
  <si>
    <t>SYN2895</t>
  </si>
  <si>
    <t>SYN2896</t>
  </si>
  <si>
    <t>SYN2897</t>
  </si>
  <si>
    <t>SYN2898</t>
  </si>
  <si>
    <t>SYN2899</t>
  </si>
  <si>
    <t>SYN2900</t>
  </si>
  <si>
    <t>SYN2901</t>
  </si>
  <si>
    <t>SYN2902</t>
  </si>
  <si>
    <t>SYN2903</t>
  </si>
  <si>
    <t>SYN2904</t>
  </si>
  <si>
    <t>SYN2905</t>
  </si>
  <si>
    <t>SYN2906</t>
  </si>
  <si>
    <t>SYN2907</t>
  </si>
  <si>
    <t>SYN2908</t>
  </si>
  <si>
    <t>SYN2909</t>
  </si>
  <si>
    <t>SYN2910</t>
  </si>
  <si>
    <t>SYN2911</t>
  </si>
  <si>
    <t>SYN2912</t>
  </si>
  <si>
    <t>SYN2913</t>
  </si>
  <si>
    <t>SYN2914</t>
  </si>
  <si>
    <t>SYN2915</t>
  </si>
  <si>
    <t>SYN2916</t>
  </si>
  <si>
    <t>SYN2917</t>
  </si>
  <si>
    <t>SYN2918</t>
  </si>
  <si>
    <t>SYN2919</t>
  </si>
  <si>
    <t>SYN2920</t>
  </si>
  <si>
    <t>SYN2921</t>
  </si>
  <si>
    <t>SYN2922</t>
  </si>
  <si>
    <t>SYN2923</t>
  </si>
  <si>
    <t>SYN2924</t>
  </si>
  <si>
    <t>SYN2925</t>
  </si>
  <si>
    <t>SYN2926</t>
  </si>
  <si>
    <t>SYN2927</t>
  </si>
  <si>
    <t>SYN2928</t>
  </si>
  <si>
    <t>SYN2929</t>
  </si>
  <si>
    <t>SYN2930</t>
  </si>
  <si>
    <t>SYN2931</t>
  </si>
  <si>
    <t>SYN2932</t>
  </si>
  <si>
    <t>SYN2933</t>
  </si>
  <si>
    <t>SYN2934</t>
  </si>
  <si>
    <t>SYN2935</t>
  </si>
  <si>
    <t>SYN2936</t>
  </si>
  <si>
    <t>SYN2937</t>
  </si>
  <si>
    <t>SYN2938</t>
  </si>
  <si>
    <t>SYN2939</t>
  </si>
  <si>
    <t>SYN2940</t>
  </si>
  <si>
    <t>SYN2941</t>
  </si>
  <si>
    <t>SYN2942</t>
  </si>
  <si>
    <t>SYN2943</t>
  </si>
  <si>
    <t>SYN2944</t>
  </si>
  <si>
    <t>SYN2945</t>
  </si>
  <si>
    <t>SYN2946</t>
  </si>
  <si>
    <t>SYN2947</t>
  </si>
  <si>
    <t>SYN2948</t>
  </si>
  <si>
    <t>SYN2949</t>
  </si>
  <si>
    <t>SYN2950</t>
  </si>
  <si>
    <t>SYN2951</t>
  </si>
  <si>
    <t>SYN2952</t>
  </si>
  <si>
    <t>SYN2953</t>
  </si>
  <si>
    <t>SYN2954</t>
  </si>
  <si>
    <t>SYN2955</t>
  </si>
  <si>
    <t>SYN2956</t>
  </si>
  <si>
    <t>SYN2957</t>
  </si>
  <si>
    <t>SYN2958</t>
  </si>
  <si>
    <t>SYN2959</t>
  </si>
  <si>
    <t>SYN2960</t>
  </si>
  <si>
    <t>SYN2961</t>
  </si>
  <si>
    <t>SYN2962</t>
  </si>
  <si>
    <t>SYN2963</t>
  </si>
  <si>
    <t>SYN2964</t>
  </si>
  <si>
    <t>SYN2965</t>
  </si>
  <si>
    <t>SYN2966</t>
  </si>
  <si>
    <t>SYN2967</t>
  </si>
  <si>
    <t>SYN2968</t>
  </si>
  <si>
    <t>SYN2969</t>
  </si>
  <si>
    <t>SYN2970</t>
  </si>
  <si>
    <t>SYN2971</t>
  </si>
  <si>
    <t>SYN2972</t>
  </si>
  <si>
    <t>SYN2973</t>
  </si>
  <si>
    <t>SYN2974</t>
  </si>
  <si>
    <t>SYN2975</t>
  </si>
  <si>
    <t>SYN2976</t>
  </si>
  <si>
    <t>SYN2977</t>
  </si>
  <si>
    <t>SYN2978</t>
  </si>
  <si>
    <t>SYN2979</t>
  </si>
  <si>
    <t>SYN2980</t>
  </si>
  <si>
    <t>SYN2981</t>
  </si>
  <si>
    <t>SYN2982</t>
  </si>
  <si>
    <t>SYN2983</t>
  </si>
  <si>
    <t>SYN2984</t>
  </si>
  <si>
    <t>SYN2985</t>
  </si>
  <si>
    <t>SYN2986</t>
  </si>
  <si>
    <t>SYN2987</t>
  </si>
  <si>
    <t>SYN2988</t>
  </si>
  <si>
    <t>SYN2989</t>
  </si>
  <si>
    <t>SYN2990</t>
  </si>
  <si>
    <t>SYN2991</t>
  </si>
  <si>
    <t>SYN2992</t>
  </si>
  <si>
    <t>SYN2993</t>
  </si>
  <si>
    <t>SYN2994</t>
  </si>
  <si>
    <t>SYN2995</t>
  </si>
  <si>
    <t>SYN2996</t>
  </si>
  <si>
    <t>SYN2997</t>
  </si>
  <si>
    <t>SYN2998</t>
  </si>
  <si>
    <t>SYN2999</t>
  </si>
  <si>
    <t>SYN3000</t>
  </si>
  <si>
    <t>SYN3001</t>
  </si>
  <si>
    <t>SYN3002</t>
  </si>
  <si>
    <t>SYN3003</t>
  </si>
  <si>
    <t>SYN3004</t>
  </si>
  <si>
    <t>SYN3005</t>
  </si>
  <si>
    <t>SYN3006</t>
  </si>
  <si>
    <t>SYN3007</t>
  </si>
  <si>
    <t>SYN3008</t>
  </si>
  <si>
    <t>SYN3009</t>
  </si>
  <si>
    <t>SYN3010</t>
  </si>
  <si>
    <t>SYN3011</t>
  </si>
  <si>
    <t>SYN3012</t>
  </si>
  <si>
    <t>SYN3013</t>
  </si>
  <si>
    <t>SYN3014</t>
  </si>
  <si>
    <t>SYN3015</t>
  </si>
  <si>
    <t>SYN3016</t>
  </si>
  <si>
    <t>SYN3017</t>
  </si>
  <si>
    <t>SYN3018</t>
  </si>
  <si>
    <t>SYN3019</t>
  </si>
  <si>
    <t>SYN3020</t>
  </si>
  <si>
    <t>SYN3021</t>
  </si>
  <si>
    <t>SYN3022</t>
  </si>
  <si>
    <t>SYN3023</t>
  </si>
  <si>
    <t>SYN3024</t>
  </si>
  <si>
    <t>SYN3025</t>
  </si>
  <si>
    <t>SYN3026</t>
  </si>
  <si>
    <t>SYN3027</t>
  </si>
  <si>
    <t>SYN3028</t>
  </si>
  <si>
    <t>SYN3029</t>
  </si>
  <si>
    <t>SYN3030</t>
  </si>
  <si>
    <t>SYN3031</t>
  </si>
  <si>
    <t>SYN3032</t>
  </si>
  <si>
    <t>SYN3033</t>
  </si>
  <si>
    <t>SYN3034</t>
  </si>
  <si>
    <t>SYN3035</t>
  </si>
  <si>
    <t>SYN3036</t>
  </si>
  <si>
    <t>SYN3037</t>
  </si>
  <si>
    <t>SYN3038</t>
  </si>
  <si>
    <t>SYN3039</t>
  </si>
  <si>
    <t>SYN3040</t>
  </si>
  <si>
    <t>SYN3041</t>
  </si>
  <si>
    <t>SYN3042</t>
  </si>
  <si>
    <t>SYN3043</t>
  </si>
  <si>
    <t>SYN3044</t>
  </si>
  <si>
    <t>SYN3045</t>
  </si>
  <si>
    <t>SYN3046</t>
  </si>
  <si>
    <t>SYN3047</t>
  </si>
  <si>
    <t>SYN3048</t>
  </si>
  <si>
    <t>SYN3049</t>
  </si>
  <si>
    <t>SYN3050</t>
  </si>
  <si>
    <t>SYN3051</t>
  </si>
  <si>
    <t>SYN3052</t>
  </si>
  <si>
    <t>SYN3053</t>
  </si>
  <si>
    <t>SYN3054</t>
  </si>
  <si>
    <t>SYN3055</t>
  </si>
  <si>
    <t>SYN3056</t>
  </si>
  <si>
    <t>SYN3057</t>
  </si>
  <si>
    <t>SYN3058</t>
  </si>
  <si>
    <t>SYN3059</t>
  </si>
  <si>
    <t>SYN3060</t>
  </si>
  <si>
    <t>SYN3061</t>
  </si>
  <si>
    <t>SYN3062</t>
  </si>
  <si>
    <t>SYN3063</t>
  </si>
  <si>
    <t>SYN3064</t>
  </si>
  <si>
    <t>SYN3065</t>
  </si>
  <si>
    <t>SYN3066</t>
  </si>
  <si>
    <t>SYN3067</t>
  </si>
  <si>
    <t>SYN3068</t>
  </si>
  <si>
    <t>SYN3069</t>
  </si>
  <si>
    <t>SYN3070</t>
  </si>
  <si>
    <t>SYN3071</t>
  </si>
  <si>
    <t>SYN3072</t>
  </si>
  <si>
    <t>SYN3073</t>
  </si>
  <si>
    <t>SYN3074</t>
  </si>
  <si>
    <t>SYN3075</t>
  </si>
  <si>
    <t>SYN3076</t>
  </si>
  <si>
    <t>SYN3077</t>
  </si>
  <si>
    <t>SYN3078</t>
  </si>
  <si>
    <t>SYN3079</t>
  </si>
  <si>
    <t>SYN3080</t>
  </si>
  <si>
    <t>SYN3081</t>
  </si>
  <si>
    <t>SYN3082</t>
  </si>
  <si>
    <t>SYN3083</t>
  </si>
  <si>
    <t>SYN3084</t>
  </si>
  <si>
    <t>SYN3085</t>
  </si>
  <si>
    <t>SYN3086</t>
  </si>
  <si>
    <t>SYN3087</t>
  </si>
  <si>
    <t>SYN3088</t>
  </si>
  <si>
    <t>SYN3089</t>
  </si>
  <si>
    <t>SYN3090</t>
  </si>
  <si>
    <t>SYN3091</t>
  </si>
  <si>
    <t>SYN3092</t>
  </si>
  <si>
    <t>SYN3093</t>
  </si>
  <si>
    <t>SYN3094</t>
  </si>
  <si>
    <t>SYN3095</t>
  </si>
  <si>
    <t>SYN3096</t>
  </si>
  <si>
    <t>SYN3097</t>
  </si>
  <si>
    <t>SYN3098</t>
  </si>
  <si>
    <t>SYN3099</t>
  </si>
  <si>
    <t>SYN3100</t>
  </si>
  <si>
    <t>SYN3101</t>
  </si>
  <si>
    <t>SYN3102</t>
  </si>
  <si>
    <t>SYN3103</t>
  </si>
  <si>
    <t>SYN3104</t>
  </si>
  <si>
    <t>SYN3105</t>
  </si>
  <si>
    <t>SYN3106</t>
  </si>
  <si>
    <t>SYN3107</t>
  </si>
  <si>
    <t>SYN3108</t>
  </si>
  <si>
    <t>SYN3109</t>
  </si>
  <si>
    <t>SYN3110</t>
  </si>
  <si>
    <t>SYN3111</t>
  </si>
  <si>
    <t>SYN3112</t>
  </si>
  <si>
    <t>SYN3113</t>
  </si>
  <si>
    <t>SYN3114</t>
  </si>
  <si>
    <t>SYN3115</t>
  </si>
  <si>
    <t>SYN3116</t>
  </si>
  <si>
    <t>SYN3117</t>
  </si>
  <si>
    <t>SYN3118</t>
  </si>
  <si>
    <t>SYN3119</t>
  </si>
  <si>
    <t>SYN3120</t>
  </si>
  <si>
    <t>SYN3121</t>
  </si>
  <si>
    <t>SYN3122</t>
  </si>
  <si>
    <t>SYN3123</t>
  </si>
  <si>
    <t>SYN3124</t>
  </si>
  <si>
    <t>SYN3125</t>
  </si>
  <si>
    <t>SYN3126</t>
  </si>
  <si>
    <t>SYN3127</t>
  </si>
  <si>
    <t>SYN3128</t>
  </si>
  <si>
    <t>SYN3129</t>
  </si>
  <si>
    <t>SYN3130</t>
  </si>
  <si>
    <t>SYN3131</t>
  </si>
  <si>
    <t>SYN3132</t>
  </si>
  <si>
    <t>SYN3133</t>
  </si>
  <si>
    <t>SYN3134</t>
  </si>
  <si>
    <t>SYN3135</t>
  </si>
  <si>
    <t>SYN3136</t>
  </si>
  <si>
    <t>SYN3137</t>
  </si>
  <si>
    <t>SYN3138</t>
  </si>
  <si>
    <t>SYN3139</t>
  </si>
  <si>
    <t>SYN3140</t>
  </si>
  <si>
    <t>SYN3141</t>
  </si>
  <si>
    <t>SYN3142</t>
  </si>
  <si>
    <t>SYN3143</t>
  </si>
  <si>
    <t>SYN3144</t>
  </si>
  <si>
    <t>SYN3145</t>
  </si>
  <si>
    <t>SYN3146</t>
  </si>
  <si>
    <t>SYN3147</t>
  </si>
  <si>
    <t>SYN3148</t>
  </si>
  <si>
    <t>SYN3149</t>
  </si>
  <si>
    <t>SYN3150</t>
  </si>
  <si>
    <t>SYN3151</t>
  </si>
  <si>
    <t>SYN3152</t>
  </si>
  <si>
    <t>SYN3153</t>
  </si>
  <si>
    <t>SYN3154</t>
  </si>
  <si>
    <t>SYN3155</t>
  </si>
  <si>
    <t>SYN3156</t>
  </si>
  <si>
    <t>SYN3157</t>
  </si>
  <si>
    <t>SYN3158</t>
  </si>
  <si>
    <t>SYN3159</t>
  </si>
  <si>
    <t>SYN3160</t>
  </si>
  <si>
    <t>SYN3161</t>
  </si>
  <si>
    <t>SYN3162</t>
  </si>
  <si>
    <t>SYN3163</t>
  </si>
  <si>
    <t>SYN3164</t>
  </si>
  <si>
    <t>SYN3165</t>
  </si>
  <si>
    <t>SYN3166</t>
  </si>
  <si>
    <t>SYN3167</t>
  </si>
  <si>
    <t>SYN3168</t>
  </si>
  <si>
    <t>SYN3169</t>
  </si>
  <si>
    <t>SYN3170</t>
  </si>
  <si>
    <t>SYN3171</t>
  </si>
  <si>
    <t>SYN3172</t>
  </si>
  <si>
    <t>SYN3173</t>
  </si>
  <si>
    <t>SYN3174</t>
  </si>
  <si>
    <t>SYN3175</t>
  </si>
  <si>
    <t>SYN3176</t>
  </si>
  <si>
    <t>SYN3177</t>
  </si>
  <si>
    <t>SYN3178</t>
  </si>
  <si>
    <t>SYN3179</t>
  </si>
  <si>
    <t>SYN3180</t>
  </si>
  <si>
    <t>SYN3181</t>
  </si>
  <si>
    <t>SYN3182</t>
  </si>
  <si>
    <t>SYN3183</t>
  </si>
  <si>
    <t>SYN3184</t>
  </si>
  <si>
    <t>SYN3185</t>
  </si>
  <si>
    <t>SYN3186</t>
  </si>
  <si>
    <t>SYN3187</t>
  </si>
  <si>
    <t>SYN3188</t>
  </si>
  <si>
    <t>SYN3189</t>
  </si>
  <si>
    <t>SYN3190</t>
  </si>
  <si>
    <t>SYN3191</t>
  </si>
  <si>
    <t>SYN3192</t>
  </si>
  <si>
    <t>SYN3193</t>
  </si>
  <si>
    <t>SYN3194</t>
  </si>
  <si>
    <t>SYN3195</t>
  </si>
  <si>
    <t>SYN3196</t>
  </si>
  <si>
    <t>SYN3197</t>
  </si>
  <si>
    <t>SYN3198</t>
  </si>
  <si>
    <t>SYN3199</t>
  </si>
  <si>
    <t>SYN3200</t>
  </si>
  <si>
    <t>SYN3201</t>
  </si>
  <si>
    <t>SYN3202</t>
  </si>
  <si>
    <t>SYN3203</t>
  </si>
  <si>
    <t>SYN3204</t>
  </si>
  <si>
    <t>SYN3205</t>
  </si>
  <si>
    <t>SYN3206</t>
  </si>
  <si>
    <t>SYN3207</t>
  </si>
  <si>
    <t>SYN3208</t>
  </si>
  <si>
    <t>SYN3209</t>
  </si>
  <si>
    <t>SYN3210</t>
  </si>
  <si>
    <t>SYN3211</t>
  </si>
  <si>
    <t>SYN3212</t>
  </si>
  <si>
    <t>SYN3213</t>
  </si>
  <si>
    <t>SYN3214</t>
  </si>
  <si>
    <t>SYN3215</t>
  </si>
  <si>
    <t>SYN3216</t>
  </si>
  <si>
    <t>SYN3217</t>
  </si>
  <si>
    <t>SYN3218</t>
  </si>
  <si>
    <t>SYN3219</t>
  </si>
  <si>
    <t>SYN3220</t>
  </si>
  <si>
    <t>SYN3221</t>
  </si>
  <si>
    <t>SYN3222</t>
  </si>
  <si>
    <t>SYN3223</t>
  </si>
  <si>
    <t>SYN3224</t>
  </si>
  <si>
    <t>SYN3225</t>
  </si>
  <si>
    <t>SYN3226</t>
  </si>
  <si>
    <t>SYN3227</t>
  </si>
  <si>
    <t>SYN3228</t>
  </si>
  <si>
    <t>SYN3229</t>
  </si>
  <si>
    <t>SYN3230</t>
  </si>
  <si>
    <t>SYN3231</t>
  </si>
  <si>
    <t>SYN3232</t>
  </si>
  <si>
    <t>SYN3233</t>
  </si>
  <si>
    <t>SYN3234</t>
  </si>
  <si>
    <t>SYN3235</t>
  </si>
  <si>
    <t>SYN3236</t>
  </si>
  <si>
    <t>SYN3237</t>
  </si>
  <si>
    <t>SYN3238</t>
  </si>
  <si>
    <t>SYN3239</t>
  </si>
  <si>
    <t>SYN3240</t>
  </si>
  <si>
    <t>SYN3241</t>
  </si>
  <si>
    <t>SYN3242</t>
  </si>
  <si>
    <t>SYN3243</t>
  </si>
  <si>
    <t>SYN3244</t>
  </si>
  <si>
    <t>SYN3245</t>
  </si>
  <si>
    <t>SYN3246</t>
  </si>
  <si>
    <t>SYN3247</t>
  </si>
  <si>
    <t>SYN3248</t>
  </si>
  <si>
    <t>SYN3249</t>
  </si>
  <si>
    <t>SYN3250</t>
  </si>
  <si>
    <t>SYN3251</t>
  </si>
  <si>
    <t>SYN3252</t>
  </si>
  <si>
    <t>SYN3253</t>
  </si>
  <si>
    <t>SYN3254</t>
  </si>
  <si>
    <t>SYN3255</t>
  </si>
  <si>
    <t>SYN3256</t>
  </si>
  <si>
    <t>SYN3257</t>
  </si>
  <si>
    <t>SYN3258</t>
  </si>
  <si>
    <t>SYN3259</t>
  </si>
  <si>
    <t>SYN3260</t>
  </si>
  <si>
    <t>SYN3261</t>
  </si>
  <si>
    <t>SYN3262</t>
  </si>
  <si>
    <t>SYN3263</t>
  </si>
  <si>
    <t>SYN3264</t>
  </si>
  <si>
    <t>SYN3265</t>
  </si>
  <si>
    <t>SYN3266</t>
  </si>
  <si>
    <t>SYN3267</t>
  </si>
  <si>
    <t>SYN3268</t>
  </si>
  <si>
    <t>SYN3269</t>
  </si>
  <si>
    <t>SYN3270</t>
  </si>
  <si>
    <t>SYN3271</t>
  </si>
  <si>
    <t>SYN3272</t>
  </si>
  <si>
    <t>SYN3273</t>
  </si>
  <si>
    <t>SYN3274</t>
  </si>
  <si>
    <t>SYN3275</t>
  </si>
  <si>
    <t>SYN3276</t>
  </si>
  <si>
    <t>SYN3277</t>
  </si>
  <si>
    <t>SYN3278</t>
  </si>
  <si>
    <t>SYN3279</t>
  </si>
  <si>
    <t>SYN3280</t>
  </si>
  <si>
    <t>SYN3281</t>
  </si>
  <si>
    <t>SYN3282</t>
  </si>
  <si>
    <t>SYN3283</t>
  </si>
  <si>
    <t>SYN3284</t>
  </si>
  <si>
    <t>SYN3285</t>
  </si>
  <si>
    <t>SYN3286</t>
  </si>
  <si>
    <t>SYN3287</t>
  </si>
  <si>
    <t>SYN3288</t>
  </si>
  <si>
    <t>SYN3289</t>
  </si>
  <si>
    <t>SYN3290</t>
  </si>
  <si>
    <t>SYN3291</t>
  </si>
  <si>
    <t>SYN3292</t>
  </si>
  <si>
    <t>SYN3293</t>
  </si>
  <si>
    <t>SYN3294</t>
  </si>
  <si>
    <t>SYN3295</t>
  </si>
  <si>
    <t>SYN3296</t>
  </si>
  <si>
    <t>SYN3297</t>
  </si>
  <si>
    <t>SYN3298</t>
  </si>
  <si>
    <t>SYN3299</t>
  </si>
  <si>
    <t>SYN3300</t>
  </si>
  <si>
    <t>SYN3301</t>
  </si>
  <si>
    <t>SYN3302</t>
  </si>
  <si>
    <t>SYN3303</t>
  </si>
  <si>
    <t>SYN3304</t>
  </si>
  <si>
    <t>SYN3305</t>
  </si>
  <si>
    <t>SYN3306</t>
  </si>
  <si>
    <t>SYN3307</t>
  </si>
  <si>
    <t>SYN3308</t>
  </si>
  <si>
    <t>SYN3309</t>
  </si>
  <si>
    <t>SYN3310</t>
  </si>
  <si>
    <t>SYN3311</t>
  </si>
  <si>
    <t>SYN3312</t>
  </si>
  <si>
    <t>SYN3313</t>
  </si>
  <si>
    <t>SYN3314</t>
  </si>
  <si>
    <t>SYN3315</t>
  </si>
  <si>
    <t>SYN3316</t>
  </si>
  <si>
    <t>SYN3317</t>
  </si>
  <si>
    <t>SYN3318</t>
  </si>
  <si>
    <t>SYN3319</t>
  </si>
  <si>
    <t>SYN3320</t>
  </si>
  <si>
    <t>SYN3321</t>
  </si>
  <si>
    <t>SYN3322</t>
  </si>
  <si>
    <t>SYN3323</t>
  </si>
  <si>
    <t>SYN3324</t>
  </si>
  <si>
    <t>SYN3325</t>
  </si>
  <si>
    <t>SYN3326</t>
  </si>
  <si>
    <t>SYN3327</t>
  </si>
  <si>
    <t>SYN3328</t>
  </si>
  <si>
    <t>SYN3329</t>
  </si>
  <si>
    <t>SYN3330</t>
  </si>
  <si>
    <t>SYN3331</t>
  </si>
  <si>
    <t>SYN3332</t>
  </si>
  <si>
    <t>SYN3333</t>
  </si>
  <si>
    <t>SYN3334</t>
  </si>
  <si>
    <t>SYN3335</t>
  </si>
  <si>
    <t>SYN3336</t>
  </si>
  <si>
    <t>SYN3337</t>
  </si>
  <si>
    <t>SYN3338</t>
  </si>
  <si>
    <t>SYN3339</t>
  </si>
  <si>
    <t>SYN3340</t>
  </si>
  <si>
    <t>SYN3341</t>
  </si>
  <si>
    <t>SYN3342</t>
  </si>
  <si>
    <t>SYN3343</t>
  </si>
  <si>
    <t>SYN3344</t>
  </si>
  <si>
    <t>SYN3345</t>
  </si>
  <si>
    <t>SYN3346</t>
  </si>
  <si>
    <t>SYN3347</t>
  </si>
  <si>
    <t>SYN3348</t>
  </si>
  <si>
    <t>SYN3349</t>
  </si>
  <si>
    <t>SYN3350</t>
  </si>
  <si>
    <t>SYN3351</t>
  </si>
  <si>
    <t>SYN3352</t>
  </si>
  <si>
    <t>SYN3353</t>
  </si>
  <si>
    <t>SYN3354</t>
  </si>
  <si>
    <t>SYN3355</t>
  </si>
  <si>
    <t>SYN3356</t>
  </si>
  <si>
    <t>SYN3357</t>
  </si>
  <si>
    <t>SYN3358</t>
  </si>
  <si>
    <t>SYN3359</t>
  </si>
  <si>
    <t>SYN3360</t>
  </si>
  <si>
    <t>SYN3361</t>
  </si>
  <si>
    <t>SYN3362</t>
  </si>
  <si>
    <t>SYN3363</t>
  </si>
  <si>
    <t>SYN3364</t>
  </si>
  <si>
    <t>SYN3365</t>
  </si>
  <si>
    <t>SYN3366</t>
  </si>
  <si>
    <t>SYN3367</t>
  </si>
  <si>
    <t>SYN3368</t>
  </si>
  <si>
    <t>SYN3369</t>
  </si>
  <si>
    <t>SYN3370</t>
  </si>
  <si>
    <t>SYN3371</t>
  </si>
  <si>
    <t>SYN3372</t>
  </si>
  <si>
    <t>SYN3373</t>
  </si>
  <si>
    <t>SYN3374</t>
  </si>
  <si>
    <t>SYN3375</t>
  </si>
  <si>
    <t>SYN3376</t>
  </si>
  <si>
    <t>SYN3377</t>
  </si>
  <si>
    <t>SYN3378</t>
  </si>
  <si>
    <t>SYN3379</t>
  </si>
  <si>
    <t>SYN3380</t>
  </si>
  <si>
    <t>SYN3381</t>
  </si>
  <si>
    <t>SYN3382</t>
  </si>
  <si>
    <t>SYN3383</t>
  </si>
  <si>
    <t>SYN3384</t>
  </si>
  <si>
    <t>SYN3385</t>
  </si>
  <si>
    <t>SYN3386</t>
  </si>
  <si>
    <t>SYN3387</t>
  </si>
  <si>
    <t>SYN3388</t>
  </si>
  <si>
    <t>SYN3389</t>
  </si>
  <si>
    <t>SYN3390</t>
  </si>
  <si>
    <t>SYN3391</t>
  </si>
  <si>
    <t>SYN3392</t>
  </si>
  <si>
    <t>SYN3393</t>
  </si>
  <si>
    <t>SYN3394</t>
  </si>
  <si>
    <t>SYN3395</t>
  </si>
  <si>
    <t>SYN3396</t>
  </si>
  <si>
    <t>SYN3397</t>
  </si>
  <si>
    <t>SYN3398</t>
  </si>
  <si>
    <t>SYN3399</t>
  </si>
  <si>
    <t>SYN3400</t>
  </si>
  <si>
    <t>SYN3401</t>
  </si>
  <si>
    <t>SYN3402</t>
  </si>
  <si>
    <t>SYN3403</t>
  </si>
  <si>
    <t>SYN3404</t>
  </si>
  <si>
    <t>SYN3405</t>
  </si>
  <si>
    <t>SYN3406</t>
  </si>
  <si>
    <t>SYN3407</t>
  </si>
  <si>
    <t>SYN3408</t>
  </si>
  <si>
    <t>SYN3409</t>
  </si>
  <si>
    <t>SYN3410</t>
  </si>
  <si>
    <t>SYN3411</t>
  </si>
  <si>
    <t>SYN3412</t>
  </si>
  <si>
    <t>SYN3413</t>
  </si>
  <si>
    <t>SYN3414</t>
  </si>
  <si>
    <t>SYN3415</t>
  </si>
  <si>
    <t>SYN3416</t>
  </si>
  <si>
    <t>SYN3417</t>
  </si>
  <si>
    <t>SYN3418</t>
  </si>
  <si>
    <t>SYN3419</t>
  </si>
  <si>
    <t>SYN3420</t>
  </si>
  <si>
    <t>SYN3421</t>
  </si>
  <si>
    <t>SYN3422</t>
  </si>
  <si>
    <t>SYN3423</t>
  </si>
  <si>
    <t>SYN3424</t>
  </si>
  <si>
    <t>SYN3425</t>
  </si>
  <si>
    <t>SYN3426</t>
  </si>
  <si>
    <t>SYN3427</t>
  </si>
  <si>
    <t>SYN3428</t>
  </si>
  <si>
    <t>SYN3429</t>
  </si>
  <si>
    <t>SYN3430</t>
  </si>
  <si>
    <t>SYN3431</t>
  </si>
  <si>
    <t>SYN3432</t>
  </si>
  <si>
    <t>SYN3433</t>
  </si>
  <si>
    <t>SYN3434</t>
  </si>
  <si>
    <t>SYN3435</t>
  </si>
  <si>
    <t>SYN3436</t>
  </si>
  <si>
    <t>SYN3437</t>
  </si>
  <si>
    <t>SYN3438</t>
  </si>
  <si>
    <t>SYN3439</t>
  </si>
  <si>
    <t>SYN3440</t>
  </si>
  <si>
    <t>SYN3441</t>
  </si>
  <si>
    <t>SYN3442</t>
  </si>
  <si>
    <t>SYN3443</t>
  </si>
  <si>
    <t>SYN3444</t>
  </si>
  <si>
    <t>SYN3445</t>
  </si>
  <si>
    <t>SYN3446</t>
  </si>
  <si>
    <t>SYN3447</t>
  </si>
  <si>
    <t>SYN3448</t>
  </si>
  <si>
    <t>SYN3449</t>
  </si>
  <si>
    <t>SYN3450</t>
  </si>
  <si>
    <t>SYN3451</t>
  </si>
  <si>
    <t>SYN3452</t>
  </si>
  <si>
    <t>SYN3453</t>
  </si>
  <si>
    <t>SYN3454</t>
  </si>
  <si>
    <t>SYN3455</t>
  </si>
  <si>
    <t>SYN3456</t>
  </si>
  <si>
    <t>SYN3457</t>
  </si>
  <si>
    <t>SYN3458</t>
  </si>
  <si>
    <t>SYN3459</t>
  </si>
  <si>
    <t>SYN3460</t>
  </si>
  <si>
    <t>SYN3461</t>
  </si>
  <si>
    <t>SYN3462</t>
  </si>
  <si>
    <t>SYN3463</t>
  </si>
  <si>
    <t>SYN3464</t>
  </si>
  <si>
    <t>SYN3465</t>
  </si>
  <si>
    <t>SYN3466</t>
  </si>
  <si>
    <t>SYN3467</t>
  </si>
  <si>
    <t>SYN3468</t>
  </si>
  <si>
    <t>SYN3469</t>
  </si>
  <si>
    <t>SYN3470</t>
  </si>
  <si>
    <t>SYN3471</t>
  </si>
  <si>
    <t>SYN3472</t>
  </si>
  <si>
    <t>SYN3473</t>
  </si>
  <si>
    <t>SYN3474</t>
  </si>
  <si>
    <t>SYN3475</t>
  </si>
  <si>
    <t>SYN3476</t>
  </si>
  <si>
    <t>SYN3477</t>
  </si>
  <si>
    <t>SYN3478</t>
  </si>
  <si>
    <t>SYN3479</t>
  </si>
  <si>
    <t>SYN3480</t>
  </si>
  <si>
    <t>SYN3481</t>
  </si>
  <si>
    <t>SYN3482</t>
  </si>
  <si>
    <t>SYN3483</t>
  </si>
  <si>
    <t>SYN3484</t>
  </si>
  <si>
    <t>SYN3485</t>
  </si>
  <si>
    <t>SYN3486</t>
  </si>
  <si>
    <t>SYN3487</t>
  </si>
  <si>
    <t>SYN3488</t>
  </si>
  <si>
    <t>SYN3489</t>
  </si>
  <si>
    <t>SYN3490</t>
  </si>
  <si>
    <t>SYN3491</t>
  </si>
  <si>
    <t>SYN3492</t>
  </si>
  <si>
    <t>SYN3493</t>
  </si>
  <si>
    <t>SYN3494</t>
  </si>
  <si>
    <t>SYN3495</t>
  </si>
  <si>
    <t>SYN3496</t>
  </si>
  <si>
    <t>SYN3497</t>
  </si>
  <si>
    <t>SYN3498</t>
  </si>
  <si>
    <t>SYN3499</t>
  </si>
  <si>
    <t>SYN3500</t>
  </si>
  <si>
    <t>SYN3501</t>
  </si>
  <si>
    <t>SYN3502</t>
  </si>
  <si>
    <t>SYN3503</t>
  </si>
  <si>
    <t>SYN3504</t>
  </si>
  <si>
    <t>SYN3505</t>
  </si>
  <si>
    <t>SYN3506</t>
  </si>
  <si>
    <t>SYN3507</t>
  </si>
  <si>
    <t>SYN3508</t>
  </si>
  <si>
    <t>SYN3509</t>
  </si>
  <si>
    <t>SYN3510</t>
  </si>
  <si>
    <t>SYN3511</t>
  </si>
  <si>
    <t>SYN3512</t>
  </si>
  <si>
    <t>SYN3513</t>
  </si>
  <si>
    <t>SYN3514</t>
  </si>
  <si>
    <t>SYN3515</t>
  </si>
  <si>
    <t>SYN3516</t>
  </si>
  <si>
    <t>SYN3517</t>
  </si>
  <si>
    <t>SYN3518</t>
  </si>
  <si>
    <t>SYN3519</t>
  </si>
  <si>
    <t>SYN3520</t>
  </si>
  <si>
    <t>SYN3521</t>
  </si>
  <si>
    <t>SYN3522</t>
  </si>
  <si>
    <t>SYN3523</t>
  </si>
  <si>
    <t>SYN3524</t>
  </si>
  <si>
    <t>SYN3525</t>
  </si>
  <si>
    <t>SYN3526</t>
  </si>
  <si>
    <t>SYN3527</t>
  </si>
  <si>
    <t>SYN3528</t>
  </si>
  <si>
    <t>SYN3529</t>
  </si>
  <si>
    <t>SYN3530</t>
  </si>
  <si>
    <t>SYN3531</t>
  </si>
  <si>
    <t>SYN3532</t>
  </si>
  <si>
    <t>SYN3533</t>
  </si>
  <si>
    <t>SYN3534</t>
  </si>
  <si>
    <t>SYN3535</t>
  </si>
  <si>
    <t>SYN3536</t>
  </si>
  <si>
    <t>SYN3537</t>
  </si>
  <si>
    <t>SYN3538</t>
  </si>
  <si>
    <t>SYN3539</t>
  </si>
  <si>
    <t>SYN3540</t>
  </si>
  <si>
    <t>SYN3541</t>
  </si>
  <si>
    <t>SYN3542</t>
  </si>
  <si>
    <t>SYN3543</t>
  </si>
  <si>
    <t>SYN3544</t>
  </si>
  <si>
    <t>SYN3545</t>
  </si>
  <si>
    <t>SYN3546</t>
  </si>
  <si>
    <t>SYN3547</t>
  </si>
  <si>
    <t>SYN3548</t>
  </si>
  <si>
    <t>SYN3549</t>
  </si>
  <si>
    <t>SYN3550</t>
  </si>
  <si>
    <t>SYN3551</t>
  </si>
  <si>
    <t>SYN3552</t>
  </si>
  <si>
    <t>SYN3553</t>
  </si>
  <si>
    <t>SYN3554</t>
  </si>
  <si>
    <t>SYN3555</t>
  </si>
  <si>
    <t>SYN3556</t>
  </si>
  <si>
    <t>SYN3557</t>
  </si>
  <si>
    <t>SYN3558</t>
  </si>
  <si>
    <t>SYN3559</t>
  </si>
  <si>
    <t>SYN3560</t>
  </si>
  <si>
    <t>SYN3561</t>
  </si>
  <si>
    <t>SYN3562</t>
  </si>
  <si>
    <t>SYN3563</t>
  </si>
  <si>
    <t>SYN3564</t>
  </si>
  <si>
    <t>SYN3565</t>
  </si>
  <si>
    <t>SYN3566</t>
  </si>
  <si>
    <t>SYN3567</t>
  </si>
  <si>
    <t>SYN3568</t>
  </si>
  <si>
    <t>SYN3569</t>
  </si>
  <si>
    <t>SYN3570</t>
  </si>
  <si>
    <t>SYN3571</t>
  </si>
  <si>
    <t>SYN3572</t>
  </si>
  <si>
    <t>SYN3573</t>
  </si>
  <si>
    <t>SYN3574</t>
  </si>
  <si>
    <t>SYN3575</t>
  </si>
  <si>
    <t>SYN3576</t>
  </si>
  <si>
    <t>SYN3577</t>
  </si>
  <si>
    <t>SYN3578</t>
  </si>
  <si>
    <t>SYN3579</t>
  </si>
  <si>
    <t>SYN3580</t>
  </si>
  <si>
    <t>SYN3581</t>
  </si>
  <si>
    <t>SYN3582</t>
  </si>
  <si>
    <t>SYN3583</t>
  </si>
  <si>
    <t>SYN3584</t>
  </si>
  <si>
    <t>SYN3585</t>
  </si>
  <si>
    <t>SYN3586</t>
  </si>
  <si>
    <t>SYN3587</t>
  </si>
  <si>
    <t>SYN3588</t>
  </si>
  <si>
    <t>SYN3589</t>
  </si>
  <si>
    <t>SYN3590</t>
  </si>
  <si>
    <t>SYN3591</t>
  </si>
  <si>
    <t>SYN3592</t>
  </si>
  <si>
    <t>SYN3593</t>
  </si>
  <si>
    <t>SYN3594</t>
  </si>
  <si>
    <t>SYN3595</t>
  </si>
  <si>
    <t>SYN3596</t>
  </si>
  <si>
    <t>SYN3597</t>
  </si>
  <si>
    <t>SYN3598</t>
  </si>
  <si>
    <t>SYN3599</t>
  </si>
  <si>
    <t>SYN3600</t>
  </si>
  <si>
    <t>SYN3601</t>
  </si>
  <si>
    <t>SYN3602</t>
  </si>
  <si>
    <t>SYN3603</t>
  </si>
  <si>
    <t>SYN3604</t>
  </si>
  <si>
    <t>SYN3605</t>
  </si>
  <si>
    <t>SYN3606</t>
  </si>
  <si>
    <t>SYN3607</t>
  </si>
  <si>
    <t>SYN3608</t>
  </si>
  <si>
    <t>SYN3609</t>
  </si>
  <si>
    <t>SYN3610</t>
  </si>
  <si>
    <t>SYN3611</t>
  </si>
  <si>
    <t>SYN3612</t>
  </si>
  <si>
    <t>SYN3613</t>
  </si>
  <si>
    <t>SYN3614</t>
  </si>
  <si>
    <t>SYN3615</t>
  </si>
  <si>
    <t>SYN3616</t>
  </si>
  <si>
    <t>SYN3617</t>
  </si>
  <si>
    <t>SYN3618</t>
  </si>
  <si>
    <t>SYN3619</t>
  </si>
  <si>
    <t>SYN3620</t>
  </si>
  <si>
    <t>SYN3621</t>
  </si>
  <si>
    <t>SYN3622</t>
  </si>
  <si>
    <t>SYN3623</t>
  </si>
  <si>
    <t>SYN3624</t>
  </si>
  <si>
    <t>SYN3625</t>
  </si>
  <si>
    <t>SYN3626</t>
  </si>
  <si>
    <t>SYN3627</t>
  </si>
  <si>
    <t>SYN3628</t>
  </si>
  <si>
    <t>SYN3629</t>
  </si>
  <si>
    <t>SYN3630</t>
  </si>
  <si>
    <t>SYN3631</t>
  </si>
  <si>
    <t>SYN3632</t>
  </si>
  <si>
    <t>SYN3633</t>
  </si>
  <si>
    <t>SYN3634</t>
  </si>
  <si>
    <t>SYN3635</t>
  </si>
  <si>
    <t>SYN3636</t>
  </si>
  <si>
    <t>SYN3637</t>
  </si>
  <si>
    <t>SYN3638</t>
  </si>
  <si>
    <t>SYN3639</t>
  </si>
  <si>
    <t>SYN3640</t>
  </si>
  <si>
    <t>SYN3641</t>
  </si>
  <si>
    <t>SYN3642</t>
  </si>
  <si>
    <t>SYN3643</t>
  </si>
  <si>
    <t>SYN3644</t>
  </si>
  <si>
    <t>SYN3645</t>
  </si>
  <si>
    <t>SYN3646</t>
  </si>
  <si>
    <t>SYN3647</t>
  </si>
  <si>
    <t>SYN3648</t>
  </si>
  <si>
    <t>SYN3649</t>
  </si>
  <si>
    <t>SYN3650</t>
  </si>
  <si>
    <t>SYN3651</t>
  </si>
  <si>
    <t>SYN3652</t>
  </si>
  <si>
    <t>SYN3653</t>
  </si>
  <si>
    <t>SYN3654</t>
  </si>
  <si>
    <t>SYN3655</t>
  </si>
  <si>
    <t>SYN3656</t>
  </si>
  <si>
    <t>SYN3657</t>
  </si>
  <si>
    <t>SYN3658</t>
  </si>
  <si>
    <t>SYN3659</t>
  </si>
  <si>
    <t>SYN3660</t>
  </si>
  <si>
    <t>SYN3661</t>
  </si>
  <si>
    <t>SYN3662</t>
  </si>
  <si>
    <t>SYN3663</t>
  </si>
  <si>
    <t>SYN3664</t>
  </si>
  <si>
    <t>SYN3665</t>
  </si>
  <si>
    <t>SYN3666</t>
  </si>
  <si>
    <t>SYN3667</t>
  </si>
  <si>
    <t>SYN3668</t>
  </si>
  <si>
    <t>SYN3669</t>
  </si>
  <si>
    <t>SYN3670</t>
  </si>
  <si>
    <t>SYN3671</t>
  </si>
  <si>
    <t>SYN3672</t>
  </si>
  <si>
    <t>SYN3673</t>
  </si>
  <si>
    <t>SYN3674</t>
  </si>
  <si>
    <t>SYN3675</t>
  </si>
  <si>
    <t>SYN3676</t>
  </si>
  <si>
    <t>SYN3677</t>
  </si>
  <si>
    <t>SYN3678</t>
  </si>
  <si>
    <t>SYN3679</t>
  </si>
  <si>
    <t>SYN3680</t>
  </si>
  <si>
    <t>SYN3681</t>
  </si>
  <si>
    <t>SYN3682</t>
  </si>
  <si>
    <t>SYN3683</t>
  </si>
  <si>
    <t>SYN3684</t>
  </si>
  <si>
    <t>SYN3685</t>
  </si>
  <si>
    <t>SYN3686</t>
  </si>
  <si>
    <t>SYN3687</t>
  </si>
  <si>
    <t>SYN3688</t>
  </si>
  <si>
    <t>SYN3689</t>
  </si>
  <si>
    <t>SYN3690</t>
  </si>
  <si>
    <t>SYN3691</t>
  </si>
  <si>
    <t>SYN3692</t>
  </si>
  <si>
    <t>SYN3693</t>
  </si>
  <si>
    <t>SYN3694</t>
  </si>
  <si>
    <t>SYN3695</t>
  </si>
  <si>
    <t>SYN3696</t>
  </si>
  <si>
    <t>SYN3697</t>
  </si>
  <si>
    <t>SYN3698</t>
  </si>
  <si>
    <t>SYN3699</t>
  </si>
  <si>
    <t>SYN3700</t>
  </si>
  <si>
    <t>SYN3701</t>
  </si>
  <si>
    <t>SYN3702</t>
  </si>
  <si>
    <t>SYN3703</t>
  </si>
  <si>
    <t>SYN3704</t>
  </si>
  <si>
    <t>SYN3705</t>
  </si>
  <si>
    <t>SYN3706</t>
  </si>
  <si>
    <t>SYN3707</t>
  </si>
  <si>
    <t>SYN3708</t>
  </si>
  <si>
    <t>SYN3709</t>
  </si>
  <si>
    <t>SYN3710</t>
  </si>
  <si>
    <t>SYN3711</t>
  </si>
  <si>
    <t>SYN3712</t>
  </si>
  <si>
    <t>SYN3713</t>
  </si>
  <si>
    <t>SYN3714</t>
  </si>
  <si>
    <t>SYN3715</t>
  </si>
  <si>
    <t>SYN3716</t>
  </si>
  <si>
    <t>SYN3717</t>
  </si>
  <si>
    <t>SYN3718</t>
  </si>
  <si>
    <t>SYN3719</t>
  </si>
  <si>
    <t>SYN3720</t>
  </si>
  <si>
    <t>SYN3721</t>
  </si>
  <si>
    <t>SYN3722</t>
  </si>
  <si>
    <t>SYN3723</t>
  </si>
  <si>
    <t>SYN3724</t>
  </si>
  <si>
    <t>SYN3725</t>
  </si>
  <si>
    <t>SYN3726</t>
  </si>
  <si>
    <t>SYN3727</t>
  </si>
  <si>
    <t>SYN3728</t>
  </si>
  <si>
    <t>SYN3729</t>
  </si>
  <si>
    <t>SYN3730</t>
  </si>
  <si>
    <t>SYN3731</t>
  </si>
  <si>
    <t>SYN3732</t>
  </si>
  <si>
    <t>SYN3733</t>
  </si>
  <si>
    <t>SYN3734</t>
  </si>
  <si>
    <t>SYN3735</t>
  </si>
  <si>
    <t>SYN3736</t>
  </si>
  <si>
    <t>SYN3737</t>
  </si>
  <si>
    <t>SYN3738</t>
  </si>
  <si>
    <t>SYN3739</t>
  </si>
  <si>
    <t>SYN3740</t>
  </si>
  <si>
    <t>SYN3741</t>
  </si>
  <si>
    <t>SYN3742</t>
  </si>
  <si>
    <t>SYN3743</t>
  </si>
  <si>
    <t>SYN3744</t>
  </si>
  <si>
    <t>SYN3745</t>
  </si>
  <si>
    <t>SYN3746</t>
  </si>
  <si>
    <t>SYN3747</t>
  </si>
  <si>
    <t>SYN3748</t>
  </si>
  <si>
    <t>SYN3749</t>
  </si>
  <si>
    <t>SYN3750</t>
  </si>
  <si>
    <t>SYN3751</t>
  </si>
  <si>
    <t>SYN3752</t>
  </si>
  <si>
    <t>SYN3753</t>
  </si>
  <si>
    <t>SYN3754</t>
  </si>
  <si>
    <t>SYN3755</t>
  </si>
  <si>
    <t>SYN3756</t>
  </si>
  <si>
    <t>SYN3757</t>
  </si>
  <si>
    <t>SYN3758</t>
  </si>
  <si>
    <t>SYN3759</t>
  </si>
  <si>
    <t>SYN3760</t>
  </si>
  <si>
    <t>SYN3761</t>
  </si>
  <si>
    <t>SYN3762</t>
  </si>
  <si>
    <t>SYN3763</t>
  </si>
  <si>
    <t>SYN3764</t>
  </si>
  <si>
    <t>SYN3765</t>
  </si>
  <si>
    <t>SYN3766</t>
  </si>
  <si>
    <t>SYN3767</t>
  </si>
  <si>
    <t>SYN3768</t>
  </si>
  <si>
    <t>SYN3769</t>
  </si>
  <si>
    <t>SYN3770</t>
  </si>
  <si>
    <t>SYN3771</t>
  </si>
  <si>
    <t>SYN3772</t>
  </si>
  <si>
    <t>SYN3773</t>
  </si>
  <si>
    <t>SYN3774</t>
  </si>
  <si>
    <t>SYN3775</t>
  </si>
  <si>
    <t>SYN3776</t>
  </si>
  <si>
    <t>SYN3777</t>
  </si>
  <si>
    <t>SYN3778</t>
  </si>
  <si>
    <t>SYN3779</t>
  </si>
  <si>
    <t>SYN3780</t>
  </si>
  <si>
    <t>SYN3781</t>
  </si>
  <si>
    <t>SYN3782</t>
  </si>
  <si>
    <t>SYN3783</t>
  </si>
  <si>
    <t>SYN3784</t>
  </si>
  <si>
    <t>SYN3785</t>
  </si>
  <si>
    <t>SYN3786</t>
  </si>
  <si>
    <t>SYN3787</t>
  </si>
  <si>
    <t>SYN3788</t>
  </si>
  <si>
    <t>SYN3789</t>
  </si>
  <si>
    <t>SYN3790</t>
  </si>
  <si>
    <t>SYN3791</t>
  </si>
  <si>
    <t>SYN3792</t>
  </si>
  <si>
    <t>SYN3793</t>
  </si>
  <si>
    <t>SYN3794</t>
  </si>
  <si>
    <t>SYN3795</t>
  </si>
  <si>
    <t>SYN3796</t>
  </si>
  <si>
    <t>SYN3797</t>
  </si>
  <si>
    <t>SYN3798</t>
  </si>
  <si>
    <t>SYN3799</t>
  </si>
  <si>
    <t>SYN3800</t>
  </si>
  <si>
    <t>SYN3801</t>
  </si>
  <si>
    <t>SYN3802</t>
  </si>
  <si>
    <t>SYN3803</t>
  </si>
  <si>
    <t>SYN3804</t>
  </si>
  <si>
    <t>SYN3805</t>
  </si>
  <si>
    <t>SYN3806</t>
  </si>
  <si>
    <t>SYN3807</t>
  </si>
  <si>
    <t>SYN3808</t>
  </si>
  <si>
    <t>SYN3809</t>
  </si>
  <si>
    <t>SYN3810</t>
  </si>
  <si>
    <t>SYN3811</t>
  </si>
  <si>
    <t>SYN3812</t>
  </si>
  <si>
    <t>SYN3813</t>
  </si>
  <si>
    <t>SYN3814</t>
  </si>
  <si>
    <t>SYN3815</t>
  </si>
  <si>
    <t>SYN3816</t>
  </si>
  <si>
    <t>SYN3817</t>
  </si>
  <si>
    <t>SYN3818</t>
  </si>
  <si>
    <t>SYN3819</t>
  </si>
  <si>
    <t>SYN3820</t>
  </si>
  <si>
    <t>SYN3821</t>
  </si>
  <si>
    <t>SYN3822</t>
  </si>
  <si>
    <t>SYN3823</t>
  </si>
  <si>
    <t>SYN3824</t>
  </si>
  <si>
    <t>SYN3825</t>
  </si>
  <si>
    <t>SYN3826</t>
  </si>
  <si>
    <t>SYN3827</t>
  </si>
  <si>
    <t>SYN3828</t>
  </si>
  <si>
    <t>SYN3829</t>
  </si>
  <si>
    <t>SYN3830</t>
  </si>
  <si>
    <t>SYN3831</t>
  </si>
  <si>
    <t>SYN3832</t>
  </si>
  <si>
    <t>SYN3833</t>
  </si>
  <si>
    <t>SYN3834</t>
  </si>
  <si>
    <t>SYN3835</t>
  </si>
  <si>
    <t>SYN3836</t>
  </si>
  <si>
    <t>SYN3837</t>
  </si>
  <si>
    <t>SYN3838</t>
  </si>
  <si>
    <t>SYN3839</t>
  </si>
  <si>
    <t>SYN3840</t>
  </si>
  <si>
    <t>SYN3841</t>
  </si>
  <si>
    <t>SYN3842</t>
  </si>
  <si>
    <t>SYN3843</t>
  </si>
  <si>
    <t>SYN3844</t>
  </si>
  <si>
    <t>SYN3845</t>
  </si>
  <si>
    <t>SYN3846</t>
  </si>
  <si>
    <t>SYN3847</t>
  </si>
  <si>
    <t>SYN3848</t>
  </si>
  <si>
    <t>SYN3849</t>
  </si>
  <si>
    <t>SYN3850</t>
  </si>
  <si>
    <t>SYN3851</t>
  </si>
  <si>
    <t>SYN3852</t>
  </si>
  <si>
    <t>SYN3853</t>
  </si>
  <si>
    <t>SYN3854</t>
  </si>
  <si>
    <t>SYN3855</t>
  </si>
  <si>
    <t>SYN3856</t>
  </si>
  <si>
    <t>SYN3857</t>
  </si>
  <si>
    <t>SYN3858</t>
  </si>
  <si>
    <t>SYN3859</t>
  </si>
  <si>
    <t>SYN3860</t>
  </si>
  <si>
    <t>SYN3861</t>
  </si>
  <si>
    <t>SYN3862</t>
  </si>
  <si>
    <t>SYN3863</t>
  </si>
  <si>
    <t>SYN3864</t>
  </si>
  <si>
    <t>SYN3865</t>
  </si>
  <si>
    <t>SYN3866</t>
  </si>
  <si>
    <t>SYN3867</t>
  </si>
  <si>
    <t>SYN3868</t>
  </si>
  <si>
    <t>SYN3869</t>
  </si>
  <si>
    <t>SYN3870</t>
  </si>
  <si>
    <t>SYN3871</t>
  </si>
  <si>
    <t>SYN3872</t>
  </si>
  <si>
    <t>SYN3873</t>
  </si>
  <si>
    <t>SYN3874</t>
  </si>
  <si>
    <t>SYN3875</t>
  </si>
  <si>
    <t>SYN3876</t>
  </si>
  <si>
    <t>SYN3877</t>
  </si>
  <si>
    <t>SYN3878</t>
  </si>
  <si>
    <t>SYN3879</t>
  </si>
  <si>
    <t>SYN3880</t>
  </si>
  <si>
    <t>SYN3881</t>
  </si>
  <si>
    <t>SYN3882</t>
  </si>
  <si>
    <t>SYN3883</t>
  </si>
  <si>
    <t>SYN3884</t>
  </si>
  <si>
    <t>SYN3885</t>
  </si>
  <si>
    <t>SYN3886</t>
  </si>
  <si>
    <t>SYN3887</t>
  </si>
  <si>
    <t>SYN3888</t>
  </si>
  <si>
    <t>SYN3889</t>
  </si>
  <si>
    <t>SYN3890</t>
  </si>
  <si>
    <t>SYN3891</t>
  </si>
  <si>
    <t>SYN3892</t>
  </si>
  <si>
    <t>SYN3893</t>
  </si>
  <si>
    <t>SYN3894</t>
  </si>
  <si>
    <t>SYN3895</t>
  </si>
  <si>
    <t>SYN3896</t>
  </si>
  <si>
    <t>SYN3897</t>
  </si>
  <si>
    <t>SYN3898</t>
  </si>
  <si>
    <t>SYN3899</t>
  </si>
  <si>
    <t>SYN3900</t>
  </si>
  <si>
    <t>SYN3901</t>
  </si>
  <si>
    <t>SYN3902</t>
  </si>
  <si>
    <t>SYN3903</t>
  </si>
  <si>
    <t>SYN3904</t>
  </si>
  <si>
    <t>SYN3905</t>
  </si>
  <si>
    <t>SYN3906</t>
  </si>
  <si>
    <t>SYN3907</t>
  </si>
  <si>
    <t>SYN3908</t>
  </si>
  <si>
    <t>SYN3909</t>
  </si>
  <si>
    <t>SYN3910</t>
  </si>
  <si>
    <t>SYN3911</t>
  </si>
  <si>
    <t>SYN3912</t>
  </si>
  <si>
    <t>SYN3913</t>
  </si>
  <si>
    <t>SYN3914</t>
  </si>
  <si>
    <t>SYN3915</t>
  </si>
  <si>
    <t>SYN3916</t>
  </si>
  <si>
    <t>SYN3917</t>
  </si>
  <si>
    <t>SYN3918</t>
  </si>
  <si>
    <t>SYN3919</t>
  </si>
  <si>
    <t>SYN3920</t>
  </si>
  <si>
    <t>SYN3921</t>
  </si>
  <si>
    <t>SYN3922</t>
  </si>
  <si>
    <t>SYN3923</t>
  </si>
  <si>
    <t>SYN3924</t>
  </si>
  <si>
    <t>SYN3925</t>
  </si>
  <si>
    <t>SYN3926</t>
  </si>
  <si>
    <t>SYN3927</t>
  </si>
  <si>
    <t>SYN3928</t>
  </si>
  <si>
    <t>SYN3929</t>
  </si>
  <si>
    <t>SYN3930</t>
  </si>
  <si>
    <t>SYN3931</t>
  </si>
  <si>
    <t>SYN3932</t>
  </si>
  <si>
    <t>SYN3933</t>
  </si>
  <si>
    <t>SYN3934</t>
  </si>
  <si>
    <t>SYN3935</t>
  </si>
  <si>
    <t>SYN3936</t>
  </si>
  <si>
    <t>SYN3937</t>
  </si>
  <si>
    <t>SYN3938</t>
  </si>
  <si>
    <t>SYN3939</t>
  </si>
  <si>
    <t>SYN3940</t>
  </si>
  <si>
    <t>SYN3941</t>
  </si>
  <si>
    <t>SYN3942</t>
  </si>
  <si>
    <t>SYN3943</t>
  </si>
  <si>
    <t>SYN3944</t>
  </si>
  <si>
    <t>SYN3945</t>
  </si>
  <si>
    <t>SYN3946</t>
  </si>
  <si>
    <t>SYN3947</t>
  </si>
  <si>
    <t>SYN3948</t>
  </si>
  <si>
    <t>SYN3949</t>
  </si>
  <si>
    <t>SYN3950</t>
  </si>
  <si>
    <t>SYN3951</t>
  </si>
  <si>
    <t>SYN3952</t>
  </si>
  <si>
    <t>SYN3953</t>
  </si>
  <si>
    <t>SYN3954</t>
  </si>
  <si>
    <t>SYN3955</t>
  </si>
  <si>
    <t>SYN3956</t>
  </si>
  <si>
    <t>SYN3957</t>
  </si>
  <si>
    <t>SYN3958</t>
  </si>
  <si>
    <t>SYN3959</t>
  </si>
  <si>
    <t>SYN3960</t>
  </si>
  <si>
    <t>SYN3961</t>
  </si>
  <si>
    <t>SYN3962</t>
  </si>
  <si>
    <t>SYN3963</t>
  </si>
  <si>
    <t>SYN3964</t>
  </si>
  <si>
    <t>SYN3965</t>
  </si>
  <si>
    <t>SYN3966</t>
  </si>
  <si>
    <t>SYN3967</t>
  </si>
  <si>
    <t>SYN3968</t>
  </si>
  <si>
    <t>SYN3969</t>
  </si>
  <si>
    <t>SYN3970</t>
  </si>
  <si>
    <t>SYN3971</t>
  </si>
  <si>
    <t>SYN3972</t>
  </si>
  <si>
    <t>SYN3973</t>
  </si>
  <si>
    <t>SYN3974</t>
  </si>
  <si>
    <t>SYN3975</t>
  </si>
  <si>
    <t>SYN3976</t>
  </si>
  <si>
    <t>SYN3977</t>
  </si>
  <si>
    <t>SYN3978</t>
  </si>
  <si>
    <t>SYN3979</t>
  </si>
  <si>
    <t>SYN3980</t>
  </si>
  <si>
    <t>SYN3981</t>
  </si>
  <si>
    <t>SYN3982</t>
  </si>
  <si>
    <t>SYN3983</t>
  </si>
  <si>
    <t>SYN3984</t>
  </si>
  <si>
    <t>SYN3985</t>
  </si>
  <si>
    <t>SYN3986</t>
  </si>
  <si>
    <t>SYN3987</t>
  </si>
  <si>
    <t>SYN3988</t>
  </si>
  <si>
    <t>SYN3989</t>
  </si>
  <si>
    <t>SYN3990</t>
  </si>
  <si>
    <t>SYN3991</t>
  </si>
  <si>
    <t>SYN3992</t>
  </si>
  <si>
    <t>SYN3993</t>
  </si>
  <si>
    <t>SYN3994</t>
  </si>
  <si>
    <t>SYN3995</t>
  </si>
  <si>
    <t>SYN3996</t>
  </si>
  <si>
    <t>SYN3997</t>
  </si>
  <si>
    <t>SYN3998</t>
  </si>
  <si>
    <t>SYN3999</t>
  </si>
  <si>
    <t>SYN4000</t>
  </si>
  <si>
    <t>SYN4001</t>
  </si>
  <si>
    <t>SYN4002</t>
  </si>
  <si>
    <t>SYN4003</t>
  </si>
  <si>
    <t>SYN4004</t>
  </si>
  <si>
    <t>SYN4005</t>
  </si>
  <si>
    <t>SYN4006</t>
  </si>
  <si>
    <t>SYN4007</t>
  </si>
  <si>
    <t>SYN4008</t>
  </si>
  <si>
    <t>SYN4009</t>
  </si>
  <si>
    <t>SYN4010</t>
  </si>
  <si>
    <t>SYN4011</t>
  </si>
  <si>
    <t>SYN4012</t>
  </si>
  <si>
    <t>SYN4013</t>
  </si>
  <si>
    <t>SYN4014</t>
  </si>
  <si>
    <t>SYN4015</t>
  </si>
  <si>
    <t>SYN4016</t>
  </si>
  <si>
    <t>SYN4017</t>
  </si>
  <si>
    <t>SYN4018</t>
  </si>
  <si>
    <t>SYN4019</t>
  </si>
  <si>
    <t>SYN4020</t>
  </si>
  <si>
    <t>SYN4021</t>
  </si>
  <si>
    <t>SYN4022</t>
  </si>
  <si>
    <t>SYN4023</t>
  </si>
  <si>
    <t>SYN4024</t>
  </si>
  <si>
    <t>SYN4025</t>
  </si>
  <si>
    <t>SYN4026</t>
  </si>
  <si>
    <t>SYN4027</t>
  </si>
  <si>
    <t>SYN4028</t>
  </si>
  <si>
    <t>SYN4029</t>
  </si>
  <si>
    <t>SYN4030</t>
  </si>
  <si>
    <t>SYN4031</t>
  </si>
  <si>
    <t>SYN4032</t>
  </si>
  <si>
    <t>SYN4033</t>
  </si>
  <si>
    <t>SYN4034</t>
  </si>
  <si>
    <t>SYN4035</t>
  </si>
  <si>
    <t>SYN4036</t>
  </si>
  <si>
    <t>SYN4037</t>
  </si>
  <si>
    <t>SYN4038</t>
  </si>
  <si>
    <t>SYN4039</t>
  </si>
  <si>
    <t>SYN4040</t>
  </si>
  <si>
    <t>SYN4041</t>
  </si>
  <si>
    <t>SYN4042</t>
  </si>
  <si>
    <t>SYN4043</t>
  </si>
  <si>
    <t>SYN4044</t>
  </si>
  <si>
    <t>SYN4045</t>
  </si>
  <si>
    <t>SYN4046</t>
  </si>
  <si>
    <t>SYN4047</t>
  </si>
  <si>
    <t>SYN4048</t>
  </si>
  <si>
    <t>SYN4049</t>
  </si>
  <si>
    <t>SYN4050</t>
  </si>
  <si>
    <t>SYN4051</t>
  </si>
  <si>
    <t>SYN4052</t>
  </si>
  <si>
    <t>SYN4053</t>
  </si>
  <si>
    <t>SYN4054</t>
  </si>
  <si>
    <t>SYN4055</t>
  </si>
  <si>
    <t>SYN4056</t>
  </si>
  <si>
    <t>SYN4057</t>
  </si>
  <si>
    <t>SYN4058</t>
  </si>
  <si>
    <t>SYN4059</t>
  </si>
  <si>
    <t>SYN4060</t>
  </si>
  <si>
    <t>SYN4061</t>
  </si>
  <si>
    <t>SYN4062</t>
  </si>
  <si>
    <t>SYN4063</t>
  </si>
  <si>
    <t>SYN4064</t>
  </si>
  <si>
    <t>SYN4065</t>
  </si>
  <si>
    <t>SYN4066</t>
  </si>
  <si>
    <t>SYN4067</t>
  </si>
  <si>
    <t>SYN4068</t>
  </si>
  <si>
    <t>SYN4069</t>
  </si>
  <si>
    <t>SYN4070</t>
  </si>
  <si>
    <t>SYN4071</t>
  </si>
  <si>
    <t>SYN4072</t>
  </si>
  <si>
    <t>SYN4073</t>
  </si>
  <si>
    <t>SYN4074</t>
  </si>
  <si>
    <t>SYN4075</t>
  </si>
  <si>
    <t>SYN4076</t>
  </si>
  <si>
    <t>SYN4077</t>
  </si>
  <si>
    <t>SYN4078</t>
  </si>
  <si>
    <t>SYN4079</t>
  </si>
  <si>
    <t>SYN4080</t>
  </si>
  <si>
    <t>SYN4081</t>
  </si>
  <si>
    <t>SYN4082</t>
  </si>
  <si>
    <t>SYN4083</t>
  </si>
  <si>
    <t>SYN4084</t>
  </si>
  <si>
    <t>SYN4085</t>
  </si>
  <si>
    <t>SYN4086</t>
  </si>
  <si>
    <t>SYN4087</t>
  </si>
  <si>
    <t>SYN4088</t>
  </si>
  <si>
    <t>SYN4089</t>
  </si>
  <si>
    <t>SYN4090</t>
  </si>
  <si>
    <t>SYN4091</t>
  </si>
  <si>
    <t>SYN4092</t>
  </si>
  <si>
    <t>SYN4093</t>
  </si>
  <si>
    <t>SYN4094</t>
  </si>
  <si>
    <t>SYN4095</t>
  </si>
  <si>
    <t>SYN4096</t>
  </si>
  <si>
    <t>SYN4097</t>
  </si>
  <si>
    <t>SYN4098</t>
  </si>
  <si>
    <t>SYN4099</t>
  </si>
  <si>
    <t>SYN4100</t>
  </si>
  <si>
    <t>SYN4101</t>
  </si>
  <si>
    <t>SYN4102</t>
  </si>
  <si>
    <t>SYN4103</t>
  </si>
  <si>
    <t>SYN4104</t>
  </si>
  <si>
    <t>SYN4105</t>
  </si>
  <si>
    <t>SYN4106</t>
  </si>
  <si>
    <t>SYN4107</t>
  </si>
  <si>
    <t>SYN4108</t>
  </si>
  <si>
    <t>SYN4109</t>
  </si>
  <si>
    <t>SYN4110</t>
  </si>
  <si>
    <t>SYN4111</t>
  </si>
  <si>
    <t>SYN4112</t>
  </si>
  <si>
    <t>SYN4113</t>
  </si>
  <si>
    <t>SYN4114</t>
  </si>
  <si>
    <t>SYN4115</t>
  </si>
  <si>
    <t>SYN4116</t>
  </si>
  <si>
    <t>SYN4117</t>
  </si>
  <si>
    <t>SYN4118</t>
  </si>
  <si>
    <t>SYN4119</t>
  </si>
  <si>
    <t>SYN4120</t>
  </si>
  <si>
    <t>SYN4121</t>
  </si>
  <si>
    <t>SYN4122</t>
  </si>
  <si>
    <t>SYN4123</t>
  </si>
  <si>
    <t>SYN4124</t>
  </si>
  <si>
    <t>SYN4125</t>
  </si>
  <si>
    <t>SYN4126</t>
  </si>
  <si>
    <t>SYN4127</t>
  </si>
  <si>
    <t>SYN4128</t>
  </si>
  <si>
    <t>SYN4129</t>
  </si>
  <si>
    <t>SYN4130</t>
  </si>
  <si>
    <t>SYN4131</t>
  </si>
  <si>
    <t>SYN4132</t>
  </si>
  <si>
    <t>SYN4133</t>
  </si>
  <si>
    <t>SYN4134</t>
  </si>
  <si>
    <t>SYN4135</t>
  </si>
  <si>
    <t>SYN4136</t>
  </si>
  <si>
    <t>SYN4137</t>
  </si>
  <si>
    <t>SYN4138</t>
  </si>
  <si>
    <t>SYN4139</t>
  </si>
  <si>
    <t>SYN4140</t>
  </si>
  <si>
    <t>SYN4141</t>
  </si>
  <si>
    <t>SYN4142</t>
  </si>
  <si>
    <t>SYN4143</t>
  </si>
  <si>
    <t>SYN4144</t>
  </si>
  <si>
    <t>SYN4145</t>
  </si>
  <si>
    <t>SYN4146</t>
  </si>
  <si>
    <t>SYN4147</t>
  </si>
  <si>
    <t>SYN4148</t>
  </si>
  <si>
    <t>SYN4149</t>
  </si>
  <si>
    <t>SYN4150</t>
  </si>
  <si>
    <t>SYN4151</t>
  </si>
  <si>
    <t>SYN4152</t>
  </si>
  <si>
    <t>SYN4153</t>
  </si>
  <si>
    <t>SYN4154</t>
  </si>
  <si>
    <t>SYN4155</t>
  </si>
  <si>
    <t>SYN4156</t>
  </si>
  <si>
    <t>SYN4157</t>
  </si>
  <si>
    <t>SYN4158</t>
  </si>
  <si>
    <t>SYN4159</t>
  </si>
  <si>
    <t>SYN4160</t>
  </si>
  <si>
    <t>SYN4161</t>
  </si>
  <si>
    <t>SYN4162</t>
  </si>
  <si>
    <t>SYN4163</t>
  </si>
  <si>
    <t>SYN4164</t>
  </si>
  <si>
    <t>SYN4165</t>
  </si>
  <si>
    <t>SYN4166</t>
  </si>
  <si>
    <t>SYN4167</t>
  </si>
  <si>
    <t>SYN4168</t>
  </si>
  <si>
    <t>SYN4169</t>
  </si>
  <si>
    <t>SYN4170</t>
  </si>
  <si>
    <t>SYN4171</t>
  </si>
  <si>
    <t>SYN4172</t>
  </si>
  <si>
    <t>SYN4173</t>
  </si>
  <si>
    <t>SYN4174</t>
  </si>
  <si>
    <t>SYN4175</t>
  </si>
  <si>
    <t>SYN4176</t>
  </si>
  <si>
    <t>SYN4177</t>
  </si>
  <si>
    <t>SYN4178</t>
  </si>
  <si>
    <t>SYN4179</t>
  </si>
  <si>
    <t>SYN4180</t>
  </si>
  <si>
    <t>SYN4181</t>
  </si>
  <si>
    <t>SYN4182</t>
  </si>
  <si>
    <t>SYN4183</t>
  </si>
  <si>
    <t>SYN4184</t>
  </si>
  <si>
    <t>SYN4185</t>
  </si>
  <si>
    <t>SYN4186</t>
  </si>
  <si>
    <t>SYN4187</t>
  </si>
  <si>
    <t>SYN4188</t>
  </si>
  <si>
    <t>SYN4189</t>
  </si>
  <si>
    <t>SYN4190</t>
  </si>
  <si>
    <t>SYN4191</t>
  </si>
  <si>
    <t>SYN4192</t>
  </si>
  <si>
    <t>SYN4193</t>
  </si>
  <si>
    <t>SYN4194</t>
  </si>
  <si>
    <t>SYN4195</t>
  </si>
  <si>
    <t>SYN4196</t>
  </si>
  <si>
    <t>SYN4197</t>
  </si>
  <si>
    <t>SYN4198</t>
  </si>
  <si>
    <t>SYN4199</t>
  </si>
  <si>
    <t>SYN4200</t>
  </si>
  <si>
    <t>SYN4201</t>
  </si>
  <si>
    <t>SYN4202</t>
  </si>
  <si>
    <t>SYN4203</t>
  </si>
  <si>
    <t>SYN4204</t>
  </si>
  <si>
    <t>SYN4205</t>
  </si>
  <si>
    <t>SYN4206</t>
  </si>
  <si>
    <t>SYN4207</t>
  </si>
  <si>
    <t>SYN4208</t>
  </si>
  <si>
    <t>SYN4209</t>
  </si>
  <si>
    <t>SYN4210</t>
  </si>
  <si>
    <t>SYN4211</t>
  </si>
  <si>
    <t>SYN4212</t>
  </si>
  <si>
    <t>SYN4213</t>
  </si>
  <si>
    <t>SYN4214</t>
  </si>
  <si>
    <t>SYN4215</t>
  </si>
  <si>
    <t>SYN4216</t>
  </si>
  <si>
    <t>SYN4217</t>
  </si>
  <si>
    <t>SYN4218</t>
  </si>
  <si>
    <t>SYN4219</t>
  </si>
  <si>
    <t>SYN4220</t>
  </si>
  <si>
    <t>SYN4221</t>
  </si>
  <si>
    <t>SYN4222</t>
  </si>
  <si>
    <t>SYN4223</t>
  </si>
  <si>
    <t>SYN4224</t>
  </si>
  <si>
    <t>SYN4225</t>
  </si>
  <si>
    <t>SYN4226</t>
  </si>
  <si>
    <t>SYN4227</t>
  </si>
  <si>
    <t>SYN4228</t>
  </si>
  <si>
    <t>SYN4229</t>
  </si>
  <si>
    <t>SYN4230</t>
  </si>
  <si>
    <t>SYN4231</t>
  </si>
  <si>
    <t>SYN4232</t>
  </si>
  <si>
    <t>SYN4233</t>
  </si>
  <si>
    <t>SYN4234</t>
  </si>
  <si>
    <t>SYN4235</t>
  </si>
  <si>
    <t>SYN4236</t>
  </si>
  <si>
    <t>SYN4237</t>
  </si>
  <si>
    <t>SYN4238</t>
  </si>
  <si>
    <t>SYN4239</t>
  </si>
  <si>
    <t>SYN4240</t>
  </si>
  <si>
    <t>SYN4241</t>
  </si>
  <si>
    <t>SYN4242</t>
  </si>
  <si>
    <t>SYN4243</t>
  </si>
  <si>
    <t>SYN4244</t>
  </si>
  <si>
    <t>SYN4245</t>
  </si>
  <si>
    <t>SYN4246</t>
  </si>
  <si>
    <t>SYN4247</t>
  </si>
  <si>
    <t>SYN4248</t>
  </si>
  <si>
    <t>SYN4249</t>
  </si>
  <si>
    <t>SYN4250</t>
  </si>
  <si>
    <t>SYN4251</t>
  </si>
  <si>
    <t>SYN4252</t>
  </si>
  <si>
    <t>SYN4253</t>
  </si>
  <si>
    <t>SYN4254</t>
  </si>
  <si>
    <t>SYN4255</t>
  </si>
  <si>
    <t>SYN4256</t>
  </si>
  <si>
    <t>SYN4257</t>
  </si>
  <si>
    <t>SYN4258</t>
  </si>
  <si>
    <t>SYN4259</t>
  </si>
  <si>
    <t>SYN4260</t>
  </si>
  <si>
    <t>SYN4261</t>
  </si>
  <si>
    <t>SYN4262</t>
  </si>
  <si>
    <t>SYN4263</t>
  </si>
  <si>
    <t>SYN4264</t>
  </si>
  <si>
    <t>SYN4265</t>
  </si>
  <si>
    <t>SYN4266</t>
  </si>
  <si>
    <t>SYN4267</t>
  </si>
  <si>
    <t>SYN4268</t>
  </si>
  <si>
    <t>SYN4269</t>
  </si>
  <si>
    <t>SYN4270</t>
  </si>
  <si>
    <t>SYN4271</t>
  </si>
  <si>
    <t>SYN4272</t>
  </si>
  <si>
    <t>SYN4273</t>
  </si>
  <si>
    <t>SYN4274</t>
  </si>
  <si>
    <t>SYN4275</t>
  </si>
  <si>
    <t>SYN4276</t>
  </si>
  <si>
    <t>SYN4277</t>
  </si>
  <si>
    <t>SYN4278</t>
  </si>
  <si>
    <t>SYN4279</t>
  </si>
  <si>
    <t>SYN4280</t>
  </si>
  <si>
    <t>SYN4281</t>
  </si>
  <si>
    <t>SYN4282</t>
  </si>
  <si>
    <t>SYN4283</t>
  </si>
  <si>
    <t>SYN4284</t>
  </si>
  <si>
    <t>SYN4285</t>
  </si>
  <si>
    <t>SYN4286</t>
  </si>
  <si>
    <t>SYN4287</t>
  </si>
  <si>
    <t>SYN4288</t>
  </si>
  <si>
    <t>SYN4289</t>
  </si>
  <si>
    <t>SYN4290</t>
  </si>
  <si>
    <t>SYN4291</t>
  </si>
  <si>
    <t>SYN4292</t>
  </si>
  <si>
    <t>SYN4293</t>
  </si>
  <si>
    <t>SYN4294</t>
  </si>
  <si>
    <t>SYN4295</t>
  </si>
  <si>
    <t>SYN4296</t>
  </si>
  <si>
    <t>SYN4297</t>
  </si>
  <si>
    <t>SYN4298</t>
  </si>
  <si>
    <t>SYN4299</t>
  </si>
  <si>
    <t>SYN4300</t>
  </si>
  <si>
    <t>SYN4301</t>
  </si>
  <si>
    <t>SYN4302</t>
  </si>
  <si>
    <t>SYN4303</t>
  </si>
  <si>
    <t>SYN4304</t>
  </si>
  <si>
    <t>SYN4305</t>
  </si>
  <si>
    <t>SYN4306</t>
  </si>
  <si>
    <t>SYN4307</t>
  </si>
  <si>
    <t>SYN4308</t>
  </si>
  <si>
    <t>SYN4309</t>
  </si>
  <si>
    <t>SYN4310</t>
  </si>
  <si>
    <t>SYN4311</t>
  </si>
  <si>
    <t>SYN4312</t>
  </si>
  <si>
    <t>SYN4313</t>
  </si>
  <si>
    <t>SYN4314</t>
  </si>
  <si>
    <t>SYN4315</t>
  </si>
  <si>
    <t>SYN4316</t>
  </si>
  <si>
    <t>SYN4317</t>
  </si>
  <si>
    <t>SYN4318</t>
  </si>
  <si>
    <t>SYN4319</t>
  </si>
  <si>
    <t>SYN4320</t>
  </si>
  <si>
    <t>SYN4321</t>
  </si>
  <si>
    <t>SYN4322</t>
  </si>
  <si>
    <t>SYN4323</t>
  </si>
  <si>
    <t>SYN4324</t>
  </si>
  <si>
    <t>SYN4325</t>
  </si>
  <si>
    <t>SYN4326</t>
  </si>
  <si>
    <t>SYN4327</t>
  </si>
  <si>
    <t>SYN4328</t>
  </si>
  <si>
    <t>SYN4329</t>
  </si>
  <si>
    <t>SYN4330</t>
  </si>
  <si>
    <t>SYN4331</t>
  </si>
  <si>
    <t>SYN4332</t>
  </si>
  <si>
    <t>SYN4333</t>
  </si>
  <si>
    <t>SYN4334</t>
  </si>
  <si>
    <t>SYN4335</t>
  </si>
  <si>
    <t>SYN4336</t>
  </si>
  <si>
    <t>SYN4337</t>
  </si>
  <si>
    <t>SYN4338</t>
  </si>
  <si>
    <t>SYN4339</t>
  </si>
  <si>
    <t>SYN4340</t>
  </si>
  <si>
    <t>SYN4341</t>
  </si>
  <si>
    <t>SYN4342</t>
  </si>
  <si>
    <t>SYN4343</t>
  </si>
  <si>
    <t>SYN4344</t>
  </si>
  <si>
    <t>SYN4345</t>
  </si>
  <si>
    <t>SYN4346</t>
  </si>
  <si>
    <t>SYN4347</t>
  </si>
  <si>
    <t>SYN4348</t>
  </si>
  <si>
    <t>SYN4349</t>
  </si>
  <si>
    <t>SYN4350</t>
  </si>
  <si>
    <t>SYN4351</t>
  </si>
  <si>
    <t>SYN4352</t>
  </si>
  <si>
    <t>SYN4353</t>
  </si>
  <si>
    <t>SYN4354</t>
  </si>
  <si>
    <t>SYN4355</t>
  </si>
  <si>
    <t>SYN4356</t>
  </si>
  <si>
    <t>SYN4357</t>
  </si>
  <si>
    <t>SYN4358</t>
  </si>
  <si>
    <t>SYN4359</t>
  </si>
  <si>
    <t>SYN4360</t>
  </si>
  <si>
    <t>SYN4361</t>
  </si>
  <si>
    <t>SYN4362</t>
  </si>
  <si>
    <t>SYN4363</t>
  </si>
  <si>
    <t>SYN4364</t>
  </si>
  <si>
    <t>SYN4365</t>
  </si>
  <si>
    <t>SYN4366</t>
  </si>
  <si>
    <t>SYN4367</t>
  </si>
  <si>
    <t>SYN4368</t>
  </si>
  <si>
    <t>SYN4369</t>
  </si>
  <si>
    <t>SYN4370</t>
  </si>
  <si>
    <t>SYN4371</t>
  </si>
  <si>
    <t>SYN4372</t>
  </si>
  <si>
    <t>SYN4373</t>
  </si>
  <si>
    <t>SYN4374</t>
  </si>
  <si>
    <t>SYN4375</t>
  </si>
  <si>
    <t>SYN4376</t>
  </si>
  <si>
    <t>SYN4377</t>
  </si>
  <si>
    <t>SYN4378</t>
  </si>
  <si>
    <t>SYN4379</t>
  </si>
  <si>
    <t>SYN4380</t>
  </si>
  <si>
    <t>SYN4381</t>
  </si>
  <si>
    <t>SYN4382</t>
  </si>
  <si>
    <t>SYN4383</t>
  </si>
  <si>
    <t>SYN4384</t>
  </si>
  <si>
    <t>SYN4385</t>
  </si>
  <si>
    <t>SYN4386</t>
  </si>
  <si>
    <t>SYN4387</t>
  </si>
  <si>
    <t>SYN4388</t>
  </si>
  <si>
    <t>SYN4389</t>
  </si>
  <si>
    <t>SYN4390</t>
  </si>
  <si>
    <t>SYN4391</t>
  </si>
  <si>
    <t>SYN4392</t>
  </si>
  <si>
    <t>SYN4393</t>
  </si>
  <si>
    <t>SYN4394</t>
  </si>
  <si>
    <t>SYN4395</t>
  </si>
  <si>
    <t>SYN4396</t>
  </si>
  <si>
    <t>SYN4397</t>
  </si>
  <si>
    <t>SYN4398</t>
  </si>
  <si>
    <t>SYN4399</t>
  </si>
  <si>
    <t>SYN4400</t>
  </si>
  <si>
    <t>SYN4401</t>
  </si>
  <si>
    <t>SYN4402</t>
  </si>
  <si>
    <t>SYN4403</t>
  </si>
  <si>
    <t>SYN4404</t>
  </si>
  <si>
    <t>SYN4405</t>
  </si>
  <si>
    <t>SYN4406</t>
  </si>
  <si>
    <t>SYN4407</t>
  </si>
  <si>
    <t>SYN4408</t>
  </si>
  <si>
    <t>SYN4409</t>
  </si>
  <si>
    <t>SYN4410</t>
  </si>
  <si>
    <t>SYN4411</t>
  </si>
  <si>
    <t>SYN4412</t>
  </si>
  <si>
    <t>SYN4413</t>
  </si>
  <si>
    <t>SYN4414</t>
  </si>
  <si>
    <t>SYN4415</t>
  </si>
  <si>
    <t>SYN4416</t>
  </si>
  <si>
    <t>SYN4417</t>
  </si>
  <si>
    <t>SYN4418</t>
  </si>
  <si>
    <t>SYN4419</t>
  </si>
  <si>
    <t>SYN4420</t>
  </si>
  <si>
    <t>SYN4421</t>
  </si>
  <si>
    <t>SYN4422</t>
  </si>
  <si>
    <t>SYN4423</t>
  </si>
  <si>
    <t>SYN4424</t>
  </si>
  <si>
    <t>SYN4425</t>
  </si>
  <si>
    <t>SYN4426</t>
  </si>
  <si>
    <t>SYN4427</t>
  </si>
  <si>
    <t>SYN4428</t>
  </si>
  <si>
    <t>SYN4429</t>
  </si>
  <si>
    <t>SYN4430</t>
  </si>
  <si>
    <t>SYN4431</t>
  </si>
  <si>
    <t>SYN4432</t>
  </si>
  <si>
    <t>SYN4433</t>
  </si>
  <si>
    <t>SYN4434</t>
  </si>
  <si>
    <t>SYN4435</t>
  </si>
  <si>
    <t>SYN4436</t>
  </si>
  <si>
    <t>SYN4437</t>
  </si>
  <si>
    <t>SYN4438</t>
  </si>
  <si>
    <t>SYN4439</t>
  </si>
  <si>
    <t>SYN4440</t>
  </si>
  <si>
    <t>SYN4441</t>
  </si>
  <si>
    <t>SYN4442</t>
  </si>
  <si>
    <t>SYN4443</t>
  </si>
  <si>
    <t>SYN4444</t>
  </si>
  <si>
    <t>SYN4445</t>
  </si>
  <si>
    <t>SYN4446</t>
  </si>
  <si>
    <t>SYN4447</t>
  </si>
  <si>
    <t>SYN4448</t>
  </si>
  <si>
    <t>SYN4449</t>
  </si>
  <si>
    <t>SYN4450</t>
  </si>
  <si>
    <t>SYN4451</t>
  </si>
  <si>
    <t>SYN4452</t>
  </si>
  <si>
    <t>SYN4453</t>
  </si>
  <si>
    <t>SYN4454</t>
  </si>
  <si>
    <t>SYN4455</t>
  </si>
  <si>
    <t>SYN4456</t>
  </si>
  <si>
    <t>SYN4457</t>
  </si>
  <si>
    <t>SYN4458</t>
  </si>
  <si>
    <t>SYN4459</t>
  </si>
  <si>
    <t>SYN4460</t>
  </si>
  <si>
    <t>SYN4461</t>
  </si>
  <si>
    <t>SYN4462</t>
  </si>
  <si>
    <t>SYN4463</t>
  </si>
  <si>
    <t>SYN4464</t>
  </si>
  <si>
    <t>SYN4465</t>
  </si>
  <si>
    <t>SYN4466</t>
  </si>
  <si>
    <t>SYN4467</t>
  </si>
  <si>
    <t>SYN4468</t>
  </si>
  <si>
    <t>SYN4469</t>
  </si>
  <si>
    <t>SYN4470</t>
  </si>
  <si>
    <t>SYN4471</t>
  </si>
  <si>
    <t>SYN4472</t>
  </si>
  <si>
    <t>SYN4473</t>
  </si>
  <si>
    <t>SYN4474</t>
  </si>
  <si>
    <t>SYN4475</t>
  </si>
  <si>
    <t>SYN4476</t>
  </si>
  <si>
    <t>SYN4477</t>
  </si>
  <si>
    <t>SYN4478</t>
  </si>
  <si>
    <t>SYN4479</t>
  </si>
  <si>
    <t>SYN4480</t>
  </si>
  <si>
    <t>SYN4481</t>
  </si>
  <si>
    <t>SYN4482</t>
  </si>
  <si>
    <t>SYN4483</t>
  </si>
  <si>
    <t>SYN4484</t>
  </si>
  <si>
    <t>SYN4485</t>
  </si>
  <si>
    <t>SYN4486</t>
  </si>
  <si>
    <t>SYN4487</t>
  </si>
  <si>
    <t>SYN4488</t>
  </si>
  <si>
    <t>SYN4489</t>
  </si>
  <si>
    <t>SYN4490</t>
  </si>
  <si>
    <t>SYN4491</t>
  </si>
  <si>
    <t>SYN4492</t>
  </si>
  <si>
    <t>SYN4493</t>
  </si>
  <si>
    <t>SYN4494</t>
  </si>
  <si>
    <t>SYN4495</t>
  </si>
  <si>
    <t>SYN4496</t>
  </si>
  <si>
    <t>SYN4497</t>
  </si>
  <si>
    <t>SYN4498</t>
  </si>
  <si>
    <t>SYN4499</t>
  </si>
  <si>
    <t>SYN4500</t>
  </si>
  <si>
    <t>SYN4501</t>
  </si>
  <si>
    <t>SYN4502</t>
  </si>
  <si>
    <t>SYN4503</t>
  </si>
  <si>
    <t>SYN4504</t>
  </si>
  <si>
    <t>SYN4505</t>
  </si>
  <si>
    <t>SYN4506</t>
  </si>
  <si>
    <t>SYN4507</t>
  </si>
  <si>
    <t>SYN4508</t>
  </si>
  <si>
    <t>SYN4509</t>
  </si>
  <si>
    <t>SYN4510</t>
  </si>
  <si>
    <t>SYN4511</t>
  </si>
  <si>
    <t>SYN4512</t>
  </si>
  <si>
    <t>SYN4513</t>
  </si>
  <si>
    <t>SYN4514</t>
  </si>
  <si>
    <t>SYN4515</t>
  </si>
  <si>
    <t>SYN4516</t>
  </si>
  <si>
    <t>SYN4517</t>
  </si>
  <si>
    <t>SYN4518</t>
  </si>
  <si>
    <t>SYN4519</t>
  </si>
  <si>
    <t>SYN4520</t>
  </si>
  <si>
    <t>SYN4521</t>
  </si>
  <si>
    <t>SYN4522</t>
  </si>
  <si>
    <t>SYN4523</t>
  </si>
  <si>
    <t>SYN4524</t>
  </si>
  <si>
    <t>SYN4525</t>
  </si>
  <si>
    <t>SYN4526</t>
  </si>
  <si>
    <t>SYN4527</t>
  </si>
  <si>
    <t>SYN4528</t>
  </si>
  <si>
    <t>SYN4529</t>
  </si>
  <si>
    <t>SYN4530</t>
  </si>
  <si>
    <t>SYN4531</t>
  </si>
  <si>
    <t>SYN4532</t>
  </si>
  <si>
    <t>SYN4533</t>
  </si>
  <si>
    <t>SYN4534</t>
  </si>
  <si>
    <t>SYN4535</t>
  </si>
  <si>
    <t>SYN4536</t>
  </si>
  <si>
    <t>SYN4537</t>
  </si>
  <si>
    <t>SYN4538</t>
  </si>
  <si>
    <t>SYN4539</t>
  </si>
  <si>
    <t>SYN4540</t>
  </si>
  <si>
    <t>SYN4541</t>
  </si>
  <si>
    <t>SYN4542</t>
  </si>
  <si>
    <t>SYN4543</t>
  </si>
  <si>
    <t>SYN4544</t>
  </si>
  <si>
    <t>SYN4545</t>
  </si>
  <si>
    <t>SYN4546</t>
  </si>
  <si>
    <t>SYN4547</t>
  </si>
  <si>
    <t>SYN4548</t>
  </si>
  <si>
    <t>SYN4549</t>
  </si>
  <si>
    <t>SYN4550</t>
  </si>
  <si>
    <t>SYN4551</t>
  </si>
  <si>
    <t>SYN4552</t>
  </si>
  <si>
    <t>SYN4553</t>
  </si>
  <si>
    <t>SYN4554</t>
  </si>
  <si>
    <t>SYN4555</t>
  </si>
  <si>
    <t>SYN4556</t>
  </si>
  <si>
    <t>SYN4557</t>
  </si>
  <si>
    <t>SYN4558</t>
  </si>
  <si>
    <t>SYN4559</t>
  </si>
  <si>
    <t>SYN4560</t>
  </si>
  <si>
    <t>SYN4561</t>
  </si>
  <si>
    <t>SYN4562</t>
  </si>
  <si>
    <t>SYN4563</t>
  </si>
  <si>
    <t>SYN4564</t>
  </si>
  <si>
    <t>SYN4565</t>
  </si>
  <si>
    <t>SYN4566</t>
  </si>
  <si>
    <t>SYN4567</t>
  </si>
  <si>
    <t>SYN4568</t>
  </si>
  <si>
    <t>SYN4569</t>
  </si>
  <si>
    <t>SYN4570</t>
  </si>
  <si>
    <t>SYN4571</t>
  </si>
  <si>
    <t>SYN4572</t>
  </si>
  <si>
    <t>SYN4573</t>
  </si>
  <si>
    <t>SYN4574</t>
  </si>
  <si>
    <t>SYN4575</t>
  </si>
  <si>
    <t>SYN4576</t>
  </si>
  <si>
    <t>SYN4577</t>
  </si>
  <si>
    <t>SYN4578</t>
  </si>
  <si>
    <t>SYN4579</t>
  </si>
  <si>
    <t>SYN4580</t>
  </si>
  <si>
    <t>SYN4581</t>
  </si>
  <si>
    <t>SYN4582</t>
  </si>
  <si>
    <t>SYN4583</t>
  </si>
  <si>
    <t>SYN4584</t>
  </si>
  <si>
    <t>SYN4585</t>
  </si>
  <si>
    <t>SYN4586</t>
  </si>
  <si>
    <t>SYN4587</t>
  </si>
  <si>
    <t>SYN4588</t>
  </si>
  <si>
    <t>SYN4589</t>
  </si>
  <si>
    <t>SYN4590</t>
  </si>
  <si>
    <t>SYN4591</t>
  </si>
  <si>
    <t>SYN4592</t>
  </si>
  <si>
    <t>SYN4593</t>
  </si>
  <si>
    <t>SYN4594</t>
  </si>
  <si>
    <t>SYN4595</t>
  </si>
  <si>
    <t>SYN4596</t>
  </si>
  <si>
    <t>SYN4597</t>
  </si>
  <si>
    <t>SYN4598</t>
  </si>
  <si>
    <t>SYN4599</t>
  </si>
  <si>
    <t>SYN4600</t>
  </si>
  <si>
    <t>SYN4601</t>
  </si>
  <si>
    <t>SYN4602</t>
  </si>
  <si>
    <t>SYN4603</t>
  </si>
  <si>
    <t>SYN4604</t>
  </si>
  <si>
    <t>SYN4605</t>
  </si>
  <si>
    <t>SYN4606</t>
  </si>
  <si>
    <t>SYN4607</t>
  </si>
  <si>
    <t>SYN4608</t>
  </si>
  <si>
    <t>SYN4609</t>
  </si>
  <si>
    <t>SYN4610</t>
  </si>
  <si>
    <t>SYN4611</t>
  </si>
  <si>
    <t>SYN4612</t>
  </si>
  <si>
    <t>SYN4613</t>
  </si>
  <si>
    <t>SYN4614</t>
  </si>
  <si>
    <t>SYN4615</t>
  </si>
  <si>
    <t>SYN4616</t>
  </si>
  <si>
    <t>SYN4617</t>
  </si>
  <si>
    <t>SYN4618</t>
  </si>
  <si>
    <t>SYN4619</t>
  </si>
  <si>
    <t>SYN4620</t>
  </si>
  <si>
    <t>SYN4621</t>
  </si>
  <si>
    <t>SYN4622</t>
  </si>
  <si>
    <t>SYN4623</t>
  </si>
  <si>
    <t>SYN4624</t>
  </si>
  <si>
    <t>SYN4625</t>
  </si>
  <si>
    <t>SYN4626</t>
  </si>
  <si>
    <t>SYN4627</t>
  </si>
  <si>
    <t>SYN4628</t>
  </si>
  <si>
    <t>SYN4629</t>
  </si>
  <si>
    <t>SYN4630</t>
  </si>
  <si>
    <t>SYN4631</t>
  </si>
  <si>
    <t>SYN4632</t>
  </si>
  <si>
    <t>SYN4633</t>
  </si>
  <si>
    <t>SYN4634</t>
  </si>
  <si>
    <t>SYN4635</t>
  </si>
  <si>
    <t>SYN4636</t>
  </si>
  <si>
    <t>SYN4637</t>
  </si>
  <si>
    <t>SYN4638</t>
  </si>
  <si>
    <t>SYN4639</t>
  </si>
  <si>
    <t>SYN4640</t>
  </si>
  <si>
    <t>SYN4641</t>
  </si>
  <si>
    <t>SYN4642</t>
  </si>
  <si>
    <t>SYN4643</t>
  </si>
  <si>
    <t>SYN4644</t>
  </si>
  <si>
    <t>SYN4645</t>
  </si>
  <si>
    <t>SYN4646</t>
  </si>
  <si>
    <t>SYN4647</t>
  </si>
  <si>
    <t>SYN4648</t>
  </si>
  <si>
    <t>SYN4649</t>
  </si>
  <si>
    <t>SYN4650</t>
  </si>
  <si>
    <t>SYN4651</t>
  </si>
  <si>
    <t>SYN4652</t>
  </si>
  <si>
    <t>SYN4653</t>
  </si>
  <si>
    <t>SYN4654</t>
  </si>
  <si>
    <t>SYN4655</t>
  </si>
  <si>
    <t>SYN4656</t>
  </si>
  <si>
    <t>SYN4657</t>
  </si>
  <si>
    <t>SYN4658</t>
  </si>
  <si>
    <t>SYN4659</t>
  </si>
  <si>
    <t>SYN4660</t>
  </si>
  <si>
    <t>SYN4661</t>
  </si>
  <si>
    <t>SYN4662</t>
  </si>
  <si>
    <t>SYN4663</t>
  </si>
  <si>
    <t>SYN4664</t>
  </si>
  <si>
    <t>SYN4665</t>
  </si>
  <si>
    <t>SYN4666</t>
  </si>
  <si>
    <t>SYN4667</t>
  </si>
  <si>
    <t>SYN4668</t>
  </si>
  <si>
    <t>SYN4669</t>
  </si>
  <si>
    <t>SYN4670</t>
  </si>
  <si>
    <t>SYN4671</t>
  </si>
  <si>
    <t>SYN4672</t>
  </si>
  <si>
    <t>SYN4673</t>
  </si>
  <si>
    <t>SYN4674</t>
  </si>
  <si>
    <t>SYN4675</t>
  </si>
  <si>
    <t>SYN4676</t>
  </si>
  <si>
    <t>SYN4677</t>
  </si>
  <si>
    <t>SYN4678</t>
  </si>
  <si>
    <t>SYN4679</t>
  </si>
  <si>
    <t>SYN4680</t>
  </si>
  <si>
    <t>SYN4681</t>
  </si>
  <si>
    <t>SYN4682</t>
  </si>
  <si>
    <t>SYN4683</t>
  </si>
  <si>
    <t>SYN4684</t>
  </si>
  <si>
    <t>SYN4685</t>
  </si>
  <si>
    <t>SYN4686</t>
  </si>
  <si>
    <t>SYN4687</t>
  </si>
  <si>
    <t>SYN4688</t>
  </si>
  <si>
    <t>SYN4689</t>
  </si>
  <si>
    <t>SYN4690</t>
  </si>
  <si>
    <t>SYN4691</t>
  </si>
  <si>
    <t>SYN4692</t>
  </si>
  <si>
    <t>SYN4693</t>
  </si>
  <si>
    <t>SYN4694</t>
  </si>
  <si>
    <t>SYN4695</t>
  </si>
  <si>
    <t>SYN4696</t>
  </si>
  <si>
    <t>SYN4697</t>
  </si>
  <si>
    <t>SYN4698</t>
  </si>
  <si>
    <t>SYN4699</t>
  </si>
  <si>
    <t>SYN4700</t>
  </si>
  <si>
    <t>SYN4701</t>
  </si>
  <si>
    <t>SYN4702</t>
  </si>
  <si>
    <t>SYN4703</t>
  </si>
  <si>
    <t>SYN4704</t>
  </si>
  <si>
    <t>SYN4705</t>
  </si>
  <si>
    <t>SYN4706</t>
  </si>
  <si>
    <t>SYN4707</t>
  </si>
  <si>
    <t>SYN4708</t>
  </si>
  <si>
    <t>SYN4709</t>
  </si>
  <si>
    <t>SYN4710</t>
  </si>
  <si>
    <t>SYN4711</t>
  </si>
  <si>
    <t>SYN4712</t>
  </si>
  <si>
    <t>SYN4713</t>
  </si>
  <si>
    <t>SYN4714</t>
  </si>
  <si>
    <t>SYN4715</t>
  </si>
  <si>
    <t>SYN4716</t>
  </si>
  <si>
    <t>SYN4717</t>
  </si>
  <si>
    <t>SYN4718</t>
  </si>
  <si>
    <t>SYN4719</t>
  </si>
  <si>
    <t>SYN4720</t>
  </si>
  <si>
    <t>SYN4721</t>
  </si>
  <si>
    <t>SYN4722</t>
  </si>
  <si>
    <t>SYN4723</t>
  </si>
  <si>
    <t>SYN4724</t>
  </si>
  <si>
    <t>SYN4725</t>
  </si>
  <si>
    <t>SYN4726</t>
  </si>
  <si>
    <t>SYN4727</t>
  </si>
  <si>
    <t>SYN4728</t>
  </si>
  <si>
    <t>SYN4729</t>
  </si>
  <si>
    <t>SYN4730</t>
  </si>
  <si>
    <t>SYN4731</t>
  </si>
  <si>
    <t>SYN4732</t>
  </si>
  <si>
    <t>SYN4733</t>
  </si>
  <si>
    <t>SYN4734</t>
  </si>
  <si>
    <t>SYN4735</t>
  </si>
  <si>
    <t>SYN4736</t>
  </si>
  <si>
    <t>SYN4737</t>
  </si>
  <si>
    <t>SYN4738</t>
  </si>
  <si>
    <t>SYN4739</t>
  </si>
  <si>
    <t>SYN4740</t>
  </si>
  <si>
    <t>SYN4741</t>
  </si>
  <si>
    <t>SYN4742</t>
  </si>
  <si>
    <t>SYN4743</t>
  </si>
  <si>
    <t>SYN4744</t>
  </si>
  <si>
    <t>SYN4745</t>
  </si>
  <si>
    <t>SYN4746</t>
  </si>
  <si>
    <t>SYN4747</t>
  </si>
  <si>
    <t>SYN4748</t>
  </si>
  <si>
    <t>SYN4749</t>
  </si>
  <si>
    <t>SYN4750</t>
  </si>
  <si>
    <t>SYN4751</t>
  </si>
  <si>
    <t>SYN4752</t>
  </si>
  <si>
    <t>SYN4753</t>
  </si>
  <si>
    <t>SYN4754</t>
  </si>
  <si>
    <t>SYN4755</t>
  </si>
  <si>
    <t>SYN4756</t>
  </si>
  <si>
    <t>SYN4757</t>
  </si>
  <si>
    <t>SYN4758</t>
  </si>
  <si>
    <t>SYN4759</t>
  </si>
  <si>
    <t>SYN4760</t>
  </si>
  <si>
    <t>SYN4761</t>
  </si>
  <si>
    <t>SYN4762</t>
  </si>
  <si>
    <t>SYN4763</t>
  </si>
  <si>
    <t>SYN4764</t>
  </si>
  <si>
    <t>SYN4765</t>
  </si>
  <si>
    <t>SYN4766</t>
  </si>
  <si>
    <t>SYN4767</t>
  </si>
  <si>
    <t>SYN4768</t>
  </si>
  <si>
    <t>SYN4769</t>
  </si>
  <si>
    <t>SYN4770</t>
  </si>
  <si>
    <t>SYN4771</t>
  </si>
  <si>
    <t>SYN4772</t>
  </si>
  <si>
    <t>SYN4773</t>
  </si>
  <si>
    <t>SYN4774</t>
  </si>
  <si>
    <t>SYN4775</t>
  </si>
  <si>
    <t>SYN4776</t>
  </si>
  <si>
    <t>SYN4777</t>
  </si>
  <si>
    <t>SYN4778</t>
  </si>
  <si>
    <t>SYN4779</t>
  </si>
  <si>
    <t>SYN4780</t>
  </si>
  <si>
    <t>SYN4781</t>
  </si>
  <si>
    <t>SYN4782</t>
  </si>
  <si>
    <t>SYN4783</t>
  </si>
  <si>
    <t>SYN4784</t>
  </si>
  <si>
    <t>SYN4785</t>
  </si>
  <si>
    <t>SYN4786</t>
  </si>
  <si>
    <t>SYN4787</t>
  </si>
  <si>
    <t>SYN4788</t>
  </si>
  <si>
    <t>SYN4789</t>
  </si>
  <si>
    <t>SYN4790</t>
  </si>
  <si>
    <t>SYN4791</t>
  </si>
  <si>
    <t>SYN4792</t>
  </si>
  <si>
    <t>SYN4793</t>
  </si>
  <si>
    <t>SYN4794</t>
  </si>
  <si>
    <t>SYN4795</t>
  </si>
  <si>
    <t>SYN4796</t>
  </si>
  <si>
    <t>SYN4797</t>
  </si>
  <si>
    <t>SYN4798</t>
  </si>
  <si>
    <t>SYN4799</t>
  </si>
  <si>
    <t>SYN4800</t>
  </si>
  <si>
    <t>SYN4801</t>
  </si>
  <si>
    <t>SYN4802</t>
  </si>
  <si>
    <t>SYN4803</t>
  </si>
  <si>
    <t>SYN4804</t>
  </si>
  <si>
    <t>SYN4805</t>
  </si>
  <si>
    <t>SYN4806</t>
  </si>
  <si>
    <t>SYN4807</t>
  </si>
  <si>
    <t>SYN4808</t>
  </si>
  <si>
    <t>SYN4809</t>
  </si>
  <si>
    <t>SYN4810</t>
  </si>
  <si>
    <t>SYN4811</t>
  </si>
  <si>
    <t>SYN4812</t>
  </si>
  <si>
    <t>SYN4813</t>
  </si>
  <si>
    <t>SYN4814</t>
  </si>
  <si>
    <t>SYN4815</t>
  </si>
  <si>
    <t>SYN4816</t>
  </si>
  <si>
    <t>SYN4817</t>
  </si>
  <si>
    <t>SYN4818</t>
  </si>
  <si>
    <t>SYN4819</t>
  </si>
  <si>
    <t>SYN4820</t>
  </si>
  <si>
    <t>SYN4821</t>
  </si>
  <si>
    <t>SYN4822</t>
  </si>
  <si>
    <t>SYN4823</t>
  </si>
  <si>
    <t>SYN4824</t>
  </si>
  <si>
    <t>SYN4825</t>
  </si>
  <si>
    <t>SYN4826</t>
  </si>
  <si>
    <t>SYN4827</t>
  </si>
  <si>
    <t>SYN4828</t>
  </si>
  <si>
    <t>SYN4829</t>
  </si>
  <si>
    <t>SYN4830</t>
  </si>
  <si>
    <t>SYN4831</t>
  </si>
  <si>
    <t>SYN4832</t>
  </si>
  <si>
    <t>SYN4833</t>
  </si>
  <si>
    <t>SYN4834</t>
  </si>
  <si>
    <t>SYN4835</t>
  </si>
  <si>
    <t>SYN4836</t>
  </si>
  <si>
    <t>SYN4837</t>
  </si>
  <si>
    <t>SYN4838</t>
  </si>
  <si>
    <t>SYN4839</t>
  </si>
  <si>
    <t>SYN4840</t>
  </si>
  <si>
    <t>SYN4841</t>
  </si>
  <si>
    <t>SYN4842</t>
  </si>
  <si>
    <t>SYN4843</t>
  </si>
  <si>
    <t>SYN4844</t>
  </si>
  <si>
    <t>SYN4845</t>
  </si>
  <si>
    <t>SYN4846</t>
  </si>
  <si>
    <t>SYN4847</t>
  </si>
  <si>
    <t>SYN4848</t>
  </si>
  <si>
    <t>SYN4849</t>
  </si>
  <si>
    <t>SYN4850</t>
  </si>
  <si>
    <t>SYN4851</t>
  </si>
  <si>
    <t>SYN4852</t>
  </si>
  <si>
    <t>SYN4853</t>
  </si>
  <si>
    <t>SYN4854</t>
  </si>
  <si>
    <t>SYN4855</t>
  </si>
  <si>
    <t>SYN4856</t>
  </si>
  <si>
    <t>SYN4857</t>
  </si>
  <si>
    <t>SYN4858</t>
  </si>
  <si>
    <t>SYN4859</t>
  </si>
  <si>
    <t>SYN4860</t>
  </si>
  <si>
    <t>SYN4861</t>
  </si>
  <si>
    <t>SYN4862</t>
  </si>
  <si>
    <t>SYN4863</t>
  </si>
  <si>
    <t>SYN4864</t>
  </si>
  <si>
    <t>SYN4865</t>
  </si>
  <si>
    <t>SYN4866</t>
  </si>
  <si>
    <t>SYN4867</t>
  </si>
  <si>
    <t>SYN4868</t>
  </si>
  <si>
    <t>SYN4869</t>
  </si>
  <si>
    <t>SYN4870</t>
  </si>
  <si>
    <t>SYN4871</t>
  </si>
  <si>
    <t>SYN4872</t>
  </si>
  <si>
    <t>SYN4873</t>
  </si>
  <si>
    <t>SYN4874</t>
  </si>
  <si>
    <t>SYN4875</t>
  </si>
  <si>
    <t>SYN4876</t>
  </si>
  <si>
    <t>SYN4877</t>
  </si>
  <si>
    <t>SYN4878</t>
  </si>
  <si>
    <t>SYN4879</t>
  </si>
  <si>
    <t>SYN4880</t>
  </si>
  <si>
    <t>SYN4881</t>
  </si>
  <si>
    <t>SYN4882</t>
  </si>
  <si>
    <t>SYN4883</t>
  </si>
  <si>
    <t>SYN4884</t>
  </si>
  <si>
    <t>SYN4885</t>
  </si>
  <si>
    <t>SYN4886</t>
  </si>
  <si>
    <t>SYN4887</t>
  </si>
  <si>
    <t>SYN4888</t>
  </si>
  <si>
    <t>SYN4889</t>
  </si>
  <si>
    <t>SYN4890</t>
  </si>
  <si>
    <t>SYN4891</t>
  </si>
  <si>
    <t>SYN4892</t>
  </si>
  <si>
    <t>SYN4893</t>
  </si>
  <si>
    <t>SYN4894</t>
  </si>
  <si>
    <t>SYN4895</t>
  </si>
  <si>
    <t>SYN4896</t>
  </si>
  <si>
    <t>SYN4897</t>
  </si>
  <si>
    <t>SYN4898</t>
  </si>
  <si>
    <t>SYN4899</t>
  </si>
  <si>
    <t>SYN4900</t>
  </si>
  <si>
    <t>SYN4901</t>
  </si>
  <si>
    <t>SYN4902</t>
  </si>
  <si>
    <t>SYN4903</t>
  </si>
  <si>
    <t>SYN4904</t>
  </si>
  <si>
    <t>SYN4905</t>
  </si>
  <si>
    <t>SYN4906</t>
  </si>
  <si>
    <t>SYN4907</t>
  </si>
  <si>
    <t>SYN4908</t>
  </si>
  <si>
    <t>SYN4909</t>
  </si>
  <si>
    <t>SYN4910</t>
  </si>
  <si>
    <t>SYN4911</t>
  </si>
  <si>
    <t>SYN4912</t>
  </si>
  <si>
    <t>SYN4913</t>
  </si>
  <si>
    <t>SYN4914</t>
  </si>
  <si>
    <t>SYN4915</t>
  </si>
  <si>
    <t>SYN4916</t>
  </si>
  <si>
    <t>SYN4917</t>
  </si>
  <si>
    <t>SYN4918</t>
  </si>
  <si>
    <t>SYN4919</t>
  </si>
  <si>
    <t>SYN4920</t>
  </si>
  <si>
    <t>SYN4921</t>
  </si>
  <si>
    <t>SYN4922</t>
  </si>
  <si>
    <t>SYN4923</t>
  </si>
  <si>
    <t>SYN4924</t>
  </si>
  <si>
    <t>SYN4925</t>
  </si>
  <si>
    <t>SYN4926</t>
  </si>
  <si>
    <t>SYN4927</t>
  </si>
  <si>
    <t>SYN4928</t>
  </si>
  <si>
    <t>SYN4929</t>
  </si>
  <si>
    <t>SYN4930</t>
  </si>
  <si>
    <t>SYN4931</t>
  </si>
  <si>
    <t>SYN4932</t>
  </si>
  <si>
    <t>SYN4933</t>
  </si>
  <si>
    <t>SYN4934</t>
  </si>
  <si>
    <t>SYN4935</t>
  </si>
  <si>
    <t>SYN4936</t>
  </si>
  <si>
    <t>SYN4937</t>
  </si>
  <si>
    <t>SYN4938</t>
  </si>
  <si>
    <t>SYN4939</t>
  </si>
  <si>
    <t>SYN4940</t>
  </si>
  <si>
    <t>SYN4941</t>
  </si>
  <si>
    <t>SYN4942</t>
  </si>
  <si>
    <t>SYN4943</t>
  </si>
  <si>
    <t>SYN4944</t>
  </si>
  <si>
    <t>SYN4945</t>
  </si>
  <si>
    <t>SYN4946</t>
  </si>
  <si>
    <t>SYN4947</t>
  </si>
  <si>
    <t>SYN4948</t>
  </si>
  <si>
    <t>SYN4949</t>
  </si>
  <si>
    <t>SYN4950</t>
  </si>
  <si>
    <t>SYN4951</t>
  </si>
  <si>
    <t>SYN4952</t>
  </si>
  <si>
    <t>SYN4953</t>
  </si>
  <si>
    <t>SYN4954</t>
  </si>
  <si>
    <t>SYN4955</t>
  </si>
  <si>
    <t>SYN4956</t>
  </si>
  <si>
    <t>SYN4957</t>
  </si>
  <si>
    <t>SYN4958</t>
  </si>
  <si>
    <t>SYN4959</t>
  </si>
  <si>
    <t>SYN4960</t>
  </si>
  <si>
    <t>SYN4961</t>
  </si>
  <si>
    <t>SYN4962</t>
  </si>
  <si>
    <t>SYN4963</t>
  </si>
  <si>
    <t>SYN4964</t>
  </si>
  <si>
    <t>SYN4965</t>
  </si>
  <si>
    <t>SYN4966</t>
  </si>
  <si>
    <t>SYN4967</t>
  </si>
  <si>
    <t>SYN4968</t>
  </si>
  <si>
    <t>SYN4969</t>
  </si>
  <si>
    <t>SYN4970</t>
  </si>
  <si>
    <t>SYN4971</t>
  </si>
  <si>
    <t>SYN4972</t>
  </si>
  <si>
    <t>SYN4973</t>
  </si>
  <si>
    <t>SYN4974</t>
  </si>
  <si>
    <t>SYN4975</t>
  </si>
  <si>
    <t>SYN4976</t>
  </si>
  <si>
    <t>SYN4977</t>
  </si>
  <si>
    <t>SYN4978</t>
  </si>
  <si>
    <t>SYN4979</t>
  </si>
  <si>
    <t>SYN4980</t>
  </si>
  <si>
    <t>SYN4981</t>
  </si>
  <si>
    <t>SYN4982</t>
  </si>
  <si>
    <t>SYN4983</t>
  </si>
  <si>
    <t>SYN4984</t>
  </si>
  <si>
    <t>SYN4985</t>
  </si>
  <si>
    <t>SYN4986</t>
  </si>
  <si>
    <t>SYN4987</t>
  </si>
  <si>
    <t>SYN4988</t>
  </si>
  <si>
    <t>SYN4989</t>
  </si>
  <si>
    <t>SYN4990</t>
  </si>
  <si>
    <t>SYN4991</t>
  </si>
  <si>
    <t>SYN4992</t>
  </si>
  <si>
    <t>SYN4993</t>
  </si>
  <si>
    <t>SYN4994</t>
  </si>
  <si>
    <t>SYN4995</t>
  </si>
  <si>
    <t>SYN4996</t>
  </si>
  <si>
    <t>SYN4997</t>
  </si>
  <si>
    <t>SYN4998</t>
  </si>
  <si>
    <t>SYN4999</t>
  </si>
  <si>
    <t>SYN5000</t>
  </si>
  <si>
    <t>Duration Band</t>
  </si>
  <si>
    <t>Age Band</t>
  </si>
  <si>
    <t>Expected Deaths</t>
  </si>
  <si>
    <t>Row Labels</t>
  </si>
  <si>
    <t>20-29</t>
  </si>
  <si>
    <t>30-39</t>
  </si>
  <si>
    <t>40-49</t>
  </si>
  <si>
    <t>50-59</t>
  </si>
  <si>
    <t>60-69</t>
  </si>
  <si>
    <t>70-79</t>
  </si>
  <si>
    <t>80-89</t>
  </si>
  <si>
    <t>90-99</t>
  </si>
  <si>
    <t>Grand Total</t>
  </si>
  <si>
    <t>0-9</t>
  </si>
  <si>
    <t>10-19</t>
  </si>
  <si>
    <t>Column Labels</t>
  </si>
  <si>
    <t>Sum of Actual Death (0/1)</t>
  </si>
  <si>
    <t>Total Sum of Actual Death (0/1)</t>
  </si>
  <si>
    <t>Total Sum of Expected Deaths</t>
  </si>
  <si>
    <t>Sum of Expected Deaths</t>
  </si>
  <si>
    <t>Total AERatio</t>
  </si>
  <si>
    <t>AERatio</t>
  </si>
  <si>
    <t>Details for Sum of Expected Deaths - Duration Band: 0-9</t>
  </si>
  <si>
    <t xml:space="preserve">The age AE ratio for 0-9 duration and age 70-79 is extremely high but probably because of very low expected death. </t>
  </si>
  <si>
    <t xml:space="preserve">It should also be noted that age 90-99 has high AE ratio in the later duration (20-29), there are many more deaths than expected, we should recheck our mortality assumptions in the ultimate column.  </t>
  </si>
  <si>
    <t>The age band 60-69 has a low overall AE ratio and should be monitored closely</t>
  </si>
  <si>
    <t>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</si>
</sst>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numFmt numFmtId="166" formatCode="m/d/yyyy"/>
    <numFmt numFmtId="167" formatCode="_(\$* #,##0.00_);_(\$* \(#,##0.00\);_(\$* \-??_);_(@_)"/>
  </numFmts>
  <fonts count="11">
    <font>
      <sz val="12"/>
      <color theme="1"/>
      <name val="Aptos Narrow"/>
      <family val="2"/>
      <charset val="1"/>
    </font>
    <font>
      <b/>
      <sz val="10"/>
      <color rgb="FFFFFFFF"/>
      <name val="Arial"/>
      <family val="2"/>
      <charset val="1"/>
    </font>
    <font>
      <sz val="10"/>
      <color rgb="FF000000"/>
      <name val="Arial"/>
      <family val="2"/>
      <charset val="1"/>
    </font>
    <font>
      <sz val="10"/>
      <color rgb="FF0000FF"/>
      <name val="Arial"/>
      <family val="2"/>
      <charset val="1"/>
    </font>
    <font>
      <b/>
      <sz val="12"/>
      <color rgb="FF7030A0"/>
      <name val="Aptos Narrow"/>
    </font>
    <font>
      <sz val="10"/>
      <color theme="1"/>
      <name val="Arial"/>
      <family val="2"/>
      <charset val="1"/>
    </font>
    <font>
      <b/>
      <sz val="26"/>
      <color theme="1"/>
      <name val="Aptos Narrow"/>
    </font>
    <font>
      <b/>
      <sz val="24"/>
      <color theme="1"/>
      <name val="Aptos Narrow"/>
    </font>
    <font>
      <sz val="12"/>
      <color theme="1"/>
      <name val="Aptos Narrow"/>
      <family val="2"/>
      <charset val="1"/>
    </font>
    <font>
      <b/>
      <sz val="12"/>
      <name val="Aptos Narrow"/>
    </font>
    <font>
      <b/>
      <sz val="12"/>
      <color theme="1"/>
      <name val="Aptos Narrow"/>
      <family val="2"/>
      <charset val="1"/>
    </font>
  </fonts>
  <fills count="5">
    <fill>
      <patternFill patternType="none"/>
    </fill>
    <fill>
      <patternFill patternType="gray125"/>
    </fill>
    <fill>
      <patternFill patternType="solid">
        <fgColor rgb="FF1F4E78"/>
        <bgColor rgb="FF003366"/>
      </patternFill>
    </fill>
    <fill>
      <patternFill patternType="solid">
        <fgColor theme="4" tint="0.59987182226020086"/>
        <bgColor rgb="FFBFBFBF"/>
      </patternFill>
    </fill>
    <fill>
      <patternFill patternType="solid">
        <fgColor rgb="FFFFFF00"/>
        <bgColor rgb="FFFFFF00"/>
      </patternFill>
    </fill>
  </fills>
  <borders count="12">
    <border>
      <left/>
      <right/>
      <top/>
      <bottom/>
      <diagonal/>
    </border>
    <border>
      <left/>
      <right/>
      <top/>
      <bottom style="thin">
        <color auto="1"/>
      </bottom>
      <diagonal/>
    </border>
    <border>
      <left/>
      <right style="thin">
        <color auto="1"/>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3">
    <xf numFmtId="0" fontId="0" fillId="0" borderId="0"/>
    <xf numFmtId="167" fontId="8" fillId="0" borderId="0"/>
    <xf numFmtId="9" fontId="8" fillId="0" borderId="0"/>
  </cellStyleXfs>
  <cellXfs count="49">
    <xf numFmtId="0" fontId="0" fillId="0" borderId="0" xfId="0"/>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1" fontId="0" fillId="0" borderId="0" xfId="0" applyNumberFormat="1" applyAlignment="1">
      <alignment horizontal="center"/>
    </xf>
    <xf numFmtId="0" fontId="0" fillId="0" borderId="0" xfId="0" applyAlignment="1">
      <alignment horizontal="right"/>
    </xf>
    <xf numFmtId="2" fontId="0" fillId="0" borderId="0" xfId="0" applyNumberFormat="1" applyAlignment="1">
      <alignment horizontal="right"/>
    </xf>
    <xf numFmtId="0" fontId="1" fillId="2" borderId="3" xfId="0" applyFont="1" applyFill="1" applyBorder="1"/>
    <xf numFmtId="0" fontId="2" fillId="0" borderId="3" xfId="0" applyFont="1" applyBorder="1"/>
    <xf numFmtId="164" fontId="3" fillId="0" borderId="3" xfId="0" applyNumberFormat="1" applyFont="1" applyBorder="1"/>
    <xf numFmtId="164" fontId="2" fillId="0" borderId="3" xfId="0" applyNumberFormat="1" applyFont="1" applyBorder="1"/>
    <xf numFmtId="165" fontId="3" fillId="0" borderId="3" xfId="0" applyNumberFormat="1" applyFont="1" applyBorder="1"/>
    <xf numFmtId="0" fontId="4" fillId="3" borderId="4" xfId="0" applyFont="1" applyFill="1" applyBorder="1"/>
    <xf numFmtId="0" fontId="5" fillId="0" borderId="4" xfId="0" applyFont="1" applyBorder="1" applyAlignment="1">
      <alignment horizontal="right"/>
    </xf>
    <xf numFmtId="0" fontId="0" fillId="0" borderId="4" xfId="0" applyBorder="1"/>
    <xf numFmtId="0" fontId="0" fillId="0" borderId="4" xfId="0" applyBorder="1" applyAlignment="1">
      <alignment horizontal="right"/>
    </xf>
    <xf numFmtId="9" fontId="0" fillId="0" borderId="4" xfId="0" applyNumberFormat="1" applyBorder="1"/>
    <xf numFmtId="0" fontId="4" fillId="3" borderId="0" xfId="0" applyFont="1" applyFill="1"/>
    <xf numFmtId="0" fontId="4" fillId="3" borderId="5" xfId="0" applyFont="1" applyFill="1" applyBorder="1"/>
    <xf numFmtId="2" fontId="0" fillId="0" borderId="0" xfId="0" applyNumberFormat="1"/>
    <xf numFmtId="166" fontId="0" fillId="0" borderId="0" xfId="0" applyNumberFormat="1"/>
    <xf numFmtId="0" fontId="1" fillId="2" borderId="3" xfId="0" applyFont="1" applyFill="1" applyBorder="1" applyAlignment="1">
      <alignment horizontal="center" wrapText="1"/>
    </xf>
    <xf numFmtId="166" fontId="1" fillId="2" borderId="3" xfId="0" applyNumberFormat="1" applyFont="1" applyFill="1" applyBorder="1" applyAlignment="1">
      <alignment horizontal="center" wrapText="1"/>
    </xf>
    <xf numFmtId="0" fontId="5" fillId="0" borderId="3" xfId="0" applyFont="1" applyBorder="1"/>
    <xf numFmtId="165" fontId="5" fillId="0" borderId="3" xfId="0" applyNumberFormat="1" applyFont="1" applyBorder="1"/>
    <xf numFmtId="166" fontId="5" fillId="0" borderId="3" xfId="0" applyNumberFormat="1" applyFont="1" applyBorder="1"/>
    <xf numFmtId="0" fontId="3" fillId="0" borderId="3" xfId="0" applyFont="1" applyBorder="1"/>
    <xf numFmtId="9" fontId="3" fillId="0" borderId="3" xfId="2" applyFont="1" applyBorder="1"/>
    <xf numFmtId="0" fontId="5" fillId="0" borderId="0" xfId="0" applyFont="1"/>
    <xf numFmtId="0" fontId="0" fillId="0" borderId="6" xfId="0" applyBorder="1"/>
    <xf numFmtId="0" fontId="0" fillId="0" borderId="1" xfId="0" applyBorder="1"/>
    <xf numFmtId="0" fontId="9" fillId="0" borderId="0" xfId="0" applyFont="1"/>
    <xf numFmtId="0" fontId="6" fillId="4" borderId="4" xfId="0" applyFont="1" applyFill="1" applyBorder="1" applyAlignment="1">
      <alignment horizontal="center"/>
    </xf>
    <xf numFmtId="0" fontId="0" fillId="0" borderId="6" xfId="0" applyBorder="1"/>
    <xf numFmtId="0" fontId="0" fillId="0" borderId="8" xfId="0" applyBorder="1"/>
    <xf numFmtId="0" fontId="0" fillId="0" borderId="7" xfId="0" applyBorder="1"/>
    <xf numFmtId="0" fontId="0" fillId="0" borderId="0" xfId="0"/>
    <xf numFmtId="0" fontId="0" fillId="0" borderId="2" xfId="0" applyBorder="1"/>
    <xf numFmtId="0" fontId="0" fillId="0" borderId="9" xfId="0" applyBorder="1"/>
    <xf numFmtId="0" fontId="0" fillId="0" borderId="1" xfId="0" applyBorder="1"/>
    <xf numFmtId="0" fontId="0" fillId="0" borderId="10" xfId="0" applyBorder="1"/>
    <xf numFmtId="0" fontId="7" fillId="4" borderId="4" xfId="0" applyFont="1" applyFill="1" applyBorder="1" applyAlignment="1">
      <alignment horizontal="center"/>
    </xf>
    <xf numFmtId="0" fontId="0" fillId="0" borderId="5" xfId="0" applyBorder="1"/>
    <xf numFmtId="0" fontId="0" fillId="0" borderId="11" xfId="0" applyBorder="1"/>
    <xf numFmtId="167" fontId="7" fillId="4" borderId="4" xfId="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0" fillId="0" borderId="0" xfId="0" applyFont="1"/>
  </cellXfs>
  <cellStyles count="3">
    <cellStyle name="Currency" xfId="1" builtinId="4"/>
    <cellStyle name="Normal" xfId="0" builtinId="0"/>
    <cellStyle name="Percent" xfId="2" builtinId="5"/>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BEB"/>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0</xdr:col>
      <xdr:colOff>165100</xdr:colOff>
      <xdr:row>15</xdr:row>
      <xdr:rowOff>0</xdr:rowOff>
    </xdr:from>
    <xdr:to>
      <xdr:col>1</xdr:col>
      <xdr:colOff>1003300</xdr:colOff>
      <xdr:row>27</xdr:row>
      <xdr:rowOff>180972</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0BD146D0-722C-65C2-2A23-4C5F6C09E89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5100" y="2948214"/>
              <a:ext cx="1836057" cy="2539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t Sharma" refreshedDate="46217.435018634256" createdVersion="8" refreshedVersion="8" minRefreshableVersion="3" recordCount="5000" xr:uid="{947021B9-77BA-B745-BD90-A2D0ACB4A87F}">
  <cacheSource type="worksheet">
    <worksheetSource ref="A1:J5001" sheet="Experience_Study_Synthetic"/>
  </cacheSource>
  <cacheFields count="11">
    <cacheField name="Policy ID" numFmtId="0">
      <sharedItems/>
    </cacheField>
    <cacheField name="Issue Age" numFmtId="0">
      <sharedItems containsSemiMixedTypes="0" containsString="0" containsNumber="1" containsInteger="1" minValue="20" maxValue="65"/>
    </cacheField>
    <cacheField name="Gender" numFmtId="0">
      <sharedItems count="2">
        <s v="Male"/>
        <s v="Female"/>
      </sharedItems>
    </cacheField>
    <cacheField name="Duration (Yr)" numFmtId="0">
      <sharedItems containsSemiMixedTypes="0" containsString="0" containsNumber="1" containsInteger="1" minValue="1" maxValue="30"/>
    </cacheField>
    <cacheField name="Attained Age" numFmtId="0">
      <sharedItems containsSemiMixedTypes="0" containsString="0" containsNumber="1" containsInteger="1" minValue="20" maxValue="94"/>
    </cacheField>
    <cacheField name="Expected qx" numFmtId="0">
      <sharedItems containsSemiMixedTypes="0" containsString="0" containsNumber="1" minValue="1.1E-4" maxValue="0.16611999999999999"/>
    </cacheField>
    <cacheField name="Actual Death (0/1)" numFmtId="0">
      <sharedItems containsSemiMixedTypes="0" containsString="0" containsNumber="1" containsInteger="1" minValue="0" maxValue="1"/>
    </cacheField>
    <cacheField name="Age Band" numFmtId="0">
      <sharedItems count="8">
        <s v="60-69"/>
        <s v="30-39"/>
        <s v="50-59"/>
        <s v="40-49"/>
        <s v="80-89"/>
        <s v="70-79"/>
        <s v="20-29"/>
        <s v="90-99"/>
      </sharedItems>
    </cacheField>
    <cacheField name="Duration Band" numFmtId="0">
      <sharedItems count="4">
        <s v="0-9"/>
        <s v="20-29"/>
        <s v="10-19"/>
        <s v="30-39"/>
      </sharedItems>
    </cacheField>
    <cacheField name="Expected Deaths" numFmtId="0">
      <sharedItems containsSemiMixedTypes="0" containsString="0" containsNumber="1" minValue="1.1E-4" maxValue="0.16611999999999999"/>
    </cacheField>
    <cacheField name="AE Ratio" numFmtId="0" formula="'Actual Death (0/1)'/'Expected Deaths'" databaseField="0"/>
  </cacheFields>
  <extLst>
    <ext xmlns:x14="http://schemas.microsoft.com/office/spreadsheetml/2009/9/main" uri="{725AE2AE-9491-48be-B2B4-4EB974FC3084}">
      <x14:pivotCacheDefinition pivotCacheId="1939629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YN0001"/>
    <n v="60"/>
    <x v="0"/>
    <n v="4"/>
    <n v="63"/>
    <n v="5.8700000000000002E-3"/>
    <n v="0"/>
    <x v="0"/>
    <x v="0"/>
    <n v="5.8700000000000002E-3"/>
  </r>
  <r>
    <s v="SYN0002"/>
    <n v="34"/>
    <x v="1"/>
    <n v="5"/>
    <n v="38"/>
    <n v="4.6999999999999999E-4"/>
    <n v="0"/>
    <x v="1"/>
    <x v="0"/>
    <n v="4.6999999999999999E-4"/>
  </r>
  <r>
    <s v="SYN0003"/>
    <n v="54"/>
    <x v="1"/>
    <n v="3"/>
    <n v="56"/>
    <n v="1.75E-3"/>
    <n v="0"/>
    <x v="2"/>
    <x v="0"/>
    <n v="1.75E-3"/>
  </r>
  <r>
    <s v="SYN0004"/>
    <n v="25"/>
    <x v="0"/>
    <n v="7"/>
    <n v="31"/>
    <n v="4.8000000000000001E-4"/>
    <n v="0"/>
    <x v="1"/>
    <x v="0"/>
    <n v="4.8000000000000001E-4"/>
  </r>
  <r>
    <s v="SYN0005"/>
    <n v="55"/>
    <x v="1"/>
    <n v="7"/>
    <n v="61"/>
    <n v="3.8899999999999998E-3"/>
    <n v="0"/>
    <x v="0"/>
    <x v="0"/>
    <n v="3.8899999999999998E-3"/>
  </r>
  <r>
    <s v="SYN0006"/>
    <n v="46"/>
    <x v="0"/>
    <n v="8"/>
    <n v="53"/>
    <n v="2.5600000000000002E-3"/>
    <n v="0"/>
    <x v="2"/>
    <x v="0"/>
    <n v="2.5600000000000002E-3"/>
  </r>
  <r>
    <s v="SYN0007"/>
    <n v="20"/>
    <x v="1"/>
    <n v="25"/>
    <n v="44"/>
    <n v="1.33E-3"/>
    <n v="0"/>
    <x v="3"/>
    <x v="1"/>
    <n v="1.33E-3"/>
  </r>
  <r>
    <s v="SYN0008"/>
    <n v="41"/>
    <x v="0"/>
    <n v="9"/>
    <n v="49"/>
    <n v="1.82E-3"/>
    <n v="0"/>
    <x v="3"/>
    <x v="0"/>
    <n v="1.82E-3"/>
  </r>
  <r>
    <s v="SYN0009"/>
    <n v="41"/>
    <x v="0"/>
    <n v="4"/>
    <n v="44"/>
    <n v="9.5E-4"/>
    <n v="0"/>
    <x v="3"/>
    <x v="0"/>
    <n v="9.5E-4"/>
  </r>
  <r>
    <s v="SYN0010"/>
    <n v="42"/>
    <x v="0"/>
    <n v="20"/>
    <n v="61"/>
    <n v="7.0200000000000002E-3"/>
    <n v="0"/>
    <x v="0"/>
    <x v="1"/>
    <n v="7.0200000000000002E-3"/>
  </r>
  <r>
    <s v="SYN0011"/>
    <n v="49"/>
    <x v="0"/>
    <n v="18"/>
    <n v="66"/>
    <n v="1.128E-2"/>
    <n v="0"/>
    <x v="0"/>
    <x v="2"/>
    <n v="1.128E-2"/>
  </r>
  <r>
    <s v="SYN0012"/>
    <n v="25"/>
    <x v="0"/>
    <n v="18"/>
    <n v="42"/>
    <n v="1.64E-3"/>
    <n v="0"/>
    <x v="3"/>
    <x v="2"/>
    <n v="1.64E-3"/>
  </r>
  <r>
    <s v="SYN0013"/>
    <n v="43"/>
    <x v="0"/>
    <n v="19"/>
    <n v="61"/>
    <n v="7.0200000000000002E-3"/>
    <n v="0"/>
    <x v="0"/>
    <x v="2"/>
    <n v="7.0200000000000002E-3"/>
  </r>
  <r>
    <s v="SYN0014"/>
    <n v="62"/>
    <x v="1"/>
    <n v="8"/>
    <n v="69"/>
    <n v="7.7299999999999999E-3"/>
    <n v="0"/>
    <x v="0"/>
    <x v="0"/>
    <n v="7.7299999999999999E-3"/>
  </r>
  <r>
    <s v="SYN0015"/>
    <n v="34"/>
    <x v="0"/>
    <n v="28"/>
    <n v="61"/>
    <n v="5.7400000000000003E-3"/>
    <n v="0"/>
    <x v="0"/>
    <x v="1"/>
    <n v="5.7400000000000003E-3"/>
  </r>
  <r>
    <s v="SYN0016"/>
    <n v="60"/>
    <x v="0"/>
    <n v="27"/>
    <n v="86"/>
    <n v="9.1270000000000004E-2"/>
    <n v="0"/>
    <x v="4"/>
    <x v="1"/>
    <n v="9.1270000000000004E-2"/>
  </r>
  <r>
    <s v="SYN0017"/>
    <n v="33"/>
    <x v="0"/>
    <n v="22"/>
    <n v="54"/>
    <n v="3.65E-3"/>
    <n v="0"/>
    <x v="2"/>
    <x v="1"/>
    <n v="3.65E-3"/>
  </r>
  <r>
    <s v="SYN0018"/>
    <n v="61"/>
    <x v="1"/>
    <n v="3"/>
    <n v="63"/>
    <n v="2.8900000000000002E-3"/>
    <n v="0"/>
    <x v="0"/>
    <x v="0"/>
    <n v="2.8900000000000002E-3"/>
  </r>
  <r>
    <s v="SYN0019"/>
    <n v="35"/>
    <x v="0"/>
    <n v="6"/>
    <n v="40"/>
    <n v="7.6000000000000004E-4"/>
    <n v="0"/>
    <x v="3"/>
    <x v="0"/>
    <n v="7.6000000000000004E-4"/>
  </r>
  <r>
    <s v="SYN0020"/>
    <n v="60"/>
    <x v="1"/>
    <n v="23"/>
    <n v="82"/>
    <n v="5.0599999999999999E-2"/>
    <n v="0"/>
    <x v="4"/>
    <x v="1"/>
    <n v="5.0599999999999999E-2"/>
  </r>
  <r>
    <s v="SYN0021"/>
    <n v="23"/>
    <x v="1"/>
    <n v="8"/>
    <n v="30"/>
    <n v="3.4000000000000002E-4"/>
    <n v="0"/>
    <x v="1"/>
    <x v="0"/>
    <n v="3.4000000000000002E-4"/>
  </r>
  <r>
    <s v="SYN0022"/>
    <n v="45"/>
    <x v="0"/>
    <n v="9"/>
    <n v="53"/>
    <n v="2.63E-3"/>
    <n v="0"/>
    <x v="2"/>
    <x v="0"/>
    <n v="2.63E-3"/>
  </r>
  <r>
    <s v="SYN0023"/>
    <n v="56"/>
    <x v="1"/>
    <n v="29"/>
    <n v="84"/>
    <n v="4.4880000000000003E-2"/>
    <n v="0"/>
    <x v="4"/>
    <x v="1"/>
    <n v="4.4880000000000003E-2"/>
  </r>
  <r>
    <s v="SYN0024"/>
    <n v="51"/>
    <x v="1"/>
    <n v="13"/>
    <n v="63"/>
    <n v="5.8199999999999997E-3"/>
    <n v="0"/>
    <x v="0"/>
    <x v="2"/>
    <n v="5.8199999999999997E-3"/>
  </r>
  <r>
    <s v="SYN0025"/>
    <n v="29"/>
    <x v="0"/>
    <n v="9"/>
    <n v="37"/>
    <n v="6.9999999999999999E-4"/>
    <n v="0"/>
    <x v="1"/>
    <x v="0"/>
    <n v="6.9999999999999999E-4"/>
  </r>
  <r>
    <s v="SYN0026"/>
    <n v="54"/>
    <x v="1"/>
    <n v="9"/>
    <n v="62"/>
    <n v="4.5900000000000003E-3"/>
    <n v="0"/>
    <x v="0"/>
    <x v="0"/>
    <n v="4.5900000000000003E-3"/>
  </r>
  <r>
    <s v="SYN0027"/>
    <n v="57"/>
    <x v="0"/>
    <n v="13"/>
    <n v="69"/>
    <n v="1.5049999999999999E-2"/>
    <n v="0"/>
    <x v="0"/>
    <x v="2"/>
    <n v="1.5049999999999999E-2"/>
  </r>
  <r>
    <s v="SYN0028"/>
    <n v="28"/>
    <x v="0"/>
    <n v="17"/>
    <n v="44"/>
    <n v="1.6900000000000001E-3"/>
    <n v="0"/>
    <x v="3"/>
    <x v="2"/>
    <n v="1.6900000000000001E-3"/>
  </r>
  <r>
    <s v="SYN0029"/>
    <n v="27"/>
    <x v="1"/>
    <n v="5"/>
    <n v="31"/>
    <n v="2.5999999999999998E-4"/>
    <n v="0"/>
    <x v="1"/>
    <x v="0"/>
    <n v="2.5999999999999998E-4"/>
  </r>
  <r>
    <s v="SYN0030"/>
    <n v="47"/>
    <x v="0"/>
    <n v="20"/>
    <n v="66"/>
    <n v="1.128E-2"/>
    <n v="0"/>
    <x v="0"/>
    <x v="1"/>
    <n v="1.128E-2"/>
  </r>
  <r>
    <s v="SYN0031"/>
    <n v="49"/>
    <x v="0"/>
    <n v="17"/>
    <n v="65"/>
    <n v="1.022E-2"/>
    <n v="0"/>
    <x v="0"/>
    <x v="2"/>
    <n v="1.022E-2"/>
  </r>
  <r>
    <s v="SYN0032"/>
    <n v="20"/>
    <x v="1"/>
    <n v="22"/>
    <n v="41"/>
    <n v="1.1999999999999999E-3"/>
    <n v="0"/>
    <x v="3"/>
    <x v="1"/>
    <n v="1.1999999999999999E-3"/>
  </r>
  <r>
    <s v="SYN0033"/>
    <n v="54"/>
    <x v="0"/>
    <n v="25"/>
    <n v="78"/>
    <n v="4.1189999999999997E-2"/>
    <n v="0"/>
    <x v="5"/>
    <x v="1"/>
    <n v="4.1189999999999997E-2"/>
  </r>
  <r>
    <s v="SYN0034"/>
    <n v="27"/>
    <x v="0"/>
    <n v="10"/>
    <n v="36"/>
    <n v="7.2999999999999996E-4"/>
    <n v="0"/>
    <x v="1"/>
    <x v="2"/>
    <n v="7.2999999999999996E-4"/>
  </r>
  <r>
    <s v="SYN0035"/>
    <n v="36"/>
    <x v="1"/>
    <n v="17"/>
    <n v="52"/>
    <n v="2.14E-3"/>
    <n v="0"/>
    <x v="2"/>
    <x v="2"/>
    <n v="2.14E-3"/>
  </r>
  <r>
    <s v="SYN0036"/>
    <n v="26"/>
    <x v="1"/>
    <n v="28"/>
    <n v="53"/>
    <n v="2.1900000000000001E-3"/>
    <n v="0"/>
    <x v="2"/>
    <x v="1"/>
    <n v="2.1900000000000001E-3"/>
  </r>
  <r>
    <s v="SYN0037"/>
    <n v="52"/>
    <x v="0"/>
    <n v="20"/>
    <n v="71"/>
    <n v="1.8890000000000001E-2"/>
    <n v="0"/>
    <x v="5"/>
    <x v="1"/>
    <n v="1.8890000000000001E-2"/>
  </r>
  <r>
    <s v="SYN0038"/>
    <n v="30"/>
    <x v="1"/>
    <n v="18"/>
    <n v="47"/>
    <n v="1.49E-3"/>
    <n v="0"/>
    <x v="3"/>
    <x v="2"/>
    <n v="1.49E-3"/>
  </r>
  <r>
    <s v="SYN0039"/>
    <n v="20"/>
    <x v="0"/>
    <n v="20"/>
    <n v="39"/>
    <n v="1.58E-3"/>
    <n v="0"/>
    <x v="1"/>
    <x v="1"/>
    <n v="1.58E-3"/>
  </r>
  <r>
    <s v="SYN0040"/>
    <n v="43"/>
    <x v="1"/>
    <n v="29"/>
    <n v="71"/>
    <n v="1.141E-2"/>
    <n v="0"/>
    <x v="5"/>
    <x v="1"/>
    <n v="1.141E-2"/>
  </r>
  <r>
    <s v="SYN0041"/>
    <n v="35"/>
    <x v="0"/>
    <n v="2"/>
    <n v="36"/>
    <n v="3.4000000000000002E-4"/>
    <n v="0"/>
    <x v="1"/>
    <x v="0"/>
    <n v="3.4000000000000002E-4"/>
  </r>
  <r>
    <s v="SYN0042"/>
    <n v="25"/>
    <x v="1"/>
    <n v="3"/>
    <n v="27"/>
    <n v="2.0000000000000001E-4"/>
    <n v="0"/>
    <x v="6"/>
    <x v="0"/>
    <n v="2.0000000000000001E-4"/>
  </r>
  <r>
    <s v="SYN0043"/>
    <n v="54"/>
    <x v="0"/>
    <n v="25"/>
    <n v="78"/>
    <n v="4.1189999999999997E-2"/>
    <n v="0"/>
    <x v="5"/>
    <x v="1"/>
    <n v="4.1189999999999997E-2"/>
  </r>
  <r>
    <s v="SYN0044"/>
    <n v="55"/>
    <x v="0"/>
    <n v="6"/>
    <n v="60"/>
    <n v="5.0899999999999999E-3"/>
    <n v="0"/>
    <x v="0"/>
    <x v="0"/>
    <n v="5.0899999999999999E-3"/>
  </r>
  <r>
    <s v="SYN0045"/>
    <n v="47"/>
    <x v="1"/>
    <n v="7"/>
    <n v="53"/>
    <n v="1.75E-3"/>
    <n v="0"/>
    <x v="2"/>
    <x v="0"/>
    <n v="1.75E-3"/>
  </r>
  <r>
    <s v="SYN0046"/>
    <n v="64"/>
    <x v="1"/>
    <n v="7"/>
    <n v="70"/>
    <n v="8.2500000000000004E-3"/>
    <n v="0"/>
    <x v="5"/>
    <x v="0"/>
    <n v="8.2500000000000004E-3"/>
  </r>
  <r>
    <s v="SYN0047"/>
    <n v="62"/>
    <x v="0"/>
    <n v="21"/>
    <n v="82"/>
    <n v="6.3329999999999997E-2"/>
    <n v="0"/>
    <x v="4"/>
    <x v="1"/>
    <n v="6.3329999999999997E-2"/>
  </r>
  <r>
    <s v="SYN0048"/>
    <n v="48"/>
    <x v="0"/>
    <n v="4"/>
    <n v="51"/>
    <n v="1.75E-3"/>
    <n v="0"/>
    <x v="2"/>
    <x v="0"/>
    <n v="1.75E-3"/>
  </r>
  <r>
    <s v="SYN0049"/>
    <n v="21"/>
    <x v="1"/>
    <n v="19"/>
    <n v="39"/>
    <n v="1.06E-3"/>
    <n v="0"/>
    <x v="1"/>
    <x v="2"/>
    <n v="1.06E-3"/>
  </r>
  <r>
    <s v="SYN0050"/>
    <n v="20"/>
    <x v="1"/>
    <n v="3"/>
    <n v="22"/>
    <n v="2.9E-4"/>
    <n v="0"/>
    <x v="6"/>
    <x v="0"/>
    <n v="2.9E-4"/>
  </r>
  <r>
    <s v="SYN0051"/>
    <n v="24"/>
    <x v="0"/>
    <n v="29"/>
    <n v="52"/>
    <n v="2.81E-3"/>
    <n v="0"/>
    <x v="2"/>
    <x v="1"/>
    <n v="2.81E-3"/>
  </r>
  <r>
    <s v="SYN0052"/>
    <n v="52"/>
    <x v="0"/>
    <n v="8"/>
    <n v="59"/>
    <n v="4.9300000000000004E-3"/>
    <n v="0"/>
    <x v="2"/>
    <x v="0"/>
    <n v="4.9300000000000004E-3"/>
  </r>
  <r>
    <s v="SYN0053"/>
    <n v="54"/>
    <x v="1"/>
    <n v="5"/>
    <n v="58"/>
    <n v="2.63E-3"/>
    <n v="0"/>
    <x v="2"/>
    <x v="0"/>
    <n v="2.63E-3"/>
  </r>
  <r>
    <s v="SYN0054"/>
    <n v="56"/>
    <x v="0"/>
    <n v="16"/>
    <n v="71"/>
    <n v="1.8769999999999998E-2"/>
    <n v="0"/>
    <x v="5"/>
    <x v="2"/>
    <n v="1.8769999999999998E-2"/>
  </r>
  <r>
    <s v="SYN0055"/>
    <n v="46"/>
    <x v="0"/>
    <n v="7"/>
    <n v="52"/>
    <n v="2.2399999999999998E-3"/>
    <n v="0"/>
    <x v="2"/>
    <x v="0"/>
    <n v="2.2399999999999998E-3"/>
  </r>
  <r>
    <s v="SYN0056"/>
    <n v="42"/>
    <x v="0"/>
    <n v="14"/>
    <n v="55"/>
    <n v="3.5899999999999999E-3"/>
    <n v="0"/>
    <x v="2"/>
    <x v="2"/>
    <n v="3.5899999999999999E-3"/>
  </r>
  <r>
    <s v="SYN0057"/>
    <n v="23"/>
    <x v="1"/>
    <n v="22"/>
    <n v="44"/>
    <n v="1.33E-3"/>
    <n v="0"/>
    <x v="3"/>
    <x v="1"/>
    <n v="1.33E-3"/>
  </r>
  <r>
    <s v="SYN0058"/>
    <n v="23"/>
    <x v="1"/>
    <n v="13"/>
    <n v="35"/>
    <n v="5.5000000000000003E-4"/>
    <n v="0"/>
    <x v="1"/>
    <x v="2"/>
    <n v="5.5000000000000003E-4"/>
  </r>
  <r>
    <s v="SYN0059"/>
    <n v="26"/>
    <x v="0"/>
    <n v="8"/>
    <n v="33"/>
    <n v="5.4000000000000001E-4"/>
    <n v="0"/>
    <x v="1"/>
    <x v="0"/>
    <n v="5.4000000000000001E-4"/>
  </r>
  <r>
    <s v="SYN0060"/>
    <n v="28"/>
    <x v="0"/>
    <n v="14"/>
    <n v="41"/>
    <n v="1.2600000000000001E-3"/>
    <n v="0"/>
    <x v="3"/>
    <x v="2"/>
    <n v="1.2600000000000001E-3"/>
  </r>
  <r>
    <s v="SYN0061"/>
    <n v="24"/>
    <x v="1"/>
    <n v="15"/>
    <n v="38"/>
    <n v="8.3000000000000001E-4"/>
    <n v="0"/>
    <x v="1"/>
    <x v="2"/>
    <n v="8.3000000000000001E-4"/>
  </r>
  <r>
    <s v="SYN0062"/>
    <n v="26"/>
    <x v="1"/>
    <n v="2"/>
    <n v="27"/>
    <n v="1.7000000000000001E-4"/>
    <n v="0"/>
    <x v="6"/>
    <x v="0"/>
    <n v="1.7000000000000001E-4"/>
  </r>
  <r>
    <s v="SYN0063"/>
    <n v="20"/>
    <x v="1"/>
    <n v="3"/>
    <n v="22"/>
    <n v="2.9E-4"/>
    <n v="0"/>
    <x v="6"/>
    <x v="0"/>
    <n v="2.9E-4"/>
  </r>
  <r>
    <s v="SYN0064"/>
    <n v="30"/>
    <x v="0"/>
    <n v="14"/>
    <n v="43"/>
    <n v="1.4E-3"/>
    <n v="0"/>
    <x v="3"/>
    <x v="2"/>
    <n v="1.4E-3"/>
  </r>
  <r>
    <s v="SYN0065"/>
    <n v="45"/>
    <x v="0"/>
    <n v="29"/>
    <n v="73"/>
    <n v="1.7160000000000002E-2"/>
    <n v="0"/>
    <x v="5"/>
    <x v="1"/>
    <n v="1.7160000000000002E-2"/>
  </r>
  <r>
    <s v="SYN0066"/>
    <n v="44"/>
    <x v="1"/>
    <n v="9"/>
    <n v="52"/>
    <n v="1.7899999999999999E-3"/>
    <n v="0"/>
    <x v="2"/>
    <x v="0"/>
    <n v="1.7899999999999999E-3"/>
  </r>
  <r>
    <s v="SYN0067"/>
    <n v="38"/>
    <x v="1"/>
    <n v="14"/>
    <n v="51"/>
    <n v="1.92E-3"/>
    <n v="0"/>
    <x v="2"/>
    <x v="2"/>
    <n v="1.92E-3"/>
  </r>
  <r>
    <s v="SYN0068"/>
    <n v="55"/>
    <x v="1"/>
    <n v="22"/>
    <n v="76"/>
    <n v="2.58E-2"/>
    <n v="0"/>
    <x v="5"/>
    <x v="1"/>
    <n v="2.58E-2"/>
  </r>
  <r>
    <s v="SYN0069"/>
    <n v="38"/>
    <x v="1"/>
    <n v="7"/>
    <n v="44"/>
    <n v="8.0000000000000004E-4"/>
    <n v="0"/>
    <x v="3"/>
    <x v="0"/>
    <n v="8.0000000000000004E-4"/>
  </r>
  <r>
    <s v="SYN0070"/>
    <n v="54"/>
    <x v="1"/>
    <n v="2"/>
    <n v="55"/>
    <n v="1.2199999999999999E-3"/>
    <n v="0"/>
    <x v="2"/>
    <x v="0"/>
    <n v="1.2199999999999999E-3"/>
  </r>
  <r>
    <s v="SYN0071"/>
    <n v="57"/>
    <x v="1"/>
    <n v="16"/>
    <n v="72"/>
    <n v="1.5219999999999999E-2"/>
    <n v="0"/>
    <x v="5"/>
    <x v="2"/>
    <n v="1.5219999999999999E-2"/>
  </r>
  <r>
    <s v="SYN0072"/>
    <n v="30"/>
    <x v="1"/>
    <n v="2"/>
    <n v="31"/>
    <n v="1.8000000000000001E-4"/>
    <n v="0"/>
    <x v="1"/>
    <x v="0"/>
    <n v="1.8000000000000001E-4"/>
  </r>
  <r>
    <s v="SYN0073"/>
    <n v="31"/>
    <x v="1"/>
    <n v="3"/>
    <n v="33"/>
    <n v="2.3000000000000001E-4"/>
    <n v="0"/>
    <x v="1"/>
    <x v="0"/>
    <n v="2.3000000000000001E-4"/>
  </r>
  <r>
    <s v="SYN0074"/>
    <n v="35"/>
    <x v="0"/>
    <n v="13"/>
    <n v="47"/>
    <n v="1.6900000000000001E-3"/>
    <n v="0"/>
    <x v="3"/>
    <x v="2"/>
    <n v="1.6900000000000001E-3"/>
  </r>
  <r>
    <s v="SYN0075"/>
    <n v="35"/>
    <x v="1"/>
    <n v="19"/>
    <n v="53"/>
    <n v="2.4399999999999999E-3"/>
    <n v="0"/>
    <x v="2"/>
    <x v="2"/>
    <n v="2.4399999999999999E-3"/>
  </r>
  <r>
    <s v="SYN0076"/>
    <n v="46"/>
    <x v="1"/>
    <n v="22"/>
    <n v="67"/>
    <n v="1.027E-2"/>
    <n v="0"/>
    <x v="0"/>
    <x v="1"/>
    <n v="1.027E-2"/>
  </r>
  <r>
    <s v="SYN0077"/>
    <n v="36"/>
    <x v="1"/>
    <n v="7"/>
    <n v="42"/>
    <n v="7.2999999999999996E-4"/>
    <n v="0"/>
    <x v="3"/>
    <x v="0"/>
    <n v="7.2999999999999996E-4"/>
  </r>
  <r>
    <s v="SYN0078"/>
    <n v="36"/>
    <x v="0"/>
    <n v="13"/>
    <n v="48"/>
    <n v="1.8400000000000001E-3"/>
    <n v="0"/>
    <x v="3"/>
    <x v="2"/>
    <n v="1.8400000000000001E-3"/>
  </r>
  <r>
    <s v="SYN0079"/>
    <n v="49"/>
    <x v="1"/>
    <n v="11"/>
    <n v="59"/>
    <n v="3.6099999999999999E-3"/>
    <n v="0"/>
    <x v="2"/>
    <x v="2"/>
    <n v="3.6099999999999999E-3"/>
  </r>
  <r>
    <s v="SYN0080"/>
    <n v="20"/>
    <x v="1"/>
    <n v="15"/>
    <n v="34"/>
    <n v="5.8E-4"/>
    <n v="0"/>
    <x v="1"/>
    <x v="2"/>
    <n v="5.8E-4"/>
  </r>
  <r>
    <s v="SYN0081"/>
    <n v="26"/>
    <x v="1"/>
    <n v="3"/>
    <n v="28"/>
    <n v="1.9000000000000001E-4"/>
    <n v="0"/>
    <x v="6"/>
    <x v="0"/>
    <n v="1.9000000000000001E-4"/>
  </r>
  <r>
    <s v="SYN0082"/>
    <n v="28"/>
    <x v="0"/>
    <n v="30"/>
    <n v="57"/>
    <n v="3.5000000000000001E-3"/>
    <n v="0"/>
    <x v="2"/>
    <x v="3"/>
    <n v="3.5000000000000001E-3"/>
  </r>
  <r>
    <s v="SYN0083"/>
    <n v="35"/>
    <x v="0"/>
    <n v="12"/>
    <n v="46"/>
    <n v="1.5E-3"/>
    <n v="0"/>
    <x v="3"/>
    <x v="2"/>
    <n v="1.5E-3"/>
  </r>
  <r>
    <s v="SYN0084"/>
    <n v="54"/>
    <x v="0"/>
    <n v="23"/>
    <n v="76"/>
    <n v="3.32E-2"/>
    <n v="0"/>
    <x v="5"/>
    <x v="1"/>
    <n v="3.32E-2"/>
  </r>
  <r>
    <s v="SYN0085"/>
    <n v="61"/>
    <x v="0"/>
    <n v="17"/>
    <n v="77"/>
    <n v="3.5990000000000001E-2"/>
    <n v="0"/>
    <x v="5"/>
    <x v="2"/>
    <n v="3.5990000000000001E-2"/>
  </r>
  <r>
    <s v="SYN0086"/>
    <n v="39"/>
    <x v="1"/>
    <n v="30"/>
    <n v="68"/>
    <n v="7.4700000000000001E-3"/>
    <n v="0"/>
    <x v="0"/>
    <x v="3"/>
    <n v="7.4700000000000001E-3"/>
  </r>
  <r>
    <s v="SYN0087"/>
    <n v="28"/>
    <x v="0"/>
    <n v="9"/>
    <n v="36"/>
    <n v="6.4999999999999997E-4"/>
    <n v="0"/>
    <x v="1"/>
    <x v="0"/>
    <n v="6.4999999999999997E-4"/>
  </r>
  <r>
    <s v="SYN0088"/>
    <n v="55"/>
    <x v="0"/>
    <n v="5"/>
    <n v="59"/>
    <n v="4.4799999999999996E-3"/>
    <n v="0"/>
    <x v="2"/>
    <x v="0"/>
    <n v="4.4799999999999996E-3"/>
  </r>
  <r>
    <s v="SYN0089"/>
    <n v="65"/>
    <x v="0"/>
    <n v="11"/>
    <n v="75"/>
    <n v="2.2440000000000002E-2"/>
    <n v="0"/>
    <x v="5"/>
    <x v="2"/>
    <n v="2.2440000000000002E-2"/>
  </r>
  <r>
    <s v="SYN0090"/>
    <n v="36"/>
    <x v="0"/>
    <n v="17"/>
    <n v="52"/>
    <n v="2.8700000000000002E-3"/>
    <n v="0"/>
    <x v="2"/>
    <x v="2"/>
    <n v="2.8700000000000002E-3"/>
  </r>
  <r>
    <s v="SYN0091"/>
    <n v="23"/>
    <x v="1"/>
    <n v="3"/>
    <n v="25"/>
    <n v="2.5000000000000001E-4"/>
    <n v="0"/>
    <x v="6"/>
    <x v="0"/>
    <n v="2.5000000000000001E-4"/>
  </r>
  <r>
    <s v="SYN0092"/>
    <n v="22"/>
    <x v="0"/>
    <n v="1"/>
    <n v="22"/>
    <n v="5.8E-4"/>
    <n v="0"/>
    <x v="6"/>
    <x v="0"/>
    <n v="5.8E-4"/>
  </r>
  <r>
    <s v="SYN0093"/>
    <n v="36"/>
    <x v="1"/>
    <n v="6"/>
    <n v="41"/>
    <n v="6.4999999999999997E-4"/>
    <n v="0"/>
    <x v="3"/>
    <x v="0"/>
    <n v="6.4999999999999997E-4"/>
  </r>
  <r>
    <s v="SYN0094"/>
    <n v="47"/>
    <x v="0"/>
    <n v="18"/>
    <n v="64"/>
    <n v="9.2899999999999996E-3"/>
    <n v="0"/>
    <x v="0"/>
    <x v="2"/>
    <n v="9.2899999999999996E-3"/>
  </r>
  <r>
    <s v="SYN0095"/>
    <n v="64"/>
    <x v="0"/>
    <n v="29"/>
    <n v="92"/>
    <n v="0.14893999999999999"/>
    <n v="1"/>
    <x v="7"/>
    <x v="1"/>
    <n v="0.14893999999999999"/>
  </r>
  <r>
    <s v="SYN0096"/>
    <n v="43"/>
    <x v="1"/>
    <n v="19"/>
    <n v="61"/>
    <n v="5.3099999999999996E-3"/>
    <n v="0"/>
    <x v="0"/>
    <x v="2"/>
    <n v="5.3099999999999996E-3"/>
  </r>
  <r>
    <s v="SYN0097"/>
    <n v="22"/>
    <x v="0"/>
    <n v="10"/>
    <n v="31"/>
    <n v="6.4000000000000005E-4"/>
    <n v="0"/>
    <x v="1"/>
    <x v="2"/>
    <n v="6.4000000000000005E-4"/>
  </r>
  <r>
    <s v="SYN0098"/>
    <n v="22"/>
    <x v="0"/>
    <n v="29"/>
    <n v="50"/>
    <n v="2.6700000000000001E-3"/>
    <n v="0"/>
    <x v="2"/>
    <x v="1"/>
    <n v="2.6700000000000001E-3"/>
  </r>
  <r>
    <s v="SYN0099"/>
    <n v="62"/>
    <x v="0"/>
    <n v="4"/>
    <n v="65"/>
    <n v="6.5799999999999999E-3"/>
    <n v="0"/>
    <x v="0"/>
    <x v="0"/>
    <n v="6.5799999999999999E-3"/>
  </r>
  <r>
    <s v="SYN0100"/>
    <n v="46"/>
    <x v="1"/>
    <n v="20"/>
    <n v="65"/>
    <n v="8.2000000000000007E-3"/>
    <n v="0"/>
    <x v="0"/>
    <x v="1"/>
    <n v="8.2000000000000007E-3"/>
  </r>
  <r>
    <s v="SYN0101"/>
    <n v="35"/>
    <x v="0"/>
    <n v="28"/>
    <n v="62"/>
    <n v="6.3299999999999997E-3"/>
    <n v="0"/>
    <x v="0"/>
    <x v="1"/>
    <n v="6.3299999999999997E-3"/>
  </r>
  <r>
    <s v="SYN0102"/>
    <n v="31"/>
    <x v="0"/>
    <n v="29"/>
    <n v="59"/>
    <n v="4.3899999999999998E-3"/>
    <n v="0"/>
    <x v="2"/>
    <x v="1"/>
    <n v="4.3899999999999998E-3"/>
  </r>
  <r>
    <s v="SYN0103"/>
    <n v="41"/>
    <x v="1"/>
    <n v="26"/>
    <n v="66"/>
    <n v="9.2399999999999999E-3"/>
    <n v="0"/>
    <x v="0"/>
    <x v="1"/>
    <n v="9.2399999999999999E-3"/>
  </r>
  <r>
    <s v="SYN0104"/>
    <n v="35"/>
    <x v="0"/>
    <n v="9"/>
    <n v="43"/>
    <n v="1.16E-3"/>
    <n v="0"/>
    <x v="3"/>
    <x v="0"/>
    <n v="1.16E-3"/>
  </r>
  <r>
    <s v="SYN0105"/>
    <n v="44"/>
    <x v="0"/>
    <n v="28"/>
    <n v="71"/>
    <n v="1.553E-2"/>
    <n v="0"/>
    <x v="5"/>
    <x v="1"/>
    <n v="1.553E-2"/>
  </r>
  <r>
    <s v="SYN0106"/>
    <n v="32"/>
    <x v="1"/>
    <n v="27"/>
    <n v="58"/>
    <n v="3.6900000000000001E-3"/>
    <n v="0"/>
    <x v="2"/>
    <x v="1"/>
    <n v="3.6900000000000001E-3"/>
  </r>
  <r>
    <s v="SYN0107"/>
    <n v="34"/>
    <x v="0"/>
    <n v="8"/>
    <n v="41"/>
    <n v="9.3000000000000005E-4"/>
    <n v="0"/>
    <x v="3"/>
    <x v="0"/>
    <n v="9.3000000000000005E-4"/>
  </r>
  <r>
    <s v="SYN0108"/>
    <n v="41"/>
    <x v="1"/>
    <n v="9"/>
    <n v="49"/>
    <n v="1.3500000000000001E-3"/>
    <n v="0"/>
    <x v="3"/>
    <x v="0"/>
    <n v="1.3500000000000001E-3"/>
  </r>
  <r>
    <s v="SYN0109"/>
    <n v="37"/>
    <x v="1"/>
    <n v="12"/>
    <n v="48"/>
    <n v="1.4E-3"/>
    <n v="0"/>
    <x v="3"/>
    <x v="2"/>
    <n v="1.4E-3"/>
  </r>
  <r>
    <s v="SYN0110"/>
    <n v="54"/>
    <x v="1"/>
    <n v="11"/>
    <n v="64"/>
    <n v="5.8700000000000002E-3"/>
    <n v="0"/>
    <x v="0"/>
    <x v="2"/>
    <n v="5.8700000000000002E-3"/>
  </r>
  <r>
    <s v="SYN0111"/>
    <n v="36"/>
    <x v="1"/>
    <n v="6"/>
    <n v="41"/>
    <n v="6.4999999999999997E-4"/>
    <n v="0"/>
    <x v="3"/>
    <x v="0"/>
    <n v="6.4999999999999997E-4"/>
  </r>
  <r>
    <s v="SYN0112"/>
    <n v="22"/>
    <x v="1"/>
    <n v="4"/>
    <n v="25"/>
    <n v="2.7E-4"/>
    <n v="0"/>
    <x v="6"/>
    <x v="0"/>
    <n v="2.7E-4"/>
  </r>
  <r>
    <s v="SYN0113"/>
    <n v="40"/>
    <x v="1"/>
    <n v="14"/>
    <n v="53"/>
    <n v="2.2799999999999999E-3"/>
    <n v="0"/>
    <x v="2"/>
    <x v="2"/>
    <n v="2.2799999999999999E-3"/>
  </r>
  <r>
    <s v="SYN0114"/>
    <n v="44"/>
    <x v="1"/>
    <n v="29"/>
    <n v="72"/>
    <n v="1.2659999999999999E-2"/>
    <n v="0"/>
    <x v="5"/>
    <x v="1"/>
    <n v="1.2659999999999999E-2"/>
  </r>
  <r>
    <s v="SYN0115"/>
    <n v="65"/>
    <x v="0"/>
    <n v="14"/>
    <n v="78"/>
    <n v="3.4540000000000001E-2"/>
    <n v="0"/>
    <x v="5"/>
    <x v="2"/>
    <n v="3.4540000000000001E-2"/>
  </r>
  <r>
    <s v="SYN0116"/>
    <n v="54"/>
    <x v="1"/>
    <n v="22"/>
    <n v="75"/>
    <n v="2.325E-2"/>
    <n v="0"/>
    <x v="5"/>
    <x v="1"/>
    <n v="2.325E-2"/>
  </r>
  <r>
    <s v="SYN0117"/>
    <n v="62"/>
    <x v="0"/>
    <n v="7"/>
    <n v="68"/>
    <n v="1.0489999999999999E-2"/>
    <n v="0"/>
    <x v="0"/>
    <x v="0"/>
    <n v="1.0489999999999999E-2"/>
  </r>
  <r>
    <s v="SYN0118"/>
    <n v="62"/>
    <x v="0"/>
    <n v="30"/>
    <n v="91"/>
    <n v="0.11724"/>
    <n v="0"/>
    <x v="7"/>
    <x v="3"/>
    <n v="0.11724"/>
  </r>
  <r>
    <s v="SYN0119"/>
    <n v="27"/>
    <x v="1"/>
    <n v="24"/>
    <n v="50"/>
    <n v="2.0200000000000001E-3"/>
    <n v="0"/>
    <x v="2"/>
    <x v="1"/>
    <n v="2.0200000000000001E-3"/>
  </r>
  <r>
    <s v="SYN0120"/>
    <n v="62"/>
    <x v="0"/>
    <n v="14"/>
    <n v="75"/>
    <n v="2.76E-2"/>
    <n v="0"/>
    <x v="5"/>
    <x v="2"/>
    <n v="2.76E-2"/>
  </r>
  <r>
    <s v="SYN0121"/>
    <n v="55"/>
    <x v="0"/>
    <n v="5"/>
    <n v="59"/>
    <n v="4.4799999999999996E-3"/>
    <n v="0"/>
    <x v="2"/>
    <x v="0"/>
    <n v="4.4799999999999996E-3"/>
  </r>
  <r>
    <s v="SYN0122"/>
    <n v="44"/>
    <x v="1"/>
    <n v="22"/>
    <n v="65"/>
    <n v="8.3099999999999997E-3"/>
    <n v="0"/>
    <x v="0"/>
    <x v="1"/>
    <n v="8.3099999999999997E-3"/>
  </r>
  <r>
    <s v="SYN0123"/>
    <n v="56"/>
    <x v="0"/>
    <n v="10"/>
    <n v="65"/>
    <n v="9.7599999999999996E-3"/>
    <n v="0"/>
    <x v="0"/>
    <x v="2"/>
    <n v="9.7599999999999996E-3"/>
  </r>
  <r>
    <s v="SYN0124"/>
    <n v="39"/>
    <x v="0"/>
    <n v="10"/>
    <n v="48"/>
    <n v="1.7099999999999999E-3"/>
    <n v="0"/>
    <x v="3"/>
    <x v="2"/>
    <n v="1.7099999999999999E-3"/>
  </r>
  <r>
    <s v="SYN0125"/>
    <n v="58"/>
    <x v="0"/>
    <n v="21"/>
    <n v="78"/>
    <n v="4.1189999999999997E-2"/>
    <n v="0"/>
    <x v="5"/>
    <x v="1"/>
    <n v="4.1189999999999997E-2"/>
  </r>
  <r>
    <s v="SYN0126"/>
    <n v="63"/>
    <x v="1"/>
    <n v="7"/>
    <n v="69"/>
    <n v="7.5300000000000002E-3"/>
    <n v="0"/>
    <x v="0"/>
    <x v="0"/>
    <n v="7.5300000000000002E-3"/>
  </r>
  <r>
    <s v="SYN0127"/>
    <n v="30"/>
    <x v="0"/>
    <n v="22"/>
    <n v="51"/>
    <n v="2.7699999999999999E-3"/>
    <n v="0"/>
    <x v="2"/>
    <x v="1"/>
    <n v="2.7699999999999999E-3"/>
  </r>
  <r>
    <s v="SYN0128"/>
    <n v="60"/>
    <x v="0"/>
    <n v="20"/>
    <n v="79"/>
    <n v="4.5769999999999998E-2"/>
    <n v="0"/>
    <x v="5"/>
    <x v="1"/>
    <n v="4.5769999999999998E-2"/>
  </r>
  <r>
    <s v="SYN0129"/>
    <n v="35"/>
    <x v="0"/>
    <n v="22"/>
    <n v="56"/>
    <n v="4.3899999999999998E-3"/>
    <n v="0"/>
    <x v="2"/>
    <x v="1"/>
    <n v="4.3899999999999998E-3"/>
  </r>
  <r>
    <s v="SYN0130"/>
    <n v="29"/>
    <x v="0"/>
    <n v="1"/>
    <n v="29"/>
    <n v="2.5000000000000001E-4"/>
    <n v="0"/>
    <x v="6"/>
    <x v="0"/>
    <n v="2.5000000000000001E-4"/>
  </r>
  <r>
    <s v="SYN0131"/>
    <n v="59"/>
    <x v="1"/>
    <n v="28"/>
    <n v="86"/>
    <n v="6.4490000000000006E-2"/>
    <n v="0"/>
    <x v="4"/>
    <x v="1"/>
    <n v="6.4490000000000006E-2"/>
  </r>
  <r>
    <s v="SYN0132"/>
    <n v="60"/>
    <x v="0"/>
    <n v="19"/>
    <n v="78"/>
    <n v="4.0669999999999998E-2"/>
    <n v="0"/>
    <x v="5"/>
    <x v="2"/>
    <n v="4.0669999999999998E-2"/>
  </r>
  <r>
    <s v="SYN0133"/>
    <n v="51"/>
    <x v="0"/>
    <n v="13"/>
    <n v="63"/>
    <n v="8.0300000000000007E-3"/>
    <n v="0"/>
    <x v="0"/>
    <x v="2"/>
    <n v="8.0300000000000007E-3"/>
  </r>
  <r>
    <s v="SYN0134"/>
    <n v="20"/>
    <x v="1"/>
    <n v="29"/>
    <n v="48"/>
    <n v="1.3799999999999999E-3"/>
    <n v="0"/>
    <x v="3"/>
    <x v="1"/>
    <n v="1.3799999999999999E-3"/>
  </r>
  <r>
    <s v="SYN0135"/>
    <n v="26"/>
    <x v="0"/>
    <n v="25"/>
    <n v="50"/>
    <n v="2.8400000000000001E-3"/>
    <n v="0"/>
    <x v="2"/>
    <x v="1"/>
    <n v="2.8400000000000001E-3"/>
  </r>
  <r>
    <s v="SYN0136"/>
    <n v="64"/>
    <x v="0"/>
    <n v="17"/>
    <n v="80"/>
    <n v="4.863E-2"/>
    <n v="0"/>
    <x v="4"/>
    <x v="2"/>
    <n v="4.863E-2"/>
  </r>
  <r>
    <s v="SYN0137"/>
    <n v="27"/>
    <x v="0"/>
    <n v="15"/>
    <n v="41"/>
    <n v="1.32E-3"/>
    <n v="0"/>
    <x v="3"/>
    <x v="2"/>
    <n v="1.32E-3"/>
  </r>
  <r>
    <s v="SYN0138"/>
    <n v="53"/>
    <x v="1"/>
    <n v="18"/>
    <n v="70"/>
    <n v="1.302E-2"/>
    <n v="0"/>
    <x v="5"/>
    <x v="2"/>
    <n v="1.302E-2"/>
  </r>
  <r>
    <s v="SYN0139"/>
    <n v="48"/>
    <x v="1"/>
    <n v="20"/>
    <n v="67"/>
    <n v="1.0149999999999999E-2"/>
    <n v="0"/>
    <x v="0"/>
    <x v="1"/>
    <n v="1.0149999999999999E-2"/>
  </r>
  <r>
    <s v="SYN0140"/>
    <n v="47"/>
    <x v="1"/>
    <n v="27"/>
    <n v="73"/>
    <n v="1.7170000000000001E-2"/>
    <n v="0"/>
    <x v="5"/>
    <x v="1"/>
    <n v="1.7170000000000001E-2"/>
  </r>
  <r>
    <s v="SYN0141"/>
    <n v="30"/>
    <x v="1"/>
    <n v="24"/>
    <n v="53"/>
    <n v="2.5899999999999999E-3"/>
    <n v="0"/>
    <x v="2"/>
    <x v="1"/>
    <n v="2.5899999999999999E-3"/>
  </r>
  <r>
    <s v="SYN0142"/>
    <n v="35"/>
    <x v="1"/>
    <n v="27"/>
    <n v="61"/>
    <n v="4.9300000000000004E-3"/>
    <n v="0"/>
    <x v="0"/>
    <x v="1"/>
    <n v="4.9300000000000004E-3"/>
  </r>
  <r>
    <s v="SYN0143"/>
    <n v="53"/>
    <x v="1"/>
    <n v="16"/>
    <n v="68"/>
    <n v="1.03E-2"/>
    <n v="0"/>
    <x v="0"/>
    <x v="2"/>
    <n v="1.03E-2"/>
  </r>
  <r>
    <s v="SYN0144"/>
    <n v="24"/>
    <x v="0"/>
    <n v="23"/>
    <n v="46"/>
    <n v="2.1700000000000001E-3"/>
    <n v="0"/>
    <x v="3"/>
    <x v="1"/>
    <n v="2.1700000000000001E-3"/>
  </r>
  <r>
    <s v="SYN0145"/>
    <n v="40"/>
    <x v="1"/>
    <n v="29"/>
    <n v="68"/>
    <n v="8.3099999999999997E-3"/>
    <n v="0"/>
    <x v="0"/>
    <x v="1"/>
    <n v="8.3099999999999997E-3"/>
  </r>
  <r>
    <s v="SYN0146"/>
    <n v="34"/>
    <x v="1"/>
    <n v="13"/>
    <n v="46"/>
    <n v="1.1999999999999999E-3"/>
    <n v="0"/>
    <x v="3"/>
    <x v="2"/>
    <n v="1.1999999999999999E-3"/>
  </r>
  <r>
    <s v="SYN0147"/>
    <n v="24"/>
    <x v="0"/>
    <n v="14"/>
    <n v="37"/>
    <n v="9.3999999999999997E-4"/>
    <n v="0"/>
    <x v="1"/>
    <x v="2"/>
    <n v="9.3999999999999997E-4"/>
  </r>
  <r>
    <s v="SYN0148"/>
    <n v="46"/>
    <x v="0"/>
    <n v="2"/>
    <n v="47"/>
    <n v="8.8000000000000003E-4"/>
    <n v="0"/>
    <x v="3"/>
    <x v="0"/>
    <n v="8.8000000000000003E-4"/>
  </r>
  <r>
    <s v="SYN0149"/>
    <n v="57"/>
    <x v="0"/>
    <n v="23"/>
    <n v="79"/>
    <n v="4.5769999999999998E-2"/>
    <n v="0"/>
    <x v="5"/>
    <x v="1"/>
    <n v="4.5769999999999998E-2"/>
  </r>
  <r>
    <s v="SYN0150"/>
    <n v="56"/>
    <x v="0"/>
    <n v="13"/>
    <n v="68"/>
    <n v="1.3690000000000001E-2"/>
    <n v="0"/>
    <x v="0"/>
    <x v="2"/>
    <n v="1.3690000000000001E-2"/>
  </r>
  <r>
    <s v="SYN0151"/>
    <n v="39"/>
    <x v="0"/>
    <n v="25"/>
    <n v="63"/>
    <n v="8.6499999999999997E-3"/>
    <n v="0"/>
    <x v="0"/>
    <x v="1"/>
    <n v="8.6499999999999997E-3"/>
  </r>
  <r>
    <s v="SYN0152"/>
    <n v="46"/>
    <x v="1"/>
    <n v="18"/>
    <n v="63"/>
    <n v="6.4799999999999996E-3"/>
    <n v="0"/>
    <x v="0"/>
    <x v="2"/>
    <n v="6.4799999999999996E-3"/>
  </r>
  <r>
    <s v="SYN0153"/>
    <n v="58"/>
    <x v="0"/>
    <n v="29"/>
    <n v="86"/>
    <n v="7.1389999999999995E-2"/>
    <n v="0"/>
    <x v="4"/>
    <x v="1"/>
    <n v="7.1389999999999995E-2"/>
  </r>
  <r>
    <s v="SYN0154"/>
    <n v="47"/>
    <x v="0"/>
    <n v="16"/>
    <n v="62"/>
    <n v="7.6600000000000001E-3"/>
    <n v="0"/>
    <x v="0"/>
    <x v="2"/>
    <n v="7.6600000000000001E-3"/>
  </r>
  <r>
    <s v="SYN0155"/>
    <n v="63"/>
    <x v="0"/>
    <n v="26"/>
    <n v="88"/>
    <n v="0.13258"/>
    <n v="0"/>
    <x v="4"/>
    <x v="1"/>
    <n v="0.13258"/>
  </r>
  <r>
    <s v="SYN0156"/>
    <n v="49"/>
    <x v="0"/>
    <n v="30"/>
    <n v="78"/>
    <n v="2.6859999999999998E-2"/>
    <n v="0"/>
    <x v="5"/>
    <x v="3"/>
    <n v="2.6859999999999998E-2"/>
  </r>
  <r>
    <s v="SYN0157"/>
    <n v="21"/>
    <x v="0"/>
    <n v="30"/>
    <n v="50"/>
    <n v="2.6099999999999999E-3"/>
    <n v="0"/>
    <x v="2"/>
    <x v="3"/>
    <n v="2.6099999999999999E-3"/>
  </r>
  <r>
    <s v="SYN0158"/>
    <n v="21"/>
    <x v="1"/>
    <n v="3"/>
    <n v="23"/>
    <n v="2.7E-4"/>
    <n v="0"/>
    <x v="6"/>
    <x v="0"/>
    <n v="2.7E-4"/>
  </r>
  <r>
    <s v="SYN0159"/>
    <n v="49"/>
    <x v="0"/>
    <n v="6"/>
    <n v="54"/>
    <n v="2.7000000000000001E-3"/>
    <n v="0"/>
    <x v="2"/>
    <x v="0"/>
    <n v="2.7000000000000001E-3"/>
  </r>
  <r>
    <s v="SYN0160"/>
    <n v="33"/>
    <x v="0"/>
    <n v="15"/>
    <n v="47"/>
    <n v="1.83E-3"/>
    <n v="0"/>
    <x v="3"/>
    <x v="2"/>
    <n v="1.83E-3"/>
  </r>
  <r>
    <s v="SYN0161"/>
    <n v="44"/>
    <x v="1"/>
    <n v="9"/>
    <n v="52"/>
    <n v="1.7899999999999999E-3"/>
    <n v="0"/>
    <x v="2"/>
    <x v="0"/>
    <n v="1.7899999999999999E-3"/>
  </r>
  <r>
    <s v="SYN0162"/>
    <n v="36"/>
    <x v="0"/>
    <n v="27"/>
    <n v="62"/>
    <n v="7.0200000000000002E-3"/>
    <n v="0"/>
    <x v="0"/>
    <x v="1"/>
    <n v="7.0200000000000002E-3"/>
  </r>
  <r>
    <s v="SYN0163"/>
    <n v="54"/>
    <x v="1"/>
    <n v="2"/>
    <n v="55"/>
    <n v="1.2199999999999999E-3"/>
    <n v="0"/>
    <x v="2"/>
    <x v="0"/>
    <n v="1.2199999999999999E-3"/>
  </r>
  <r>
    <s v="SYN0164"/>
    <n v="61"/>
    <x v="1"/>
    <n v="3"/>
    <n v="63"/>
    <n v="2.8900000000000002E-3"/>
    <n v="0"/>
    <x v="0"/>
    <x v="0"/>
    <n v="2.8900000000000002E-3"/>
  </r>
  <r>
    <s v="SYN0165"/>
    <n v="21"/>
    <x v="0"/>
    <n v="8"/>
    <n v="28"/>
    <n v="6.6E-4"/>
    <n v="0"/>
    <x v="6"/>
    <x v="0"/>
    <n v="6.6E-4"/>
  </r>
  <r>
    <s v="SYN0166"/>
    <n v="29"/>
    <x v="0"/>
    <n v="8"/>
    <n v="36"/>
    <n v="6.3000000000000003E-4"/>
    <n v="0"/>
    <x v="1"/>
    <x v="0"/>
    <n v="6.3000000000000003E-4"/>
  </r>
  <r>
    <s v="SYN0167"/>
    <n v="56"/>
    <x v="0"/>
    <n v="7"/>
    <n v="62"/>
    <n v="6.5399999999999998E-3"/>
    <n v="0"/>
    <x v="0"/>
    <x v="0"/>
    <n v="6.5399999999999998E-3"/>
  </r>
  <r>
    <s v="SYN0168"/>
    <n v="43"/>
    <x v="1"/>
    <n v="6"/>
    <n v="48"/>
    <n v="1.1000000000000001E-3"/>
    <n v="0"/>
    <x v="3"/>
    <x v="0"/>
    <n v="1.1000000000000001E-3"/>
  </r>
  <r>
    <s v="SYN0169"/>
    <n v="65"/>
    <x v="1"/>
    <n v="4"/>
    <n v="68"/>
    <n v="5.7999999999999996E-3"/>
    <n v="0"/>
    <x v="0"/>
    <x v="0"/>
    <n v="5.7999999999999996E-3"/>
  </r>
  <r>
    <s v="SYN0170"/>
    <n v="39"/>
    <x v="1"/>
    <n v="4"/>
    <n v="42"/>
    <n v="6.2E-4"/>
    <n v="0"/>
    <x v="3"/>
    <x v="0"/>
    <n v="6.2E-4"/>
  </r>
  <r>
    <s v="SYN0171"/>
    <n v="56"/>
    <x v="1"/>
    <n v="22"/>
    <n v="77"/>
    <n v="2.8719999999999999E-2"/>
    <n v="0"/>
    <x v="5"/>
    <x v="1"/>
    <n v="2.8719999999999999E-2"/>
  </r>
  <r>
    <s v="SYN0172"/>
    <n v="65"/>
    <x v="0"/>
    <n v="7"/>
    <n v="71"/>
    <n v="1.257E-2"/>
    <n v="0"/>
    <x v="5"/>
    <x v="0"/>
    <n v="1.257E-2"/>
  </r>
  <r>
    <s v="SYN0173"/>
    <n v="60"/>
    <x v="0"/>
    <n v="8"/>
    <n v="67"/>
    <n v="1.074E-2"/>
    <n v="0"/>
    <x v="0"/>
    <x v="0"/>
    <n v="1.074E-2"/>
  </r>
  <r>
    <s v="SYN0174"/>
    <n v="63"/>
    <x v="1"/>
    <n v="20"/>
    <n v="82"/>
    <n v="5.0220000000000001E-2"/>
    <n v="0"/>
    <x v="4"/>
    <x v="1"/>
    <n v="5.0220000000000001E-2"/>
  </r>
  <r>
    <s v="SYN0175"/>
    <n v="56"/>
    <x v="0"/>
    <n v="26"/>
    <n v="81"/>
    <n v="5.6829999999999999E-2"/>
    <n v="0"/>
    <x v="4"/>
    <x v="1"/>
    <n v="5.6829999999999999E-2"/>
  </r>
  <r>
    <s v="SYN0176"/>
    <n v="62"/>
    <x v="0"/>
    <n v="12"/>
    <n v="73"/>
    <n v="2.103E-2"/>
    <n v="0"/>
    <x v="5"/>
    <x v="2"/>
    <n v="2.103E-2"/>
  </r>
  <r>
    <s v="SYN0177"/>
    <n v="20"/>
    <x v="0"/>
    <n v="28"/>
    <n v="47"/>
    <n v="2.5400000000000002E-3"/>
    <n v="0"/>
    <x v="3"/>
    <x v="1"/>
    <n v="2.5400000000000002E-3"/>
  </r>
  <r>
    <s v="SYN0178"/>
    <n v="47"/>
    <x v="1"/>
    <n v="12"/>
    <n v="58"/>
    <n v="3.4499999999999999E-3"/>
    <n v="0"/>
    <x v="2"/>
    <x v="2"/>
    <n v="3.4499999999999999E-3"/>
  </r>
  <r>
    <s v="SYN0179"/>
    <n v="65"/>
    <x v="0"/>
    <n v="5"/>
    <n v="69"/>
    <n v="9.7999999999999997E-3"/>
    <n v="0"/>
    <x v="0"/>
    <x v="0"/>
    <n v="9.7999999999999997E-3"/>
  </r>
  <r>
    <s v="SYN0180"/>
    <n v="61"/>
    <x v="1"/>
    <n v="9"/>
    <n v="69"/>
    <n v="8.0199999999999994E-3"/>
    <n v="0"/>
    <x v="0"/>
    <x v="0"/>
    <n v="8.0199999999999994E-3"/>
  </r>
  <r>
    <s v="SYN0181"/>
    <n v="50"/>
    <x v="0"/>
    <n v="15"/>
    <n v="64"/>
    <n v="9.11E-3"/>
    <n v="0"/>
    <x v="0"/>
    <x v="2"/>
    <n v="9.11E-3"/>
  </r>
  <r>
    <s v="SYN0182"/>
    <n v="37"/>
    <x v="1"/>
    <n v="11"/>
    <n v="47"/>
    <n v="1.2199999999999999E-3"/>
    <n v="0"/>
    <x v="3"/>
    <x v="2"/>
    <n v="1.2199999999999999E-3"/>
  </r>
  <r>
    <s v="SYN0183"/>
    <n v="25"/>
    <x v="1"/>
    <n v="9"/>
    <n v="33"/>
    <n v="4.0000000000000002E-4"/>
    <n v="0"/>
    <x v="1"/>
    <x v="0"/>
    <n v="4.0000000000000002E-4"/>
  </r>
  <r>
    <s v="SYN0184"/>
    <n v="49"/>
    <x v="1"/>
    <n v="19"/>
    <n v="67"/>
    <n v="1.001E-2"/>
    <n v="0"/>
    <x v="0"/>
    <x v="2"/>
    <n v="1.001E-2"/>
  </r>
  <r>
    <s v="SYN0185"/>
    <n v="21"/>
    <x v="1"/>
    <n v="16"/>
    <n v="36"/>
    <n v="7.2999999999999996E-4"/>
    <n v="0"/>
    <x v="1"/>
    <x v="2"/>
    <n v="7.2999999999999996E-4"/>
  </r>
  <r>
    <s v="SYN0186"/>
    <n v="33"/>
    <x v="1"/>
    <n v="12"/>
    <n v="44"/>
    <n v="9.8999999999999999E-4"/>
    <n v="0"/>
    <x v="3"/>
    <x v="2"/>
    <n v="9.8999999999999999E-4"/>
  </r>
  <r>
    <s v="SYN0187"/>
    <n v="58"/>
    <x v="1"/>
    <n v="23"/>
    <n v="80"/>
    <n v="3.986E-2"/>
    <n v="0"/>
    <x v="4"/>
    <x v="1"/>
    <n v="3.986E-2"/>
  </r>
  <r>
    <s v="SYN0188"/>
    <n v="53"/>
    <x v="0"/>
    <n v="7"/>
    <n v="59"/>
    <n v="4.7400000000000003E-3"/>
    <n v="0"/>
    <x v="2"/>
    <x v="0"/>
    <n v="4.7400000000000003E-3"/>
  </r>
  <r>
    <s v="SYN0189"/>
    <n v="51"/>
    <x v="1"/>
    <n v="18"/>
    <n v="68"/>
    <n v="1.0800000000000001E-2"/>
    <n v="0"/>
    <x v="0"/>
    <x v="2"/>
    <n v="1.0800000000000001E-2"/>
  </r>
  <r>
    <s v="SYN0190"/>
    <n v="61"/>
    <x v="0"/>
    <n v="23"/>
    <n v="83"/>
    <n v="7.1389999999999995E-2"/>
    <n v="0"/>
    <x v="4"/>
    <x v="1"/>
    <n v="7.1389999999999995E-2"/>
  </r>
  <r>
    <s v="SYN0191"/>
    <n v="25"/>
    <x v="0"/>
    <n v="10"/>
    <n v="34"/>
    <n v="6.6E-4"/>
    <n v="0"/>
    <x v="1"/>
    <x v="2"/>
    <n v="6.6E-4"/>
  </r>
  <r>
    <s v="SYN0192"/>
    <n v="39"/>
    <x v="1"/>
    <n v="22"/>
    <n v="60"/>
    <n v="4.9300000000000004E-3"/>
    <n v="0"/>
    <x v="0"/>
    <x v="1"/>
    <n v="4.9300000000000004E-3"/>
  </r>
  <r>
    <s v="SYN0193"/>
    <n v="53"/>
    <x v="0"/>
    <n v="12"/>
    <n v="64"/>
    <n v="8.8699999999999994E-3"/>
    <n v="0"/>
    <x v="0"/>
    <x v="2"/>
    <n v="8.8699999999999994E-3"/>
  </r>
  <r>
    <s v="SYN0194"/>
    <n v="41"/>
    <x v="1"/>
    <n v="12"/>
    <n v="52"/>
    <n v="2.0100000000000001E-3"/>
    <n v="0"/>
    <x v="2"/>
    <x v="2"/>
    <n v="2.0100000000000001E-3"/>
  </r>
  <r>
    <s v="SYN0195"/>
    <n v="36"/>
    <x v="0"/>
    <n v="8"/>
    <n v="43"/>
    <n v="1.1000000000000001E-3"/>
    <n v="0"/>
    <x v="3"/>
    <x v="0"/>
    <n v="1.1000000000000001E-3"/>
  </r>
  <r>
    <s v="SYN0196"/>
    <n v="27"/>
    <x v="1"/>
    <n v="24"/>
    <n v="50"/>
    <n v="2.0200000000000001E-3"/>
    <n v="0"/>
    <x v="2"/>
    <x v="1"/>
    <n v="2.0200000000000001E-3"/>
  </r>
  <r>
    <s v="SYN0197"/>
    <n v="31"/>
    <x v="0"/>
    <n v="7"/>
    <n v="37"/>
    <n v="6.0999999999999997E-4"/>
    <n v="0"/>
    <x v="1"/>
    <x v="0"/>
    <n v="6.0999999999999997E-4"/>
  </r>
  <r>
    <s v="SYN0198"/>
    <n v="57"/>
    <x v="1"/>
    <n v="25"/>
    <n v="81"/>
    <n v="4.4880000000000003E-2"/>
    <n v="0"/>
    <x v="4"/>
    <x v="1"/>
    <n v="4.4880000000000003E-2"/>
  </r>
  <r>
    <s v="SYN0199"/>
    <n v="26"/>
    <x v="0"/>
    <n v="27"/>
    <n v="52"/>
    <n v="3.0899999999999999E-3"/>
    <n v="0"/>
    <x v="2"/>
    <x v="1"/>
    <n v="3.0899999999999999E-3"/>
  </r>
  <r>
    <s v="SYN0200"/>
    <n v="31"/>
    <x v="0"/>
    <n v="10"/>
    <n v="40"/>
    <n v="9.6000000000000002E-4"/>
    <n v="0"/>
    <x v="3"/>
    <x v="2"/>
    <n v="9.6000000000000002E-4"/>
  </r>
  <r>
    <s v="SYN0201"/>
    <n v="37"/>
    <x v="1"/>
    <n v="2"/>
    <n v="38"/>
    <n v="2.9E-4"/>
    <n v="0"/>
    <x v="1"/>
    <x v="0"/>
    <n v="2.9E-4"/>
  </r>
  <r>
    <s v="SYN0202"/>
    <n v="64"/>
    <x v="1"/>
    <n v="5"/>
    <n v="68"/>
    <n v="6.5100000000000002E-3"/>
    <n v="0"/>
    <x v="0"/>
    <x v="0"/>
    <n v="6.5100000000000002E-3"/>
  </r>
  <r>
    <s v="SYN0203"/>
    <n v="26"/>
    <x v="0"/>
    <n v="28"/>
    <n v="53"/>
    <n v="3.0899999999999999E-3"/>
    <n v="0"/>
    <x v="2"/>
    <x v="1"/>
    <n v="3.0899999999999999E-3"/>
  </r>
  <r>
    <s v="SYN0204"/>
    <n v="50"/>
    <x v="0"/>
    <n v="15"/>
    <n v="64"/>
    <n v="9.11E-3"/>
    <n v="0"/>
    <x v="0"/>
    <x v="2"/>
    <n v="9.11E-3"/>
  </r>
  <r>
    <s v="SYN0205"/>
    <n v="36"/>
    <x v="0"/>
    <n v="28"/>
    <n v="63"/>
    <n v="7.0200000000000002E-3"/>
    <n v="0"/>
    <x v="0"/>
    <x v="1"/>
    <n v="7.0200000000000002E-3"/>
  </r>
  <r>
    <s v="SYN0206"/>
    <n v="45"/>
    <x v="0"/>
    <n v="16"/>
    <n v="60"/>
    <n v="6.2500000000000003E-3"/>
    <n v="0"/>
    <x v="0"/>
    <x v="2"/>
    <n v="6.2500000000000003E-3"/>
  </r>
  <r>
    <s v="SYN0207"/>
    <n v="23"/>
    <x v="0"/>
    <n v="5"/>
    <n v="27"/>
    <n v="5.1999999999999995E-4"/>
    <n v="0"/>
    <x v="6"/>
    <x v="0"/>
    <n v="5.1999999999999995E-4"/>
  </r>
  <r>
    <s v="SYN0208"/>
    <n v="39"/>
    <x v="1"/>
    <n v="3"/>
    <n v="41"/>
    <n v="4.8000000000000001E-4"/>
    <n v="0"/>
    <x v="3"/>
    <x v="0"/>
    <n v="4.8000000000000001E-4"/>
  </r>
  <r>
    <s v="SYN0209"/>
    <n v="46"/>
    <x v="1"/>
    <n v="20"/>
    <n v="65"/>
    <n v="8.2000000000000007E-3"/>
    <n v="0"/>
    <x v="0"/>
    <x v="1"/>
    <n v="8.2000000000000007E-3"/>
  </r>
  <r>
    <s v="SYN0210"/>
    <n v="53"/>
    <x v="0"/>
    <n v="13"/>
    <n v="65"/>
    <n v="9.8499999999999994E-3"/>
    <n v="0"/>
    <x v="0"/>
    <x v="2"/>
    <n v="9.8499999999999994E-3"/>
  </r>
  <r>
    <s v="SYN0211"/>
    <n v="57"/>
    <x v="0"/>
    <n v="14"/>
    <n v="70"/>
    <n v="1.6750000000000001E-2"/>
    <n v="0"/>
    <x v="5"/>
    <x v="2"/>
    <n v="1.6750000000000001E-2"/>
  </r>
  <r>
    <s v="SYN0212"/>
    <n v="59"/>
    <x v="0"/>
    <n v="24"/>
    <n v="82"/>
    <n v="6.3329999999999997E-2"/>
    <n v="0"/>
    <x v="4"/>
    <x v="1"/>
    <n v="6.3329999999999997E-2"/>
  </r>
  <r>
    <s v="SYN0213"/>
    <n v="60"/>
    <x v="0"/>
    <n v="7"/>
    <n v="66"/>
    <n v="9.4599999999999997E-3"/>
    <n v="0"/>
    <x v="0"/>
    <x v="0"/>
    <n v="9.4599999999999997E-3"/>
  </r>
  <r>
    <s v="SYN0214"/>
    <n v="35"/>
    <x v="1"/>
    <n v="6"/>
    <n v="40"/>
    <n v="5.9000000000000003E-4"/>
    <n v="0"/>
    <x v="3"/>
    <x v="0"/>
    <n v="5.9000000000000003E-4"/>
  </r>
  <r>
    <s v="SYN0215"/>
    <n v="46"/>
    <x v="1"/>
    <n v="15"/>
    <n v="60"/>
    <n v="4.5700000000000003E-3"/>
    <n v="0"/>
    <x v="0"/>
    <x v="2"/>
    <n v="4.5700000000000003E-3"/>
  </r>
  <r>
    <s v="SYN0216"/>
    <n v="22"/>
    <x v="0"/>
    <n v="8"/>
    <n v="29"/>
    <n v="5.9000000000000003E-4"/>
    <n v="0"/>
    <x v="6"/>
    <x v="0"/>
    <n v="5.9000000000000003E-4"/>
  </r>
  <r>
    <s v="SYN0217"/>
    <n v="49"/>
    <x v="1"/>
    <n v="3"/>
    <n v="51"/>
    <n v="1.1199999999999999E-3"/>
    <n v="0"/>
    <x v="2"/>
    <x v="0"/>
    <n v="1.1199999999999999E-3"/>
  </r>
  <r>
    <s v="SYN0218"/>
    <n v="60"/>
    <x v="1"/>
    <n v="19"/>
    <n v="78"/>
    <n v="3.0339999999999999E-2"/>
    <n v="0"/>
    <x v="5"/>
    <x v="2"/>
    <n v="3.0339999999999999E-2"/>
  </r>
  <r>
    <s v="SYN0219"/>
    <n v="47"/>
    <x v="1"/>
    <n v="4"/>
    <n v="50"/>
    <n v="1.15E-3"/>
    <n v="0"/>
    <x v="2"/>
    <x v="0"/>
    <n v="1.15E-3"/>
  </r>
  <r>
    <s v="SYN0220"/>
    <n v="37"/>
    <x v="0"/>
    <n v="27"/>
    <n v="63"/>
    <n v="7.79E-3"/>
    <n v="0"/>
    <x v="0"/>
    <x v="1"/>
    <n v="7.79E-3"/>
  </r>
  <r>
    <s v="SYN0221"/>
    <n v="39"/>
    <x v="1"/>
    <n v="20"/>
    <n v="58"/>
    <n v="4.0200000000000001E-3"/>
    <n v="0"/>
    <x v="2"/>
    <x v="1"/>
    <n v="4.0200000000000001E-3"/>
  </r>
  <r>
    <s v="SYN0222"/>
    <n v="38"/>
    <x v="0"/>
    <n v="15"/>
    <n v="52"/>
    <n v="2.7100000000000002E-3"/>
    <n v="0"/>
    <x v="2"/>
    <x v="2"/>
    <n v="2.7100000000000002E-3"/>
  </r>
  <r>
    <s v="SYN0223"/>
    <n v="64"/>
    <x v="1"/>
    <n v="13"/>
    <n v="76"/>
    <n v="2.018E-2"/>
    <n v="0"/>
    <x v="5"/>
    <x v="2"/>
    <n v="2.018E-2"/>
  </r>
  <r>
    <s v="SYN0224"/>
    <n v="51"/>
    <x v="0"/>
    <n v="15"/>
    <n v="65"/>
    <n v="1.005E-2"/>
    <n v="0"/>
    <x v="0"/>
    <x v="2"/>
    <n v="1.005E-2"/>
  </r>
  <r>
    <s v="SYN0225"/>
    <n v="47"/>
    <x v="0"/>
    <n v="24"/>
    <n v="70"/>
    <n v="1.7160000000000002E-2"/>
    <n v="0"/>
    <x v="5"/>
    <x v="1"/>
    <n v="1.7160000000000002E-2"/>
  </r>
  <r>
    <s v="SYN0226"/>
    <n v="25"/>
    <x v="1"/>
    <n v="8"/>
    <n v="32"/>
    <n v="3.6999999999999999E-4"/>
    <n v="0"/>
    <x v="1"/>
    <x v="0"/>
    <n v="3.6999999999999999E-4"/>
  </r>
  <r>
    <s v="SYN0227"/>
    <n v="56"/>
    <x v="1"/>
    <n v="19"/>
    <n v="74"/>
    <n v="2.019E-2"/>
    <n v="0"/>
    <x v="5"/>
    <x v="2"/>
    <n v="2.019E-2"/>
  </r>
  <r>
    <s v="SYN0228"/>
    <n v="63"/>
    <x v="0"/>
    <n v="27"/>
    <n v="89"/>
    <n v="0.13258"/>
    <n v="1"/>
    <x v="4"/>
    <x v="1"/>
    <n v="0.13258"/>
  </r>
  <r>
    <s v="SYN0229"/>
    <n v="31"/>
    <x v="1"/>
    <n v="16"/>
    <n v="46"/>
    <n v="1.2899999999999999E-3"/>
    <n v="0"/>
    <x v="3"/>
    <x v="2"/>
    <n v="1.2899999999999999E-3"/>
  </r>
  <r>
    <s v="SYN0230"/>
    <n v="37"/>
    <x v="1"/>
    <n v="6"/>
    <n v="42"/>
    <n v="7.1000000000000002E-4"/>
    <n v="0"/>
    <x v="3"/>
    <x v="0"/>
    <n v="7.1000000000000002E-4"/>
  </r>
  <r>
    <s v="SYN0231"/>
    <n v="51"/>
    <x v="0"/>
    <n v="3"/>
    <n v="53"/>
    <n v="1.91E-3"/>
    <n v="0"/>
    <x v="2"/>
    <x v="0"/>
    <n v="1.91E-3"/>
  </r>
  <r>
    <s v="SYN0232"/>
    <n v="40"/>
    <x v="0"/>
    <n v="22"/>
    <n v="61"/>
    <n v="7.0200000000000002E-3"/>
    <n v="0"/>
    <x v="0"/>
    <x v="1"/>
    <n v="7.0200000000000002E-3"/>
  </r>
  <r>
    <s v="SYN0233"/>
    <n v="46"/>
    <x v="0"/>
    <n v="23"/>
    <n v="68"/>
    <n v="1.405E-2"/>
    <n v="0"/>
    <x v="0"/>
    <x v="1"/>
    <n v="1.405E-2"/>
  </r>
  <r>
    <s v="SYN0234"/>
    <n v="45"/>
    <x v="1"/>
    <n v="27"/>
    <n v="71"/>
    <n v="1.404E-2"/>
    <n v="0"/>
    <x v="5"/>
    <x v="1"/>
    <n v="1.404E-2"/>
  </r>
  <r>
    <s v="SYN0235"/>
    <n v="25"/>
    <x v="0"/>
    <n v="11"/>
    <n v="35"/>
    <n v="7.2999999999999996E-4"/>
    <n v="0"/>
    <x v="1"/>
    <x v="2"/>
    <n v="7.2999999999999996E-4"/>
  </r>
  <r>
    <s v="SYN0236"/>
    <n v="45"/>
    <x v="1"/>
    <n v="28"/>
    <n v="72"/>
    <n v="1.404E-2"/>
    <n v="0"/>
    <x v="5"/>
    <x v="1"/>
    <n v="1.404E-2"/>
  </r>
  <r>
    <s v="SYN0237"/>
    <n v="62"/>
    <x v="1"/>
    <n v="28"/>
    <n v="89"/>
    <n v="9.3240000000000003E-2"/>
    <n v="0"/>
    <x v="4"/>
    <x v="1"/>
    <n v="9.3240000000000003E-2"/>
  </r>
  <r>
    <s v="SYN0238"/>
    <n v="32"/>
    <x v="0"/>
    <n v="17"/>
    <n v="48"/>
    <n v="2.1199999999999999E-3"/>
    <n v="0"/>
    <x v="3"/>
    <x v="2"/>
    <n v="2.1199999999999999E-3"/>
  </r>
  <r>
    <s v="SYN0239"/>
    <n v="60"/>
    <x v="1"/>
    <n v="15"/>
    <n v="74"/>
    <n v="1.7819999999999999E-2"/>
    <n v="0"/>
    <x v="5"/>
    <x v="2"/>
    <n v="1.7819999999999999E-2"/>
  </r>
  <r>
    <s v="SYN0240"/>
    <n v="55"/>
    <x v="1"/>
    <n v="5"/>
    <n v="59"/>
    <n v="2.9099999999999998E-3"/>
    <n v="0"/>
    <x v="2"/>
    <x v="0"/>
    <n v="2.9099999999999998E-3"/>
  </r>
  <r>
    <s v="SYN0241"/>
    <n v="64"/>
    <x v="0"/>
    <n v="16"/>
    <n v="79"/>
    <n v="4.2389999999999997E-2"/>
    <n v="0"/>
    <x v="5"/>
    <x v="2"/>
    <n v="4.2389999999999997E-2"/>
  </r>
  <r>
    <s v="SYN0242"/>
    <n v="58"/>
    <x v="0"/>
    <n v="26"/>
    <n v="83"/>
    <n v="7.1389999999999995E-2"/>
    <n v="0"/>
    <x v="4"/>
    <x v="1"/>
    <n v="7.1389999999999995E-2"/>
  </r>
  <r>
    <s v="SYN0243"/>
    <n v="55"/>
    <x v="1"/>
    <n v="1"/>
    <n v="55"/>
    <n v="5.4000000000000001E-4"/>
    <n v="0"/>
    <x v="2"/>
    <x v="0"/>
    <n v="5.4000000000000001E-4"/>
  </r>
  <r>
    <s v="SYN0244"/>
    <n v="27"/>
    <x v="1"/>
    <n v="15"/>
    <n v="41"/>
    <n v="9.8999999999999999E-4"/>
    <n v="0"/>
    <x v="3"/>
    <x v="2"/>
    <n v="9.8999999999999999E-4"/>
  </r>
  <r>
    <s v="SYN0245"/>
    <n v="29"/>
    <x v="1"/>
    <n v="16"/>
    <n v="44"/>
    <n v="1.15E-3"/>
    <n v="0"/>
    <x v="3"/>
    <x v="2"/>
    <n v="1.15E-3"/>
  </r>
  <r>
    <s v="SYN0246"/>
    <n v="65"/>
    <x v="0"/>
    <n v="9"/>
    <n v="73"/>
    <n v="1.6899999999999998E-2"/>
    <n v="0"/>
    <x v="5"/>
    <x v="0"/>
    <n v="1.6899999999999998E-2"/>
  </r>
  <r>
    <s v="SYN0247"/>
    <n v="50"/>
    <x v="0"/>
    <n v="8"/>
    <n v="57"/>
    <n v="3.7699999999999999E-3"/>
    <n v="0"/>
    <x v="2"/>
    <x v="0"/>
    <n v="3.7699999999999999E-3"/>
  </r>
  <r>
    <s v="SYN0248"/>
    <n v="32"/>
    <x v="1"/>
    <n v="30"/>
    <n v="61"/>
    <n v="3.6900000000000001E-3"/>
    <n v="0"/>
    <x v="0"/>
    <x v="3"/>
    <n v="3.6900000000000001E-3"/>
  </r>
  <r>
    <s v="SYN0249"/>
    <n v="28"/>
    <x v="0"/>
    <n v="28"/>
    <n v="55"/>
    <n v="3.5000000000000001E-3"/>
    <n v="0"/>
    <x v="2"/>
    <x v="1"/>
    <n v="3.5000000000000001E-3"/>
  </r>
  <r>
    <s v="SYN0250"/>
    <n v="46"/>
    <x v="1"/>
    <n v="11"/>
    <n v="56"/>
    <n v="2.7100000000000002E-3"/>
    <n v="0"/>
    <x v="2"/>
    <x v="2"/>
    <n v="2.7100000000000002E-3"/>
  </r>
  <r>
    <s v="SYN0251"/>
    <n v="20"/>
    <x v="1"/>
    <n v="10"/>
    <n v="29"/>
    <n v="3.8000000000000002E-4"/>
    <n v="0"/>
    <x v="6"/>
    <x v="2"/>
    <n v="3.8000000000000002E-4"/>
  </r>
  <r>
    <s v="SYN0252"/>
    <n v="57"/>
    <x v="0"/>
    <n v="22"/>
    <n v="78"/>
    <n v="4.1189999999999997E-2"/>
    <n v="0"/>
    <x v="5"/>
    <x v="1"/>
    <n v="4.1189999999999997E-2"/>
  </r>
  <r>
    <s v="SYN0253"/>
    <n v="54"/>
    <x v="0"/>
    <n v="16"/>
    <n v="69"/>
    <n v="1.5049999999999999E-2"/>
    <n v="0"/>
    <x v="0"/>
    <x v="2"/>
    <n v="1.5049999999999999E-2"/>
  </r>
  <r>
    <s v="SYN0254"/>
    <n v="54"/>
    <x v="0"/>
    <n v="13"/>
    <n v="66"/>
    <n v="1.112E-2"/>
    <n v="0"/>
    <x v="0"/>
    <x v="2"/>
    <n v="1.112E-2"/>
  </r>
  <r>
    <s v="SYN0255"/>
    <n v="32"/>
    <x v="0"/>
    <n v="23"/>
    <n v="54"/>
    <n v="3.6700000000000001E-3"/>
    <n v="0"/>
    <x v="2"/>
    <x v="1"/>
    <n v="3.6700000000000001E-3"/>
  </r>
  <r>
    <s v="SYN0256"/>
    <n v="46"/>
    <x v="0"/>
    <n v="2"/>
    <n v="47"/>
    <n v="8.8000000000000003E-4"/>
    <n v="0"/>
    <x v="3"/>
    <x v="0"/>
    <n v="8.8000000000000003E-4"/>
  </r>
  <r>
    <s v="SYN0257"/>
    <n v="44"/>
    <x v="1"/>
    <n v="13"/>
    <n v="56"/>
    <n v="2.9399999999999999E-3"/>
    <n v="0"/>
    <x v="2"/>
    <x v="2"/>
    <n v="2.9399999999999999E-3"/>
  </r>
  <r>
    <s v="SYN0258"/>
    <n v="61"/>
    <x v="0"/>
    <n v="5"/>
    <n v="65"/>
    <n v="7.3899999999999999E-3"/>
    <n v="0"/>
    <x v="0"/>
    <x v="0"/>
    <n v="7.3899999999999999E-3"/>
  </r>
  <r>
    <s v="SYN0259"/>
    <n v="52"/>
    <x v="0"/>
    <n v="19"/>
    <n v="70"/>
    <n v="1.6750000000000001E-2"/>
    <n v="0"/>
    <x v="5"/>
    <x v="2"/>
    <n v="1.6750000000000001E-2"/>
  </r>
  <r>
    <s v="SYN0260"/>
    <n v="48"/>
    <x v="1"/>
    <n v="4"/>
    <n v="51"/>
    <n v="1.25E-3"/>
    <n v="0"/>
    <x v="2"/>
    <x v="0"/>
    <n v="1.25E-3"/>
  </r>
  <r>
    <s v="SYN0261"/>
    <n v="29"/>
    <x v="1"/>
    <n v="14"/>
    <n v="42"/>
    <n v="1E-3"/>
    <n v="0"/>
    <x v="3"/>
    <x v="2"/>
    <n v="1E-3"/>
  </r>
  <r>
    <s v="SYN0262"/>
    <n v="24"/>
    <x v="1"/>
    <n v="16"/>
    <n v="39"/>
    <n v="9.2000000000000003E-4"/>
    <n v="0"/>
    <x v="1"/>
    <x v="2"/>
    <n v="9.2000000000000003E-4"/>
  </r>
  <r>
    <s v="SYN0263"/>
    <n v="59"/>
    <x v="0"/>
    <n v="23"/>
    <n v="81"/>
    <n v="5.6829999999999999E-2"/>
    <n v="0"/>
    <x v="4"/>
    <x v="1"/>
    <n v="5.6829999999999999E-2"/>
  </r>
  <r>
    <s v="SYN0264"/>
    <n v="41"/>
    <x v="1"/>
    <n v="28"/>
    <n v="68"/>
    <n v="9.2399999999999999E-3"/>
    <n v="0"/>
    <x v="0"/>
    <x v="1"/>
    <n v="9.2399999999999999E-3"/>
  </r>
  <r>
    <s v="SYN0265"/>
    <n v="40"/>
    <x v="1"/>
    <n v="21"/>
    <n v="60"/>
    <n v="4.9300000000000004E-3"/>
    <n v="0"/>
    <x v="0"/>
    <x v="1"/>
    <n v="4.9300000000000004E-3"/>
  </r>
  <r>
    <s v="SYN0266"/>
    <n v="54"/>
    <x v="1"/>
    <n v="2"/>
    <n v="55"/>
    <n v="1.2199999999999999E-3"/>
    <n v="0"/>
    <x v="2"/>
    <x v="0"/>
    <n v="1.2199999999999999E-3"/>
  </r>
  <r>
    <s v="SYN0267"/>
    <n v="63"/>
    <x v="0"/>
    <n v="30"/>
    <n v="92"/>
    <n v="0.13258"/>
    <n v="0"/>
    <x v="7"/>
    <x v="3"/>
    <n v="0.13258"/>
  </r>
  <r>
    <s v="SYN0268"/>
    <n v="25"/>
    <x v="1"/>
    <n v="14"/>
    <n v="38"/>
    <n v="7.9000000000000001E-4"/>
    <n v="0"/>
    <x v="1"/>
    <x v="2"/>
    <n v="7.9000000000000001E-4"/>
  </r>
  <r>
    <s v="SYN0269"/>
    <n v="65"/>
    <x v="0"/>
    <n v="28"/>
    <n v="92"/>
    <n v="0.16611999999999999"/>
    <n v="0"/>
    <x v="7"/>
    <x v="1"/>
    <n v="0.16611999999999999"/>
  </r>
  <r>
    <s v="SYN0270"/>
    <n v="39"/>
    <x v="0"/>
    <n v="29"/>
    <n v="67"/>
    <n v="9.6200000000000001E-3"/>
    <n v="0"/>
    <x v="0"/>
    <x v="1"/>
    <n v="9.6200000000000001E-3"/>
  </r>
  <r>
    <s v="SYN0271"/>
    <n v="23"/>
    <x v="0"/>
    <n v="10"/>
    <n v="32"/>
    <n v="6.4000000000000005E-4"/>
    <n v="0"/>
    <x v="1"/>
    <x v="2"/>
    <n v="6.4000000000000005E-4"/>
  </r>
  <r>
    <s v="SYN0272"/>
    <n v="35"/>
    <x v="0"/>
    <n v="17"/>
    <n v="51"/>
    <n v="2.65E-3"/>
    <n v="0"/>
    <x v="2"/>
    <x v="2"/>
    <n v="2.65E-3"/>
  </r>
  <r>
    <s v="SYN0273"/>
    <n v="31"/>
    <x v="0"/>
    <n v="6"/>
    <n v="36"/>
    <n v="5.5999999999999995E-4"/>
    <n v="0"/>
    <x v="1"/>
    <x v="0"/>
    <n v="5.5999999999999995E-4"/>
  </r>
  <r>
    <s v="SYN0274"/>
    <n v="44"/>
    <x v="1"/>
    <n v="20"/>
    <n v="63"/>
    <n v="6.6400000000000001E-3"/>
    <n v="0"/>
    <x v="0"/>
    <x v="1"/>
    <n v="6.6400000000000001E-3"/>
  </r>
  <r>
    <s v="SYN0275"/>
    <n v="57"/>
    <x v="0"/>
    <n v="5"/>
    <n v="61"/>
    <n v="5.3600000000000002E-3"/>
    <n v="0"/>
    <x v="0"/>
    <x v="0"/>
    <n v="5.3600000000000002E-3"/>
  </r>
  <r>
    <s v="SYN0276"/>
    <n v="49"/>
    <x v="1"/>
    <n v="9"/>
    <n v="57"/>
    <n v="2.7499999999999998E-3"/>
    <n v="0"/>
    <x v="2"/>
    <x v="0"/>
    <n v="2.7499999999999998E-3"/>
  </r>
  <r>
    <s v="SYN0277"/>
    <n v="49"/>
    <x v="0"/>
    <n v="29"/>
    <n v="77"/>
    <n v="2.6859999999999998E-2"/>
    <n v="0"/>
    <x v="5"/>
    <x v="1"/>
    <n v="2.6859999999999998E-2"/>
  </r>
  <r>
    <s v="SYN0278"/>
    <n v="24"/>
    <x v="1"/>
    <n v="15"/>
    <n v="38"/>
    <n v="8.3000000000000001E-4"/>
    <n v="0"/>
    <x v="1"/>
    <x v="2"/>
    <n v="8.3000000000000001E-4"/>
  </r>
  <r>
    <s v="SYN0279"/>
    <n v="39"/>
    <x v="1"/>
    <n v="21"/>
    <n v="59"/>
    <n v="4.4600000000000004E-3"/>
    <n v="0"/>
    <x v="2"/>
    <x v="1"/>
    <n v="4.4600000000000004E-3"/>
  </r>
  <r>
    <s v="SYN0280"/>
    <n v="49"/>
    <x v="0"/>
    <n v="28"/>
    <n v="76"/>
    <n v="2.6859999999999998E-2"/>
    <n v="0"/>
    <x v="5"/>
    <x v="1"/>
    <n v="2.6859999999999998E-2"/>
  </r>
  <r>
    <s v="SYN0281"/>
    <n v="50"/>
    <x v="0"/>
    <n v="4"/>
    <n v="53"/>
    <n v="2.16E-3"/>
    <n v="0"/>
    <x v="2"/>
    <x v="0"/>
    <n v="2.16E-3"/>
  </r>
  <r>
    <s v="SYN0282"/>
    <n v="56"/>
    <x v="1"/>
    <n v="10"/>
    <n v="65"/>
    <n v="6.3E-3"/>
    <n v="0"/>
    <x v="0"/>
    <x v="2"/>
    <n v="6.3E-3"/>
  </r>
  <r>
    <s v="SYN0283"/>
    <n v="62"/>
    <x v="0"/>
    <n v="13"/>
    <n v="74"/>
    <n v="2.409E-2"/>
    <n v="0"/>
    <x v="5"/>
    <x v="2"/>
    <n v="2.409E-2"/>
  </r>
  <r>
    <s v="SYN0284"/>
    <n v="63"/>
    <x v="1"/>
    <n v="25"/>
    <n v="87"/>
    <n v="9.3240000000000003E-2"/>
    <n v="1"/>
    <x v="4"/>
    <x v="1"/>
    <n v="9.3240000000000003E-2"/>
  </r>
  <r>
    <s v="SYN0285"/>
    <n v="58"/>
    <x v="0"/>
    <n v="24"/>
    <n v="81"/>
    <n v="5.6829999999999999E-2"/>
    <n v="0"/>
    <x v="4"/>
    <x v="1"/>
    <n v="5.6829999999999999E-2"/>
  </r>
  <r>
    <s v="SYN0286"/>
    <n v="38"/>
    <x v="1"/>
    <n v="25"/>
    <n v="62"/>
    <n v="6.0499999999999998E-3"/>
    <n v="0"/>
    <x v="0"/>
    <x v="1"/>
    <n v="6.0499999999999998E-3"/>
  </r>
  <r>
    <s v="SYN0287"/>
    <n v="42"/>
    <x v="1"/>
    <n v="8"/>
    <n v="49"/>
    <n v="1.2800000000000001E-3"/>
    <n v="0"/>
    <x v="3"/>
    <x v="0"/>
    <n v="1.2800000000000001E-3"/>
  </r>
  <r>
    <s v="SYN0288"/>
    <n v="63"/>
    <x v="1"/>
    <n v="25"/>
    <n v="87"/>
    <n v="9.3240000000000003E-2"/>
    <n v="0"/>
    <x v="4"/>
    <x v="1"/>
    <n v="9.3240000000000003E-2"/>
  </r>
  <r>
    <s v="SYN0289"/>
    <n v="28"/>
    <x v="0"/>
    <n v="21"/>
    <n v="48"/>
    <n v="2.1900000000000001E-3"/>
    <n v="0"/>
    <x v="3"/>
    <x v="1"/>
    <n v="2.1900000000000001E-3"/>
  </r>
  <r>
    <s v="SYN0290"/>
    <n v="22"/>
    <x v="1"/>
    <n v="10"/>
    <n v="31"/>
    <n v="4.0000000000000002E-4"/>
    <n v="0"/>
    <x v="1"/>
    <x v="2"/>
    <n v="4.0000000000000002E-4"/>
  </r>
  <r>
    <s v="SYN0291"/>
    <n v="43"/>
    <x v="0"/>
    <n v="24"/>
    <n v="66"/>
    <n v="1.154E-2"/>
    <n v="0"/>
    <x v="0"/>
    <x v="1"/>
    <n v="1.154E-2"/>
  </r>
  <r>
    <s v="SYN0292"/>
    <n v="40"/>
    <x v="0"/>
    <n v="24"/>
    <n v="63"/>
    <n v="8.5900000000000004E-3"/>
    <n v="0"/>
    <x v="0"/>
    <x v="1"/>
    <n v="8.5900000000000004E-3"/>
  </r>
  <r>
    <s v="SYN0293"/>
    <n v="54"/>
    <x v="1"/>
    <n v="29"/>
    <n v="82"/>
    <n v="3.569E-2"/>
    <n v="0"/>
    <x v="4"/>
    <x v="1"/>
    <n v="3.569E-2"/>
  </r>
  <r>
    <s v="SYN0294"/>
    <n v="37"/>
    <x v="0"/>
    <n v="27"/>
    <n v="63"/>
    <n v="7.79E-3"/>
    <n v="0"/>
    <x v="0"/>
    <x v="1"/>
    <n v="7.79E-3"/>
  </r>
  <r>
    <s v="SYN0295"/>
    <n v="50"/>
    <x v="0"/>
    <n v="26"/>
    <n v="75"/>
    <n v="3.006E-2"/>
    <n v="0"/>
    <x v="5"/>
    <x v="1"/>
    <n v="3.006E-2"/>
  </r>
  <r>
    <s v="SYN0296"/>
    <n v="27"/>
    <x v="1"/>
    <n v="15"/>
    <n v="41"/>
    <n v="9.8999999999999999E-4"/>
    <n v="0"/>
    <x v="3"/>
    <x v="2"/>
    <n v="9.8999999999999999E-4"/>
  </r>
  <r>
    <s v="SYN0297"/>
    <n v="34"/>
    <x v="1"/>
    <n v="28"/>
    <n v="61"/>
    <n v="4.4600000000000004E-3"/>
    <n v="0"/>
    <x v="0"/>
    <x v="1"/>
    <n v="4.4600000000000004E-3"/>
  </r>
  <r>
    <s v="SYN0298"/>
    <n v="45"/>
    <x v="1"/>
    <n v="28"/>
    <n v="72"/>
    <n v="1.404E-2"/>
    <n v="0"/>
    <x v="5"/>
    <x v="1"/>
    <n v="1.404E-2"/>
  </r>
  <r>
    <s v="SYN0299"/>
    <n v="45"/>
    <x v="0"/>
    <n v="1"/>
    <n v="45"/>
    <n v="5.5000000000000003E-4"/>
    <n v="0"/>
    <x v="3"/>
    <x v="0"/>
    <n v="5.5000000000000003E-4"/>
  </r>
  <r>
    <s v="SYN0300"/>
    <n v="43"/>
    <x v="1"/>
    <n v="22"/>
    <n v="64"/>
    <n v="7.4700000000000001E-3"/>
    <n v="0"/>
    <x v="0"/>
    <x v="1"/>
    <n v="7.4700000000000001E-3"/>
  </r>
  <r>
    <s v="SYN0301"/>
    <n v="44"/>
    <x v="1"/>
    <n v="27"/>
    <n v="70"/>
    <n v="1.2659999999999999E-2"/>
    <n v="0"/>
    <x v="5"/>
    <x v="1"/>
    <n v="1.2659999999999999E-2"/>
  </r>
  <r>
    <s v="SYN0302"/>
    <n v="63"/>
    <x v="0"/>
    <n v="8"/>
    <n v="70"/>
    <n v="1.2489999999999999E-2"/>
    <n v="0"/>
    <x v="5"/>
    <x v="0"/>
    <n v="1.2489999999999999E-2"/>
  </r>
  <r>
    <s v="SYN0303"/>
    <n v="55"/>
    <x v="1"/>
    <n v="11"/>
    <n v="65"/>
    <n v="6.4400000000000004E-3"/>
    <n v="0"/>
    <x v="0"/>
    <x v="2"/>
    <n v="6.4400000000000004E-3"/>
  </r>
  <r>
    <s v="SYN0304"/>
    <n v="24"/>
    <x v="1"/>
    <n v="21"/>
    <n v="44"/>
    <n v="1.33E-3"/>
    <n v="0"/>
    <x v="3"/>
    <x v="1"/>
    <n v="1.33E-3"/>
  </r>
  <r>
    <s v="SYN0305"/>
    <n v="39"/>
    <x v="0"/>
    <n v="21"/>
    <n v="59"/>
    <n v="5.7400000000000003E-3"/>
    <n v="0"/>
    <x v="2"/>
    <x v="1"/>
    <n v="5.7400000000000003E-3"/>
  </r>
  <r>
    <s v="SYN0306"/>
    <n v="22"/>
    <x v="1"/>
    <n v="10"/>
    <n v="31"/>
    <n v="4.0000000000000002E-4"/>
    <n v="0"/>
    <x v="1"/>
    <x v="2"/>
    <n v="4.0000000000000002E-4"/>
  </r>
  <r>
    <s v="SYN0307"/>
    <n v="35"/>
    <x v="1"/>
    <n v="29"/>
    <n v="63"/>
    <n v="4.9300000000000004E-3"/>
    <n v="0"/>
    <x v="0"/>
    <x v="1"/>
    <n v="4.9300000000000004E-3"/>
  </r>
  <r>
    <s v="SYN0308"/>
    <n v="43"/>
    <x v="1"/>
    <n v="22"/>
    <n v="64"/>
    <n v="7.4700000000000001E-3"/>
    <n v="0"/>
    <x v="0"/>
    <x v="1"/>
    <n v="7.4700000000000001E-3"/>
  </r>
  <r>
    <s v="SYN0309"/>
    <n v="54"/>
    <x v="1"/>
    <n v="14"/>
    <n v="67"/>
    <n v="8.7100000000000007E-3"/>
    <n v="0"/>
    <x v="0"/>
    <x v="2"/>
    <n v="8.7100000000000007E-3"/>
  </r>
  <r>
    <s v="SYN0310"/>
    <n v="46"/>
    <x v="0"/>
    <n v="21"/>
    <n v="66"/>
    <n v="1.132E-2"/>
    <n v="0"/>
    <x v="0"/>
    <x v="1"/>
    <n v="1.132E-2"/>
  </r>
  <r>
    <s v="SYN0311"/>
    <n v="46"/>
    <x v="0"/>
    <n v="9"/>
    <n v="54"/>
    <n v="2.8900000000000002E-3"/>
    <n v="0"/>
    <x v="2"/>
    <x v="0"/>
    <n v="2.8900000000000002E-3"/>
  </r>
  <r>
    <s v="SYN0312"/>
    <n v="48"/>
    <x v="1"/>
    <n v="15"/>
    <n v="62"/>
    <n v="5.6600000000000001E-3"/>
    <n v="0"/>
    <x v="0"/>
    <x v="2"/>
    <n v="5.6600000000000001E-3"/>
  </r>
  <r>
    <s v="SYN0313"/>
    <n v="26"/>
    <x v="0"/>
    <n v="22"/>
    <n v="47"/>
    <n v="2.1700000000000001E-3"/>
    <n v="0"/>
    <x v="3"/>
    <x v="1"/>
    <n v="2.1700000000000001E-3"/>
  </r>
  <r>
    <s v="SYN0314"/>
    <n v="61"/>
    <x v="0"/>
    <n v="12"/>
    <n v="72"/>
    <n v="1.9769999999999999E-2"/>
    <n v="0"/>
    <x v="5"/>
    <x v="2"/>
    <n v="1.9769999999999999E-2"/>
  </r>
  <r>
    <s v="SYN0315"/>
    <n v="27"/>
    <x v="1"/>
    <n v="28"/>
    <n v="54"/>
    <n v="2.3800000000000002E-3"/>
    <n v="0"/>
    <x v="2"/>
    <x v="1"/>
    <n v="2.3800000000000002E-3"/>
  </r>
  <r>
    <s v="SYN0316"/>
    <n v="33"/>
    <x v="1"/>
    <n v="21"/>
    <n v="53"/>
    <n v="2.5899999999999999E-3"/>
    <n v="0"/>
    <x v="2"/>
    <x v="1"/>
    <n v="2.5899999999999999E-3"/>
  </r>
  <r>
    <s v="SYN0317"/>
    <n v="23"/>
    <x v="0"/>
    <n v="26"/>
    <n v="48"/>
    <n v="2.7399999999999998E-3"/>
    <n v="0"/>
    <x v="3"/>
    <x v="1"/>
    <n v="2.7399999999999998E-3"/>
  </r>
  <r>
    <s v="SYN0318"/>
    <n v="56"/>
    <x v="0"/>
    <n v="7"/>
    <n v="62"/>
    <n v="6.5399999999999998E-3"/>
    <n v="0"/>
    <x v="0"/>
    <x v="0"/>
    <n v="6.5399999999999998E-3"/>
  </r>
  <r>
    <s v="SYN0319"/>
    <n v="33"/>
    <x v="0"/>
    <n v="19"/>
    <n v="51"/>
    <n v="2.7200000000000002E-3"/>
    <n v="0"/>
    <x v="2"/>
    <x v="2"/>
    <n v="2.7200000000000002E-3"/>
  </r>
  <r>
    <s v="SYN0320"/>
    <n v="41"/>
    <x v="0"/>
    <n v="25"/>
    <n v="65"/>
    <n v="1.057E-2"/>
    <n v="0"/>
    <x v="0"/>
    <x v="1"/>
    <n v="1.057E-2"/>
  </r>
  <r>
    <s v="SYN0321"/>
    <n v="20"/>
    <x v="1"/>
    <n v="9"/>
    <n v="28"/>
    <n v="3.4000000000000002E-4"/>
    <n v="0"/>
    <x v="6"/>
    <x v="0"/>
    <n v="3.4000000000000002E-4"/>
  </r>
  <r>
    <s v="SYN0322"/>
    <n v="28"/>
    <x v="0"/>
    <n v="18"/>
    <n v="45"/>
    <n v="1.7899999999999999E-3"/>
    <n v="0"/>
    <x v="3"/>
    <x v="2"/>
    <n v="1.7899999999999999E-3"/>
  </r>
  <r>
    <s v="SYN0323"/>
    <n v="62"/>
    <x v="0"/>
    <n v="28"/>
    <n v="89"/>
    <n v="0.11724"/>
    <n v="1"/>
    <x v="4"/>
    <x v="1"/>
    <n v="0.11724"/>
  </r>
  <r>
    <s v="SYN0324"/>
    <n v="35"/>
    <x v="0"/>
    <n v="19"/>
    <n v="53"/>
    <n v="3.2200000000000002E-3"/>
    <n v="0"/>
    <x v="2"/>
    <x v="2"/>
    <n v="3.2200000000000002E-3"/>
  </r>
  <r>
    <s v="SYN0325"/>
    <n v="23"/>
    <x v="1"/>
    <n v="5"/>
    <n v="27"/>
    <n v="2.5000000000000001E-4"/>
    <n v="0"/>
    <x v="6"/>
    <x v="0"/>
    <n v="2.5000000000000001E-4"/>
  </r>
  <r>
    <s v="SYN0326"/>
    <n v="24"/>
    <x v="0"/>
    <n v="16"/>
    <n v="39"/>
    <n v="1.1999999999999999E-3"/>
    <n v="0"/>
    <x v="1"/>
    <x v="2"/>
    <n v="1.1999999999999999E-3"/>
  </r>
  <r>
    <s v="SYN0327"/>
    <n v="57"/>
    <x v="0"/>
    <n v="4"/>
    <n v="60"/>
    <n v="4.6899999999999997E-3"/>
    <n v="0"/>
    <x v="0"/>
    <x v="0"/>
    <n v="4.6899999999999997E-3"/>
  </r>
  <r>
    <s v="SYN0328"/>
    <n v="59"/>
    <x v="1"/>
    <n v="2"/>
    <n v="60"/>
    <n v="1.5E-3"/>
    <n v="0"/>
    <x v="0"/>
    <x v="0"/>
    <n v="1.5E-3"/>
  </r>
  <r>
    <s v="SYN0329"/>
    <n v="62"/>
    <x v="0"/>
    <n v="17"/>
    <n v="78"/>
    <n v="3.943E-2"/>
    <n v="0"/>
    <x v="5"/>
    <x v="2"/>
    <n v="3.943E-2"/>
  </r>
  <r>
    <s v="SYN0330"/>
    <n v="21"/>
    <x v="1"/>
    <n v="2"/>
    <n v="22"/>
    <n v="2.5000000000000001E-4"/>
    <n v="0"/>
    <x v="6"/>
    <x v="0"/>
    <n v="2.5000000000000001E-4"/>
  </r>
  <r>
    <s v="SYN0331"/>
    <n v="47"/>
    <x v="0"/>
    <n v="22"/>
    <n v="68"/>
    <n v="1.405E-2"/>
    <n v="0"/>
    <x v="0"/>
    <x v="1"/>
    <n v="1.405E-2"/>
  </r>
  <r>
    <s v="SYN0332"/>
    <n v="48"/>
    <x v="1"/>
    <n v="3"/>
    <n v="50"/>
    <n v="9.7999999999999997E-4"/>
    <n v="0"/>
    <x v="2"/>
    <x v="0"/>
    <n v="9.7999999999999997E-4"/>
  </r>
  <r>
    <s v="SYN0333"/>
    <n v="29"/>
    <x v="0"/>
    <n v="3"/>
    <n v="31"/>
    <n v="3.5E-4"/>
    <n v="0"/>
    <x v="1"/>
    <x v="0"/>
    <n v="3.5E-4"/>
  </r>
  <r>
    <s v="SYN0334"/>
    <n v="57"/>
    <x v="1"/>
    <n v="18"/>
    <n v="74"/>
    <n v="1.968E-2"/>
    <n v="0"/>
    <x v="5"/>
    <x v="2"/>
    <n v="1.968E-2"/>
  </r>
  <r>
    <s v="SYN0335"/>
    <n v="58"/>
    <x v="0"/>
    <n v="17"/>
    <n v="74"/>
    <n v="2.6440000000000002E-2"/>
    <n v="0"/>
    <x v="5"/>
    <x v="2"/>
    <n v="2.6440000000000002E-2"/>
  </r>
  <r>
    <s v="SYN0336"/>
    <n v="47"/>
    <x v="1"/>
    <n v="4"/>
    <n v="50"/>
    <n v="1.15E-3"/>
    <n v="0"/>
    <x v="2"/>
    <x v="0"/>
    <n v="1.15E-3"/>
  </r>
  <r>
    <s v="SYN0337"/>
    <n v="61"/>
    <x v="1"/>
    <n v="21"/>
    <n v="81"/>
    <n v="4.4880000000000003E-2"/>
    <n v="0"/>
    <x v="4"/>
    <x v="1"/>
    <n v="4.4880000000000003E-2"/>
  </r>
  <r>
    <s v="SYN0338"/>
    <n v="33"/>
    <x v="0"/>
    <n v="14"/>
    <n v="46"/>
    <n v="1.6299999999999999E-3"/>
    <n v="0"/>
    <x v="3"/>
    <x v="2"/>
    <n v="1.6299999999999999E-3"/>
  </r>
  <r>
    <s v="SYN0339"/>
    <n v="41"/>
    <x v="0"/>
    <n v="27"/>
    <n v="67"/>
    <n v="1.1730000000000001E-2"/>
    <n v="0"/>
    <x v="0"/>
    <x v="1"/>
    <n v="1.1730000000000001E-2"/>
  </r>
  <r>
    <s v="SYN0340"/>
    <n v="26"/>
    <x v="0"/>
    <n v="11"/>
    <n v="36"/>
    <n v="7.6999999999999996E-4"/>
    <n v="0"/>
    <x v="1"/>
    <x v="2"/>
    <n v="7.6999999999999996E-4"/>
  </r>
  <r>
    <s v="SYN0341"/>
    <n v="43"/>
    <x v="1"/>
    <n v="5"/>
    <n v="47"/>
    <n v="9.5E-4"/>
    <n v="0"/>
    <x v="3"/>
    <x v="0"/>
    <n v="9.5E-4"/>
  </r>
  <r>
    <s v="SYN0342"/>
    <n v="25"/>
    <x v="0"/>
    <n v="27"/>
    <n v="51"/>
    <n v="2.9299999999999999E-3"/>
    <n v="0"/>
    <x v="2"/>
    <x v="1"/>
    <n v="2.9299999999999999E-3"/>
  </r>
  <r>
    <s v="SYN0343"/>
    <n v="43"/>
    <x v="0"/>
    <n v="26"/>
    <n v="68"/>
    <n v="1.413E-2"/>
    <n v="0"/>
    <x v="0"/>
    <x v="1"/>
    <n v="1.413E-2"/>
  </r>
  <r>
    <s v="SYN0344"/>
    <n v="55"/>
    <x v="0"/>
    <n v="18"/>
    <n v="72"/>
    <n v="2.1139999999999999E-2"/>
    <n v="0"/>
    <x v="5"/>
    <x v="2"/>
    <n v="2.1139999999999999E-2"/>
  </r>
  <r>
    <s v="SYN0345"/>
    <n v="42"/>
    <x v="1"/>
    <n v="28"/>
    <n v="69"/>
    <n v="1.027E-2"/>
    <n v="0"/>
    <x v="0"/>
    <x v="1"/>
    <n v="1.027E-2"/>
  </r>
  <r>
    <s v="SYN0346"/>
    <n v="23"/>
    <x v="1"/>
    <n v="10"/>
    <n v="32"/>
    <n v="4.0999999999999999E-4"/>
    <n v="0"/>
    <x v="1"/>
    <x v="2"/>
    <n v="4.0999999999999999E-4"/>
  </r>
  <r>
    <s v="SYN0347"/>
    <n v="56"/>
    <x v="0"/>
    <n v="17"/>
    <n v="72"/>
    <n v="2.1139999999999999E-2"/>
    <n v="0"/>
    <x v="5"/>
    <x v="2"/>
    <n v="2.1139999999999999E-2"/>
  </r>
  <r>
    <s v="SYN0348"/>
    <n v="34"/>
    <x v="0"/>
    <n v="28"/>
    <n v="61"/>
    <n v="5.7400000000000003E-3"/>
    <n v="0"/>
    <x v="0"/>
    <x v="1"/>
    <n v="5.7400000000000003E-3"/>
  </r>
  <r>
    <s v="SYN0349"/>
    <n v="43"/>
    <x v="1"/>
    <n v="4"/>
    <n v="46"/>
    <n v="7.9000000000000001E-4"/>
    <n v="0"/>
    <x v="3"/>
    <x v="0"/>
    <n v="7.9000000000000001E-4"/>
  </r>
  <r>
    <s v="SYN0350"/>
    <n v="47"/>
    <x v="1"/>
    <n v="28"/>
    <n v="74"/>
    <n v="1.7170000000000001E-2"/>
    <n v="0"/>
    <x v="5"/>
    <x v="1"/>
    <n v="1.7170000000000001E-2"/>
  </r>
  <r>
    <s v="SYN0351"/>
    <n v="59"/>
    <x v="1"/>
    <n v="20"/>
    <n v="78"/>
    <n v="3.1530000000000002E-2"/>
    <n v="0"/>
    <x v="5"/>
    <x v="1"/>
    <n v="3.1530000000000002E-2"/>
  </r>
  <r>
    <s v="SYN0352"/>
    <n v="58"/>
    <x v="1"/>
    <n v="30"/>
    <n v="87"/>
    <n v="5.704E-2"/>
    <n v="0"/>
    <x v="4"/>
    <x v="3"/>
    <n v="5.704E-2"/>
  </r>
  <r>
    <s v="SYN0353"/>
    <n v="21"/>
    <x v="0"/>
    <n v="6"/>
    <n v="26"/>
    <n v="6.8000000000000005E-4"/>
    <n v="0"/>
    <x v="6"/>
    <x v="0"/>
    <n v="6.8000000000000005E-4"/>
  </r>
  <r>
    <s v="SYN0354"/>
    <n v="41"/>
    <x v="0"/>
    <n v="12"/>
    <n v="52"/>
    <n v="2.5799999999999998E-3"/>
    <n v="0"/>
    <x v="2"/>
    <x v="2"/>
    <n v="2.5799999999999998E-3"/>
  </r>
  <r>
    <s v="SYN0355"/>
    <n v="56"/>
    <x v="0"/>
    <n v="22"/>
    <n v="77"/>
    <n v="3.7039999999999997E-2"/>
    <n v="0"/>
    <x v="5"/>
    <x v="1"/>
    <n v="3.7039999999999997E-2"/>
  </r>
  <r>
    <s v="SYN0356"/>
    <n v="60"/>
    <x v="0"/>
    <n v="1"/>
    <n v="60"/>
    <n v="2.0500000000000002E-3"/>
    <n v="0"/>
    <x v="0"/>
    <x v="0"/>
    <n v="2.0500000000000002E-3"/>
  </r>
  <r>
    <s v="SYN0357"/>
    <n v="44"/>
    <x v="0"/>
    <n v="14"/>
    <n v="57"/>
    <n v="4.4000000000000003E-3"/>
    <n v="0"/>
    <x v="2"/>
    <x v="2"/>
    <n v="4.4000000000000003E-3"/>
  </r>
  <r>
    <s v="SYN0358"/>
    <n v="39"/>
    <x v="0"/>
    <n v="24"/>
    <n v="62"/>
    <n v="7.7600000000000004E-3"/>
    <n v="0"/>
    <x v="0"/>
    <x v="1"/>
    <n v="7.7600000000000004E-3"/>
  </r>
  <r>
    <s v="SYN0359"/>
    <n v="58"/>
    <x v="1"/>
    <n v="3"/>
    <n v="60"/>
    <n v="2.1099999999999999E-3"/>
    <n v="0"/>
    <x v="0"/>
    <x v="0"/>
    <n v="2.1099999999999999E-3"/>
  </r>
  <r>
    <s v="SYN0360"/>
    <n v="59"/>
    <x v="1"/>
    <n v="2"/>
    <n v="60"/>
    <n v="1.5E-3"/>
    <n v="0"/>
    <x v="0"/>
    <x v="0"/>
    <n v="1.5E-3"/>
  </r>
  <r>
    <s v="SYN0361"/>
    <n v="62"/>
    <x v="0"/>
    <n v="14"/>
    <n v="75"/>
    <n v="2.76E-2"/>
    <n v="0"/>
    <x v="5"/>
    <x v="2"/>
    <n v="2.76E-2"/>
  </r>
  <r>
    <s v="SYN0362"/>
    <n v="37"/>
    <x v="1"/>
    <n v="7"/>
    <n v="43"/>
    <n v="7.6000000000000004E-4"/>
    <n v="0"/>
    <x v="3"/>
    <x v="0"/>
    <n v="7.6000000000000004E-4"/>
  </r>
  <r>
    <s v="SYN0363"/>
    <n v="47"/>
    <x v="0"/>
    <n v="4"/>
    <n v="50"/>
    <n v="1.5900000000000001E-3"/>
    <n v="0"/>
    <x v="2"/>
    <x v="0"/>
    <n v="1.5900000000000001E-3"/>
  </r>
  <r>
    <s v="SYN0364"/>
    <n v="51"/>
    <x v="1"/>
    <n v="17"/>
    <n v="67"/>
    <n v="9.6399999999999993E-3"/>
    <n v="0"/>
    <x v="0"/>
    <x v="2"/>
    <n v="9.6399999999999993E-3"/>
  </r>
  <r>
    <s v="SYN0365"/>
    <n v="45"/>
    <x v="0"/>
    <n v="20"/>
    <n v="64"/>
    <n v="9.2899999999999996E-3"/>
    <n v="0"/>
    <x v="0"/>
    <x v="1"/>
    <n v="9.2899999999999996E-3"/>
  </r>
  <r>
    <s v="SYN0366"/>
    <n v="33"/>
    <x v="0"/>
    <n v="25"/>
    <n v="57"/>
    <n v="4.7800000000000004E-3"/>
    <n v="0"/>
    <x v="2"/>
    <x v="1"/>
    <n v="4.7800000000000004E-3"/>
  </r>
  <r>
    <s v="SYN0367"/>
    <n v="40"/>
    <x v="0"/>
    <n v="4"/>
    <n v="43"/>
    <n v="8.8000000000000003E-4"/>
    <n v="0"/>
    <x v="3"/>
    <x v="0"/>
    <n v="8.8000000000000003E-4"/>
  </r>
  <r>
    <s v="SYN0368"/>
    <n v="31"/>
    <x v="0"/>
    <n v="5"/>
    <n v="35"/>
    <n v="5.1000000000000004E-4"/>
    <n v="0"/>
    <x v="1"/>
    <x v="0"/>
    <n v="5.1000000000000004E-4"/>
  </r>
  <r>
    <s v="SYN0369"/>
    <n v="52"/>
    <x v="1"/>
    <n v="18"/>
    <n v="69"/>
    <n v="1.18E-2"/>
    <n v="0"/>
    <x v="0"/>
    <x v="2"/>
    <n v="1.18E-2"/>
  </r>
  <r>
    <s v="SYN0370"/>
    <n v="24"/>
    <x v="1"/>
    <n v="13"/>
    <n v="36"/>
    <n v="6.2E-4"/>
    <n v="0"/>
    <x v="1"/>
    <x v="2"/>
    <n v="6.2E-4"/>
  </r>
  <r>
    <s v="SYN0371"/>
    <n v="21"/>
    <x v="1"/>
    <n v="15"/>
    <n v="35"/>
    <n v="6.2E-4"/>
    <n v="0"/>
    <x v="1"/>
    <x v="2"/>
    <n v="6.2E-4"/>
  </r>
  <r>
    <s v="SYN0372"/>
    <n v="56"/>
    <x v="1"/>
    <n v="14"/>
    <n v="69"/>
    <n v="1.055E-2"/>
    <n v="0"/>
    <x v="0"/>
    <x v="2"/>
    <n v="1.055E-2"/>
  </r>
  <r>
    <s v="SYN0373"/>
    <n v="46"/>
    <x v="0"/>
    <n v="10"/>
    <n v="55"/>
    <n v="3.3E-3"/>
    <n v="0"/>
    <x v="2"/>
    <x v="2"/>
    <n v="3.3E-3"/>
  </r>
  <r>
    <s v="SYN0374"/>
    <n v="40"/>
    <x v="1"/>
    <n v="6"/>
    <n v="45"/>
    <n v="8.3000000000000001E-4"/>
    <n v="0"/>
    <x v="3"/>
    <x v="0"/>
    <n v="8.3000000000000001E-4"/>
  </r>
  <r>
    <s v="SYN0375"/>
    <n v="64"/>
    <x v="0"/>
    <n v="30"/>
    <n v="93"/>
    <n v="0.14893999999999999"/>
    <n v="0"/>
    <x v="7"/>
    <x v="3"/>
    <n v="0.14893999999999999"/>
  </r>
  <r>
    <s v="SYN0376"/>
    <n v="26"/>
    <x v="0"/>
    <n v="8"/>
    <n v="33"/>
    <n v="5.4000000000000001E-4"/>
    <n v="0"/>
    <x v="1"/>
    <x v="0"/>
    <n v="5.4000000000000001E-4"/>
  </r>
  <r>
    <s v="SYN0377"/>
    <n v="25"/>
    <x v="1"/>
    <n v="13"/>
    <n v="37"/>
    <n v="6.8999999999999997E-4"/>
    <n v="0"/>
    <x v="1"/>
    <x v="2"/>
    <n v="6.8999999999999997E-4"/>
  </r>
  <r>
    <s v="SYN0378"/>
    <n v="34"/>
    <x v="1"/>
    <n v="11"/>
    <n v="44"/>
    <n v="9.3000000000000005E-4"/>
    <n v="0"/>
    <x v="3"/>
    <x v="2"/>
    <n v="9.3000000000000005E-4"/>
  </r>
  <r>
    <s v="SYN0379"/>
    <n v="60"/>
    <x v="1"/>
    <n v="4"/>
    <n v="63"/>
    <n v="3.8700000000000002E-3"/>
    <n v="0"/>
    <x v="0"/>
    <x v="0"/>
    <n v="3.8700000000000002E-3"/>
  </r>
  <r>
    <s v="SYN0380"/>
    <n v="42"/>
    <x v="1"/>
    <n v="12"/>
    <n v="53"/>
    <n v="2.1800000000000001E-3"/>
    <n v="0"/>
    <x v="2"/>
    <x v="2"/>
    <n v="2.1800000000000001E-3"/>
  </r>
  <r>
    <s v="SYN0381"/>
    <n v="29"/>
    <x v="0"/>
    <n v="8"/>
    <n v="36"/>
    <n v="6.3000000000000003E-4"/>
    <n v="0"/>
    <x v="1"/>
    <x v="0"/>
    <n v="6.3000000000000003E-4"/>
  </r>
  <r>
    <s v="SYN0382"/>
    <n v="31"/>
    <x v="0"/>
    <n v="20"/>
    <n v="50"/>
    <n v="2.5000000000000001E-3"/>
    <n v="0"/>
    <x v="2"/>
    <x v="1"/>
    <n v="2.5000000000000001E-3"/>
  </r>
  <r>
    <s v="SYN0383"/>
    <n v="24"/>
    <x v="1"/>
    <n v="6"/>
    <n v="29"/>
    <n v="2.7E-4"/>
    <n v="0"/>
    <x v="6"/>
    <x v="0"/>
    <n v="2.7E-4"/>
  </r>
  <r>
    <s v="SYN0384"/>
    <n v="49"/>
    <x v="1"/>
    <n v="25"/>
    <n v="73"/>
    <n v="1.8970000000000001E-2"/>
    <n v="0"/>
    <x v="5"/>
    <x v="1"/>
    <n v="1.8970000000000001E-2"/>
  </r>
  <r>
    <s v="SYN0385"/>
    <n v="63"/>
    <x v="1"/>
    <n v="30"/>
    <n v="92"/>
    <n v="0.10484"/>
    <n v="0"/>
    <x v="7"/>
    <x v="3"/>
    <n v="0.10484"/>
  </r>
  <r>
    <s v="SYN0386"/>
    <n v="59"/>
    <x v="1"/>
    <n v="11"/>
    <n v="69"/>
    <n v="8.6400000000000001E-3"/>
    <n v="0"/>
    <x v="0"/>
    <x v="2"/>
    <n v="8.6400000000000001E-3"/>
  </r>
  <r>
    <s v="SYN0387"/>
    <n v="29"/>
    <x v="0"/>
    <n v="15"/>
    <n v="43"/>
    <n v="1.49E-3"/>
    <n v="0"/>
    <x v="3"/>
    <x v="2"/>
    <n v="1.49E-3"/>
  </r>
  <r>
    <s v="SYN0388"/>
    <n v="39"/>
    <x v="0"/>
    <n v="26"/>
    <n v="64"/>
    <n v="9.6200000000000001E-3"/>
    <n v="0"/>
    <x v="0"/>
    <x v="1"/>
    <n v="9.6200000000000001E-3"/>
  </r>
  <r>
    <s v="SYN0389"/>
    <n v="52"/>
    <x v="0"/>
    <n v="3"/>
    <n v="54"/>
    <n v="2.15E-3"/>
    <n v="0"/>
    <x v="2"/>
    <x v="0"/>
    <n v="2.15E-3"/>
  </r>
  <r>
    <s v="SYN0390"/>
    <n v="23"/>
    <x v="1"/>
    <n v="12"/>
    <n v="34"/>
    <n v="5.0000000000000001E-4"/>
    <n v="0"/>
    <x v="1"/>
    <x v="2"/>
    <n v="5.0000000000000001E-4"/>
  </r>
  <r>
    <s v="SYN0391"/>
    <n v="25"/>
    <x v="1"/>
    <n v="20"/>
    <n v="44"/>
    <n v="1.31E-3"/>
    <n v="0"/>
    <x v="3"/>
    <x v="1"/>
    <n v="1.31E-3"/>
  </r>
  <r>
    <s v="SYN0392"/>
    <n v="57"/>
    <x v="1"/>
    <n v="18"/>
    <n v="74"/>
    <n v="1.968E-2"/>
    <n v="0"/>
    <x v="5"/>
    <x v="2"/>
    <n v="1.968E-2"/>
  </r>
  <r>
    <s v="SYN0393"/>
    <n v="22"/>
    <x v="1"/>
    <n v="15"/>
    <n v="36"/>
    <n v="6.8999999999999997E-4"/>
    <n v="0"/>
    <x v="1"/>
    <x v="2"/>
    <n v="6.8999999999999997E-4"/>
  </r>
  <r>
    <s v="SYN0394"/>
    <n v="32"/>
    <x v="1"/>
    <n v="11"/>
    <n v="42"/>
    <n v="8.5999999999999998E-4"/>
    <n v="0"/>
    <x v="3"/>
    <x v="2"/>
    <n v="8.5999999999999998E-4"/>
  </r>
  <r>
    <s v="SYN0395"/>
    <n v="23"/>
    <x v="0"/>
    <n v="15"/>
    <n v="37"/>
    <n v="9.8999999999999999E-4"/>
    <n v="0"/>
    <x v="1"/>
    <x v="2"/>
    <n v="9.8999999999999999E-4"/>
  </r>
  <r>
    <s v="SYN0396"/>
    <n v="41"/>
    <x v="0"/>
    <n v="23"/>
    <n v="63"/>
    <n v="8.5299999999999994E-3"/>
    <n v="0"/>
    <x v="0"/>
    <x v="1"/>
    <n v="8.5299999999999994E-3"/>
  </r>
  <r>
    <s v="SYN0397"/>
    <n v="22"/>
    <x v="1"/>
    <n v="8"/>
    <n v="29"/>
    <n v="3.3E-4"/>
    <n v="0"/>
    <x v="6"/>
    <x v="0"/>
    <n v="3.3E-4"/>
  </r>
  <r>
    <s v="SYN0398"/>
    <n v="53"/>
    <x v="1"/>
    <n v="17"/>
    <n v="69"/>
    <n v="1.159E-2"/>
    <n v="0"/>
    <x v="0"/>
    <x v="2"/>
    <n v="1.159E-2"/>
  </r>
  <r>
    <s v="SYN0399"/>
    <n v="38"/>
    <x v="0"/>
    <n v="13"/>
    <n v="50"/>
    <n v="2.1800000000000001E-3"/>
    <n v="0"/>
    <x v="2"/>
    <x v="2"/>
    <n v="2.1800000000000001E-3"/>
  </r>
  <r>
    <s v="SYN0400"/>
    <n v="58"/>
    <x v="1"/>
    <n v="2"/>
    <n v="59"/>
    <n v="1.42E-3"/>
    <n v="0"/>
    <x v="2"/>
    <x v="0"/>
    <n v="1.42E-3"/>
  </r>
  <r>
    <s v="SYN0401"/>
    <n v="24"/>
    <x v="0"/>
    <n v="11"/>
    <n v="34"/>
    <n v="7.1000000000000002E-4"/>
    <n v="0"/>
    <x v="1"/>
    <x v="2"/>
    <n v="7.1000000000000002E-4"/>
  </r>
  <r>
    <s v="SYN0402"/>
    <n v="38"/>
    <x v="1"/>
    <n v="9"/>
    <n v="46"/>
    <n v="1.01E-3"/>
    <n v="0"/>
    <x v="3"/>
    <x v="0"/>
    <n v="1.01E-3"/>
  </r>
  <r>
    <s v="SYN0403"/>
    <n v="58"/>
    <x v="0"/>
    <n v="28"/>
    <n v="85"/>
    <n v="7.1389999999999995E-2"/>
    <n v="0"/>
    <x v="4"/>
    <x v="1"/>
    <n v="7.1389999999999995E-2"/>
  </r>
  <r>
    <s v="SYN0404"/>
    <n v="62"/>
    <x v="1"/>
    <n v="5"/>
    <n v="66"/>
    <n v="5.8500000000000002E-3"/>
    <n v="0"/>
    <x v="0"/>
    <x v="0"/>
    <n v="5.8500000000000002E-3"/>
  </r>
  <r>
    <s v="SYN0405"/>
    <n v="61"/>
    <x v="1"/>
    <n v="23"/>
    <n v="83"/>
    <n v="5.704E-2"/>
    <n v="0"/>
    <x v="4"/>
    <x v="1"/>
    <n v="5.704E-2"/>
  </r>
  <r>
    <s v="SYN0406"/>
    <n v="65"/>
    <x v="0"/>
    <n v="3"/>
    <n v="67"/>
    <n v="6.3400000000000001E-3"/>
    <n v="0"/>
    <x v="0"/>
    <x v="0"/>
    <n v="6.3400000000000001E-3"/>
  </r>
  <r>
    <s v="SYN0407"/>
    <n v="41"/>
    <x v="0"/>
    <n v="27"/>
    <n v="67"/>
    <n v="1.1730000000000001E-2"/>
    <n v="0"/>
    <x v="0"/>
    <x v="1"/>
    <n v="1.1730000000000001E-2"/>
  </r>
  <r>
    <s v="SYN0408"/>
    <n v="63"/>
    <x v="1"/>
    <n v="30"/>
    <n v="92"/>
    <n v="0.10484"/>
    <n v="0"/>
    <x v="7"/>
    <x v="3"/>
    <n v="0.10484"/>
  </r>
  <r>
    <s v="SYN0409"/>
    <n v="47"/>
    <x v="0"/>
    <n v="17"/>
    <n v="63"/>
    <n v="8.4899999999999993E-3"/>
    <n v="0"/>
    <x v="0"/>
    <x v="2"/>
    <n v="8.4899999999999993E-3"/>
  </r>
  <r>
    <s v="SYN0410"/>
    <n v="31"/>
    <x v="0"/>
    <n v="7"/>
    <n v="37"/>
    <n v="6.0999999999999997E-4"/>
    <n v="0"/>
    <x v="1"/>
    <x v="0"/>
    <n v="6.0999999999999997E-4"/>
  </r>
  <r>
    <s v="SYN0411"/>
    <n v="32"/>
    <x v="1"/>
    <n v="8"/>
    <n v="39"/>
    <n v="6.2E-4"/>
    <n v="0"/>
    <x v="1"/>
    <x v="0"/>
    <n v="6.2E-4"/>
  </r>
  <r>
    <s v="SYN0412"/>
    <n v="38"/>
    <x v="1"/>
    <n v="28"/>
    <n v="65"/>
    <n v="6.7200000000000003E-3"/>
    <n v="0"/>
    <x v="0"/>
    <x v="1"/>
    <n v="6.7200000000000003E-3"/>
  </r>
  <r>
    <s v="SYN0413"/>
    <n v="54"/>
    <x v="1"/>
    <n v="27"/>
    <n v="80"/>
    <n v="3.569E-2"/>
    <n v="0"/>
    <x v="4"/>
    <x v="1"/>
    <n v="3.569E-2"/>
  </r>
  <r>
    <s v="SYN0414"/>
    <n v="62"/>
    <x v="1"/>
    <n v="11"/>
    <n v="72"/>
    <n v="1.1440000000000001E-2"/>
    <n v="0"/>
    <x v="5"/>
    <x v="2"/>
    <n v="1.1440000000000001E-2"/>
  </r>
  <r>
    <s v="SYN0415"/>
    <n v="58"/>
    <x v="0"/>
    <n v="13"/>
    <n v="70"/>
    <n v="1.6709999999999999E-2"/>
    <n v="0"/>
    <x v="5"/>
    <x v="2"/>
    <n v="1.6709999999999999E-2"/>
  </r>
  <r>
    <s v="SYN0416"/>
    <n v="64"/>
    <x v="1"/>
    <n v="25"/>
    <n v="88"/>
    <n v="0.10484"/>
    <n v="0"/>
    <x v="4"/>
    <x v="1"/>
    <n v="0.10484"/>
  </r>
  <r>
    <s v="SYN0417"/>
    <n v="48"/>
    <x v="0"/>
    <n v="2"/>
    <n v="49"/>
    <n v="1E-3"/>
    <n v="0"/>
    <x v="3"/>
    <x v="0"/>
    <n v="1E-3"/>
  </r>
  <r>
    <s v="SYN0418"/>
    <n v="35"/>
    <x v="1"/>
    <n v="15"/>
    <n v="49"/>
    <n v="1.6199999999999999E-3"/>
    <n v="0"/>
    <x v="3"/>
    <x v="2"/>
    <n v="1.6199999999999999E-3"/>
  </r>
  <r>
    <s v="SYN0419"/>
    <n v="48"/>
    <x v="1"/>
    <n v="8"/>
    <n v="55"/>
    <n v="2.2300000000000002E-3"/>
    <n v="0"/>
    <x v="2"/>
    <x v="0"/>
    <n v="2.2300000000000002E-3"/>
  </r>
  <r>
    <s v="SYN0420"/>
    <n v="50"/>
    <x v="1"/>
    <n v="29"/>
    <n v="78"/>
    <n v="2.325E-2"/>
    <n v="0"/>
    <x v="5"/>
    <x v="1"/>
    <n v="2.325E-2"/>
  </r>
  <r>
    <s v="SYN0421"/>
    <n v="56"/>
    <x v="0"/>
    <n v="15"/>
    <n v="70"/>
    <n v="1.6750000000000001E-2"/>
    <n v="0"/>
    <x v="5"/>
    <x v="2"/>
    <n v="1.6750000000000001E-2"/>
  </r>
  <r>
    <s v="SYN0422"/>
    <n v="44"/>
    <x v="1"/>
    <n v="17"/>
    <n v="60"/>
    <n v="4.6600000000000001E-3"/>
    <n v="0"/>
    <x v="0"/>
    <x v="2"/>
    <n v="4.6600000000000001E-3"/>
  </r>
  <r>
    <s v="SYN0423"/>
    <n v="32"/>
    <x v="1"/>
    <n v="26"/>
    <n v="57"/>
    <n v="3.6900000000000001E-3"/>
    <n v="0"/>
    <x v="2"/>
    <x v="1"/>
    <n v="3.6900000000000001E-3"/>
  </r>
  <r>
    <s v="SYN0424"/>
    <n v="23"/>
    <x v="0"/>
    <n v="21"/>
    <n v="43"/>
    <n v="1.9499999999999999E-3"/>
    <n v="0"/>
    <x v="3"/>
    <x v="1"/>
    <n v="1.9499999999999999E-3"/>
  </r>
  <r>
    <s v="SYN0425"/>
    <n v="26"/>
    <x v="1"/>
    <n v="23"/>
    <n v="48"/>
    <n v="1.73E-3"/>
    <n v="0"/>
    <x v="3"/>
    <x v="1"/>
    <n v="1.73E-3"/>
  </r>
  <r>
    <s v="SYN0426"/>
    <n v="38"/>
    <x v="1"/>
    <n v="3"/>
    <n v="40"/>
    <n v="4.6000000000000001E-4"/>
    <n v="0"/>
    <x v="3"/>
    <x v="0"/>
    <n v="4.6000000000000001E-4"/>
  </r>
  <r>
    <s v="SYN0427"/>
    <n v="52"/>
    <x v="1"/>
    <n v="5"/>
    <n v="56"/>
    <n v="2.1800000000000001E-3"/>
    <n v="0"/>
    <x v="2"/>
    <x v="0"/>
    <n v="2.1800000000000001E-3"/>
  </r>
  <r>
    <s v="SYN0428"/>
    <n v="34"/>
    <x v="0"/>
    <n v="27"/>
    <n v="60"/>
    <n v="5.7400000000000003E-3"/>
    <n v="0"/>
    <x v="0"/>
    <x v="1"/>
    <n v="5.7400000000000003E-3"/>
  </r>
  <r>
    <s v="SYN0429"/>
    <n v="21"/>
    <x v="0"/>
    <n v="14"/>
    <n v="34"/>
    <n v="8.4999999999999995E-4"/>
    <n v="0"/>
    <x v="1"/>
    <x v="2"/>
    <n v="8.4999999999999995E-4"/>
  </r>
  <r>
    <s v="SYN0430"/>
    <n v="35"/>
    <x v="1"/>
    <n v="13"/>
    <n v="47"/>
    <n v="1.32E-3"/>
    <n v="0"/>
    <x v="3"/>
    <x v="2"/>
    <n v="1.32E-3"/>
  </r>
  <r>
    <s v="SYN0431"/>
    <n v="21"/>
    <x v="1"/>
    <n v="11"/>
    <n v="31"/>
    <n v="4.0999999999999999E-4"/>
    <n v="0"/>
    <x v="1"/>
    <x v="2"/>
    <n v="4.0999999999999999E-4"/>
  </r>
  <r>
    <s v="SYN0432"/>
    <n v="61"/>
    <x v="1"/>
    <n v="11"/>
    <n v="71"/>
    <n v="1.035E-2"/>
    <n v="0"/>
    <x v="5"/>
    <x v="2"/>
    <n v="1.035E-2"/>
  </r>
  <r>
    <s v="SYN0433"/>
    <n v="38"/>
    <x v="1"/>
    <n v="30"/>
    <n v="67"/>
    <n v="6.7200000000000003E-3"/>
    <n v="0"/>
    <x v="0"/>
    <x v="3"/>
    <n v="6.7200000000000003E-3"/>
  </r>
  <r>
    <s v="SYN0434"/>
    <n v="28"/>
    <x v="1"/>
    <n v="25"/>
    <n v="52"/>
    <n v="2.3800000000000002E-3"/>
    <n v="0"/>
    <x v="2"/>
    <x v="1"/>
    <n v="2.3800000000000002E-3"/>
  </r>
  <r>
    <s v="SYN0435"/>
    <n v="20"/>
    <x v="0"/>
    <n v="29"/>
    <n v="48"/>
    <n v="2.5400000000000002E-3"/>
    <n v="0"/>
    <x v="3"/>
    <x v="1"/>
    <n v="2.5400000000000002E-3"/>
  </r>
  <r>
    <s v="SYN0436"/>
    <n v="29"/>
    <x v="1"/>
    <n v="18"/>
    <n v="46"/>
    <n v="1.3699999999999999E-3"/>
    <n v="0"/>
    <x v="3"/>
    <x v="2"/>
    <n v="1.3699999999999999E-3"/>
  </r>
  <r>
    <s v="SYN0437"/>
    <n v="47"/>
    <x v="1"/>
    <n v="4"/>
    <n v="50"/>
    <n v="1.15E-3"/>
    <n v="0"/>
    <x v="2"/>
    <x v="0"/>
    <n v="1.15E-3"/>
  </r>
  <r>
    <s v="SYN0438"/>
    <n v="27"/>
    <x v="0"/>
    <n v="2"/>
    <n v="28"/>
    <n v="3.4000000000000002E-4"/>
    <n v="0"/>
    <x v="6"/>
    <x v="0"/>
    <n v="3.4000000000000002E-4"/>
  </r>
  <r>
    <s v="SYN0439"/>
    <n v="59"/>
    <x v="0"/>
    <n v="15"/>
    <n v="73"/>
    <n v="2.3400000000000001E-2"/>
    <n v="0"/>
    <x v="5"/>
    <x v="2"/>
    <n v="2.3400000000000001E-2"/>
  </r>
  <r>
    <s v="SYN0440"/>
    <n v="51"/>
    <x v="1"/>
    <n v="20"/>
    <n v="70"/>
    <n v="1.3610000000000001E-2"/>
    <n v="0"/>
    <x v="5"/>
    <x v="1"/>
    <n v="1.3610000000000001E-2"/>
  </r>
  <r>
    <s v="SYN0441"/>
    <n v="56"/>
    <x v="1"/>
    <n v="8"/>
    <n v="63"/>
    <n v="4.9399999999999999E-3"/>
    <n v="0"/>
    <x v="0"/>
    <x v="0"/>
    <n v="4.9399999999999999E-3"/>
  </r>
  <r>
    <s v="SYN0442"/>
    <n v="20"/>
    <x v="0"/>
    <n v="20"/>
    <n v="39"/>
    <n v="1.58E-3"/>
    <n v="0"/>
    <x v="1"/>
    <x v="1"/>
    <n v="1.58E-3"/>
  </r>
  <r>
    <s v="SYN0443"/>
    <n v="31"/>
    <x v="1"/>
    <n v="22"/>
    <n v="52"/>
    <n v="2.3800000000000002E-3"/>
    <n v="0"/>
    <x v="2"/>
    <x v="1"/>
    <n v="2.3800000000000002E-3"/>
  </r>
  <r>
    <s v="SYN0444"/>
    <n v="43"/>
    <x v="1"/>
    <n v="3"/>
    <n v="45"/>
    <n v="5.6999999999999998E-4"/>
    <n v="0"/>
    <x v="3"/>
    <x v="0"/>
    <n v="5.6999999999999998E-4"/>
  </r>
  <r>
    <s v="SYN0445"/>
    <n v="52"/>
    <x v="0"/>
    <n v="18"/>
    <n v="69"/>
    <n v="1.5049999999999999E-2"/>
    <n v="0"/>
    <x v="0"/>
    <x v="2"/>
    <n v="1.5049999999999999E-2"/>
  </r>
  <r>
    <s v="SYN0446"/>
    <n v="22"/>
    <x v="0"/>
    <n v="21"/>
    <n v="42"/>
    <n v="1.91E-3"/>
    <n v="0"/>
    <x v="3"/>
    <x v="1"/>
    <n v="1.91E-3"/>
  </r>
  <r>
    <s v="SYN0447"/>
    <n v="21"/>
    <x v="1"/>
    <n v="12"/>
    <n v="32"/>
    <n v="4.2999999999999999E-4"/>
    <n v="0"/>
    <x v="1"/>
    <x v="2"/>
    <n v="4.2999999999999999E-4"/>
  </r>
  <r>
    <s v="SYN0448"/>
    <n v="62"/>
    <x v="0"/>
    <n v="21"/>
    <n v="82"/>
    <n v="6.3329999999999997E-2"/>
    <n v="0"/>
    <x v="4"/>
    <x v="1"/>
    <n v="6.3329999999999997E-2"/>
  </r>
  <r>
    <s v="SYN0449"/>
    <n v="41"/>
    <x v="0"/>
    <n v="5"/>
    <n v="45"/>
    <n v="1.07E-3"/>
    <n v="0"/>
    <x v="3"/>
    <x v="0"/>
    <n v="1.07E-3"/>
  </r>
  <r>
    <s v="SYN0450"/>
    <n v="61"/>
    <x v="1"/>
    <n v="6"/>
    <n v="66"/>
    <n v="6.0499999999999998E-3"/>
    <n v="0"/>
    <x v="0"/>
    <x v="0"/>
    <n v="6.0499999999999998E-3"/>
  </r>
  <r>
    <s v="SYN0451"/>
    <n v="64"/>
    <x v="1"/>
    <n v="16"/>
    <n v="79"/>
    <n v="3.184E-2"/>
    <n v="0"/>
    <x v="5"/>
    <x v="2"/>
    <n v="3.184E-2"/>
  </r>
  <r>
    <s v="SYN0452"/>
    <n v="24"/>
    <x v="1"/>
    <n v="23"/>
    <n v="46"/>
    <n v="1.49E-3"/>
    <n v="0"/>
    <x v="3"/>
    <x v="1"/>
    <n v="1.49E-3"/>
  </r>
  <r>
    <s v="SYN0453"/>
    <n v="38"/>
    <x v="0"/>
    <n v="7"/>
    <n v="44"/>
    <n v="1.1199999999999999E-3"/>
    <n v="0"/>
    <x v="3"/>
    <x v="0"/>
    <n v="1.1199999999999999E-3"/>
  </r>
  <r>
    <s v="SYN0454"/>
    <n v="22"/>
    <x v="1"/>
    <n v="11"/>
    <n v="32"/>
    <n v="4.2000000000000002E-4"/>
    <n v="0"/>
    <x v="1"/>
    <x v="2"/>
    <n v="4.2000000000000002E-4"/>
  </r>
  <r>
    <s v="SYN0455"/>
    <n v="54"/>
    <x v="0"/>
    <n v="16"/>
    <n v="69"/>
    <n v="1.5049999999999999E-2"/>
    <n v="0"/>
    <x v="0"/>
    <x v="2"/>
    <n v="1.5049999999999999E-2"/>
  </r>
  <r>
    <s v="SYN0456"/>
    <n v="32"/>
    <x v="0"/>
    <n v="10"/>
    <n v="41"/>
    <n v="1.06E-3"/>
    <n v="0"/>
    <x v="3"/>
    <x v="2"/>
    <n v="1.06E-3"/>
  </r>
  <r>
    <s v="SYN0457"/>
    <n v="61"/>
    <x v="0"/>
    <n v="11"/>
    <n v="71"/>
    <n v="1.7330000000000002E-2"/>
    <n v="0"/>
    <x v="5"/>
    <x v="2"/>
    <n v="1.7330000000000002E-2"/>
  </r>
  <r>
    <s v="SYN0458"/>
    <n v="47"/>
    <x v="0"/>
    <n v="29"/>
    <n v="75"/>
    <n v="2.1340000000000001E-2"/>
    <n v="0"/>
    <x v="5"/>
    <x v="1"/>
    <n v="2.1340000000000001E-2"/>
  </r>
  <r>
    <s v="SYN0459"/>
    <n v="44"/>
    <x v="1"/>
    <n v="11"/>
    <n v="54"/>
    <n v="2.3E-3"/>
    <n v="0"/>
    <x v="2"/>
    <x v="2"/>
    <n v="2.3E-3"/>
  </r>
  <r>
    <s v="SYN0460"/>
    <n v="51"/>
    <x v="1"/>
    <n v="12"/>
    <n v="62"/>
    <n v="5.0499999999999998E-3"/>
    <n v="0"/>
    <x v="0"/>
    <x v="2"/>
    <n v="5.0499999999999998E-3"/>
  </r>
  <r>
    <s v="SYN0461"/>
    <n v="25"/>
    <x v="0"/>
    <n v="24"/>
    <n v="48"/>
    <n v="2.47E-3"/>
    <n v="0"/>
    <x v="3"/>
    <x v="1"/>
    <n v="2.47E-3"/>
  </r>
  <r>
    <s v="SYN0462"/>
    <n v="31"/>
    <x v="0"/>
    <n v="18"/>
    <n v="48"/>
    <n v="2.1299999999999999E-3"/>
    <n v="0"/>
    <x v="3"/>
    <x v="2"/>
    <n v="2.1299999999999999E-3"/>
  </r>
  <r>
    <s v="SYN0463"/>
    <n v="40"/>
    <x v="0"/>
    <n v="22"/>
    <n v="61"/>
    <n v="7.0200000000000002E-3"/>
    <n v="0"/>
    <x v="0"/>
    <x v="1"/>
    <n v="7.0200000000000002E-3"/>
  </r>
  <r>
    <s v="SYN0464"/>
    <n v="65"/>
    <x v="0"/>
    <n v="14"/>
    <n v="78"/>
    <n v="3.4540000000000001E-2"/>
    <n v="0"/>
    <x v="5"/>
    <x v="2"/>
    <n v="3.4540000000000001E-2"/>
  </r>
  <r>
    <s v="SYN0465"/>
    <n v="48"/>
    <x v="1"/>
    <n v="2"/>
    <n v="49"/>
    <n v="5.2999999999999998E-4"/>
    <n v="0"/>
    <x v="3"/>
    <x v="0"/>
    <n v="5.2999999999999998E-4"/>
  </r>
  <r>
    <s v="SYN0466"/>
    <n v="59"/>
    <x v="0"/>
    <n v="14"/>
    <n v="72"/>
    <n v="2.0760000000000001E-2"/>
    <n v="0"/>
    <x v="5"/>
    <x v="2"/>
    <n v="2.0760000000000001E-2"/>
  </r>
  <r>
    <s v="SYN0467"/>
    <n v="23"/>
    <x v="1"/>
    <n v="3"/>
    <n v="25"/>
    <n v="2.5000000000000001E-4"/>
    <n v="0"/>
    <x v="6"/>
    <x v="0"/>
    <n v="2.5000000000000001E-4"/>
  </r>
  <r>
    <s v="SYN0468"/>
    <n v="52"/>
    <x v="1"/>
    <n v="26"/>
    <n v="77"/>
    <n v="2.8719999999999999E-2"/>
    <n v="0"/>
    <x v="5"/>
    <x v="1"/>
    <n v="2.8719999999999999E-2"/>
  </r>
  <r>
    <s v="SYN0469"/>
    <n v="21"/>
    <x v="1"/>
    <n v="5"/>
    <n v="25"/>
    <n v="2.9999999999999997E-4"/>
    <n v="0"/>
    <x v="6"/>
    <x v="0"/>
    <n v="2.9999999999999997E-4"/>
  </r>
  <r>
    <s v="SYN0470"/>
    <n v="48"/>
    <x v="0"/>
    <n v="2"/>
    <n v="49"/>
    <n v="1E-3"/>
    <n v="0"/>
    <x v="3"/>
    <x v="0"/>
    <n v="1E-3"/>
  </r>
  <r>
    <s v="SYN0471"/>
    <n v="61"/>
    <x v="0"/>
    <n v="12"/>
    <n v="72"/>
    <n v="1.9769999999999999E-2"/>
    <n v="0"/>
    <x v="5"/>
    <x v="2"/>
    <n v="1.9769999999999999E-2"/>
  </r>
  <r>
    <s v="SYN0472"/>
    <n v="22"/>
    <x v="0"/>
    <n v="20"/>
    <n v="41"/>
    <n v="1.7600000000000001E-3"/>
    <n v="0"/>
    <x v="3"/>
    <x v="1"/>
    <n v="1.7600000000000001E-3"/>
  </r>
  <r>
    <s v="SYN0473"/>
    <n v="43"/>
    <x v="0"/>
    <n v="12"/>
    <n v="54"/>
    <n v="3.1199999999999999E-3"/>
    <n v="0"/>
    <x v="2"/>
    <x v="2"/>
    <n v="3.1199999999999999E-3"/>
  </r>
  <r>
    <s v="SYN0474"/>
    <n v="28"/>
    <x v="0"/>
    <n v="17"/>
    <n v="44"/>
    <n v="1.6900000000000001E-3"/>
    <n v="0"/>
    <x v="3"/>
    <x v="2"/>
    <n v="1.6900000000000001E-3"/>
  </r>
  <r>
    <s v="SYN0475"/>
    <n v="37"/>
    <x v="1"/>
    <n v="8"/>
    <n v="44"/>
    <n v="8.1999999999999998E-4"/>
    <n v="0"/>
    <x v="3"/>
    <x v="0"/>
    <n v="8.1999999999999998E-4"/>
  </r>
  <r>
    <s v="SYN0476"/>
    <n v="31"/>
    <x v="1"/>
    <n v="16"/>
    <n v="46"/>
    <n v="1.2899999999999999E-3"/>
    <n v="0"/>
    <x v="3"/>
    <x v="2"/>
    <n v="1.2899999999999999E-3"/>
  </r>
  <r>
    <s v="SYN0477"/>
    <n v="27"/>
    <x v="1"/>
    <n v="9"/>
    <n v="35"/>
    <n v="4.6999999999999999E-4"/>
    <n v="0"/>
    <x v="1"/>
    <x v="0"/>
    <n v="4.6999999999999999E-4"/>
  </r>
  <r>
    <s v="SYN0478"/>
    <n v="33"/>
    <x v="0"/>
    <n v="20"/>
    <n v="52"/>
    <n v="2.97E-3"/>
    <n v="0"/>
    <x v="2"/>
    <x v="1"/>
    <n v="2.97E-3"/>
  </r>
  <r>
    <s v="SYN0479"/>
    <n v="51"/>
    <x v="0"/>
    <n v="7"/>
    <n v="57"/>
    <n v="3.6900000000000001E-3"/>
    <n v="0"/>
    <x v="2"/>
    <x v="0"/>
    <n v="3.6900000000000001E-3"/>
  </r>
  <r>
    <s v="SYN0480"/>
    <n v="48"/>
    <x v="1"/>
    <n v="6"/>
    <n v="53"/>
    <n v="1.6900000000000001E-3"/>
    <n v="0"/>
    <x v="2"/>
    <x v="0"/>
    <n v="1.6900000000000001E-3"/>
  </r>
  <r>
    <s v="SYN0481"/>
    <n v="25"/>
    <x v="1"/>
    <n v="26"/>
    <n v="50"/>
    <n v="2.0200000000000001E-3"/>
    <n v="0"/>
    <x v="2"/>
    <x v="1"/>
    <n v="2.0200000000000001E-3"/>
  </r>
  <r>
    <s v="SYN0482"/>
    <n v="40"/>
    <x v="0"/>
    <n v="22"/>
    <n v="61"/>
    <n v="7.0200000000000002E-3"/>
    <n v="0"/>
    <x v="0"/>
    <x v="1"/>
    <n v="7.0200000000000002E-3"/>
  </r>
  <r>
    <s v="SYN0483"/>
    <n v="54"/>
    <x v="1"/>
    <n v="10"/>
    <n v="63"/>
    <n v="5.2500000000000003E-3"/>
    <n v="0"/>
    <x v="0"/>
    <x v="2"/>
    <n v="5.2500000000000003E-3"/>
  </r>
  <r>
    <s v="SYN0484"/>
    <n v="65"/>
    <x v="1"/>
    <n v="23"/>
    <n v="87"/>
    <n v="9.3240000000000003E-2"/>
    <n v="0"/>
    <x v="4"/>
    <x v="1"/>
    <n v="9.3240000000000003E-2"/>
  </r>
  <r>
    <s v="SYN0485"/>
    <n v="43"/>
    <x v="0"/>
    <n v="17"/>
    <n v="59"/>
    <n v="5.7000000000000002E-3"/>
    <n v="0"/>
    <x v="2"/>
    <x v="2"/>
    <n v="5.7000000000000002E-3"/>
  </r>
  <r>
    <s v="SYN0486"/>
    <n v="28"/>
    <x v="1"/>
    <n v="8"/>
    <n v="35"/>
    <n v="4.2999999999999999E-4"/>
    <n v="0"/>
    <x v="1"/>
    <x v="0"/>
    <n v="4.2999999999999999E-4"/>
  </r>
  <r>
    <s v="SYN0487"/>
    <n v="55"/>
    <x v="0"/>
    <n v="19"/>
    <n v="73"/>
    <n v="2.3859999999999999E-2"/>
    <n v="0"/>
    <x v="5"/>
    <x v="2"/>
    <n v="2.3859999999999999E-2"/>
  </r>
  <r>
    <s v="SYN0488"/>
    <n v="55"/>
    <x v="1"/>
    <n v="5"/>
    <n v="59"/>
    <n v="2.9099999999999998E-3"/>
    <n v="0"/>
    <x v="2"/>
    <x v="0"/>
    <n v="2.9099999999999998E-3"/>
  </r>
  <r>
    <s v="SYN0489"/>
    <n v="39"/>
    <x v="1"/>
    <n v="13"/>
    <n v="51"/>
    <n v="1.9E-3"/>
    <n v="0"/>
    <x v="2"/>
    <x v="2"/>
    <n v="1.9E-3"/>
  </r>
  <r>
    <s v="SYN0490"/>
    <n v="53"/>
    <x v="1"/>
    <n v="14"/>
    <n v="66"/>
    <n v="7.9100000000000004E-3"/>
    <n v="0"/>
    <x v="0"/>
    <x v="2"/>
    <n v="7.9100000000000004E-3"/>
  </r>
  <r>
    <s v="SYN0491"/>
    <n v="24"/>
    <x v="1"/>
    <n v="5"/>
    <n v="28"/>
    <n v="2.4000000000000001E-4"/>
    <n v="0"/>
    <x v="6"/>
    <x v="0"/>
    <n v="2.4000000000000001E-4"/>
  </r>
  <r>
    <s v="SYN0492"/>
    <n v="48"/>
    <x v="1"/>
    <n v="15"/>
    <n v="62"/>
    <n v="5.6600000000000001E-3"/>
    <n v="0"/>
    <x v="0"/>
    <x v="2"/>
    <n v="5.6600000000000001E-3"/>
  </r>
  <r>
    <s v="SYN0493"/>
    <n v="55"/>
    <x v="1"/>
    <n v="21"/>
    <n v="75"/>
    <n v="2.325E-2"/>
    <n v="0"/>
    <x v="5"/>
    <x v="1"/>
    <n v="2.325E-2"/>
  </r>
  <r>
    <s v="SYN0494"/>
    <n v="28"/>
    <x v="1"/>
    <n v="14"/>
    <n v="41"/>
    <n v="9.6000000000000002E-4"/>
    <n v="0"/>
    <x v="3"/>
    <x v="2"/>
    <n v="9.6000000000000002E-4"/>
  </r>
  <r>
    <s v="SYN0495"/>
    <n v="27"/>
    <x v="0"/>
    <n v="17"/>
    <n v="43"/>
    <n v="1.6299999999999999E-3"/>
    <n v="0"/>
    <x v="3"/>
    <x v="2"/>
    <n v="1.6299999999999999E-3"/>
  </r>
  <r>
    <s v="SYN0496"/>
    <n v="40"/>
    <x v="1"/>
    <n v="30"/>
    <n v="69"/>
    <n v="8.3099999999999997E-3"/>
    <n v="0"/>
    <x v="0"/>
    <x v="3"/>
    <n v="8.3099999999999997E-3"/>
  </r>
  <r>
    <s v="SYN0497"/>
    <n v="53"/>
    <x v="0"/>
    <n v="29"/>
    <n v="81"/>
    <n v="4.1250000000000002E-2"/>
    <n v="0"/>
    <x v="4"/>
    <x v="1"/>
    <n v="4.1250000000000002E-2"/>
  </r>
  <r>
    <s v="SYN0498"/>
    <n v="32"/>
    <x v="1"/>
    <n v="21"/>
    <n v="52"/>
    <n v="2.3800000000000002E-3"/>
    <n v="0"/>
    <x v="2"/>
    <x v="1"/>
    <n v="2.3800000000000002E-3"/>
  </r>
  <r>
    <s v="SYN0499"/>
    <n v="60"/>
    <x v="1"/>
    <n v="10"/>
    <n v="69"/>
    <n v="8.3300000000000006E-3"/>
    <n v="0"/>
    <x v="0"/>
    <x v="2"/>
    <n v="8.3300000000000006E-3"/>
  </r>
  <r>
    <s v="SYN0500"/>
    <n v="61"/>
    <x v="1"/>
    <n v="6"/>
    <n v="66"/>
    <n v="6.0499999999999998E-3"/>
    <n v="0"/>
    <x v="0"/>
    <x v="0"/>
    <n v="6.0499999999999998E-3"/>
  </r>
  <r>
    <s v="SYN0501"/>
    <n v="30"/>
    <x v="1"/>
    <n v="22"/>
    <n v="51"/>
    <n v="2.1900000000000001E-3"/>
    <n v="0"/>
    <x v="2"/>
    <x v="1"/>
    <n v="2.1900000000000001E-3"/>
  </r>
  <r>
    <s v="SYN0502"/>
    <n v="41"/>
    <x v="1"/>
    <n v="27"/>
    <n v="67"/>
    <n v="9.2399999999999999E-3"/>
    <n v="0"/>
    <x v="0"/>
    <x v="1"/>
    <n v="9.2399999999999999E-3"/>
  </r>
  <r>
    <s v="SYN0503"/>
    <n v="21"/>
    <x v="0"/>
    <n v="3"/>
    <n v="23"/>
    <n v="6.7000000000000002E-4"/>
    <n v="0"/>
    <x v="6"/>
    <x v="0"/>
    <n v="6.7000000000000002E-4"/>
  </r>
  <r>
    <s v="SYN0504"/>
    <n v="56"/>
    <x v="1"/>
    <n v="9"/>
    <n v="64"/>
    <n v="5.62E-3"/>
    <n v="0"/>
    <x v="0"/>
    <x v="0"/>
    <n v="5.62E-3"/>
  </r>
  <r>
    <s v="SYN0505"/>
    <n v="46"/>
    <x v="1"/>
    <n v="20"/>
    <n v="65"/>
    <n v="8.2000000000000007E-3"/>
    <n v="0"/>
    <x v="0"/>
    <x v="1"/>
    <n v="8.2000000000000007E-3"/>
  </r>
  <r>
    <s v="SYN0506"/>
    <n v="60"/>
    <x v="0"/>
    <n v="18"/>
    <n v="77"/>
    <n v="3.6549999999999999E-2"/>
    <n v="0"/>
    <x v="5"/>
    <x v="2"/>
    <n v="3.6549999999999999E-2"/>
  </r>
  <r>
    <s v="SYN0507"/>
    <n v="50"/>
    <x v="1"/>
    <n v="8"/>
    <n v="57"/>
    <n v="2.65E-3"/>
    <n v="0"/>
    <x v="2"/>
    <x v="0"/>
    <n v="2.65E-3"/>
  </r>
  <r>
    <s v="SYN0508"/>
    <n v="39"/>
    <x v="0"/>
    <n v="15"/>
    <n v="53"/>
    <n v="2.97E-3"/>
    <n v="0"/>
    <x v="2"/>
    <x v="2"/>
    <n v="2.97E-3"/>
  </r>
  <r>
    <s v="SYN0509"/>
    <n v="48"/>
    <x v="0"/>
    <n v="14"/>
    <n v="61"/>
    <n v="6.6699999999999997E-3"/>
    <n v="0"/>
    <x v="0"/>
    <x v="2"/>
    <n v="6.6699999999999997E-3"/>
  </r>
  <r>
    <s v="SYN0510"/>
    <n v="58"/>
    <x v="0"/>
    <n v="5"/>
    <n v="62"/>
    <n v="5.8500000000000002E-3"/>
    <n v="0"/>
    <x v="0"/>
    <x v="0"/>
    <n v="5.8500000000000002E-3"/>
  </r>
  <r>
    <s v="SYN0511"/>
    <n v="42"/>
    <x v="0"/>
    <n v="13"/>
    <n v="54"/>
    <n v="3.2100000000000002E-3"/>
    <n v="0"/>
    <x v="2"/>
    <x v="2"/>
    <n v="3.2100000000000002E-3"/>
  </r>
  <r>
    <s v="SYN0512"/>
    <n v="55"/>
    <x v="0"/>
    <n v="4"/>
    <n v="58"/>
    <n v="3.9100000000000003E-3"/>
    <n v="0"/>
    <x v="2"/>
    <x v="0"/>
    <n v="3.9100000000000003E-3"/>
  </r>
  <r>
    <s v="SYN0513"/>
    <n v="37"/>
    <x v="0"/>
    <n v="15"/>
    <n v="51"/>
    <n v="2.49E-3"/>
    <n v="0"/>
    <x v="2"/>
    <x v="2"/>
    <n v="2.49E-3"/>
  </r>
  <r>
    <s v="SYN0514"/>
    <n v="38"/>
    <x v="1"/>
    <n v="13"/>
    <n v="50"/>
    <n v="1.74E-3"/>
    <n v="0"/>
    <x v="2"/>
    <x v="2"/>
    <n v="1.74E-3"/>
  </r>
  <r>
    <s v="SYN0515"/>
    <n v="30"/>
    <x v="0"/>
    <n v="27"/>
    <n v="56"/>
    <n v="4.0499999999999998E-3"/>
    <n v="0"/>
    <x v="2"/>
    <x v="1"/>
    <n v="4.0499999999999998E-3"/>
  </r>
  <r>
    <s v="SYN0516"/>
    <n v="40"/>
    <x v="1"/>
    <n v="7"/>
    <n v="46"/>
    <n v="9.5E-4"/>
    <n v="0"/>
    <x v="3"/>
    <x v="0"/>
    <n v="9.5E-4"/>
  </r>
  <r>
    <s v="SYN0517"/>
    <n v="52"/>
    <x v="0"/>
    <n v="15"/>
    <n v="66"/>
    <n v="1.123E-2"/>
    <n v="0"/>
    <x v="0"/>
    <x v="2"/>
    <n v="1.123E-2"/>
  </r>
  <r>
    <s v="SYN0518"/>
    <n v="21"/>
    <x v="1"/>
    <n v="3"/>
    <n v="23"/>
    <n v="2.7E-4"/>
    <n v="0"/>
    <x v="6"/>
    <x v="0"/>
    <n v="2.7E-4"/>
  </r>
  <r>
    <s v="SYN0519"/>
    <n v="35"/>
    <x v="1"/>
    <n v="7"/>
    <n v="41"/>
    <n v="6.8000000000000005E-4"/>
    <n v="0"/>
    <x v="3"/>
    <x v="0"/>
    <n v="6.8000000000000005E-4"/>
  </r>
  <r>
    <s v="SYN0520"/>
    <n v="38"/>
    <x v="1"/>
    <n v="16"/>
    <n v="53"/>
    <n v="2.31E-3"/>
    <n v="0"/>
    <x v="2"/>
    <x v="2"/>
    <n v="2.31E-3"/>
  </r>
  <r>
    <s v="SYN0521"/>
    <n v="63"/>
    <x v="0"/>
    <n v="16"/>
    <n v="78"/>
    <n v="3.8120000000000001E-2"/>
    <n v="1"/>
    <x v="5"/>
    <x v="2"/>
    <n v="3.8120000000000001E-2"/>
  </r>
  <r>
    <s v="SYN0522"/>
    <n v="26"/>
    <x v="0"/>
    <n v="14"/>
    <n v="39"/>
    <n v="1.1000000000000001E-3"/>
    <n v="0"/>
    <x v="1"/>
    <x v="2"/>
    <n v="1.1000000000000001E-3"/>
  </r>
  <r>
    <s v="SYN0523"/>
    <n v="43"/>
    <x v="0"/>
    <n v="25"/>
    <n v="67"/>
    <n v="1.278E-2"/>
    <n v="0"/>
    <x v="0"/>
    <x v="1"/>
    <n v="1.278E-2"/>
  </r>
  <r>
    <s v="SYN0524"/>
    <n v="23"/>
    <x v="1"/>
    <n v="19"/>
    <n v="41"/>
    <n v="1.14E-3"/>
    <n v="0"/>
    <x v="3"/>
    <x v="2"/>
    <n v="1.14E-3"/>
  </r>
  <r>
    <s v="SYN0525"/>
    <n v="38"/>
    <x v="0"/>
    <n v="3"/>
    <n v="40"/>
    <n v="6.3000000000000003E-4"/>
    <n v="0"/>
    <x v="3"/>
    <x v="0"/>
    <n v="6.3000000000000003E-4"/>
  </r>
  <r>
    <s v="SYN0526"/>
    <n v="55"/>
    <x v="1"/>
    <n v="9"/>
    <n v="63"/>
    <n v="5.11E-3"/>
    <n v="0"/>
    <x v="0"/>
    <x v="0"/>
    <n v="5.11E-3"/>
  </r>
  <r>
    <s v="SYN0527"/>
    <n v="59"/>
    <x v="0"/>
    <n v="4"/>
    <n v="62"/>
    <n v="5.5500000000000002E-3"/>
    <n v="0"/>
    <x v="0"/>
    <x v="0"/>
    <n v="5.5500000000000002E-3"/>
  </r>
  <r>
    <s v="SYN0528"/>
    <n v="43"/>
    <x v="1"/>
    <n v="26"/>
    <n v="68"/>
    <n v="1.141E-2"/>
    <n v="0"/>
    <x v="0"/>
    <x v="1"/>
    <n v="1.141E-2"/>
  </r>
  <r>
    <s v="SYN0529"/>
    <n v="43"/>
    <x v="0"/>
    <n v="25"/>
    <n v="67"/>
    <n v="1.278E-2"/>
    <n v="0"/>
    <x v="0"/>
    <x v="1"/>
    <n v="1.278E-2"/>
  </r>
  <r>
    <s v="SYN0530"/>
    <n v="45"/>
    <x v="0"/>
    <n v="17"/>
    <n v="61"/>
    <n v="7.0200000000000002E-3"/>
    <n v="0"/>
    <x v="0"/>
    <x v="2"/>
    <n v="7.0200000000000002E-3"/>
  </r>
  <r>
    <s v="SYN0531"/>
    <n v="65"/>
    <x v="1"/>
    <n v="11"/>
    <n v="75"/>
    <n v="1.635E-2"/>
    <n v="0"/>
    <x v="5"/>
    <x v="2"/>
    <n v="1.635E-2"/>
  </r>
  <r>
    <s v="SYN0532"/>
    <n v="29"/>
    <x v="1"/>
    <n v="20"/>
    <n v="48"/>
    <n v="1.6900000000000001E-3"/>
    <n v="0"/>
    <x v="3"/>
    <x v="1"/>
    <n v="1.6900000000000001E-3"/>
  </r>
  <r>
    <s v="SYN0533"/>
    <n v="59"/>
    <x v="0"/>
    <n v="11"/>
    <n v="69"/>
    <n v="1.426E-2"/>
    <n v="0"/>
    <x v="0"/>
    <x v="2"/>
    <n v="1.426E-2"/>
  </r>
  <r>
    <s v="SYN0534"/>
    <n v="39"/>
    <x v="0"/>
    <n v="19"/>
    <n v="57"/>
    <n v="4.6699999999999997E-3"/>
    <n v="0"/>
    <x v="2"/>
    <x v="2"/>
    <n v="4.6699999999999997E-3"/>
  </r>
  <r>
    <s v="SYN0535"/>
    <n v="54"/>
    <x v="1"/>
    <n v="16"/>
    <n v="69"/>
    <n v="1.1350000000000001E-2"/>
    <n v="0"/>
    <x v="0"/>
    <x v="2"/>
    <n v="1.1350000000000001E-2"/>
  </r>
  <r>
    <s v="SYN0536"/>
    <n v="21"/>
    <x v="0"/>
    <n v="12"/>
    <n v="32"/>
    <n v="7.2999999999999996E-4"/>
    <n v="0"/>
    <x v="1"/>
    <x v="2"/>
    <n v="7.2999999999999996E-4"/>
  </r>
  <r>
    <s v="SYN0537"/>
    <n v="46"/>
    <x v="0"/>
    <n v="19"/>
    <n v="64"/>
    <n v="9.2899999999999996E-3"/>
    <n v="0"/>
    <x v="0"/>
    <x v="2"/>
    <n v="9.2899999999999996E-3"/>
  </r>
  <r>
    <s v="SYN0538"/>
    <n v="64"/>
    <x v="0"/>
    <n v="21"/>
    <n v="84"/>
    <n v="8.0629999999999993E-2"/>
    <n v="0"/>
    <x v="4"/>
    <x v="1"/>
    <n v="8.0629999999999993E-2"/>
  </r>
  <r>
    <s v="SYN0539"/>
    <n v="61"/>
    <x v="1"/>
    <n v="26"/>
    <n v="86"/>
    <n v="8.2710000000000006E-2"/>
    <n v="0"/>
    <x v="4"/>
    <x v="1"/>
    <n v="8.2710000000000006E-2"/>
  </r>
  <r>
    <s v="SYN0540"/>
    <n v="34"/>
    <x v="0"/>
    <n v="24"/>
    <n v="57"/>
    <n v="4.7800000000000004E-3"/>
    <n v="0"/>
    <x v="2"/>
    <x v="1"/>
    <n v="4.7800000000000004E-3"/>
  </r>
  <r>
    <s v="SYN0541"/>
    <n v="53"/>
    <x v="1"/>
    <n v="21"/>
    <n v="73"/>
    <n v="1.8970000000000001E-2"/>
    <n v="0"/>
    <x v="5"/>
    <x v="1"/>
    <n v="1.8970000000000001E-2"/>
  </r>
  <r>
    <s v="SYN0542"/>
    <n v="44"/>
    <x v="1"/>
    <n v="5"/>
    <n v="48"/>
    <n v="1.0300000000000001E-3"/>
    <n v="0"/>
    <x v="3"/>
    <x v="0"/>
    <n v="1.0300000000000001E-3"/>
  </r>
  <r>
    <s v="SYN0543"/>
    <n v="56"/>
    <x v="0"/>
    <n v="23"/>
    <n v="78"/>
    <n v="4.1189999999999997E-2"/>
    <n v="1"/>
    <x v="5"/>
    <x v="1"/>
    <n v="4.1189999999999997E-2"/>
  </r>
  <r>
    <s v="SYN0544"/>
    <n v="40"/>
    <x v="0"/>
    <n v="14"/>
    <n v="53"/>
    <n v="2.9499999999999999E-3"/>
    <n v="0"/>
    <x v="2"/>
    <x v="2"/>
    <n v="2.9499999999999999E-3"/>
  </r>
  <r>
    <s v="SYN0545"/>
    <n v="46"/>
    <x v="1"/>
    <n v="17"/>
    <n v="62"/>
    <n v="5.77E-3"/>
    <n v="0"/>
    <x v="0"/>
    <x v="2"/>
    <n v="5.77E-3"/>
  </r>
  <r>
    <s v="SYN0546"/>
    <n v="23"/>
    <x v="0"/>
    <n v="23"/>
    <n v="45"/>
    <n v="2.16E-3"/>
    <n v="0"/>
    <x v="3"/>
    <x v="1"/>
    <n v="2.16E-3"/>
  </r>
  <r>
    <s v="SYN0547"/>
    <n v="40"/>
    <x v="0"/>
    <n v="22"/>
    <n v="61"/>
    <n v="7.0200000000000002E-3"/>
    <n v="0"/>
    <x v="0"/>
    <x v="1"/>
    <n v="7.0200000000000002E-3"/>
  </r>
  <r>
    <s v="SYN0548"/>
    <n v="31"/>
    <x v="1"/>
    <n v="15"/>
    <n v="45"/>
    <n v="1.17E-3"/>
    <n v="0"/>
    <x v="3"/>
    <x v="2"/>
    <n v="1.17E-3"/>
  </r>
  <r>
    <s v="SYN0549"/>
    <n v="42"/>
    <x v="1"/>
    <n v="22"/>
    <n v="63"/>
    <n v="6.7200000000000003E-3"/>
    <n v="0"/>
    <x v="0"/>
    <x v="1"/>
    <n v="6.7200000000000003E-3"/>
  </r>
  <r>
    <s v="SYN0550"/>
    <n v="61"/>
    <x v="1"/>
    <n v="26"/>
    <n v="86"/>
    <n v="8.2710000000000006E-2"/>
    <n v="0"/>
    <x v="4"/>
    <x v="1"/>
    <n v="8.2710000000000006E-2"/>
  </r>
  <r>
    <s v="SYN0551"/>
    <n v="32"/>
    <x v="0"/>
    <n v="8"/>
    <n v="39"/>
    <n v="7.6000000000000004E-4"/>
    <n v="0"/>
    <x v="1"/>
    <x v="0"/>
    <n v="7.6000000000000004E-4"/>
  </r>
  <r>
    <s v="SYN0552"/>
    <n v="39"/>
    <x v="0"/>
    <n v="25"/>
    <n v="63"/>
    <n v="8.6499999999999997E-3"/>
    <n v="0"/>
    <x v="0"/>
    <x v="1"/>
    <n v="8.6499999999999997E-3"/>
  </r>
  <r>
    <s v="SYN0553"/>
    <n v="65"/>
    <x v="0"/>
    <n v="16"/>
    <n v="80"/>
    <n v="4.65E-2"/>
    <n v="0"/>
    <x v="4"/>
    <x v="2"/>
    <n v="4.65E-2"/>
  </r>
  <r>
    <s v="SYN0554"/>
    <n v="37"/>
    <x v="0"/>
    <n v="10"/>
    <n v="46"/>
    <n v="1.42E-3"/>
    <n v="0"/>
    <x v="3"/>
    <x v="2"/>
    <n v="1.42E-3"/>
  </r>
  <r>
    <s v="SYN0555"/>
    <n v="44"/>
    <x v="1"/>
    <n v="29"/>
    <n v="72"/>
    <n v="1.2659999999999999E-2"/>
    <n v="0"/>
    <x v="5"/>
    <x v="1"/>
    <n v="1.2659999999999999E-2"/>
  </r>
  <r>
    <s v="SYN0556"/>
    <n v="29"/>
    <x v="0"/>
    <n v="10"/>
    <n v="38"/>
    <n v="8.4000000000000003E-4"/>
    <n v="0"/>
    <x v="1"/>
    <x v="2"/>
    <n v="8.4000000000000003E-4"/>
  </r>
  <r>
    <s v="SYN0557"/>
    <n v="25"/>
    <x v="1"/>
    <n v="12"/>
    <n v="36"/>
    <n v="5.9000000000000003E-4"/>
    <n v="0"/>
    <x v="1"/>
    <x v="2"/>
    <n v="5.9000000000000003E-4"/>
  </r>
  <r>
    <s v="SYN0558"/>
    <n v="50"/>
    <x v="0"/>
    <n v="7"/>
    <n v="56"/>
    <n v="3.3400000000000001E-3"/>
    <n v="0"/>
    <x v="2"/>
    <x v="0"/>
    <n v="3.3400000000000001E-3"/>
  </r>
  <r>
    <s v="SYN0559"/>
    <n v="55"/>
    <x v="0"/>
    <n v="23"/>
    <n v="77"/>
    <n v="3.7039999999999997E-2"/>
    <n v="0"/>
    <x v="5"/>
    <x v="1"/>
    <n v="3.7039999999999997E-2"/>
  </r>
  <r>
    <s v="SYN0560"/>
    <n v="57"/>
    <x v="0"/>
    <n v="8"/>
    <n v="64"/>
    <n v="8.4600000000000005E-3"/>
    <n v="0"/>
    <x v="0"/>
    <x v="0"/>
    <n v="8.4600000000000005E-3"/>
  </r>
  <r>
    <s v="SYN0561"/>
    <n v="53"/>
    <x v="1"/>
    <n v="8"/>
    <n v="60"/>
    <n v="3.5699999999999998E-3"/>
    <n v="0"/>
    <x v="0"/>
    <x v="0"/>
    <n v="3.5699999999999998E-3"/>
  </r>
  <r>
    <s v="SYN0562"/>
    <n v="46"/>
    <x v="1"/>
    <n v="11"/>
    <n v="56"/>
    <n v="2.7100000000000002E-3"/>
    <n v="0"/>
    <x v="2"/>
    <x v="2"/>
    <n v="2.7100000000000002E-3"/>
  </r>
  <r>
    <s v="SYN0563"/>
    <n v="28"/>
    <x v="1"/>
    <n v="1"/>
    <n v="28"/>
    <n v="1.1E-4"/>
    <n v="0"/>
    <x v="6"/>
    <x v="0"/>
    <n v="1.1E-4"/>
  </r>
  <r>
    <s v="SYN0564"/>
    <n v="30"/>
    <x v="1"/>
    <n v="14"/>
    <n v="43"/>
    <n v="1.0399999999999999E-3"/>
    <n v="0"/>
    <x v="3"/>
    <x v="2"/>
    <n v="1.0399999999999999E-3"/>
  </r>
  <r>
    <s v="SYN0565"/>
    <n v="50"/>
    <x v="1"/>
    <n v="16"/>
    <n v="65"/>
    <n v="7.7999999999999996E-3"/>
    <n v="0"/>
    <x v="0"/>
    <x v="2"/>
    <n v="7.7999999999999996E-3"/>
  </r>
  <r>
    <s v="SYN0566"/>
    <n v="38"/>
    <x v="0"/>
    <n v="11"/>
    <n v="48"/>
    <n v="1.74E-3"/>
    <n v="0"/>
    <x v="3"/>
    <x v="2"/>
    <n v="1.74E-3"/>
  </r>
  <r>
    <s v="SYN0567"/>
    <n v="25"/>
    <x v="1"/>
    <n v="21"/>
    <n v="45"/>
    <n v="1.3799999999999999E-3"/>
    <n v="0"/>
    <x v="3"/>
    <x v="1"/>
    <n v="1.3799999999999999E-3"/>
  </r>
  <r>
    <s v="SYN0568"/>
    <n v="22"/>
    <x v="1"/>
    <n v="30"/>
    <n v="51"/>
    <n v="1.6000000000000001E-3"/>
    <n v="0"/>
    <x v="2"/>
    <x v="3"/>
    <n v="1.6000000000000001E-3"/>
  </r>
  <r>
    <s v="SYN0569"/>
    <n v="31"/>
    <x v="1"/>
    <n v="30"/>
    <n v="60"/>
    <n v="3.3700000000000002E-3"/>
    <n v="0"/>
    <x v="0"/>
    <x v="3"/>
    <n v="3.3700000000000002E-3"/>
  </r>
  <r>
    <s v="SYN0570"/>
    <n v="45"/>
    <x v="0"/>
    <n v="26"/>
    <n v="70"/>
    <n v="1.7160000000000002E-2"/>
    <n v="0"/>
    <x v="5"/>
    <x v="1"/>
    <n v="1.7160000000000002E-2"/>
  </r>
  <r>
    <s v="SYN0571"/>
    <n v="38"/>
    <x v="0"/>
    <n v="29"/>
    <n v="66"/>
    <n v="8.6599999999999993E-3"/>
    <n v="0"/>
    <x v="0"/>
    <x v="1"/>
    <n v="8.6599999999999993E-3"/>
  </r>
  <r>
    <s v="SYN0572"/>
    <n v="58"/>
    <x v="1"/>
    <n v="4"/>
    <n v="61"/>
    <n v="3.0599999999999998E-3"/>
    <n v="0"/>
    <x v="0"/>
    <x v="0"/>
    <n v="3.0599999999999998E-3"/>
  </r>
  <r>
    <s v="SYN0573"/>
    <n v="49"/>
    <x v="1"/>
    <n v="21"/>
    <n v="69"/>
    <n v="1.2659999999999999E-2"/>
    <n v="0"/>
    <x v="0"/>
    <x v="1"/>
    <n v="1.2659999999999999E-2"/>
  </r>
  <r>
    <s v="SYN0574"/>
    <n v="28"/>
    <x v="1"/>
    <n v="28"/>
    <n v="55"/>
    <n v="2.5899999999999999E-3"/>
    <n v="0"/>
    <x v="2"/>
    <x v="1"/>
    <n v="2.5899999999999999E-3"/>
  </r>
  <r>
    <s v="SYN0575"/>
    <n v="27"/>
    <x v="0"/>
    <n v="11"/>
    <n v="37"/>
    <n v="8.0999999999999996E-4"/>
    <n v="0"/>
    <x v="1"/>
    <x v="2"/>
    <n v="8.0999999999999996E-4"/>
  </r>
  <r>
    <s v="SYN0576"/>
    <n v="36"/>
    <x v="0"/>
    <n v="23"/>
    <n v="58"/>
    <n v="5.2199999999999998E-3"/>
    <n v="0"/>
    <x v="2"/>
    <x v="1"/>
    <n v="5.2199999999999998E-3"/>
  </r>
  <r>
    <s v="SYN0577"/>
    <n v="38"/>
    <x v="1"/>
    <n v="19"/>
    <n v="56"/>
    <n v="3.2499999999999999E-3"/>
    <n v="0"/>
    <x v="2"/>
    <x v="2"/>
    <n v="3.2499999999999999E-3"/>
  </r>
  <r>
    <s v="SYN0578"/>
    <n v="59"/>
    <x v="1"/>
    <n v="28"/>
    <n v="86"/>
    <n v="6.4490000000000006E-2"/>
    <n v="0"/>
    <x v="4"/>
    <x v="1"/>
    <n v="6.4490000000000006E-2"/>
  </r>
  <r>
    <s v="SYN0579"/>
    <n v="47"/>
    <x v="0"/>
    <n v="17"/>
    <n v="63"/>
    <n v="8.4899999999999993E-3"/>
    <n v="0"/>
    <x v="0"/>
    <x v="2"/>
    <n v="8.4899999999999993E-3"/>
  </r>
  <r>
    <s v="SYN0580"/>
    <n v="26"/>
    <x v="1"/>
    <n v="6"/>
    <n v="31"/>
    <n v="2.9E-4"/>
    <n v="0"/>
    <x v="1"/>
    <x v="0"/>
    <n v="2.9E-4"/>
  </r>
  <r>
    <s v="SYN0581"/>
    <n v="35"/>
    <x v="0"/>
    <n v="1"/>
    <n v="35"/>
    <n v="2.5000000000000001E-4"/>
    <n v="0"/>
    <x v="1"/>
    <x v="0"/>
    <n v="2.5000000000000001E-4"/>
  </r>
  <r>
    <s v="SYN0582"/>
    <n v="37"/>
    <x v="0"/>
    <n v="11"/>
    <n v="47"/>
    <n v="1.5900000000000001E-3"/>
    <n v="0"/>
    <x v="3"/>
    <x v="2"/>
    <n v="1.5900000000000001E-3"/>
  </r>
  <r>
    <s v="SYN0583"/>
    <n v="20"/>
    <x v="1"/>
    <n v="9"/>
    <n v="28"/>
    <n v="3.4000000000000002E-4"/>
    <n v="0"/>
    <x v="6"/>
    <x v="0"/>
    <n v="3.4000000000000002E-4"/>
  </r>
  <r>
    <s v="SYN0584"/>
    <n v="23"/>
    <x v="0"/>
    <n v="22"/>
    <n v="44"/>
    <n v="2.0500000000000002E-3"/>
    <n v="0"/>
    <x v="3"/>
    <x v="1"/>
    <n v="2.0500000000000002E-3"/>
  </r>
  <r>
    <s v="SYN0585"/>
    <n v="45"/>
    <x v="1"/>
    <n v="22"/>
    <n v="66"/>
    <n v="9.2399999999999999E-3"/>
    <n v="0"/>
    <x v="0"/>
    <x v="1"/>
    <n v="9.2399999999999999E-3"/>
  </r>
  <r>
    <s v="SYN0586"/>
    <n v="65"/>
    <x v="0"/>
    <n v="25"/>
    <n v="89"/>
    <n v="0.14881"/>
    <n v="1"/>
    <x v="4"/>
    <x v="1"/>
    <n v="0.14881"/>
  </r>
  <r>
    <s v="SYN0587"/>
    <n v="38"/>
    <x v="1"/>
    <n v="12"/>
    <n v="49"/>
    <n v="1.5399999999999999E-3"/>
    <n v="0"/>
    <x v="3"/>
    <x v="2"/>
    <n v="1.5399999999999999E-3"/>
  </r>
  <r>
    <s v="SYN0588"/>
    <n v="28"/>
    <x v="0"/>
    <n v="16"/>
    <n v="43"/>
    <n v="1.5399999999999999E-3"/>
    <n v="0"/>
    <x v="3"/>
    <x v="2"/>
    <n v="1.5399999999999999E-3"/>
  </r>
  <r>
    <s v="SYN0589"/>
    <n v="58"/>
    <x v="0"/>
    <n v="12"/>
    <n v="69"/>
    <n v="1.477E-2"/>
    <n v="0"/>
    <x v="0"/>
    <x v="2"/>
    <n v="1.477E-2"/>
  </r>
  <r>
    <s v="SYN0590"/>
    <n v="50"/>
    <x v="1"/>
    <n v="25"/>
    <n v="74"/>
    <n v="2.0979999999999999E-2"/>
    <n v="0"/>
    <x v="5"/>
    <x v="1"/>
    <n v="2.0979999999999999E-2"/>
  </r>
  <r>
    <s v="SYN0591"/>
    <n v="33"/>
    <x v="0"/>
    <n v="25"/>
    <n v="57"/>
    <n v="4.7800000000000004E-3"/>
    <n v="0"/>
    <x v="2"/>
    <x v="1"/>
    <n v="4.7800000000000004E-3"/>
  </r>
  <r>
    <s v="SYN0592"/>
    <n v="25"/>
    <x v="0"/>
    <n v="17"/>
    <n v="41"/>
    <n v="1.4599999999999999E-3"/>
    <n v="0"/>
    <x v="3"/>
    <x v="2"/>
    <n v="1.4599999999999999E-3"/>
  </r>
  <r>
    <s v="SYN0593"/>
    <n v="24"/>
    <x v="1"/>
    <n v="30"/>
    <n v="53"/>
    <n v="1.8699999999999999E-3"/>
    <n v="0"/>
    <x v="2"/>
    <x v="3"/>
    <n v="1.8699999999999999E-3"/>
  </r>
  <r>
    <s v="SYN0594"/>
    <n v="55"/>
    <x v="1"/>
    <n v="29"/>
    <n v="83"/>
    <n v="3.986E-2"/>
    <n v="0"/>
    <x v="4"/>
    <x v="1"/>
    <n v="3.986E-2"/>
  </r>
  <r>
    <s v="SYN0595"/>
    <n v="29"/>
    <x v="0"/>
    <n v="6"/>
    <n v="34"/>
    <n v="5.1000000000000004E-4"/>
    <n v="0"/>
    <x v="1"/>
    <x v="0"/>
    <n v="5.1000000000000004E-4"/>
  </r>
  <r>
    <s v="SYN0596"/>
    <n v="27"/>
    <x v="0"/>
    <n v="22"/>
    <n v="48"/>
    <n v="2.2699999999999999E-3"/>
    <n v="0"/>
    <x v="3"/>
    <x v="1"/>
    <n v="2.2699999999999999E-3"/>
  </r>
  <r>
    <s v="SYN0597"/>
    <n v="25"/>
    <x v="1"/>
    <n v="29"/>
    <n v="53"/>
    <n v="2.0200000000000001E-3"/>
    <n v="0"/>
    <x v="2"/>
    <x v="1"/>
    <n v="2.0200000000000001E-3"/>
  </r>
  <r>
    <s v="SYN0598"/>
    <n v="49"/>
    <x v="1"/>
    <n v="5"/>
    <n v="53"/>
    <n v="1.6199999999999999E-3"/>
    <n v="0"/>
    <x v="2"/>
    <x v="0"/>
    <n v="1.6199999999999999E-3"/>
  </r>
  <r>
    <s v="SYN0599"/>
    <n v="23"/>
    <x v="0"/>
    <n v="18"/>
    <n v="40"/>
    <n v="1.4599999999999999E-3"/>
    <n v="0"/>
    <x v="3"/>
    <x v="2"/>
    <n v="1.4599999999999999E-3"/>
  </r>
  <r>
    <s v="SYN0600"/>
    <n v="21"/>
    <x v="0"/>
    <n v="13"/>
    <n v="33"/>
    <n v="7.7999999999999999E-4"/>
    <n v="0"/>
    <x v="1"/>
    <x v="2"/>
    <n v="7.7999999999999999E-4"/>
  </r>
  <r>
    <s v="SYN0601"/>
    <n v="33"/>
    <x v="0"/>
    <n v="19"/>
    <n v="51"/>
    <n v="2.7200000000000002E-3"/>
    <n v="0"/>
    <x v="2"/>
    <x v="2"/>
    <n v="2.7200000000000002E-3"/>
  </r>
  <r>
    <s v="SYN0602"/>
    <n v="64"/>
    <x v="1"/>
    <n v="3"/>
    <n v="66"/>
    <n v="4.2300000000000003E-3"/>
    <n v="0"/>
    <x v="0"/>
    <x v="0"/>
    <n v="4.2300000000000003E-3"/>
  </r>
  <r>
    <s v="SYN0603"/>
    <n v="24"/>
    <x v="0"/>
    <n v="30"/>
    <n v="53"/>
    <n v="2.81E-3"/>
    <n v="0"/>
    <x v="2"/>
    <x v="3"/>
    <n v="2.81E-3"/>
  </r>
  <r>
    <s v="SYN0604"/>
    <n v="31"/>
    <x v="0"/>
    <n v="25"/>
    <n v="55"/>
    <n v="4.0499999999999998E-3"/>
    <n v="0"/>
    <x v="2"/>
    <x v="1"/>
    <n v="4.0499999999999998E-3"/>
  </r>
  <r>
    <s v="SYN0605"/>
    <n v="61"/>
    <x v="0"/>
    <n v="14"/>
    <n v="74"/>
    <n v="2.4910000000000002E-2"/>
    <n v="0"/>
    <x v="5"/>
    <x v="2"/>
    <n v="2.4910000000000002E-2"/>
  </r>
  <r>
    <s v="SYN0606"/>
    <n v="48"/>
    <x v="1"/>
    <n v="28"/>
    <n v="75"/>
    <n v="1.8970000000000001E-2"/>
    <n v="0"/>
    <x v="5"/>
    <x v="1"/>
    <n v="1.8970000000000001E-2"/>
  </r>
  <r>
    <s v="SYN0607"/>
    <n v="25"/>
    <x v="1"/>
    <n v="22"/>
    <n v="46"/>
    <n v="1.49E-3"/>
    <n v="0"/>
    <x v="3"/>
    <x v="1"/>
    <n v="1.49E-3"/>
  </r>
  <r>
    <s v="SYN0608"/>
    <n v="28"/>
    <x v="1"/>
    <n v="21"/>
    <n v="48"/>
    <n v="1.73E-3"/>
    <n v="0"/>
    <x v="3"/>
    <x v="1"/>
    <n v="1.73E-3"/>
  </r>
  <r>
    <s v="SYN0609"/>
    <n v="54"/>
    <x v="1"/>
    <n v="13"/>
    <n v="66"/>
    <n v="7.6E-3"/>
    <n v="0"/>
    <x v="0"/>
    <x v="2"/>
    <n v="7.6E-3"/>
  </r>
  <r>
    <s v="SYN0610"/>
    <n v="34"/>
    <x v="0"/>
    <n v="27"/>
    <n v="60"/>
    <n v="5.7400000000000003E-3"/>
    <n v="0"/>
    <x v="0"/>
    <x v="1"/>
    <n v="5.7400000000000003E-3"/>
  </r>
  <r>
    <s v="SYN0611"/>
    <n v="39"/>
    <x v="1"/>
    <n v="15"/>
    <n v="53"/>
    <n v="2.2899999999999999E-3"/>
    <n v="0"/>
    <x v="2"/>
    <x v="2"/>
    <n v="2.2899999999999999E-3"/>
  </r>
  <r>
    <s v="SYN0612"/>
    <n v="54"/>
    <x v="1"/>
    <n v="13"/>
    <n v="66"/>
    <n v="7.6E-3"/>
    <n v="0"/>
    <x v="0"/>
    <x v="2"/>
    <n v="7.6E-3"/>
  </r>
  <r>
    <s v="SYN0613"/>
    <n v="42"/>
    <x v="0"/>
    <n v="5"/>
    <n v="46"/>
    <n v="1.17E-3"/>
    <n v="0"/>
    <x v="3"/>
    <x v="0"/>
    <n v="1.17E-3"/>
  </r>
  <r>
    <s v="SYN0614"/>
    <n v="27"/>
    <x v="1"/>
    <n v="2"/>
    <n v="28"/>
    <n v="1.7000000000000001E-4"/>
    <n v="0"/>
    <x v="6"/>
    <x v="0"/>
    <n v="1.7000000000000001E-4"/>
  </r>
  <r>
    <s v="SYN0615"/>
    <n v="21"/>
    <x v="0"/>
    <n v="8"/>
    <n v="28"/>
    <n v="6.6E-4"/>
    <n v="0"/>
    <x v="6"/>
    <x v="0"/>
    <n v="6.6E-4"/>
  </r>
  <r>
    <s v="SYN0616"/>
    <n v="22"/>
    <x v="1"/>
    <n v="15"/>
    <n v="36"/>
    <n v="6.8999999999999997E-4"/>
    <n v="0"/>
    <x v="1"/>
    <x v="2"/>
    <n v="6.8999999999999997E-4"/>
  </r>
  <r>
    <s v="SYN0617"/>
    <n v="23"/>
    <x v="1"/>
    <n v="8"/>
    <n v="30"/>
    <n v="3.4000000000000002E-4"/>
    <n v="0"/>
    <x v="1"/>
    <x v="0"/>
    <n v="3.4000000000000002E-4"/>
  </r>
  <r>
    <s v="SYN0618"/>
    <n v="34"/>
    <x v="0"/>
    <n v="18"/>
    <n v="51"/>
    <n v="2.6900000000000001E-3"/>
    <n v="0"/>
    <x v="2"/>
    <x v="2"/>
    <n v="2.6900000000000001E-3"/>
  </r>
  <r>
    <s v="SYN0619"/>
    <n v="23"/>
    <x v="1"/>
    <n v="5"/>
    <n v="27"/>
    <n v="2.5000000000000001E-4"/>
    <n v="0"/>
    <x v="6"/>
    <x v="0"/>
    <n v="2.5000000000000001E-4"/>
  </r>
  <r>
    <s v="SYN0620"/>
    <n v="56"/>
    <x v="1"/>
    <n v="11"/>
    <n v="66"/>
    <n v="6.96E-3"/>
    <n v="0"/>
    <x v="0"/>
    <x v="2"/>
    <n v="6.96E-3"/>
  </r>
  <r>
    <s v="SYN0621"/>
    <n v="40"/>
    <x v="0"/>
    <n v="8"/>
    <n v="47"/>
    <n v="1.4400000000000001E-3"/>
    <n v="0"/>
    <x v="3"/>
    <x v="0"/>
    <n v="1.4400000000000001E-3"/>
  </r>
  <r>
    <s v="SYN0622"/>
    <n v="62"/>
    <x v="0"/>
    <n v="17"/>
    <n v="78"/>
    <n v="3.943E-2"/>
    <n v="0"/>
    <x v="5"/>
    <x v="2"/>
    <n v="3.943E-2"/>
  </r>
  <r>
    <s v="SYN0623"/>
    <n v="23"/>
    <x v="1"/>
    <n v="18"/>
    <n v="40"/>
    <n v="1.0499999999999999E-3"/>
    <n v="0"/>
    <x v="3"/>
    <x v="2"/>
    <n v="1.0499999999999999E-3"/>
  </r>
  <r>
    <s v="SYN0624"/>
    <n v="31"/>
    <x v="1"/>
    <n v="21"/>
    <n v="51"/>
    <n v="2.1900000000000001E-3"/>
    <n v="0"/>
    <x v="2"/>
    <x v="1"/>
    <n v="2.1900000000000001E-3"/>
  </r>
  <r>
    <s v="SYN0625"/>
    <n v="23"/>
    <x v="1"/>
    <n v="12"/>
    <n v="34"/>
    <n v="5.0000000000000001E-4"/>
    <n v="0"/>
    <x v="1"/>
    <x v="2"/>
    <n v="5.0000000000000001E-4"/>
  </r>
  <r>
    <s v="SYN0626"/>
    <n v="53"/>
    <x v="1"/>
    <n v="11"/>
    <n v="63"/>
    <n v="5.3299999999999997E-3"/>
    <n v="0"/>
    <x v="0"/>
    <x v="2"/>
    <n v="5.3299999999999997E-3"/>
  </r>
  <r>
    <s v="SYN0627"/>
    <n v="39"/>
    <x v="0"/>
    <n v="13"/>
    <n v="51"/>
    <n v="2.3999999999999998E-3"/>
    <n v="0"/>
    <x v="2"/>
    <x v="2"/>
    <n v="2.3999999999999998E-3"/>
  </r>
  <r>
    <s v="SYN0628"/>
    <n v="35"/>
    <x v="0"/>
    <n v="28"/>
    <n v="62"/>
    <n v="6.3299999999999997E-3"/>
    <n v="0"/>
    <x v="0"/>
    <x v="1"/>
    <n v="6.3299999999999997E-3"/>
  </r>
  <r>
    <s v="SYN0629"/>
    <n v="29"/>
    <x v="0"/>
    <n v="26"/>
    <n v="54"/>
    <n v="3.7499999999999999E-3"/>
    <n v="0"/>
    <x v="2"/>
    <x v="1"/>
    <n v="3.7499999999999999E-3"/>
  </r>
  <r>
    <s v="SYN0630"/>
    <n v="46"/>
    <x v="1"/>
    <n v="14"/>
    <n v="59"/>
    <n v="4.0899999999999999E-3"/>
    <n v="0"/>
    <x v="2"/>
    <x v="2"/>
    <n v="4.0899999999999999E-3"/>
  </r>
  <r>
    <s v="SYN0631"/>
    <n v="35"/>
    <x v="0"/>
    <n v="9"/>
    <n v="43"/>
    <n v="1.16E-3"/>
    <n v="0"/>
    <x v="3"/>
    <x v="0"/>
    <n v="1.16E-3"/>
  </r>
  <r>
    <s v="SYN0632"/>
    <n v="48"/>
    <x v="0"/>
    <n v="28"/>
    <n v="75"/>
    <n v="2.3939999999999999E-2"/>
    <n v="0"/>
    <x v="5"/>
    <x v="1"/>
    <n v="2.3939999999999999E-2"/>
  </r>
  <r>
    <s v="SYN0633"/>
    <n v="32"/>
    <x v="0"/>
    <n v="2"/>
    <n v="33"/>
    <n v="2.9999999999999997E-4"/>
    <n v="0"/>
    <x v="1"/>
    <x v="0"/>
    <n v="2.9999999999999997E-4"/>
  </r>
  <r>
    <s v="SYN0634"/>
    <n v="58"/>
    <x v="1"/>
    <n v="2"/>
    <n v="59"/>
    <n v="1.42E-3"/>
    <n v="0"/>
    <x v="2"/>
    <x v="0"/>
    <n v="1.42E-3"/>
  </r>
  <r>
    <s v="SYN0635"/>
    <n v="57"/>
    <x v="1"/>
    <n v="24"/>
    <n v="80"/>
    <n v="3.986E-2"/>
    <n v="0"/>
    <x v="4"/>
    <x v="1"/>
    <n v="3.986E-2"/>
  </r>
  <r>
    <s v="SYN0636"/>
    <n v="33"/>
    <x v="1"/>
    <n v="28"/>
    <n v="60"/>
    <n v="4.0499999999999998E-3"/>
    <n v="0"/>
    <x v="0"/>
    <x v="1"/>
    <n v="4.0499999999999998E-3"/>
  </r>
  <r>
    <s v="SYN0637"/>
    <n v="20"/>
    <x v="1"/>
    <n v="7"/>
    <n v="26"/>
    <n v="3.1E-4"/>
    <n v="0"/>
    <x v="6"/>
    <x v="0"/>
    <n v="3.1E-4"/>
  </r>
  <r>
    <s v="SYN0638"/>
    <n v="27"/>
    <x v="1"/>
    <n v="24"/>
    <n v="50"/>
    <n v="2.0200000000000001E-3"/>
    <n v="0"/>
    <x v="2"/>
    <x v="1"/>
    <n v="2.0200000000000001E-3"/>
  </r>
  <r>
    <s v="SYN0639"/>
    <n v="35"/>
    <x v="1"/>
    <n v="23"/>
    <n v="57"/>
    <n v="3.6900000000000001E-3"/>
    <n v="0"/>
    <x v="2"/>
    <x v="1"/>
    <n v="3.6900000000000001E-3"/>
  </r>
  <r>
    <s v="SYN0640"/>
    <n v="35"/>
    <x v="0"/>
    <n v="18"/>
    <n v="52"/>
    <n v="2.9099999999999998E-3"/>
    <n v="0"/>
    <x v="2"/>
    <x v="2"/>
    <n v="2.9099999999999998E-3"/>
  </r>
  <r>
    <s v="SYN0641"/>
    <n v="49"/>
    <x v="1"/>
    <n v="18"/>
    <n v="66"/>
    <n v="8.9499999999999996E-3"/>
    <n v="0"/>
    <x v="0"/>
    <x v="2"/>
    <n v="8.9499999999999996E-3"/>
  </r>
  <r>
    <s v="SYN0642"/>
    <n v="43"/>
    <x v="1"/>
    <n v="17"/>
    <n v="59"/>
    <n v="4.2199999999999998E-3"/>
    <n v="0"/>
    <x v="2"/>
    <x v="2"/>
    <n v="4.2199999999999998E-3"/>
  </r>
  <r>
    <s v="SYN0643"/>
    <n v="50"/>
    <x v="1"/>
    <n v="25"/>
    <n v="74"/>
    <n v="2.0979999999999999E-2"/>
    <n v="0"/>
    <x v="5"/>
    <x v="1"/>
    <n v="2.0979999999999999E-2"/>
  </r>
  <r>
    <s v="SYN0644"/>
    <n v="43"/>
    <x v="0"/>
    <n v="11"/>
    <n v="53"/>
    <n v="2.7799999999999999E-3"/>
    <n v="0"/>
    <x v="2"/>
    <x v="2"/>
    <n v="2.7799999999999999E-3"/>
  </r>
  <r>
    <s v="SYN0645"/>
    <n v="34"/>
    <x v="0"/>
    <n v="24"/>
    <n v="57"/>
    <n v="4.7800000000000004E-3"/>
    <n v="0"/>
    <x v="2"/>
    <x v="1"/>
    <n v="4.7800000000000004E-3"/>
  </r>
  <r>
    <s v="SYN0646"/>
    <n v="57"/>
    <x v="1"/>
    <n v="19"/>
    <n v="75"/>
    <n v="2.2349999999999998E-2"/>
    <n v="0"/>
    <x v="5"/>
    <x v="2"/>
    <n v="2.2349999999999998E-2"/>
  </r>
  <r>
    <s v="SYN0647"/>
    <n v="32"/>
    <x v="0"/>
    <n v="11"/>
    <n v="42"/>
    <n v="1.16E-3"/>
    <n v="0"/>
    <x v="3"/>
    <x v="2"/>
    <n v="1.16E-3"/>
  </r>
  <r>
    <s v="SYN0648"/>
    <n v="35"/>
    <x v="1"/>
    <n v="16"/>
    <n v="50"/>
    <n v="1.7799999999999999E-3"/>
    <n v="0"/>
    <x v="2"/>
    <x v="2"/>
    <n v="1.7799999999999999E-3"/>
  </r>
  <r>
    <s v="SYN0649"/>
    <n v="41"/>
    <x v="1"/>
    <n v="9"/>
    <n v="49"/>
    <n v="1.3500000000000001E-3"/>
    <n v="0"/>
    <x v="3"/>
    <x v="0"/>
    <n v="1.3500000000000001E-3"/>
  </r>
  <r>
    <s v="SYN0650"/>
    <n v="61"/>
    <x v="0"/>
    <n v="24"/>
    <n v="84"/>
    <n v="8.0629999999999993E-2"/>
    <n v="0"/>
    <x v="4"/>
    <x v="1"/>
    <n v="8.0629999999999993E-2"/>
  </r>
  <r>
    <s v="SYN0651"/>
    <n v="42"/>
    <x v="0"/>
    <n v="6"/>
    <n v="47"/>
    <n v="1.33E-3"/>
    <n v="0"/>
    <x v="3"/>
    <x v="0"/>
    <n v="1.33E-3"/>
  </r>
  <r>
    <s v="SYN0652"/>
    <n v="31"/>
    <x v="1"/>
    <n v="30"/>
    <n v="60"/>
    <n v="3.3700000000000002E-3"/>
    <n v="0"/>
    <x v="0"/>
    <x v="3"/>
    <n v="3.3700000000000002E-3"/>
  </r>
  <r>
    <s v="SYN0653"/>
    <n v="23"/>
    <x v="0"/>
    <n v="17"/>
    <n v="39"/>
    <n v="1.2800000000000001E-3"/>
    <n v="0"/>
    <x v="1"/>
    <x v="2"/>
    <n v="1.2800000000000001E-3"/>
  </r>
  <r>
    <s v="SYN0654"/>
    <n v="62"/>
    <x v="1"/>
    <n v="2"/>
    <n v="63"/>
    <n v="1.8500000000000001E-3"/>
    <n v="0"/>
    <x v="0"/>
    <x v="0"/>
    <n v="1.8500000000000001E-3"/>
  </r>
  <r>
    <s v="SYN0655"/>
    <n v="60"/>
    <x v="0"/>
    <n v="8"/>
    <n v="67"/>
    <n v="1.074E-2"/>
    <n v="0"/>
    <x v="0"/>
    <x v="0"/>
    <n v="1.074E-2"/>
  </r>
  <r>
    <s v="SYN0656"/>
    <n v="33"/>
    <x v="0"/>
    <n v="17"/>
    <n v="49"/>
    <n v="2.2799999999999999E-3"/>
    <n v="0"/>
    <x v="3"/>
    <x v="2"/>
    <n v="2.2799999999999999E-3"/>
  </r>
  <r>
    <s v="SYN0657"/>
    <n v="60"/>
    <x v="1"/>
    <n v="22"/>
    <n v="81"/>
    <n v="4.4880000000000003E-2"/>
    <n v="0"/>
    <x v="4"/>
    <x v="1"/>
    <n v="4.4880000000000003E-2"/>
  </r>
  <r>
    <s v="SYN0658"/>
    <n v="62"/>
    <x v="0"/>
    <n v="16"/>
    <n v="77"/>
    <n v="3.492E-2"/>
    <n v="0"/>
    <x v="5"/>
    <x v="2"/>
    <n v="3.492E-2"/>
  </r>
  <r>
    <s v="SYN0659"/>
    <n v="46"/>
    <x v="0"/>
    <n v="1"/>
    <n v="46"/>
    <n v="6.0999999999999997E-4"/>
    <n v="0"/>
    <x v="3"/>
    <x v="0"/>
    <n v="6.0999999999999997E-4"/>
  </r>
  <r>
    <s v="SYN0660"/>
    <n v="54"/>
    <x v="0"/>
    <n v="10"/>
    <n v="63"/>
    <n v="8.0300000000000007E-3"/>
    <n v="0"/>
    <x v="0"/>
    <x v="2"/>
    <n v="8.0300000000000007E-3"/>
  </r>
  <r>
    <s v="SYN0661"/>
    <n v="63"/>
    <x v="1"/>
    <n v="14"/>
    <n v="76"/>
    <n v="2.12E-2"/>
    <n v="0"/>
    <x v="5"/>
    <x v="2"/>
    <n v="2.12E-2"/>
  </r>
  <r>
    <s v="SYN0662"/>
    <n v="26"/>
    <x v="0"/>
    <n v="30"/>
    <n v="55"/>
    <n v="3.0899999999999999E-3"/>
    <n v="0"/>
    <x v="2"/>
    <x v="3"/>
    <n v="3.0899999999999999E-3"/>
  </r>
  <r>
    <s v="SYN0663"/>
    <n v="32"/>
    <x v="1"/>
    <n v="20"/>
    <n v="51"/>
    <n v="2.1199999999999999E-3"/>
    <n v="0"/>
    <x v="2"/>
    <x v="1"/>
    <n v="2.1199999999999999E-3"/>
  </r>
  <r>
    <s v="SYN0664"/>
    <n v="37"/>
    <x v="0"/>
    <n v="26"/>
    <n v="62"/>
    <n v="7.79E-3"/>
    <n v="0"/>
    <x v="0"/>
    <x v="1"/>
    <n v="7.79E-3"/>
  </r>
  <r>
    <s v="SYN0665"/>
    <n v="45"/>
    <x v="1"/>
    <n v="15"/>
    <n v="59"/>
    <n v="4.1200000000000004E-3"/>
    <n v="0"/>
    <x v="2"/>
    <x v="2"/>
    <n v="4.1200000000000004E-3"/>
  </r>
  <r>
    <s v="SYN0666"/>
    <n v="34"/>
    <x v="1"/>
    <n v="10"/>
    <n v="43"/>
    <n v="8.4000000000000003E-4"/>
    <n v="0"/>
    <x v="3"/>
    <x v="2"/>
    <n v="8.4000000000000003E-4"/>
  </r>
  <r>
    <s v="SYN0667"/>
    <n v="61"/>
    <x v="1"/>
    <n v="28"/>
    <n v="88"/>
    <n v="8.2710000000000006E-2"/>
    <n v="1"/>
    <x v="4"/>
    <x v="1"/>
    <n v="8.2710000000000006E-2"/>
  </r>
  <r>
    <s v="SYN0668"/>
    <n v="45"/>
    <x v="0"/>
    <n v="13"/>
    <n v="57"/>
    <n v="4.3600000000000002E-3"/>
    <n v="0"/>
    <x v="2"/>
    <x v="2"/>
    <n v="4.3600000000000002E-3"/>
  </r>
  <r>
    <s v="SYN0669"/>
    <n v="60"/>
    <x v="1"/>
    <n v="1"/>
    <n v="60"/>
    <n v="7.2999999999999996E-4"/>
    <n v="0"/>
    <x v="0"/>
    <x v="0"/>
    <n v="7.2999999999999996E-4"/>
  </r>
  <r>
    <s v="SYN0670"/>
    <n v="47"/>
    <x v="1"/>
    <n v="21"/>
    <n v="67"/>
    <n v="1.027E-2"/>
    <n v="0"/>
    <x v="0"/>
    <x v="1"/>
    <n v="1.027E-2"/>
  </r>
  <r>
    <s v="SYN0671"/>
    <n v="26"/>
    <x v="1"/>
    <n v="29"/>
    <n v="54"/>
    <n v="2.1900000000000001E-3"/>
    <n v="0"/>
    <x v="2"/>
    <x v="1"/>
    <n v="2.1900000000000001E-3"/>
  </r>
  <r>
    <s v="SYN0672"/>
    <n v="33"/>
    <x v="1"/>
    <n v="29"/>
    <n v="61"/>
    <n v="4.0499999999999998E-3"/>
    <n v="0"/>
    <x v="0"/>
    <x v="1"/>
    <n v="4.0499999999999998E-3"/>
  </r>
  <r>
    <s v="SYN0673"/>
    <n v="50"/>
    <x v="0"/>
    <n v="9"/>
    <n v="58"/>
    <n v="4.5999999999999999E-3"/>
    <n v="0"/>
    <x v="2"/>
    <x v="0"/>
    <n v="4.5999999999999999E-3"/>
  </r>
  <r>
    <s v="SYN0674"/>
    <n v="37"/>
    <x v="1"/>
    <n v="29"/>
    <n v="65"/>
    <n v="6.0499999999999998E-3"/>
    <n v="0"/>
    <x v="0"/>
    <x v="1"/>
    <n v="6.0499999999999998E-3"/>
  </r>
  <r>
    <s v="SYN0675"/>
    <n v="31"/>
    <x v="1"/>
    <n v="30"/>
    <n v="60"/>
    <n v="3.3700000000000002E-3"/>
    <n v="0"/>
    <x v="0"/>
    <x v="3"/>
    <n v="3.3700000000000002E-3"/>
  </r>
  <r>
    <s v="SYN0676"/>
    <n v="33"/>
    <x v="0"/>
    <n v="19"/>
    <n v="51"/>
    <n v="2.7200000000000002E-3"/>
    <n v="0"/>
    <x v="2"/>
    <x v="2"/>
    <n v="2.7200000000000002E-3"/>
  </r>
  <r>
    <s v="SYN0677"/>
    <n v="45"/>
    <x v="0"/>
    <n v="30"/>
    <n v="74"/>
    <n v="1.7160000000000002E-2"/>
    <n v="0"/>
    <x v="5"/>
    <x v="3"/>
    <n v="1.7160000000000002E-2"/>
  </r>
  <r>
    <s v="SYN0678"/>
    <n v="35"/>
    <x v="1"/>
    <n v="19"/>
    <n v="53"/>
    <n v="2.4399999999999999E-3"/>
    <n v="0"/>
    <x v="2"/>
    <x v="2"/>
    <n v="2.4399999999999999E-3"/>
  </r>
  <r>
    <s v="SYN0679"/>
    <n v="54"/>
    <x v="0"/>
    <n v="11"/>
    <n v="64"/>
    <n v="8.8699999999999994E-3"/>
    <n v="0"/>
    <x v="0"/>
    <x v="2"/>
    <n v="8.8699999999999994E-3"/>
  </r>
  <r>
    <s v="SYN0680"/>
    <n v="64"/>
    <x v="0"/>
    <n v="24"/>
    <n v="87"/>
    <n v="0.11718000000000001"/>
    <n v="0"/>
    <x v="4"/>
    <x v="1"/>
    <n v="0.11718000000000001"/>
  </r>
  <r>
    <s v="SYN0681"/>
    <n v="42"/>
    <x v="0"/>
    <n v="2"/>
    <n v="43"/>
    <n v="6.7000000000000002E-4"/>
    <n v="0"/>
    <x v="3"/>
    <x v="0"/>
    <n v="6.7000000000000002E-4"/>
  </r>
  <r>
    <s v="SYN0682"/>
    <n v="24"/>
    <x v="1"/>
    <n v="11"/>
    <n v="34"/>
    <n v="4.8000000000000001E-4"/>
    <n v="0"/>
    <x v="1"/>
    <x v="2"/>
    <n v="4.8000000000000001E-4"/>
  </r>
  <r>
    <s v="SYN0683"/>
    <n v="58"/>
    <x v="1"/>
    <n v="13"/>
    <n v="70"/>
    <n v="1.0829999999999999E-2"/>
    <n v="0"/>
    <x v="5"/>
    <x v="2"/>
    <n v="1.0829999999999999E-2"/>
  </r>
  <r>
    <s v="SYN0684"/>
    <n v="60"/>
    <x v="1"/>
    <n v="9"/>
    <n v="68"/>
    <n v="7.4900000000000001E-3"/>
    <n v="0"/>
    <x v="0"/>
    <x v="0"/>
    <n v="7.4900000000000001E-3"/>
  </r>
  <r>
    <s v="SYN0685"/>
    <n v="34"/>
    <x v="1"/>
    <n v="12"/>
    <n v="45"/>
    <n v="1.0499999999999999E-3"/>
    <n v="0"/>
    <x v="3"/>
    <x v="2"/>
    <n v="1.0499999999999999E-3"/>
  </r>
  <r>
    <s v="SYN0686"/>
    <n v="31"/>
    <x v="1"/>
    <n v="22"/>
    <n v="52"/>
    <n v="2.3800000000000002E-3"/>
    <n v="0"/>
    <x v="2"/>
    <x v="1"/>
    <n v="2.3800000000000002E-3"/>
  </r>
  <r>
    <s v="SYN0687"/>
    <n v="59"/>
    <x v="1"/>
    <n v="10"/>
    <n v="68"/>
    <n v="7.77E-3"/>
    <n v="0"/>
    <x v="0"/>
    <x v="2"/>
    <n v="7.77E-3"/>
  </r>
  <r>
    <s v="SYN0688"/>
    <n v="25"/>
    <x v="0"/>
    <n v="9"/>
    <n v="33"/>
    <n v="5.8E-4"/>
    <n v="0"/>
    <x v="1"/>
    <x v="0"/>
    <n v="5.8E-4"/>
  </r>
  <r>
    <s v="SYN0689"/>
    <n v="60"/>
    <x v="1"/>
    <n v="5"/>
    <n v="64"/>
    <n v="4.9800000000000001E-3"/>
    <n v="0"/>
    <x v="0"/>
    <x v="0"/>
    <n v="4.9800000000000001E-3"/>
  </r>
  <r>
    <s v="SYN0690"/>
    <n v="26"/>
    <x v="0"/>
    <n v="3"/>
    <n v="28"/>
    <n v="3.8000000000000002E-4"/>
    <n v="0"/>
    <x v="6"/>
    <x v="0"/>
    <n v="3.8000000000000002E-4"/>
  </r>
  <r>
    <s v="SYN0691"/>
    <n v="43"/>
    <x v="0"/>
    <n v="25"/>
    <n v="67"/>
    <n v="1.278E-2"/>
    <n v="0"/>
    <x v="0"/>
    <x v="1"/>
    <n v="1.278E-2"/>
  </r>
  <r>
    <s v="SYN0692"/>
    <n v="31"/>
    <x v="0"/>
    <n v="14"/>
    <n v="44"/>
    <n v="1.4499999999999999E-3"/>
    <n v="0"/>
    <x v="3"/>
    <x v="2"/>
    <n v="1.4499999999999999E-3"/>
  </r>
  <r>
    <s v="SYN0693"/>
    <n v="46"/>
    <x v="0"/>
    <n v="4"/>
    <n v="49"/>
    <n v="1.4400000000000001E-3"/>
    <n v="0"/>
    <x v="3"/>
    <x v="0"/>
    <n v="1.4400000000000001E-3"/>
  </r>
  <r>
    <s v="SYN0694"/>
    <n v="25"/>
    <x v="1"/>
    <n v="20"/>
    <n v="44"/>
    <n v="1.31E-3"/>
    <n v="0"/>
    <x v="3"/>
    <x v="1"/>
    <n v="1.31E-3"/>
  </r>
  <r>
    <s v="SYN0695"/>
    <n v="44"/>
    <x v="0"/>
    <n v="1"/>
    <n v="44"/>
    <n v="5.0000000000000001E-4"/>
    <n v="0"/>
    <x v="3"/>
    <x v="0"/>
    <n v="5.0000000000000001E-4"/>
  </r>
  <r>
    <s v="SYN0696"/>
    <n v="25"/>
    <x v="1"/>
    <n v="24"/>
    <n v="48"/>
    <n v="1.73E-3"/>
    <n v="0"/>
    <x v="3"/>
    <x v="1"/>
    <n v="1.73E-3"/>
  </r>
  <r>
    <s v="SYN0697"/>
    <n v="35"/>
    <x v="1"/>
    <n v="19"/>
    <n v="53"/>
    <n v="2.4399999999999999E-3"/>
    <n v="0"/>
    <x v="2"/>
    <x v="2"/>
    <n v="2.4399999999999999E-3"/>
  </r>
  <r>
    <s v="SYN0698"/>
    <n v="30"/>
    <x v="0"/>
    <n v="5"/>
    <n v="34"/>
    <n v="4.8000000000000001E-4"/>
    <n v="0"/>
    <x v="1"/>
    <x v="0"/>
    <n v="4.8000000000000001E-4"/>
  </r>
  <r>
    <s v="SYN0699"/>
    <n v="29"/>
    <x v="0"/>
    <n v="3"/>
    <n v="31"/>
    <n v="3.5E-4"/>
    <n v="0"/>
    <x v="1"/>
    <x v="0"/>
    <n v="3.5E-4"/>
  </r>
  <r>
    <s v="SYN0700"/>
    <n v="39"/>
    <x v="1"/>
    <n v="16"/>
    <n v="54"/>
    <n v="2.5400000000000002E-3"/>
    <n v="0"/>
    <x v="2"/>
    <x v="2"/>
    <n v="2.5400000000000002E-3"/>
  </r>
  <r>
    <s v="SYN0701"/>
    <n v="35"/>
    <x v="1"/>
    <n v="24"/>
    <n v="58"/>
    <n v="4.0499999999999998E-3"/>
    <n v="0"/>
    <x v="2"/>
    <x v="1"/>
    <n v="4.0499999999999998E-3"/>
  </r>
  <r>
    <s v="SYN0702"/>
    <n v="32"/>
    <x v="0"/>
    <n v="15"/>
    <n v="46"/>
    <n v="1.6999999999999999E-3"/>
    <n v="0"/>
    <x v="3"/>
    <x v="2"/>
    <n v="1.6999999999999999E-3"/>
  </r>
  <r>
    <s v="SYN0703"/>
    <n v="45"/>
    <x v="1"/>
    <n v="11"/>
    <n v="55"/>
    <n v="2.5100000000000001E-3"/>
    <n v="0"/>
    <x v="2"/>
    <x v="2"/>
    <n v="2.5100000000000001E-3"/>
  </r>
  <r>
    <s v="SYN0704"/>
    <n v="41"/>
    <x v="0"/>
    <n v="15"/>
    <n v="55"/>
    <n v="3.6099999999999999E-3"/>
    <n v="0"/>
    <x v="2"/>
    <x v="2"/>
    <n v="3.6099999999999999E-3"/>
  </r>
  <r>
    <s v="SYN0705"/>
    <n v="61"/>
    <x v="0"/>
    <n v="20"/>
    <n v="80"/>
    <n v="5.0909999999999997E-2"/>
    <n v="0"/>
    <x v="4"/>
    <x v="1"/>
    <n v="5.0909999999999997E-2"/>
  </r>
  <r>
    <s v="SYN0706"/>
    <n v="64"/>
    <x v="0"/>
    <n v="7"/>
    <n v="70"/>
    <n v="1.1650000000000001E-2"/>
    <n v="0"/>
    <x v="5"/>
    <x v="0"/>
    <n v="1.1650000000000001E-2"/>
  </r>
  <r>
    <s v="SYN0707"/>
    <n v="45"/>
    <x v="0"/>
    <n v="11"/>
    <n v="55"/>
    <n v="3.3700000000000002E-3"/>
    <n v="0"/>
    <x v="2"/>
    <x v="2"/>
    <n v="3.3700000000000002E-3"/>
  </r>
  <r>
    <s v="SYN0708"/>
    <n v="51"/>
    <x v="1"/>
    <n v="19"/>
    <n v="69"/>
    <n v="1.209E-2"/>
    <n v="0"/>
    <x v="0"/>
    <x v="2"/>
    <n v="1.209E-2"/>
  </r>
  <r>
    <s v="SYN0709"/>
    <n v="37"/>
    <x v="1"/>
    <n v="27"/>
    <n v="63"/>
    <n v="6.0499999999999998E-3"/>
    <n v="0"/>
    <x v="0"/>
    <x v="1"/>
    <n v="6.0499999999999998E-3"/>
  </r>
  <r>
    <s v="SYN0710"/>
    <n v="56"/>
    <x v="1"/>
    <n v="7"/>
    <n v="62"/>
    <n v="4.3299999999999996E-3"/>
    <n v="0"/>
    <x v="0"/>
    <x v="0"/>
    <n v="4.3299999999999996E-3"/>
  </r>
  <r>
    <s v="SYN0711"/>
    <n v="63"/>
    <x v="1"/>
    <n v="25"/>
    <n v="87"/>
    <n v="9.3240000000000003E-2"/>
    <n v="0"/>
    <x v="4"/>
    <x v="1"/>
    <n v="9.3240000000000003E-2"/>
  </r>
  <r>
    <s v="SYN0712"/>
    <n v="49"/>
    <x v="0"/>
    <n v="23"/>
    <n v="71"/>
    <n v="1.9089999999999999E-2"/>
    <n v="0"/>
    <x v="5"/>
    <x v="1"/>
    <n v="1.9089999999999999E-2"/>
  </r>
  <r>
    <s v="SYN0713"/>
    <n v="64"/>
    <x v="1"/>
    <n v="3"/>
    <n v="66"/>
    <n v="4.2300000000000003E-3"/>
    <n v="0"/>
    <x v="0"/>
    <x v="0"/>
    <n v="4.2300000000000003E-3"/>
  </r>
  <r>
    <s v="SYN0714"/>
    <n v="46"/>
    <x v="0"/>
    <n v="22"/>
    <n v="67"/>
    <n v="1.2710000000000001E-2"/>
    <n v="0"/>
    <x v="0"/>
    <x v="1"/>
    <n v="1.2710000000000001E-2"/>
  </r>
  <r>
    <s v="SYN0715"/>
    <n v="35"/>
    <x v="1"/>
    <n v="9"/>
    <n v="43"/>
    <n v="8.0000000000000004E-4"/>
    <n v="0"/>
    <x v="3"/>
    <x v="0"/>
    <n v="8.0000000000000004E-4"/>
  </r>
  <r>
    <s v="SYN0716"/>
    <n v="44"/>
    <x v="0"/>
    <n v="3"/>
    <n v="46"/>
    <n v="9.8999999999999999E-4"/>
    <n v="0"/>
    <x v="3"/>
    <x v="0"/>
    <n v="9.8999999999999999E-4"/>
  </r>
  <r>
    <s v="SYN0717"/>
    <n v="57"/>
    <x v="1"/>
    <n v="13"/>
    <n v="69"/>
    <n v="9.9299999999999996E-3"/>
    <n v="0"/>
    <x v="0"/>
    <x v="2"/>
    <n v="9.9299999999999996E-3"/>
  </r>
  <r>
    <s v="SYN0718"/>
    <n v="64"/>
    <x v="1"/>
    <n v="14"/>
    <n v="77"/>
    <n v="2.3390000000000001E-2"/>
    <n v="0"/>
    <x v="5"/>
    <x v="2"/>
    <n v="2.3390000000000001E-2"/>
  </r>
  <r>
    <s v="SYN0719"/>
    <n v="43"/>
    <x v="1"/>
    <n v="23"/>
    <n v="65"/>
    <n v="8.3099999999999997E-3"/>
    <n v="0"/>
    <x v="0"/>
    <x v="1"/>
    <n v="8.3099999999999997E-3"/>
  </r>
  <r>
    <s v="SYN0720"/>
    <n v="60"/>
    <x v="0"/>
    <n v="30"/>
    <n v="89"/>
    <n v="9.1270000000000004E-2"/>
    <n v="0"/>
    <x v="4"/>
    <x v="3"/>
    <n v="9.1270000000000004E-2"/>
  </r>
  <r>
    <s v="SYN0721"/>
    <n v="62"/>
    <x v="0"/>
    <n v="22"/>
    <n v="83"/>
    <n v="7.1389999999999995E-2"/>
    <n v="0"/>
    <x v="4"/>
    <x v="1"/>
    <n v="7.1389999999999995E-2"/>
  </r>
  <r>
    <s v="SYN0722"/>
    <n v="22"/>
    <x v="1"/>
    <n v="19"/>
    <n v="40"/>
    <n v="1.1000000000000001E-3"/>
    <n v="0"/>
    <x v="3"/>
    <x v="2"/>
    <n v="1.1000000000000001E-3"/>
  </r>
  <r>
    <s v="SYN0723"/>
    <n v="45"/>
    <x v="0"/>
    <n v="25"/>
    <n v="69"/>
    <n v="1.5509999999999999E-2"/>
    <n v="0"/>
    <x v="0"/>
    <x v="1"/>
    <n v="1.5509999999999999E-2"/>
  </r>
  <r>
    <s v="SYN0724"/>
    <n v="26"/>
    <x v="0"/>
    <n v="1"/>
    <n v="26"/>
    <n v="3.5E-4"/>
    <n v="0"/>
    <x v="6"/>
    <x v="0"/>
    <n v="3.5E-4"/>
  </r>
  <r>
    <s v="SYN0725"/>
    <n v="53"/>
    <x v="1"/>
    <n v="18"/>
    <n v="70"/>
    <n v="1.302E-2"/>
    <n v="0"/>
    <x v="5"/>
    <x v="2"/>
    <n v="1.302E-2"/>
  </r>
  <r>
    <s v="SYN0726"/>
    <n v="48"/>
    <x v="0"/>
    <n v="12"/>
    <n v="59"/>
    <n v="5.3400000000000001E-3"/>
    <n v="0"/>
    <x v="2"/>
    <x v="2"/>
    <n v="5.3400000000000001E-3"/>
  </r>
  <r>
    <s v="SYN0727"/>
    <n v="57"/>
    <x v="1"/>
    <n v="23"/>
    <n v="79"/>
    <n v="3.569E-2"/>
    <n v="0"/>
    <x v="5"/>
    <x v="1"/>
    <n v="3.569E-2"/>
  </r>
  <r>
    <s v="SYN0728"/>
    <n v="21"/>
    <x v="0"/>
    <n v="16"/>
    <n v="36"/>
    <n v="1.01E-3"/>
    <n v="0"/>
    <x v="1"/>
    <x v="2"/>
    <n v="1.01E-3"/>
  </r>
  <r>
    <s v="SYN0729"/>
    <n v="25"/>
    <x v="1"/>
    <n v="4"/>
    <n v="28"/>
    <n v="2.2000000000000001E-4"/>
    <n v="0"/>
    <x v="6"/>
    <x v="0"/>
    <n v="2.2000000000000001E-4"/>
  </r>
  <r>
    <s v="SYN0730"/>
    <n v="42"/>
    <x v="0"/>
    <n v="10"/>
    <n v="51"/>
    <n v="2.2799999999999999E-3"/>
    <n v="0"/>
    <x v="2"/>
    <x v="2"/>
    <n v="2.2799999999999999E-3"/>
  </r>
  <r>
    <s v="SYN0731"/>
    <n v="53"/>
    <x v="0"/>
    <n v="16"/>
    <n v="68"/>
    <n v="1.3690000000000001E-2"/>
    <n v="0"/>
    <x v="0"/>
    <x v="2"/>
    <n v="1.3690000000000001E-2"/>
  </r>
  <r>
    <s v="SYN0732"/>
    <n v="64"/>
    <x v="0"/>
    <n v="15"/>
    <n v="78"/>
    <n v="3.6339999999999997E-2"/>
    <n v="0"/>
    <x v="5"/>
    <x v="2"/>
    <n v="3.6339999999999997E-2"/>
  </r>
  <r>
    <s v="SYN0733"/>
    <n v="65"/>
    <x v="0"/>
    <n v="4"/>
    <n v="68"/>
    <n v="8.1499999999999993E-3"/>
    <n v="0"/>
    <x v="0"/>
    <x v="0"/>
    <n v="8.1499999999999993E-3"/>
  </r>
  <r>
    <s v="SYN0734"/>
    <n v="26"/>
    <x v="1"/>
    <n v="22"/>
    <n v="47"/>
    <n v="1.6000000000000001E-3"/>
    <n v="0"/>
    <x v="3"/>
    <x v="1"/>
    <n v="1.6000000000000001E-3"/>
  </r>
  <r>
    <s v="SYN0735"/>
    <n v="35"/>
    <x v="0"/>
    <n v="17"/>
    <n v="51"/>
    <n v="2.65E-3"/>
    <n v="0"/>
    <x v="2"/>
    <x v="2"/>
    <n v="2.65E-3"/>
  </r>
  <r>
    <s v="SYN0736"/>
    <n v="55"/>
    <x v="1"/>
    <n v="14"/>
    <n v="68"/>
    <n v="9.5999999999999992E-3"/>
    <n v="0"/>
    <x v="0"/>
    <x v="2"/>
    <n v="9.5999999999999992E-3"/>
  </r>
  <r>
    <s v="SYN0737"/>
    <n v="45"/>
    <x v="0"/>
    <n v="21"/>
    <n v="65"/>
    <n v="1.022E-2"/>
    <n v="0"/>
    <x v="0"/>
    <x v="1"/>
    <n v="1.022E-2"/>
  </r>
  <r>
    <s v="SYN0738"/>
    <n v="47"/>
    <x v="0"/>
    <n v="13"/>
    <n v="59"/>
    <n v="5.3800000000000002E-3"/>
    <n v="0"/>
    <x v="2"/>
    <x v="2"/>
    <n v="5.3800000000000002E-3"/>
  </r>
  <r>
    <s v="SYN0739"/>
    <n v="32"/>
    <x v="1"/>
    <n v="15"/>
    <n v="46"/>
    <n v="1.2600000000000001E-3"/>
    <n v="0"/>
    <x v="3"/>
    <x v="2"/>
    <n v="1.2600000000000001E-3"/>
  </r>
  <r>
    <s v="SYN0740"/>
    <n v="65"/>
    <x v="0"/>
    <n v="7"/>
    <n v="71"/>
    <n v="1.257E-2"/>
    <n v="0"/>
    <x v="5"/>
    <x v="0"/>
    <n v="1.257E-2"/>
  </r>
  <r>
    <s v="SYN0741"/>
    <n v="24"/>
    <x v="0"/>
    <n v="19"/>
    <n v="42"/>
    <n v="1.72E-3"/>
    <n v="0"/>
    <x v="3"/>
    <x v="2"/>
    <n v="1.72E-3"/>
  </r>
  <r>
    <s v="SYN0742"/>
    <n v="31"/>
    <x v="0"/>
    <n v="12"/>
    <n v="42"/>
    <n v="1.17E-3"/>
    <n v="0"/>
    <x v="3"/>
    <x v="2"/>
    <n v="1.17E-3"/>
  </r>
  <r>
    <s v="SYN0743"/>
    <n v="36"/>
    <x v="1"/>
    <n v="22"/>
    <n v="57"/>
    <n v="3.6900000000000001E-3"/>
    <n v="0"/>
    <x v="2"/>
    <x v="1"/>
    <n v="3.6900000000000001E-3"/>
  </r>
  <r>
    <s v="SYN0744"/>
    <n v="60"/>
    <x v="1"/>
    <n v="11"/>
    <n v="70"/>
    <n v="9.3900000000000008E-3"/>
    <n v="0"/>
    <x v="5"/>
    <x v="2"/>
    <n v="9.3900000000000008E-3"/>
  </r>
  <r>
    <s v="SYN0745"/>
    <n v="57"/>
    <x v="0"/>
    <n v="4"/>
    <n v="60"/>
    <n v="4.6899999999999997E-3"/>
    <n v="0"/>
    <x v="0"/>
    <x v="0"/>
    <n v="4.6899999999999997E-3"/>
  </r>
  <r>
    <s v="SYN0746"/>
    <n v="59"/>
    <x v="1"/>
    <n v="6"/>
    <n v="64"/>
    <n v="5.1599999999999997E-3"/>
    <n v="0"/>
    <x v="0"/>
    <x v="0"/>
    <n v="5.1599999999999997E-3"/>
  </r>
  <r>
    <s v="SYN0747"/>
    <n v="39"/>
    <x v="1"/>
    <n v="30"/>
    <n v="68"/>
    <n v="7.4700000000000001E-3"/>
    <n v="0"/>
    <x v="0"/>
    <x v="3"/>
    <n v="7.4700000000000001E-3"/>
  </r>
  <r>
    <s v="SYN0748"/>
    <n v="28"/>
    <x v="0"/>
    <n v="11"/>
    <n v="38"/>
    <n v="8.7000000000000001E-4"/>
    <n v="0"/>
    <x v="1"/>
    <x v="2"/>
    <n v="8.7000000000000001E-4"/>
  </r>
  <r>
    <s v="SYN0749"/>
    <n v="31"/>
    <x v="1"/>
    <n v="12"/>
    <n v="42"/>
    <n v="9.1E-4"/>
    <n v="0"/>
    <x v="3"/>
    <x v="2"/>
    <n v="9.1E-4"/>
  </r>
  <r>
    <s v="SYN0750"/>
    <n v="46"/>
    <x v="0"/>
    <n v="20"/>
    <n v="65"/>
    <n v="1.022E-2"/>
    <n v="0"/>
    <x v="0"/>
    <x v="1"/>
    <n v="1.022E-2"/>
  </r>
  <r>
    <s v="SYN0751"/>
    <n v="31"/>
    <x v="1"/>
    <n v="16"/>
    <n v="46"/>
    <n v="1.2899999999999999E-3"/>
    <n v="0"/>
    <x v="3"/>
    <x v="2"/>
    <n v="1.2899999999999999E-3"/>
  </r>
  <r>
    <s v="SYN0752"/>
    <n v="61"/>
    <x v="1"/>
    <n v="30"/>
    <n v="90"/>
    <n v="8.2710000000000006E-2"/>
    <n v="0"/>
    <x v="7"/>
    <x v="3"/>
    <n v="8.2710000000000006E-2"/>
  </r>
  <r>
    <s v="SYN0753"/>
    <n v="51"/>
    <x v="0"/>
    <n v="10"/>
    <n v="60"/>
    <n v="5.8999999999999999E-3"/>
    <n v="0"/>
    <x v="0"/>
    <x v="2"/>
    <n v="5.8999999999999999E-3"/>
  </r>
  <r>
    <s v="SYN0754"/>
    <n v="48"/>
    <x v="0"/>
    <n v="20"/>
    <n v="67"/>
    <n v="1.247E-2"/>
    <n v="0"/>
    <x v="0"/>
    <x v="1"/>
    <n v="1.247E-2"/>
  </r>
  <r>
    <s v="SYN0755"/>
    <n v="20"/>
    <x v="0"/>
    <n v="16"/>
    <n v="35"/>
    <n v="9.7999999999999997E-4"/>
    <n v="0"/>
    <x v="1"/>
    <x v="2"/>
    <n v="9.7999999999999997E-4"/>
  </r>
  <r>
    <s v="SYN0756"/>
    <n v="55"/>
    <x v="1"/>
    <n v="17"/>
    <n v="71"/>
    <n v="1.409E-2"/>
    <n v="0"/>
    <x v="5"/>
    <x v="2"/>
    <n v="1.409E-2"/>
  </r>
  <r>
    <s v="SYN0757"/>
    <n v="51"/>
    <x v="1"/>
    <n v="14"/>
    <n v="64"/>
    <n v="6.6100000000000004E-3"/>
    <n v="0"/>
    <x v="0"/>
    <x v="2"/>
    <n v="6.6100000000000004E-3"/>
  </r>
  <r>
    <s v="SYN0758"/>
    <n v="30"/>
    <x v="1"/>
    <n v="3"/>
    <n v="32"/>
    <n v="2.2000000000000001E-4"/>
    <n v="0"/>
    <x v="1"/>
    <x v="0"/>
    <n v="2.2000000000000001E-4"/>
  </r>
  <r>
    <s v="SYN0759"/>
    <n v="34"/>
    <x v="0"/>
    <n v="10"/>
    <n v="43"/>
    <n v="1.2199999999999999E-3"/>
    <n v="0"/>
    <x v="3"/>
    <x v="2"/>
    <n v="1.2199999999999999E-3"/>
  </r>
  <r>
    <s v="SYN0760"/>
    <n v="38"/>
    <x v="1"/>
    <n v="6"/>
    <n v="43"/>
    <n v="7.5000000000000002E-4"/>
    <n v="0"/>
    <x v="3"/>
    <x v="0"/>
    <n v="7.5000000000000002E-4"/>
  </r>
  <r>
    <s v="SYN0761"/>
    <n v="51"/>
    <x v="1"/>
    <n v="18"/>
    <n v="68"/>
    <n v="1.0800000000000001E-2"/>
    <n v="0"/>
    <x v="0"/>
    <x v="2"/>
    <n v="1.0800000000000001E-2"/>
  </r>
  <r>
    <s v="SYN0762"/>
    <n v="37"/>
    <x v="1"/>
    <n v="25"/>
    <n v="61"/>
    <n v="5.4599999999999996E-3"/>
    <n v="0"/>
    <x v="0"/>
    <x v="1"/>
    <n v="5.4599999999999996E-3"/>
  </r>
  <r>
    <s v="SYN0763"/>
    <n v="54"/>
    <x v="1"/>
    <n v="27"/>
    <n v="80"/>
    <n v="3.569E-2"/>
    <n v="0"/>
    <x v="4"/>
    <x v="1"/>
    <n v="3.569E-2"/>
  </r>
  <r>
    <s v="SYN0764"/>
    <n v="48"/>
    <x v="0"/>
    <n v="18"/>
    <n v="65"/>
    <n v="1.022E-2"/>
    <n v="0"/>
    <x v="0"/>
    <x v="2"/>
    <n v="1.022E-2"/>
  </r>
  <r>
    <s v="SYN0765"/>
    <n v="61"/>
    <x v="0"/>
    <n v="25"/>
    <n v="85"/>
    <n v="9.1270000000000004E-2"/>
    <n v="0"/>
    <x v="4"/>
    <x v="1"/>
    <n v="9.1270000000000004E-2"/>
  </r>
  <r>
    <s v="SYN0766"/>
    <n v="22"/>
    <x v="0"/>
    <n v="15"/>
    <n v="36"/>
    <n v="9.6000000000000002E-4"/>
    <n v="0"/>
    <x v="1"/>
    <x v="2"/>
    <n v="9.6000000000000002E-4"/>
  </r>
  <r>
    <s v="SYN0767"/>
    <n v="25"/>
    <x v="1"/>
    <n v="15"/>
    <n v="39"/>
    <n v="8.8999999999999995E-4"/>
    <n v="0"/>
    <x v="1"/>
    <x v="2"/>
    <n v="8.8999999999999995E-4"/>
  </r>
  <r>
    <s v="SYN0768"/>
    <n v="35"/>
    <x v="1"/>
    <n v="7"/>
    <n v="41"/>
    <n v="6.8000000000000005E-4"/>
    <n v="0"/>
    <x v="3"/>
    <x v="0"/>
    <n v="6.8000000000000005E-4"/>
  </r>
  <r>
    <s v="SYN0769"/>
    <n v="42"/>
    <x v="1"/>
    <n v="28"/>
    <n v="69"/>
    <n v="1.027E-2"/>
    <n v="0"/>
    <x v="0"/>
    <x v="1"/>
    <n v="1.027E-2"/>
  </r>
  <r>
    <s v="SYN0770"/>
    <n v="30"/>
    <x v="0"/>
    <n v="20"/>
    <n v="49"/>
    <n v="2.3E-3"/>
    <n v="0"/>
    <x v="3"/>
    <x v="1"/>
    <n v="2.3E-3"/>
  </r>
  <r>
    <s v="SYN0771"/>
    <n v="33"/>
    <x v="0"/>
    <n v="26"/>
    <n v="58"/>
    <n v="5.2199999999999998E-3"/>
    <n v="0"/>
    <x v="2"/>
    <x v="1"/>
    <n v="5.2199999999999998E-3"/>
  </r>
  <r>
    <s v="SYN0772"/>
    <n v="37"/>
    <x v="1"/>
    <n v="20"/>
    <n v="56"/>
    <n v="3.32E-3"/>
    <n v="0"/>
    <x v="2"/>
    <x v="1"/>
    <n v="3.32E-3"/>
  </r>
  <r>
    <s v="SYN0773"/>
    <n v="65"/>
    <x v="0"/>
    <n v="10"/>
    <n v="74"/>
    <n v="1.9689999999999999E-2"/>
    <n v="0"/>
    <x v="5"/>
    <x v="2"/>
    <n v="1.9689999999999999E-2"/>
  </r>
  <r>
    <s v="SYN0774"/>
    <n v="52"/>
    <x v="1"/>
    <n v="29"/>
    <n v="80"/>
    <n v="2.8719999999999999E-2"/>
    <n v="0"/>
    <x v="4"/>
    <x v="1"/>
    <n v="2.8719999999999999E-2"/>
  </r>
  <r>
    <s v="SYN0775"/>
    <n v="46"/>
    <x v="0"/>
    <n v="30"/>
    <n v="75"/>
    <n v="1.9089999999999999E-2"/>
    <n v="0"/>
    <x v="5"/>
    <x v="3"/>
    <n v="1.9089999999999999E-2"/>
  </r>
  <r>
    <s v="SYN0776"/>
    <n v="61"/>
    <x v="1"/>
    <n v="5"/>
    <n v="65"/>
    <n v="5.4400000000000004E-3"/>
    <n v="0"/>
    <x v="0"/>
    <x v="0"/>
    <n v="5.4400000000000004E-3"/>
  </r>
  <r>
    <s v="SYN0777"/>
    <n v="29"/>
    <x v="0"/>
    <n v="23"/>
    <n v="51"/>
    <n v="2.82E-3"/>
    <n v="0"/>
    <x v="2"/>
    <x v="1"/>
    <n v="2.82E-3"/>
  </r>
  <r>
    <s v="SYN0778"/>
    <n v="63"/>
    <x v="0"/>
    <n v="13"/>
    <n v="75"/>
    <n v="2.5520000000000001E-2"/>
    <n v="0"/>
    <x v="5"/>
    <x v="2"/>
    <n v="2.5520000000000001E-2"/>
  </r>
  <r>
    <s v="SYN0779"/>
    <n v="37"/>
    <x v="0"/>
    <n v="21"/>
    <n v="57"/>
    <n v="4.7800000000000004E-3"/>
    <n v="0"/>
    <x v="2"/>
    <x v="1"/>
    <n v="4.7800000000000004E-3"/>
  </r>
  <r>
    <s v="SYN0780"/>
    <n v="60"/>
    <x v="1"/>
    <n v="26"/>
    <n v="85"/>
    <n v="7.2980000000000003E-2"/>
    <n v="0"/>
    <x v="4"/>
    <x v="1"/>
    <n v="7.2980000000000003E-2"/>
  </r>
  <r>
    <s v="SYN0781"/>
    <n v="52"/>
    <x v="0"/>
    <n v="24"/>
    <n v="75"/>
    <n v="2.9940000000000001E-2"/>
    <n v="0"/>
    <x v="5"/>
    <x v="1"/>
    <n v="2.9940000000000001E-2"/>
  </r>
  <r>
    <s v="SYN0782"/>
    <n v="43"/>
    <x v="1"/>
    <n v="15"/>
    <n v="57"/>
    <n v="3.3700000000000002E-3"/>
    <n v="0"/>
    <x v="2"/>
    <x v="2"/>
    <n v="3.3700000000000002E-3"/>
  </r>
  <r>
    <s v="SYN0783"/>
    <n v="20"/>
    <x v="1"/>
    <n v="28"/>
    <n v="47"/>
    <n v="1.3799999999999999E-3"/>
    <n v="0"/>
    <x v="3"/>
    <x v="1"/>
    <n v="1.3799999999999999E-3"/>
  </r>
  <r>
    <s v="SYN0784"/>
    <n v="49"/>
    <x v="1"/>
    <n v="21"/>
    <n v="69"/>
    <n v="1.2659999999999999E-2"/>
    <n v="0"/>
    <x v="0"/>
    <x v="1"/>
    <n v="1.2659999999999999E-2"/>
  </r>
  <r>
    <s v="SYN0785"/>
    <n v="24"/>
    <x v="1"/>
    <n v="26"/>
    <n v="49"/>
    <n v="1.8699999999999999E-3"/>
    <n v="0"/>
    <x v="3"/>
    <x v="1"/>
    <n v="1.8699999999999999E-3"/>
  </r>
  <r>
    <s v="SYN0786"/>
    <n v="47"/>
    <x v="0"/>
    <n v="27"/>
    <n v="73"/>
    <n v="2.1340000000000001E-2"/>
    <n v="0"/>
    <x v="5"/>
    <x v="1"/>
    <n v="2.1340000000000001E-2"/>
  </r>
  <r>
    <s v="SYN0787"/>
    <n v="38"/>
    <x v="1"/>
    <n v="11"/>
    <n v="48"/>
    <n v="1.3500000000000001E-3"/>
    <n v="0"/>
    <x v="3"/>
    <x v="2"/>
    <n v="1.3500000000000001E-3"/>
  </r>
  <r>
    <s v="SYN0788"/>
    <n v="51"/>
    <x v="0"/>
    <n v="26"/>
    <n v="76"/>
    <n v="3.3509999999999998E-2"/>
    <n v="0"/>
    <x v="5"/>
    <x v="1"/>
    <n v="3.3509999999999998E-2"/>
  </r>
  <r>
    <s v="SYN0789"/>
    <n v="23"/>
    <x v="0"/>
    <n v="2"/>
    <n v="24"/>
    <n v="5.1999999999999995E-4"/>
    <n v="0"/>
    <x v="6"/>
    <x v="0"/>
    <n v="5.1999999999999995E-4"/>
  </r>
  <r>
    <s v="SYN0790"/>
    <n v="49"/>
    <x v="0"/>
    <n v="1"/>
    <n v="49"/>
    <n v="7.7999999999999999E-4"/>
    <n v="0"/>
    <x v="3"/>
    <x v="0"/>
    <n v="7.7999999999999999E-4"/>
  </r>
  <r>
    <s v="SYN0791"/>
    <n v="48"/>
    <x v="0"/>
    <n v="15"/>
    <n v="62"/>
    <n v="7.5100000000000002E-3"/>
    <n v="0"/>
    <x v="0"/>
    <x v="2"/>
    <n v="7.5100000000000002E-3"/>
  </r>
  <r>
    <s v="SYN0792"/>
    <n v="32"/>
    <x v="1"/>
    <n v="23"/>
    <n v="54"/>
    <n v="2.82E-3"/>
    <n v="0"/>
    <x v="2"/>
    <x v="1"/>
    <n v="2.82E-3"/>
  </r>
  <r>
    <s v="SYN0793"/>
    <n v="39"/>
    <x v="1"/>
    <n v="6"/>
    <n v="44"/>
    <n v="7.9000000000000001E-4"/>
    <n v="0"/>
    <x v="3"/>
    <x v="0"/>
    <n v="7.9000000000000001E-4"/>
  </r>
  <r>
    <s v="SYN0794"/>
    <n v="25"/>
    <x v="0"/>
    <n v="21"/>
    <n v="45"/>
    <n v="1.98E-3"/>
    <n v="0"/>
    <x v="3"/>
    <x v="1"/>
    <n v="1.98E-3"/>
  </r>
  <r>
    <s v="SYN0795"/>
    <n v="62"/>
    <x v="1"/>
    <n v="29"/>
    <n v="90"/>
    <n v="9.3240000000000003E-2"/>
    <n v="1"/>
    <x v="7"/>
    <x v="1"/>
    <n v="9.3240000000000003E-2"/>
  </r>
  <r>
    <s v="SYN0796"/>
    <n v="60"/>
    <x v="1"/>
    <n v="10"/>
    <n v="69"/>
    <n v="8.3300000000000006E-3"/>
    <n v="0"/>
    <x v="0"/>
    <x v="2"/>
    <n v="8.3300000000000006E-3"/>
  </r>
  <r>
    <s v="SYN0797"/>
    <n v="47"/>
    <x v="0"/>
    <n v="21"/>
    <n v="67"/>
    <n v="1.255E-2"/>
    <n v="0"/>
    <x v="0"/>
    <x v="1"/>
    <n v="1.255E-2"/>
  </r>
  <r>
    <s v="SYN0798"/>
    <n v="33"/>
    <x v="0"/>
    <n v="16"/>
    <n v="48"/>
    <n v="2.0500000000000002E-3"/>
    <n v="0"/>
    <x v="3"/>
    <x v="2"/>
    <n v="2.0500000000000002E-3"/>
  </r>
  <r>
    <s v="SYN0799"/>
    <n v="53"/>
    <x v="0"/>
    <n v="22"/>
    <n v="74"/>
    <n v="2.657E-2"/>
    <n v="1"/>
    <x v="5"/>
    <x v="1"/>
    <n v="2.657E-2"/>
  </r>
  <r>
    <s v="SYN0800"/>
    <n v="41"/>
    <x v="0"/>
    <n v="27"/>
    <n v="67"/>
    <n v="1.1730000000000001E-2"/>
    <n v="0"/>
    <x v="0"/>
    <x v="1"/>
    <n v="1.1730000000000001E-2"/>
  </r>
  <r>
    <s v="SYN0801"/>
    <n v="64"/>
    <x v="0"/>
    <n v="5"/>
    <n v="68"/>
    <n v="9.1599999999999997E-3"/>
    <n v="0"/>
    <x v="0"/>
    <x v="0"/>
    <n v="9.1599999999999997E-3"/>
  </r>
  <r>
    <s v="SYN0802"/>
    <n v="25"/>
    <x v="1"/>
    <n v="24"/>
    <n v="48"/>
    <n v="1.73E-3"/>
    <n v="0"/>
    <x v="3"/>
    <x v="1"/>
    <n v="1.73E-3"/>
  </r>
  <r>
    <s v="SYN0803"/>
    <n v="43"/>
    <x v="0"/>
    <n v="29"/>
    <n v="71"/>
    <n v="1.413E-2"/>
    <n v="0"/>
    <x v="5"/>
    <x v="1"/>
    <n v="1.413E-2"/>
  </r>
  <r>
    <s v="SYN0804"/>
    <n v="28"/>
    <x v="1"/>
    <n v="21"/>
    <n v="48"/>
    <n v="1.73E-3"/>
    <n v="0"/>
    <x v="3"/>
    <x v="1"/>
    <n v="1.73E-3"/>
  </r>
  <r>
    <s v="SYN0805"/>
    <n v="53"/>
    <x v="0"/>
    <n v="19"/>
    <n v="71"/>
    <n v="1.8769999999999998E-2"/>
    <n v="0"/>
    <x v="5"/>
    <x v="2"/>
    <n v="1.8769999999999998E-2"/>
  </r>
  <r>
    <s v="SYN0806"/>
    <n v="48"/>
    <x v="1"/>
    <n v="12"/>
    <n v="59"/>
    <n v="3.82E-3"/>
    <n v="0"/>
    <x v="2"/>
    <x v="2"/>
    <n v="3.82E-3"/>
  </r>
  <r>
    <s v="SYN0807"/>
    <n v="29"/>
    <x v="0"/>
    <n v="30"/>
    <n v="58"/>
    <n v="3.7499999999999999E-3"/>
    <n v="0"/>
    <x v="2"/>
    <x v="3"/>
    <n v="3.7499999999999999E-3"/>
  </r>
  <r>
    <s v="SYN0808"/>
    <n v="33"/>
    <x v="1"/>
    <n v="3"/>
    <n v="35"/>
    <n v="2.7999999999999998E-4"/>
    <n v="0"/>
    <x v="1"/>
    <x v="0"/>
    <n v="2.7999999999999998E-4"/>
  </r>
  <r>
    <s v="SYN0809"/>
    <n v="27"/>
    <x v="1"/>
    <n v="19"/>
    <n v="45"/>
    <n v="1.34E-3"/>
    <n v="0"/>
    <x v="3"/>
    <x v="2"/>
    <n v="1.34E-3"/>
  </r>
  <r>
    <s v="SYN0810"/>
    <n v="47"/>
    <x v="1"/>
    <n v="11"/>
    <n v="57"/>
    <n v="2.98E-3"/>
    <n v="0"/>
    <x v="2"/>
    <x v="2"/>
    <n v="2.98E-3"/>
  </r>
  <r>
    <s v="SYN0811"/>
    <n v="61"/>
    <x v="0"/>
    <n v="3"/>
    <n v="63"/>
    <n v="4.9100000000000003E-3"/>
    <n v="0"/>
    <x v="0"/>
    <x v="0"/>
    <n v="4.9100000000000003E-3"/>
  </r>
  <r>
    <s v="SYN0812"/>
    <n v="58"/>
    <x v="1"/>
    <n v="10"/>
    <n v="67"/>
    <n v="7.2700000000000004E-3"/>
    <n v="0"/>
    <x v="0"/>
    <x v="2"/>
    <n v="7.2700000000000004E-3"/>
  </r>
  <r>
    <s v="SYN0813"/>
    <n v="62"/>
    <x v="0"/>
    <n v="29"/>
    <n v="90"/>
    <n v="0.11724"/>
    <n v="0"/>
    <x v="7"/>
    <x v="1"/>
    <n v="0.11724"/>
  </r>
  <r>
    <s v="SYN0814"/>
    <n v="52"/>
    <x v="1"/>
    <n v="7"/>
    <n v="58"/>
    <n v="2.8400000000000001E-3"/>
    <n v="0"/>
    <x v="2"/>
    <x v="0"/>
    <n v="2.8400000000000001E-3"/>
  </r>
  <r>
    <s v="SYN0815"/>
    <n v="23"/>
    <x v="1"/>
    <n v="26"/>
    <n v="48"/>
    <n v="1.73E-3"/>
    <n v="0"/>
    <x v="3"/>
    <x v="1"/>
    <n v="1.73E-3"/>
  </r>
  <r>
    <s v="SYN0816"/>
    <n v="51"/>
    <x v="0"/>
    <n v="13"/>
    <n v="63"/>
    <n v="8.0300000000000007E-3"/>
    <n v="0"/>
    <x v="0"/>
    <x v="2"/>
    <n v="8.0300000000000007E-3"/>
  </r>
  <r>
    <s v="SYN0817"/>
    <n v="58"/>
    <x v="1"/>
    <n v="3"/>
    <n v="60"/>
    <n v="2.1099999999999999E-3"/>
    <n v="0"/>
    <x v="0"/>
    <x v="0"/>
    <n v="2.1099999999999999E-3"/>
  </r>
  <r>
    <s v="SYN0818"/>
    <n v="43"/>
    <x v="0"/>
    <n v="30"/>
    <n v="72"/>
    <n v="1.413E-2"/>
    <n v="0"/>
    <x v="5"/>
    <x v="3"/>
    <n v="1.413E-2"/>
  </r>
  <r>
    <s v="SYN0819"/>
    <n v="56"/>
    <x v="0"/>
    <n v="14"/>
    <n v="69"/>
    <n v="1.5049999999999999E-2"/>
    <n v="0"/>
    <x v="0"/>
    <x v="2"/>
    <n v="1.5049999999999999E-2"/>
  </r>
  <r>
    <s v="SYN0820"/>
    <n v="50"/>
    <x v="0"/>
    <n v="25"/>
    <n v="74"/>
    <n v="2.6859999999999998E-2"/>
    <n v="0"/>
    <x v="5"/>
    <x v="1"/>
    <n v="2.6859999999999998E-2"/>
  </r>
  <r>
    <s v="SYN0821"/>
    <n v="20"/>
    <x v="0"/>
    <n v="9"/>
    <n v="28"/>
    <n v="7.1000000000000002E-4"/>
    <n v="0"/>
    <x v="6"/>
    <x v="0"/>
    <n v="7.1000000000000002E-4"/>
  </r>
  <r>
    <s v="SYN0822"/>
    <n v="45"/>
    <x v="0"/>
    <n v="17"/>
    <n v="61"/>
    <n v="7.0200000000000002E-3"/>
    <n v="0"/>
    <x v="0"/>
    <x v="2"/>
    <n v="7.0200000000000002E-3"/>
  </r>
  <r>
    <s v="SYN0823"/>
    <n v="46"/>
    <x v="1"/>
    <n v="14"/>
    <n v="59"/>
    <n v="4.0899999999999999E-3"/>
    <n v="0"/>
    <x v="2"/>
    <x v="2"/>
    <n v="4.0899999999999999E-3"/>
  </r>
  <r>
    <s v="SYN0824"/>
    <n v="54"/>
    <x v="1"/>
    <n v="18"/>
    <n v="71"/>
    <n v="1.44E-2"/>
    <n v="0"/>
    <x v="5"/>
    <x v="2"/>
    <n v="1.44E-2"/>
  </r>
  <r>
    <s v="SYN0825"/>
    <n v="39"/>
    <x v="1"/>
    <n v="3"/>
    <n v="41"/>
    <n v="4.8000000000000001E-4"/>
    <n v="0"/>
    <x v="3"/>
    <x v="0"/>
    <n v="4.8000000000000001E-4"/>
  </r>
  <r>
    <s v="SYN0826"/>
    <n v="29"/>
    <x v="0"/>
    <n v="18"/>
    <n v="46"/>
    <n v="1.8799999999999999E-3"/>
    <n v="0"/>
    <x v="3"/>
    <x v="2"/>
    <n v="1.8799999999999999E-3"/>
  </r>
  <r>
    <s v="SYN0827"/>
    <n v="61"/>
    <x v="1"/>
    <n v="22"/>
    <n v="82"/>
    <n v="5.0599999999999999E-2"/>
    <n v="0"/>
    <x v="4"/>
    <x v="1"/>
    <n v="5.0599999999999999E-2"/>
  </r>
  <r>
    <s v="SYN0828"/>
    <n v="47"/>
    <x v="1"/>
    <n v="24"/>
    <n v="70"/>
    <n v="1.404E-2"/>
    <n v="0"/>
    <x v="5"/>
    <x v="1"/>
    <n v="1.404E-2"/>
  </r>
  <r>
    <s v="SYN0829"/>
    <n v="35"/>
    <x v="1"/>
    <n v="3"/>
    <n v="37"/>
    <n v="3.5E-4"/>
    <n v="0"/>
    <x v="1"/>
    <x v="0"/>
    <n v="3.5E-4"/>
  </r>
  <r>
    <s v="SYN0830"/>
    <n v="59"/>
    <x v="0"/>
    <n v="20"/>
    <n v="78"/>
    <n v="4.079E-2"/>
    <n v="0"/>
    <x v="5"/>
    <x v="1"/>
    <n v="4.079E-2"/>
  </r>
  <r>
    <s v="SYN0831"/>
    <n v="62"/>
    <x v="0"/>
    <n v="24"/>
    <n v="85"/>
    <n v="9.1270000000000004E-2"/>
    <n v="1"/>
    <x v="4"/>
    <x v="1"/>
    <n v="9.1270000000000004E-2"/>
  </r>
  <r>
    <s v="SYN0832"/>
    <n v="28"/>
    <x v="0"/>
    <n v="23"/>
    <n v="50"/>
    <n v="2.63E-3"/>
    <n v="0"/>
    <x v="2"/>
    <x v="1"/>
    <n v="2.63E-3"/>
  </r>
  <r>
    <s v="SYN0833"/>
    <n v="42"/>
    <x v="1"/>
    <n v="17"/>
    <n v="58"/>
    <n v="3.81E-3"/>
    <n v="0"/>
    <x v="2"/>
    <x v="2"/>
    <n v="3.81E-3"/>
  </r>
  <r>
    <s v="SYN0834"/>
    <n v="36"/>
    <x v="0"/>
    <n v="6"/>
    <n v="41"/>
    <n v="8.3000000000000001E-4"/>
    <n v="0"/>
    <x v="3"/>
    <x v="0"/>
    <n v="8.3000000000000001E-4"/>
  </r>
  <r>
    <s v="SYN0835"/>
    <n v="37"/>
    <x v="1"/>
    <n v="24"/>
    <n v="60"/>
    <n v="4.9300000000000004E-3"/>
    <n v="0"/>
    <x v="0"/>
    <x v="1"/>
    <n v="4.9300000000000004E-3"/>
  </r>
  <r>
    <s v="SYN0836"/>
    <n v="21"/>
    <x v="1"/>
    <n v="11"/>
    <n v="31"/>
    <n v="4.0999999999999999E-4"/>
    <n v="0"/>
    <x v="1"/>
    <x v="2"/>
    <n v="4.0999999999999999E-4"/>
  </r>
  <r>
    <s v="SYN0837"/>
    <n v="24"/>
    <x v="1"/>
    <n v="9"/>
    <n v="32"/>
    <n v="3.8999999999999999E-4"/>
    <n v="0"/>
    <x v="1"/>
    <x v="0"/>
    <n v="3.8999999999999999E-4"/>
  </r>
  <r>
    <s v="SYN0838"/>
    <n v="24"/>
    <x v="0"/>
    <n v="16"/>
    <n v="39"/>
    <n v="1.1999999999999999E-3"/>
    <n v="0"/>
    <x v="1"/>
    <x v="2"/>
    <n v="1.1999999999999999E-3"/>
  </r>
  <r>
    <s v="SYN0839"/>
    <n v="51"/>
    <x v="1"/>
    <n v="28"/>
    <n v="78"/>
    <n v="2.58E-2"/>
    <n v="0"/>
    <x v="5"/>
    <x v="1"/>
    <n v="2.58E-2"/>
  </r>
  <r>
    <s v="SYN0840"/>
    <n v="36"/>
    <x v="0"/>
    <n v="25"/>
    <n v="60"/>
    <n v="6.3299999999999997E-3"/>
    <n v="0"/>
    <x v="0"/>
    <x v="1"/>
    <n v="6.3299999999999997E-3"/>
  </r>
  <r>
    <s v="SYN0841"/>
    <n v="27"/>
    <x v="1"/>
    <n v="8"/>
    <n v="34"/>
    <n v="4.0000000000000002E-4"/>
    <n v="0"/>
    <x v="1"/>
    <x v="0"/>
    <n v="4.0000000000000002E-4"/>
  </r>
  <r>
    <s v="SYN0842"/>
    <n v="20"/>
    <x v="0"/>
    <n v="8"/>
    <n v="27"/>
    <n v="7.5000000000000002E-4"/>
    <n v="0"/>
    <x v="6"/>
    <x v="0"/>
    <n v="7.5000000000000002E-4"/>
  </r>
  <r>
    <s v="SYN0843"/>
    <n v="29"/>
    <x v="1"/>
    <n v="6"/>
    <n v="34"/>
    <n v="3.2000000000000003E-4"/>
    <n v="0"/>
    <x v="1"/>
    <x v="0"/>
    <n v="3.2000000000000003E-4"/>
  </r>
  <r>
    <s v="SYN0844"/>
    <n v="55"/>
    <x v="1"/>
    <n v="26"/>
    <n v="80"/>
    <n v="3.986E-2"/>
    <n v="0"/>
    <x v="4"/>
    <x v="1"/>
    <n v="3.986E-2"/>
  </r>
  <r>
    <s v="SYN0845"/>
    <n v="46"/>
    <x v="0"/>
    <n v="8"/>
    <n v="53"/>
    <n v="2.5600000000000002E-3"/>
    <n v="0"/>
    <x v="2"/>
    <x v="0"/>
    <n v="2.5600000000000002E-3"/>
  </r>
  <r>
    <s v="SYN0846"/>
    <n v="40"/>
    <x v="1"/>
    <n v="9"/>
    <n v="48"/>
    <n v="1.23E-3"/>
    <n v="0"/>
    <x v="3"/>
    <x v="0"/>
    <n v="1.23E-3"/>
  </r>
  <r>
    <s v="SYN0847"/>
    <n v="27"/>
    <x v="1"/>
    <n v="17"/>
    <n v="43"/>
    <n v="1.1299999999999999E-3"/>
    <n v="0"/>
    <x v="3"/>
    <x v="2"/>
    <n v="1.1299999999999999E-3"/>
  </r>
  <r>
    <s v="SYN0848"/>
    <n v="34"/>
    <x v="1"/>
    <n v="26"/>
    <n v="59"/>
    <n v="4.4600000000000004E-3"/>
    <n v="0"/>
    <x v="2"/>
    <x v="1"/>
    <n v="4.4600000000000004E-3"/>
  </r>
  <r>
    <s v="SYN0849"/>
    <n v="45"/>
    <x v="1"/>
    <n v="3"/>
    <n v="47"/>
    <n v="6.8000000000000005E-4"/>
    <n v="0"/>
    <x v="3"/>
    <x v="0"/>
    <n v="6.8000000000000005E-4"/>
  </r>
  <r>
    <s v="SYN0850"/>
    <n v="39"/>
    <x v="0"/>
    <n v="11"/>
    <n v="49"/>
    <n v="1.92E-3"/>
    <n v="0"/>
    <x v="3"/>
    <x v="2"/>
    <n v="1.92E-3"/>
  </r>
  <r>
    <s v="SYN0851"/>
    <n v="43"/>
    <x v="0"/>
    <n v="7"/>
    <n v="49"/>
    <n v="1.66E-3"/>
    <n v="0"/>
    <x v="3"/>
    <x v="0"/>
    <n v="1.66E-3"/>
  </r>
  <r>
    <s v="SYN0852"/>
    <n v="59"/>
    <x v="0"/>
    <n v="8"/>
    <n v="66"/>
    <n v="0.01"/>
    <n v="0"/>
    <x v="0"/>
    <x v="0"/>
    <n v="0.01"/>
  </r>
  <r>
    <s v="SYN0853"/>
    <n v="51"/>
    <x v="1"/>
    <n v="25"/>
    <n v="75"/>
    <n v="2.325E-2"/>
    <n v="0"/>
    <x v="5"/>
    <x v="1"/>
    <n v="2.325E-2"/>
  </r>
  <r>
    <s v="SYN0854"/>
    <n v="54"/>
    <x v="1"/>
    <n v="25"/>
    <n v="78"/>
    <n v="3.1989999999999998E-2"/>
    <n v="0"/>
    <x v="5"/>
    <x v="1"/>
    <n v="3.1989999999999998E-2"/>
  </r>
  <r>
    <s v="SYN0855"/>
    <n v="46"/>
    <x v="0"/>
    <n v="1"/>
    <n v="46"/>
    <n v="6.0999999999999997E-4"/>
    <n v="0"/>
    <x v="3"/>
    <x v="0"/>
    <n v="6.0999999999999997E-4"/>
  </r>
  <r>
    <s v="SYN0856"/>
    <n v="64"/>
    <x v="0"/>
    <n v="29"/>
    <n v="92"/>
    <n v="0.14893999999999999"/>
    <n v="0"/>
    <x v="7"/>
    <x v="1"/>
    <n v="0.14893999999999999"/>
  </r>
  <r>
    <s v="SYN0857"/>
    <n v="62"/>
    <x v="1"/>
    <n v="13"/>
    <n v="74"/>
    <n v="1.6240000000000001E-2"/>
    <n v="0"/>
    <x v="5"/>
    <x v="2"/>
    <n v="1.6240000000000001E-2"/>
  </r>
  <r>
    <s v="SYN0858"/>
    <n v="26"/>
    <x v="1"/>
    <n v="7"/>
    <n v="32"/>
    <n v="3.3E-4"/>
    <n v="0"/>
    <x v="1"/>
    <x v="0"/>
    <n v="3.3E-4"/>
  </r>
  <r>
    <s v="SYN0859"/>
    <n v="51"/>
    <x v="1"/>
    <n v="2"/>
    <n v="52"/>
    <n v="8.8000000000000003E-4"/>
    <n v="0"/>
    <x v="2"/>
    <x v="0"/>
    <n v="8.8000000000000003E-4"/>
  </r>
  <r>
    <s v="SYN0860"/>
    <n v="37"/>
    <x v="0"/>
    <n v="3"/>
    <n v="39"/>
    <n v="5.8E-4"/>
    <n v="0"/>
    <x v="1"/>
    <x v="0"/>
    <n v="5.8E-4"/>
  </r>
  <r>
    <s v="SYN0861"/>
    <n v="53"/>
    <x v="1"/>
    <n v="14"/>
    <n v="66"/>
    <n v="7.9100000000000004E-3"/>
    <n v="0"/>
    <x v="0"/>
    <x v="2"/>
    <n v="7.9100000000000004E-3"/>
  </r>
  <r>
    <s v="SYN0862"/>
    <n v="25"/>
    <x v="0"/>
    <n v="19"/>
    <n v="43"/>
    <n v="1.7799999999999999E-3"/>
    <n v="0"/>
    <x v="3"/>
    <x v="2"/>
    <n v="1.7799999999999999E-3"/>
  </r>
  <r>
    <s v="SYN0863"/>
    <n v="45"/>
    <x v="1"/>
    <n v="3"/>
    <n v="47"/>
    <n v="6.8000000000000005E-4"/>
    <n v="0"/>
    <x v="3"/>
    <x v="0"/>
    <n v="6.8000000000000005E-4"/>
  </r>
  <r>
    <s v="SYN0864"/>
    <n v="62"/>
    <x v="0"/>
    <n v="5"/>
    <n v="66"/>
    <n v="7.9399999999999991E-3"/>
    <n v="0"/>
    <x v="0"/>
    <x v="0"/>
    <n v="7.9399999999999991E-3"/>
  </r>
  <r>
    <s v="SYN0865"/>
    <n v="40"/>
    <x v="1"/>
    <n v="30"/>
    <n v="69"/>
    <n v="8.3099999999999997E-3"/>
    <n v="0"/>
    <x v="0"/>
    <x v="3"/>
    <n v="8.3099999999999997E-3"/>
  </r>
  <r>
    <s v="SYN0866"/>
    <n v="40"/>
    <x v="0"/>
    <n v="11"/>
    <n v="50"/>
    <n v="2.1099999999999999E-3"/>
    <n v="0"/>
    <x v="2"/>
    <x v="2"/>
    <n v="2.1099999999999999E-3"/>
  </r>
  <r>
    <s v="SYN0867"/>
    <n v="32"/>
    <x v="1"/>
    <n v="5"/>
    <n v="36"/>
    <n v="3.6999999999999999E-4"/>
    <n v="0"/>
    <x v="1"/>
    <x v="0"/>
    <n v="3.6999999999999999E-4"/>
  </r>
  <r>
    <s v="SYN0868"/>
    <n v="29"/>
    <x v="0"/>
    <n v="4"/>
    <n v="32"/>
    <n v="4.0999999999999999E-4"/>
    <n v="0"/>
    <x v="1"/>
    <x v="0"/>
    <n v="4.0999999999999999E-4"/>
  </r>
  <r>
    <s v="SYN0869"/>
    <n v="46"/>
    <x v="1"/>
    <n v="4"/>
    <n v="49"/>
    <n v="1.0499999999999999E-3"/>
    <n v="0"/>
    <x v="3"/>
    <x v="0"/>
    <n v="1.0499999999999999E-3"/>
  </r>
  <r>
    <s v="SYN0870"/>
    <n v="33"/>
    <x v="0"/>
    <n v="15"/>
    <n v="47"/>
    <n v="1.83E-3"/>
    <n v="0"/>
    <x v="3"/>
    <x v="2"/>
    <n v="1.83E-3"/>
  </r>
  <r>
    <s v="SYN0871"/>
    <n v="27"/>
    <x v="0"/>
    <n v="3"/>
    <n v="29"/>
    <n v="3.5E-4"/>
    <n v="0"/>
    <x v="6"/>
    <x v="0"/>
    <n v="3.5E-4"/>
  </r>
  <r>
    <s v="SYN0872"/>
    <n v="65"/>
    <x v="1"/>
    <n v="23"/>
    <n v="87"/>
    <n v="9.3240000000000003E-2"/>
    <n v="0"/>
    <x v="4"/>
    <x v="1"/>
    <n v="9.3240000000000003E-2"/>
  </r>
  <r>
    <s v="SYN0873"/>
    <n v="40"/>
    <x v="0"/>
    <n v="5"/>
    <n v="44"/>
    <n v="1.01E-3"/>
    <n v="0"/>
    <x v="3"/>
    <x v="0"/>
    <n v="1.01E-3"/>
  </r>
  <r>
    <s v="SYN0874"/>
    <n v="42"/>
    <x v="1"/>
    <n v="13"/>
    <n v="54"/>
    <n v="2.4499999999999999E-3"/>
    <n v="0"/>
    <x v="2"/>
    <x v="2"/>
    <n v="2.4499999999999999E-3"/>
  </r>
  <r>
    <s v="SYN0875"/>
    <n v="36"/>
    <x v="1"/>
    <n v="27"/>
    <n v="62"/>
    <n v="5.4599999999999996E-3"/>
    <n v="0"/>
    <x v="0"/>
    <x v="1"/>
    <n v="5.4599999999999996E-3"/>
  </r>
  <r>
    <s v="SYN0876"/>
    <n v="45"/>
    <x v="0"/>
    <n v="28"/>
    <n v="72"/>
    <n v="1.7160000000000002E-2"/>
    <n v="0"/>
    <x v="5"/>
    <x v="1"/>
    <n v="1.7160000000000002E-2"/>
  </r>
  <r>
    <s v="SYN0877"/>
    <n v="35"/>
    <x v="0"/>
    <n v="4"/>
    <n v="38"/>
    <n v="5.8E-4"/>
    <n v="0"/>
    <x v="1"/>
    <x v="0"/>
    <n v="5.8E-4"/>
  </r>
  <r>
    <s v="SYN0878"/>
    <n v="28"/>
    <x v="0"/>
    <n v="4"/>
    <n v="31"/>
    <n v="3.8000000000000002E-4"/>
    <n v="0"/>
    <x v="1"/>
    <x v="0"/>
    <n v="3.8000000000000002E-4"/>
  </r>
  <r>
    <s v="SYN0879"/>
    <n v="34"/>
    <x v="0"/>
    <n v="5"/>
    <n v="38"/>
    <n v="6.0999999999999997E-4"/>
    <n v="0"/>
    <x v="1"/>
    <x v="0"/>
    <n v="6.0999999999999997E-4"/>
  </r>
  <r>
    <s v="SYN0880"/>
    <n v="63"/>
    <x v="1"/>
    <n v="21"/>
    <n v="83"/>
    <n v="5.704E-2"/>
    <n v="0"/>
    <x v="4"/>
    <x v="1"/>
    <n v="5.704E-2"/>
  </r>
  <r>
    <s v="SYN0881"/>
    <n v="57"/>
    <x v="1"/>
    <n v="9"/>
    <n v="65"/>
    <n v="6.13E-3"/>
    <n v="0"/>
    <x v="0"/>
    <x v="0"/>
    <n v="6.13E-3"/>
  </r>
  <r>
    <s v="SYN0882"/>
    <n v="24"/>
    <x v="1"/>
    <n v="7"/>
    <n v="30"/>
    <n v="3.1E-4"/>
    <n v="0"/>
    <x v="1"/>
    <x v="0"/>
    <n v="3.1E-4"/>
  </r>
  <r>
    <s v="SYN0883"/>
    <n v="28"/>
    <x v="1"/>
    <n v="3"/>
    <n v="30"/>
    <n v="2.0000000000000001E-4"/>
    <n v="0"/>
    <x v="1"/>
    <x v="0"/>
    <n v="2.0000000000000001E-4"/>
  </r>
  <r>
    <s v="SYN0884"/>
    <n v="41"/>
    <x v="0"/>
    <n v="4"/>
    <n v="44"/>
    <n v="9.5E-4"/>
    <n v="0"/>
    <x v="3"/>
    <x v="0"/>
    <n v="9.5E-4"/>
  </r>
  <r>
    <s v="SYN0885"/>
    <n v="30"/>
    <x v="1"/>
    <n v="30"/>
    <n v="59"/>
    <n v="3.0799999999999998E-3"/>
    <n v="0"/>
    <x v="2"/>
    <x v="3"/>
    <n v="3.0799999999999998E-3"/>
  </r>
  <r>
    <s v="SYN0886"/>
    <n v="45"/>
    <x v="0"/>
    <n v="16"/>
    <n v="60"/>
    <n v="6.2500000000000003E-3"/>
    <n v="0"/>
    <x v="0"/>
    <x v="2"/>
    <n v="6.2500000000000003E-3"/>
  </r>
  <r>
    <s v="SYN0887"/>
    <n v="31"/>
    <x v="0"/>
    <n v="12"/>
    <n v="42"/>
    <n v="1.17E-3"/>
    <n v="0"/>
    <x v="3"/>
    <x v="2"/>
    <n v="1.17E-3"/>
  </r>
  <r>
    <s v="SYN0888"/>
    <n v="37"/>
    <x v="1"/>
    <n v="15"/>
    <n v="51"/>
    <n v="1.92E-3"/>
    <n v="0"/>
    <x v="2"/>
    <x v="2"/>
    <n v="1.92E-3"/>
  </r>
  <r>
    <s v="SYN0889"/>
    <n v="59"/>
    <x v="0"/>
    <n v="20"/>
    <n v="78"/>
    <n v="4.079E-2"/>
    <n v="0"/>
    <x v="5"/>
    <x v="1"/>
    <n v="4.079E-2"/>
  </r>
  <r>
    <s v="SYN0890"/>
    <n v="46"/>
    <x v="1"/>
    <n v="29"/>
    <n v="74"/>
    <n v="1.553E-2"/>
    <n v="0"/>
    <x v="5"/>
    <x v="1"/>
    <n v="1.553E-2"/>
  </r>
  <r>
    <s v="SYN0891"/>
    <n v="37"/>
    <x v="0"/>
    <n v="13"/>
    <n v="49"/>
    <n v="2E-3"/>
    <n v="0"/>
    <x v="3"/>
    <x v="2"/>
    <n v="2E-3"/>
  </r>
  <r>
    <s v="SYN0892"/>
    <n v="53"/>
    <x v="1"/>
    <n v="8"/>
    <n v="60"/>
    <n v="3.5699999999999998E-3"/>
    <n v="0"/>
    <x v="0"/>
    <x v="0"/>
    <n v="3.5699999999999998E-3"/>
  </r>
  <r>
    <s v="SYN0893"/>
    <n v="21"/>
    <x v="1"/>
    <n v="13"/>
    <n v="33"/>
    <n v="4.4999999999999999E-4"/>
    <n v="0"/>
    <x v="1"/>
    <x v="2"/>
    <n v="4.4999999999999999E-4"/>
  </r>
  <r>
    <s v="SYN0894"/>
    <n v="54"/>
    <x v="0"/>
    <n v="26"/>
    <n v="79"/>
    <n v="4.5769999999999998E-2"/>
    <n v="0"/>
    <x v="5"/>
    <x v="1"/>
    <n v="4.5769999999999998E-2"/>
  </r>
  <r>
    <s v="SYN0895"/>
    <n v="52"/>
    <x v="0"/>
    <n v="11"/>
    <n v="62"/>
    <n v="7.2700000000000004E-3"/>
    <n v="0"/>
    <x v="0"/>
    <x v="2"/>
    <n v="7.2700000000000004E-3"/>
  </r>
  <r>
    <s v="SYN0896"/>
    <n v="40"/>
    <x v="0"/>
    <n v="20"/>
    <n v="59"/>
    <n v="5.7400000000000003E-3"/>
    <n v="0"/>
    <x v="2"/>
    <x v="1"/>
    <n v="5.7400000000000003E-3"/>
  </r>
  <r>
    <s v="SYN0897"/>
    <n v="37"/>
    <x v="1"/>
    <n v="2"/>
    <n v="38"/>
    <n v="2.9E-4"/>
    <n v="0"/>
    <x v="1"/>
    <x v="0"/>
    <n v="2.9E-4"/>
  </r>
  <r>
    <s v="SYN0898"/>
    <n v="42"/>
    <x v="1"/>
    <n v="25"/>
    <n v="66"/>
    <n v="9.2399999999999999E-3"/>
    <n v="0"/>
    <x v="0"/>
    <x v="1"/>
    <n v="9.2399999999999999E-3"/>
  </r>
  <r>
    <s v="SYN0899"/>
    <n v="30"/>
    <x v="0"/>
    <n v="4"/>
    <n v="33"/>
    <n v="4.2999999999999999E-4"/>
    <n v="0"/>
    <x v="1"/>
    <x v="0"/>
    <n v="4.2999999999999999E-4"/>
  </r>
  <r>
    <s v="SYN0900"/>
    <n v="54"/>
    <x v="1"/>
    <n v="27"/>
    <n v="80"/>
    <n v="3.569E-2"/>
    <n v="0"/>
    <x v="4"/>
    <x v="1"/>
    <n v="3.569E-2"/>
  </r>
  <r>
    <s v="SYN0901"/>
    <n v="34"/>
    <x v="1"/>
    <n v="19"/>
    <n v="52"/>
    <n v="2.2300000000000002E-3"/>
    <n v="0"/>
    <x v="2"/>
    <x v="2"/>
    <n v="2.2300000000000002E-3"/>
  </r>
  <r>
    <s v="SYN0902"/>
    <n v="42"/>
    <x v="1"/>
    <n v="30"/>
    <n v="71"/>
    <n v="1.027E-2"/>
    <n v="0"/>
    <x v="5"/>
    <x v="3"/>
    <n v="1.027E-2"/>
  </r>
  <r>
    <s v="SYN0903"/>
    <n v="31"/>
    <x v="1"/>
    <n v="8"/>
    <n v="38"/>
    <n v="5.6999999999999998E-4"/>
    <n v="0"/>
    <x v="1"/>
    <x v="0"/>
    <n v="5.6999999999999998E-4"/>
  </r>
  <r>
    <s v="SYN0904"/>
    <n v="64"/>
    <x v="1"/>
    <n v="12"/>
    <n v="75"/>
    <n v="1.7270000000000001E-2"/>
    <n v="0"/>
    <x v="5"/>
    <x v="2"/>
    <n v="1.7270000000000001E-2"/>
  </r>
  <r>
    <s v="SYN0905"/>
    <n v="64"/>
    <x v="1"/>
    <n v="12"/>
    <n v="75"/>
    <n v="1.7270000000000001E-2"/>
    <n v="0"/>
    <x v="5"/>
    <x v="2"/>
    <n v="1.7270000000000001E-2"/>
  </r>
  <r>
    <s v="SYN0906"/>
    <n v="56"/>
    <x v="1"/>
    <n v="7"/>
    <n v="62"/>
    <n v="4.3299999999999996E-3"/>
    <n v="0"/>
    <x v="0"/>
    <x v="0"/>
    <n v="4.3299999999999996E-3"/>
  </r>
  <r>
    <s v="SYN0907"/>
    <n v="51"/>
    <x v="0"/>
    <n v="18"/>
    <n v="68"/>
    <n v="1.3690000000000001E-2"/>
    <n v="0"/>
    <x v="0"/>
    <x v="2"/>
    <n v="1.3690000000000001E-2"/>
  </r>
  <r>
    <s v="SYN0908"/>
    <n v="25"/>
    <x v="0"/>
    <n v="2"/>
    <n v="26"/>
    <n v="4.2000000000000002E-4"/>
    <n v="0"/>
    <x v="6"/>
    <x v="0"/>
    <n v="4.2000000000000002E-4"/>
  </r>
  <r>
    <s v="SYN0909"/>
    <n v="53"/>
    <x v="0"/>
    <n v="16"/>
    <n v="68"/>
    <n v="1.3690000000000001E-2"/>
    <n v="0"/>
    <x v="0"/>
    <x v="2"/>
    <n v="1.3690000000000001E-2"/>
  </r>
  <r>
    <s v="SYN0910"/>
    <n v="32"/>
    <x v="0"/>
    <n v="26"/>
    <n v="57"/>
    <n v="4.7800000000000004E-3"/>
    <n v="0"/>
    <x v="2"/>
    <x v="1"/>
    <n v="4.7800000000000004E-3"/>
  </r>
  <r>
    <s v="SYN0911"/>
    <n v="40"/>
    <x v="0"/>
    <n v="2"/>
    <n v="41"/>
    <n v="5.4000000000000001E-4"/>
    <n v="0"/>
    <x v="3"/>
    <x v="0"/>
    <n v="5.4000000000000001E-4"/>
  </r>
  <r>
    <s v="SYN0912"/>
    <n v="29"/>
    <x v="0"/>
    <n v="25"/>
    <n v="53"/>
    <n v="3.4199999999999999E-3"/>
    <n v="0"/>
    <x v="2"/>
    <x v="1"/>
    <n v="3.4199999999999999E-3"/>
  </r>
  <r>
    <s v="SYN0913"/>
    <n v="43"/>
    <x v="0"/>
    <n v="3"/>
    <n v="45"/>
    <n v="9.2000000000000003E-4"/>
    <n v="0"/>
    <x v="3"/>
    <x v="0"/>
    <n v="9.2000000000000003E-4"/>
  </r>
  <r>
    <s v="SYN0914"/>
    <n v="45"/>
    <x v="0"/>
    <n v="19"/>
    <n v="63"/>
    <n v="8.4899999999999993E-3"/>
    <n v="0"/>
    <x v="0"/>
    <x v="2"/>
    <n v="8.4899999999999993E-3"/>
  </r>
  <r>
    <s v="SYN0915"/>
    <n v="28"/>
    <x v="1"/>
    <n v="6"/>
    <n v="33"/>
    <n v="2.9999999999999997E-4"/>
    <n v="0"/>
    <x v="1"/>
    <x v="0"/>
    <n v="2.9999999999999997E-4"/>
  </r>
  <r>
    <s v="SYN0916"/>
    <n v="60"/>
    <x v="1"/>
    <n v="16"/>
    <n v="75"/>
    <n v="2.053E-2"/>
    <n v="0"/>
    <x v="5"/>
    <x v="2"/>
    <n v="2.053E-2"/>
  </r>
  <r>
    <s v="SYN0917"/>
    <n v="55"/>
    <x v="1"/>
    <n v="23"/>
    <n v="77"/>
    <n v="2.8719999999999999E-2"/>
    <n v="0"/>
    <x v="5"/>
    <x v="1"/>
    <n v="2.8719999999999999E-2"/>
  </r>
  <r>
    <s v="SYN0918"/>
    <n v="42"/>
    <x v="1"/>
    <n v="8"/>
    <n v="49"/>
    <n v="1.2800000000000001E-3"/>
    <n v="0"/>
    <x v="3"/>
    <x v="0"/>
    <n v="1.2800000000000001E-3"/>
  </r>
  <r>
    <s v="SYN0919"/>
    <n v="44"/>
    <x v="1"/>
    <n v="10"/>
    <n v="53"/>
    <n v="2.0600000000000002E-3"/>
    <n v="0"/>
    <x v="2"/>
    <x v="2"/>
    <n v="2.0600000000000002E-3"/>
  </r>
  <r>
    <s v="SYN0920"/>
    <n v="31"/>
    <x v="0"/>
    <n v="24"/>
    <n v="54"/>
    <n v="3.6800000000000001E-3"/>
    <n v="0"/>
    <x v="2"/>
    <x v="1"/>
    <n v="3.6800000000000001E-3"/>
  </r>
  <r>
    <s v="SYN0921"/>
    <n v="56"/>
    <x v="1"/>
    <n v="13"/>
    <n v="68"/>
    <n v="9.1299999999999992E-3"/>
    <n v="0"/>
    <x v="0"/>
    <x v="2"/>
    <n v="9.1299999999999992E-3"/>
  </r>
  <r>
    <s v="SYN0922"/>
    <n v="56"/>
    <x v="0"/>
    <n v="2"/>
    <n v="57"/>
    <n v="2.15E-3"/>
    <n v="0"/>
    <x v="2"/>
    <x v="0"/>
    <n v="2.15E-3"/>
  </r>
  <r>
    <s v="SYN0923"/>
    <n v="59"/>
    <x v="1"/>
    <n v="8"/>
    <n v="66"/>
    <n v="6.3899999999999998E-3"/>
    <n v="0"/>
    <x v="0"/>
    <x v="0"/>
    <n v="6.3899999999999998E-3"/>
  </r>
  <r>
    <s v="SYN0924"/>
    <n v="51"/>
    <x v="0"/>
    <n v="5"/>
    <n v="55"/>
    <n v="2.8900000000000002E-3"/>
    <n v="0"/>
    <x v="2"/>
    <x v="0"/>
    <n v="2.8900000000000002E-3"/>
  </r>
  <r>
    <s v="SYN0925"/>
    <n v="42"/>
    <x v="0"/>
    <n v="11"/>
    <n v="52"/>
    <n v="2.5400000000000002E-3"/>
    <n v="0"/>
    <x v="2"/>
    <x v="2"/>
    <n v="2.5400000000000002E-3"/>
  </r>
  <r>
    <s v="SYN0926"/>
    <n v="25"/>
    <x v="1"/>
    <n v="27"/>
    <n v="51"/>
    <n v="2.0200000000000001E-3"/>
    <n v="0"/>
    <x v="2"/>
    <x v="1"/>
    <n v="2.0200000000000001E-3"/>
  </r>
  <r>
    <s v="SYN0927"/>
    <n v="41"/>
    <x v="0"/>
    <n v="15"/>
    <n v="55"/>
    <n v="3.6099999999999999E-3"/>
    <n v="0"/>
    <x v="2"/>
    <x v="2"/>
    <n v="3.6099999999999999E-3"/>
  </r>
  <r>
    <s v="SYN0928"/>
    <n v="64"/>
    <x v="0"/>
    <n v="3"/>
    <n v="66"/>
    <n v="5.8999999999999999E-3"/>
    <n v="0"/>
    <x v="0"/>
    <x v="0"/>
    <n v="5.8999999999999999E-3"/>
  </r>
  <r>
    <s v="SYN0929"/>
    <n v="20"/>
    <x v="0"/>
    <n v="2"/>
    <n v="21"/>
    <n v="7.2000000000000005E-4"/>
    <n v="0"/>
    <x v="6"/>
    <x v="0"/>
    <n v="7.2000000000000005E-4"/>
  </r>
  <r>
    <s v="SYN0930"/>
    <n v="30"/>
    <x v="0"/>
    <n v="29"/>
    <n v="58"/>
    <n v="4.0499999999999998E-3"/>
    <n v="0"/>
    <x v="2"/>
    <x v="1"/>
    <n v="4.0499999999999998E-3"/>
  </r>
  <r>
    <s v="SYN0931"/>
    <n v="42"/>
    <x v="0"/>
    <n v="18"/>
    <n v="59"/>
    <n v="5.7400000000000003E-3"/>
    <n v="0"/>
    <x v="2"/>
    <x v="2"/>
    <n v="5.7400000000000003E-3"/>
  </r>
  <r>
    <s v="SYN0932"/>
    <n v="56"/>
    <x v="1"/>
    <n v="21"/>
    <n v="76"/>
    <n v="2.58E-2"/>
    <n v="0"/>
    <x v="5"/>
    <x v="1"/>
    <n v="2.58E-2"/>
  </r>
  <r>
    <s v="SYN0933"/>
    <n v="48"/>
    <x v="1"/>
    <n v="3"/>
    <n v="50"/>
    <n v="9.7999999999999997E-4"/>
    <n v="0"/>
    <x v="2"/>
    <x v="0"/>
    <n v="9.7999999999999997E-4"/>
  </r>
  <r>
    <s v="SYN0934"/>
    <n v="21"/>
    <x v="0"/>
    <n v="11"/>
    <n v="31"/>
    <n v="6.8000000000000005E-4"/>
    <n v="0"/>
    <x v="1"/>
    <x v="2"/>
    <n v="6.8000000000000005E-4"/>
  </r>
  <r>
    <s v="SYN0935"/>
    <n v="41"/>
    <x v="1"/>
    <n v="6"/>
    <n v="46"/>
    <n v="9.2000000000000003E-4"/>
    <n v="0"/>
    <x v="3"/>
    <x v="0"/>
    <n v="9.2000000000000003E-4"/>
  </r>
  <r>
    <s v="SYN0936"/>
    <n v="24"/>
    <x v="1"/>
    <n v="18"/>
    <n v="41"/>
    <n v="1.08E-3"/>
    <n v="0"/>
    <x v="3"/>
    <x v="2"/>
    <n v="1.08E-3"/>
  </r>
  <r>
    <s v="SYN0937"/>
    <n v="41"/>
    <x v="1"/>
    <n v="20"/>
    <n v="60"/>
    <n v="4.8799999999999998E-3"/>
    <n v="0"/>
    <x v="0"/>
    <x v="1"/>
    <n v="4.8799999999999998E-3"/>
  </r>
  <r>
    <s v="SYN0938"/>
    <n v="65"/>
    <x v="0"/>
    <n v="1"/>
    <n v="65"/>
    <n v="2.7799999999999999E-3"/>
    <n v="0"/>
    <x v="0"/>
    <x v="0"/>
    <n v="2.7799999999999999E-3"/>
  </r>
  <r>
    <s v="SYN0939"/>
    <n v="58"/>
    <x v="0"/>
    <n v="29"/>
    <n v="86"/>
    <n v="7.1389999999999995E-2"/>
    <n v="1"/>
    <x v="4"/>
    <x v="1"/>
    <n v="7.1389999999999995E-2"/>
  </r>
  <r>
    <s v="SYN0940"/>
    <n v="41"/>
    <x v="1"/>
    <n v="7"/>
    <n v="47"/>
    <n v="1.0499999999999999E-3"/>
    <n v="0"/>
    <x v="3"/>
    <x v="0"/>
    <n v="1.0499999999999999E-3"/>
  </r>
  <r>
    <s v="SYN0941"/>
    <n v="55"/>
    <x v="1"/>
    <n v="24"/>
    <n v="78"/>
    <n v="3.1989999999999998E-2"/>
    <n v="0"/>
    <x v="5"/>
    <x v="1"/>
    <n v="3.1989999999999998E-2"/>
  </r>
  <r>
    <s v="SYN0942"/>
    <n v="62"/>
    <x v="0"/>
    <n v="10"/>
    <n v="71"/>
    <n v="1.5980000000000001E-2"/>
    <n v="0"/>
    <x v="5"/>
    <x v="2"/>
    <n v="1.5980000000000001E-2"/>
  </r>
  <r>
    <s v="SYN0943"/>
    <n v="45"/>
    <x v="1"/>
    <n v="19"/>
    <n v="63"/>
    <n v="6.5500000000000003E-3"/>
    <n v="0"/>
    <x v="0"/>
    <x v="2"/>
    <n v="6.5500000000000003E-3"/>
  </r>
  <r>
    <s v="SYN0944"/>
    <n v="23"/>
    <x v="0"/>
    <n v="12"/>
    <n v="34"/>
    <n v="7.5000000000000002E-4"/>
    <n v="0"/>
    <x v="1"/>
    <x v="2"/>
    <n v="7.5000000000000002E-4"/>
  </r>
  <r>
    <s v="SYN0945"/>
    <n v="62"/>
    <x v="1"/>
    <n v="21"/>
    <n v="82"/>
    <n v="5.0599999999999999E-2"/>
    <n v="0"/>
    <x v="4"/>
    <x v="1"/>
    <n v="5.0599999999999999E-2"/>
  </r>
  <r>
    <s v="SYN0946"/>
    <n v="21"/>
    <x v="0"/>
    <n v="7"/>
    <n v="27"/>
    <n v="6.8000000000000005E-4"/>
    <n v="0"/>
    <x v="6"/>
    <x v="0"/>
    <n v="6.8000000000000005E-4"/>
  </r>
  <r>
    <s v="SYN0947"/>
    <n v="25"/>
    <x v="1"/>
    <n v="16"/>
    <n v="40"/>
    <n v="9.6000000000000002E-4"/>
    <n v="0"/>
    <x v="3"/>
    <x v="2"/>
    <n v="9.6000000000000002E-4"/>
  </r>
  <r>
    <s v="SYN0948"/>
    <n v="45"/>
    <x v="0"/>
    <n v="16"/>
    <n v="60"/>
    <n v="6.2500000000000003E-3"/>
    <n v="0"/>
    <x v="0"/>
    <x v="2"/>
    <n v="6.2500000000000003E-3"/>
  </r>
  <r>
    <s v="SYN0949"/>
    <n v="25"/>
    <x v="1"/>
    <n v="21"/>
    <n v="45"/>
    <n v="1.3799999999999999E-3"/>
    <n v="0"/>
    <x v="3"/>
    <x v="1"/>
    <n v="1.3799999999999999E-3"/>
  </r>
  <r>
    <s v="SYN0950"/>
    <n v="44"/>
    <x v="0"/>
    <n v="12"/>
    <n v="55"/>
    <n v="3.4499999999999999E-3"/>
    <n v="0"/>
    <x v="2"/>
    <x v="2"/>
    <n v="3.4499999999999999E-3"/>
  </r>
  <r>
    <s v="SYN0951"/>
    <n v="48"/>
    <x v="0"/>
    <n v="15"/>
    <n v="62"/>
    <n v="7.5100000000000002E-3"/>
    <n v="0"/>
    <x v="0"/>
    <x v="2"/>
    <n v="7.5100000000000002E-3"/>
  </r>
  <r>
    <s v="SYN0952"/>
    <n v="56"/>
    <x v="0"/>
    <n v="2"/>
    <n v="57"/>
    <n v="2.15E-3"/>
    <n v="0"/>
    <x v="2"/>
    <x v="0"/>
    <n v="2.15E-3"/>
  </r>
  <r>
    <s v="SYN0953"/>
    <n v="26"/>
    <x v="1"/>
    <n v="3"/>
    <n v="28"/>
    <n v="1.9000000000000001E-4"/>
    <n v="0"/>
    <x v="6"/>
    <x v="0"/>
    <n v="1.9000000000000001E-4"/>
  </r>
  <r>
    <s v="SYN0954"/>
    <n v="46"/>
    <x v="1"/>
    <n v="25"/>
    <n v="70"/>
    <n v="1.404E-2"/>
    <n v="0"/>
    <x v="5"/>
    <x v="1"/>
    <n v="1.404E-2"/>
  </r>
  <r>
    <s v="SYN0955"/>
    <n v="44"/>
    <x v="1"/>
    <n v="27"/>
    <n v="70"/>
    <n v="1.2659999999999999E-2"/>
    <n v="0"/>
    <x v="5"/>
    <x v="1"/>
    <n v="1.2659999999999999E-2"/>
  </r>
  <r>
    <s v="SYN0956"/>
    <n v="63"/>
    <x v="1"/>
    <n v="28"/>
    <n v="90"/>
    <n v="0.10484"/>
    <n v="0"/>
    <x v="7"/>
    <x v="1"/>
    <n v="0.10484"/>
  </r>
  <r>
    <s v="SYN0957"/>
    <n v="35"/>
    <x v="0"/>
    <n v="16"/>
    <n v="50"/>
    <n v="2.3900000000000002E-3"/>
    <n v="0"/>
    <x v="2"/>
    <x v="2"/>
    <n v="2.3900000000000002E-3"/>
  </r>
  <r>
    <s v="SYN0958"/>
    <n v="65"/>
    <x v="1"/>
    <n v="2"/>
    <n v="66"/>
    <n v="2.8999999999999998E-3"/>
    <n v="0"/>
    <x v="0"/>
    <x v="0"/>
    <n v="2.8999999999999998E-3"/>
  </r>
  <r>
    <s v="SYN0959"/>
    <n v="56"/>
    <x v="1"/>
    <n v="22"/>
    <n v="77"/>
    <n v="2.8719999999999999E-2"/>
    <n v="0"/>
    <x v="5"/>
    <x v="1"/>
    <n v="2.8719999999999999E-2"/>
  </r>
  <r>
    <s v="SYN0960"/>
    <n v="48"/>
    <x v="1"/>
    <n v="6"/>
    <n v="53"/>
    <n v="1.6900000000000001E-3"/>
    <n v="0"/>
    <x v="2"/>
    <x v="0"/>
    <n v="1.6900000000000001E-3"/>
  </r>
  <r>
    <s v="SYN0961"/>
    <n v="33"/>
    <x v="0"/>
    <n v="26"/>
    <n v="58"/>
    <n v="5.2199999999999998E-3"/>
    <n v="0"/>
    <x v="2"/>
    <x v="1"/>
    <n v="5.2199999999999998E-3"/>
  </r>
  <r>
    <s v="SYN0962"/>
    <n v="25"/>
    <x v="0"/>
    <n v="22"/>
    <n v="46"/>
    <n v="2.0799999999999998E-3"/>
    <n v="0"/>
    <x v="3"/>
    <x v="1"/>
    <n v="2.0799999999999998E-3"/>
  </r>
  <r>
    <s v="SYN0963"/>
    <n v="60"/>
    <x v="1"/>
    <n v="5"/>
    <n v="64"/>
    <n v="4.9800000000000001E-3"/>
    <n v="0"/>
    <x v="0"/>
    <x v="0"/>
    <n v="4.9800000000000001E-3"/>
  </r>
  <r>
    <s v="SYN0964"/>
    <n v="24"/>
    <x v="0"/>
    <n v="3"/>
    <n v="26"/>
    <n v="4.4999999999999999E-4"/>
    <n v="0"/>
    <x v="6"/>
    <x v="0"/>
    <n v="4.4999999999999999E-4"/>
  </r>
  <r>
    <s v="SYN0965"/>
    <n v="40"/>
    <x v="0"/>
    <n v="28"/>
    <n v="67"/>
    <n v="1.064E-2"/>
    <n v="0"/>
    <x v="0"/>
    <x v="1"/>
    <n v="1.064E-2"/>
  </r>
  <r>
    <s v="SYN0966"/>
    <n v="20"/>
    <x v="1"/>
    <n v="26"/>
    <n v="45"/>
    <n v="1.3799999999999999E-3"/>
    <n v="0"/>
    <x v="3"/>
    <x v="1"/>
    <n v="1.3799999999999999E-3"/>
  </r>
  <r>
    <s v="SYN0967"/>
    <n v="46"/>
    <x v="0"/>
    <n v="4"/>
    <n v="49"/>
    <n v="1.4400000000000001E-3"/>
    <n v="0"/>
    <x v="3"/>
    <x v="0"/>
    <n v="1.4400000000000001E-3"/>
  </r>
  <r>
    <s v="SYN0968"/>
    <n v="57"/>
    <x v="1"/>
    <n v="19"/>
    <n v="75"/>
    <n v="2.2349999999999998E-2"/>
    <n v="0"/>
    <x v="5"/>
    <x v="2"/>
    <n v="2.2349999999999998E-2"/>
  </r>
  <r>
    <s v="SYN0969"/>
    <n v="26"/>
    <x v="1"/>
    <n v="19"/>
    <n v="44"/>
    <n v="1.2700000000000001E-3"/>
    <n v="0"/>
    <x v="3"/>
    <x v="2"/>
    <n v="1.2700000000000001E-3"/>
  </r>
  <r>
    <s v="SYN0970"/>
    <n v="54"/>
    <x v="0"/>
    <n v="29"/>
    <n v="82"/>
    <n v="4.5769999999999998E-2"/>
    <n v="0"/>
    <x v="4"/>
    <x v="1"/>
    <n v="4.5769999999999998E-2"/>
  </r>
  <r>
    <s v="SYN0971"/>
    <n v="44"/>
    <x v="0"/>
    <n v="21"/>
    <n v="64"/>
    <n v="9.2899999999999996E-3"/>
    <n v="0"/>
    <x v="0"/>
    <x v="1"/>
    <n v="9.2899999999999996E-3"/>
  </r>
  <r>
    <s v="SYN0972"/>
    <n v="22"/>
    <x v="0"/>
    <n v="6"/>
    <n v="27"/>
    <n v="5.9000000000000003E-4"/>
    <n v="0"/>
    <x v="6"/>
    <x v="0"/>
    <n v="5.9000000000000003E-4"/>
  </r>
  <r>
    <s v="SYN0973"/>
    <n v="58"/>
    <x v="1"/>
    <n v="22"/>
    <n v="79"/>
    <n v="3.569E-2"/>
    <n v="0"/>
    <x v="5"/>
    <x v="1"/>
    <n v="3.569E-2"/>
  </r>
  <r>
    <s v="SYN0974"/>
    <n v="41"/>
    <x v="0"/>
    <n v="23"/>
    <n v="63"/>
    <n v="8.5299999999999994E-3"/>
    <n v="0"/>
    <x v="0"/>
    <x v="1"/>
    <n v="8.5299999999999994E-3"/>
  </r>
  <r>
    <s v="SYN0975"/>
    <n v="37"/>
    <x v="0"/>
    <n v="29"/>
    <n v="65"/>
    <n v="7.79E-3"/>
    <n v="0"/>
    <x v="0"/>
    <x v="1"/>
    <n v="7.79E-3"/>
  </r>
  <r>
    <s v="SYN0976"/>
    <n v="39"/>
    <x v="0"/>
    <n v="10"/>
    <n v="48"/>
    <n v="1.7099999999999999E-3"/>
    <n v="0"/>
    <x v="3"/>
    <x v="2"/>
    <n v="1.7099999999999999E-3"/>
  </r>
  <r>
    <s v="SYN0977"/>
    <n v="64"/>
    <x v="0"/>
    <n v="22"/>
    <n v="85"/>
    <n v="9.1270000000000004E-2"/>
    <n v="0"/>
    <x v="4"/>
    <x v="1"/>
    <n v="9.1270000000000004E-2"/>
  </r>
  <r>
    <s v="SYN0978"/>
    <n v="28"/>
    <x v="1"/>
    <n v="10"/>
    <n v="37"/>
    <n v="5.9000000000000003E-4"/>
    <n v="0"/>
    <x v="1"/>
    <x v="2"/>
    <n v="5.9000000000000003E-4"/>
  </r>
  <r>
    <s v="SYN0979"/>
    <n v="40"/>
    <x v="1"/>
    <n v="9"/>
    <n v="48"/>
    <n v="1.23E-3"/>
    <n v="0"/>
    <x v="3"/>
    <x v="0"/>
    <n v="1.23E-3"/>
  </r>
  <r>
    <s v="SYN0980"/>
    <n v="25"/>
    <x v="0"/>
    <n v="7"/>
    <n v="31"/>
    <n v="4.8000000000000001E-4"/>
    <n v="0"/>
    <x v="1"/>
    <x v="0"/>
    <n v="4.8000000000000001E-4"/>
  </r>
  <r>
    <s v="SYN0981"/>
    <n v="46"/>
    <x v="0"/>
    <n v="24"/>
    <n v="69"/>
    <n v="1.5509999999999999E-2"/>
    <n v="0"/>
    <x v="0"/>
    <x v="1"/>
    <n v="1.5509999999999999E-2"/>
  </r>
  <r>
    <s v="SYN0982"/>
    <n v="43"/>
    <x v="0"/>
    <n v="27"/>
    <n v="69"/>
    <n v="1.413E-2"/>
    <n v="0"/>
    <x v="0"/>
    <x v="1"/>
    <n v="1.413E-2"/>
  </r>
  <r>
    <s v="SYN0983"/>
    <n v="24"/>
    <x v="1"/>
    <n v="10"/>
    <n v="33"/>
    <n v="4.2000000000000002E-4"/>
    <n v="0"/>
    <x v="1"/>
    <x v="2"/>
    <n v="4.2000000000000002E-4"/>
  </r>
  <r>
    <s v="SYN0984"/>
    <n v="53"/>
    <x v="1"/>
    <n v="29"/>
    <n v="81"/>
    <n v="3.1989999999999998E-2"/>
    <n v="0"/>
    <x v="4"/>
    <x v="1"/>
    <n v="3.1989999999999998E-2"/>
  </r>
  <r>
    <s v="SYN0985"/>
    <n v="32"/>
    <x v="0"/>
    <n v="27"/>
    <n v="58"/>
    <n v="4.7800000000000004E-3"/>
    <n v="0"/>
    <x v="2"/>
    <x v="1"/>
    <n v="4.7800000000000004E-3"/>
  </r>
  <r>
    <s v="SYN0986"/>
    <n v="23"/>
    <x v="0"/>
    <n v="30"/>
    <n v="52"/>
    <n v="2.7399999999999998E-3"/>
    <n v="0"/>
    <x v="2"/>
    <x v="3"/>
    <n v="2.7399999999999998E-3"/>
  </r>
  <r>
    <s v="SYN0987"/>
    <n v="43"/>
    <x v="0"/>
    <n v="27"/>
    <n v="69"/>
    <n v="1.413E-2"/>
    <n v="0"/>
    <x v="0"/>
    <x v="1"/>
    <n v="1.413E-2"/>
  </r>
  <r>
    <s v="SYN0988"/>
    <n v="27"/>
    <x v="0"/>
    <n v="22"/>
    <n v="48"/>
    <n v="2.2699999999999999E-3"/>
    <n v="0"/>
    <x v="3"/>
    <x v="1"/>
    <n v="2.2699999999999999E-3"/>
  </r>
  <r>
    <s v="SYN0989"/>
    <n v="58"/>
    <x v="0"/>
    <n v="15"/>
    <n v="72"/>
    <n v="2.0910000000000002E-2"/>
    <n v="0"/>
    <x v="5"/>
    <x v="2"/>
    <n v="2.0910000000000002E-2"/>
  </r>
  <r>
    <s v="SYN0990"/>
    <n v="57"/>
    <x v="0"/>
    <n v="18"/>
    <n v="74"/>
    <n v="2.6550000000000001E-2"/>
    <n v="0"/>
    <x v="5"/>
    <x v="2"/>
    <n v="2.6550000000000001E-2"/>
  </r>
  <r>
    <s v="SYN0991"/>
    <n v="36"/>
    <x v="1"/>
    <n v="24"/>
    <n v="59"/>
    <n v="4.4600000000000004E-3"/>
    <n v="0"/>
    <x v="2"/>
    <x v="1"/>
    <n v="4.4600000000000004E-3"/>
  </r>
  <r>
    <s v="SYN0992"/>
    <n v="21"/>
    <x v="0"/>
    <n v="13"/>
    <n v="33"/>
    <n v="7.7999999999999999E-4"/>
    <n v="0"/>
    <x v="1"/>
    <x v="2"/>
    <n v="7.7999999999999999E-4"/>
  </r>
  <r>
    <s v="SYN0993"/>
    <n v="33"/>
    <x v="0"/>
    <n v="28"/>
    <n v="60"/>
    <n v="5.2199999999999998E-3"/>
    <n v="0"/>
    <x v="0"/>
    <x v="1"/>
    <n v="5.2199999999999998E-3"/>
  </r>
  <r>
    <s v="SYN0994"/>
    <n v="33"/>
    <x v="1"/>
    <n v="9"/>
    <n v="41"/>
    <n v="7.2999999999999996E-4"/>
    <n v="0"/>
    <x v="3"/>
    <x v="0"/>
    <n v="7.2999999999999996E-4"/>
  </r>
  <r>
    <s v="SYN0995"/>
    <n v="63"/>
    <x v="0"/>
    <n v="1"/>
    <n v="63"/>
    <n v="2.5400000000000002E-3"/>
    <n v="0"/>
    <x v="0"/>
    <x v="0"/>
    <n v="2.5400000000000002E-3"/>
  </r>
  <r>
    <s v="SYN0996"/>
    <n v="31"/>
    <x v="1"/>
    <n v="20"/>
    <n v="50"/>
    <n v="1.9599999999999999E-3"/>
    <n v="0"/>
    <x v="2"/>
    <x v="1"/>
    <n v="1.9599999999999999E-3"/>
  </r>
  <r>
    <s v="SYN0997"/>
    <n v="58"/>
    <x v="1"/>
    <n v="26"/>
    <n v="83"/>
    <n v="5.704E-2"/>
    <n v="0"/>
    <x v="4"/>
    <x v="1"/>
    <n v="5.704E-2"/>
  </r>
  <r>
    <s v="SYN0998"/>
    <n v="65"/>
    <x v="0"/>
    <n v="21"/>
    <n v="85"/>
    <n v="9.1139999999999999E-2"/>
    <n v="0"/>
    <x v="4"/>
    <x v="1"/>
    <n v="9.1139999999999999E-2"/>
  </r>
  <r>
    <s v="SYN0999"/>
    <n v="42"/>
    <x v="0"/>
    <n v="15"/>
    <n v="56"/>
    <n v="3.9899999999999996E-3"/>
    <n v="0"/>
    <x v="2"/>
    <x v="2"/>
    <n v="3.9899999999999996E-3"/>
  </r>
  <r>
    <s v="SYN1000"/>
    <n v="63"/>
    <x v="1"/>
    <n v="17"/>
    <n v="79"/>
    <n v="3.2660000000000002E-2"/>
    <n v="0"/>
    <x v="5"/>
    <x v="2"/>
    <n v="3.2660000000000002E-2"/>
  </r>
  <r>
    <s v="SYN1001"/>
    <n v="26"/>
    <x v="1"/>
    <n v="1"/>
    <n v="26"/>
    <n v="1.3999999999999999E-4"/>
    <n v="0"/>
    <x v="6"/>
    <x v="0"/>
    <n v="1.3999999999999999E-4"/>
  </r>
  <r>
    <s v="SYN1002"/>
    <n v="43"/>
    <x v="1"/>
    <n v="18"/>
    <n v="60"/>
    <n v="4.7299999999999998E-3"/>
    <n v="0"/>
    <x v="0"/>
    <x v="2"/>
    <n v="4.7299999999999998E-3"/>
  </r>
  <r>
    <s v="SYN1003"/>
    <n v="39"/>
    <x v="0"/>
    <n v="22"/>
    <n v="60"/>
    <n v="6.3299999999999997E-3"/>
    <n v="0"/>
    <x v="0"/>
    <x v="1"/>
    <n v="6.3299999999999997E-3"/>
  </r>
  <r>
    <s v="SYN1004"/>
    <n v="37"/>
    <x v="0"/>
    <n v="21"/>
    <n v="57"/>
    <n v="4.7800000000000004E-3"/>
    <n v="0"/>
    <x v="2"/>
    <x v="1"/>
    <n v="4.7800000000000004E-3"/>
  </r>
  <r>
    <s v="SYN1005"/>
    <n v="61"/>
    <x v="1"/>
    <n v="23"/>
    <n v="83"/>
    <n v="5.704E-2"/>
    <n v="0"/>
    <x v="4"/>
    <x v="1"/>
    <n v="5.704E-2"/>
  </r>
  <r>
    <s v="SYN1006"/>
    <n v="32"/>
    <x v="1"/>
    <n v="5"/>
    <n v="36"/>
    <n v="3.6999999999999999E-4"/>
    <n v="0"/>
    <x v="1"/>
    <x v="0"/>
    <n v="3.6999999999999999E-4"/>
  </r>
  <r>
    <s v="SYN1007"/>
    <n v="23"/>
    <x v="1"/>
    <n v="26"/>
    <n v="48"/>
    <n v="1.73E-3"/>
    <n v="0"/>
    <x v="3"/>
    <x v="1"/>
    <n v="1.73E-3"/>
  </r>
  <r>
    <s v="SYN1008"/>
    <n v="45"/>
    <x v="0"/>
    <n v="22"/>
    <n v="66"/>
    <n v="1.1440000000000001E-2"/>
    <n v="0"/>
    <x v="0"/>
    <x v="1"/>
    <n v="1.1440000000000001E-2"/>
  </r>
  <r>
    <s v="SYN1009"/>
    <n v="21"/>
    <x v="0"/>
    <n v="21"/>
    <n v="41"/>
    <n v="1.8400000000000001E-3"/>
    <n v="0"/>
    <x v="3"/>
    <x v="1"/>
    <n v="1.8400000000000001E-3"/>
  </r>
  <r>
    <s v="SYN1010"/>
    <n v="46"/>
    <x v="0"/>
    <n v="13"/>
    <n v="58"/>
    <n v="4.8399999999999997E-3"/>
    <n v="0"/>
    <x v="2"/>
    <x v="2"/>
    <n v="4.8399999999999997E-3"/>
  </r>
  <r>
    <s v="SYN1011"/>
    <n v="65"/>
    <x v="1"/>
    <n v="19"/>
    <n v="83"/>
    <n v="5.5640000000000002E-2"/>
    <n v="0"/>
    <x v="4"/>
    <x v="2"/>
    <n v="5.5640000000000002E-2"/>
  </r>
  <r>
    <s v="SYN1012"/>
    <n v="65"/>
    <x v="1"/>
    <n v="8"/>
    <n v="72"/>
    <n v="1.026E-2"/>
    <n v="0"/>
    <x v="5"/>
    <x v="0"/>
    <n v="1.026E-2"/>
  </r>
  <r>
    <s v="SYN1013"/>
    <n v="50"/>
    <x v="1"/>
    <n v="30"/>
    <n v="79"/>
    <n v="2.325E-2"/>
    <n v="0"/>
    <x v="5"/>
    <x v="3"/>
    <n v="2.325E-2"/>
  </r>
  <r>
    <s v="SYN1014"/>
    <n v="39"/>
    <x v="0"/>
    <n v="28"/>
    <n v="66"/>
    <n v="9.6200000000000001E-3"/>
    <n v="0"/>
    <x v="0"/>
    <x v="1"/>
    <n v="9.6200000000000001E-3"/>
  </r>
  <r>
    <s v="SYN1015"/>
    <n v="55"/>
    <x v="0"/>
    <n v="6"/>
    <n v="60"/>
    <n v="5.0899999999999999E-3"/>
    <n v="0"/>
    <x v="0"/>
    <x v="0"/>
    <n v="5.0899999999999999E-3"/>
  </r>
  <r>
    <s v="SYN1016"/>
    <n v="36"/>
    <x v="1"/>
    <n v="24"/>
    <n v="59"/>
    <n v="4.4600000000000004E-3"/>
    <n v="0"/>
    <x v="2"/>
    <x v="1"/>
    <n v="4.4600000000000004E-3"/>
  </r>
  <r>
    <s v="SYN1017"/>
    <n v="31"/>
    <x v="1"/>
    <n v="22"/>
    <n v="52"/>
    <n v="2.3800000000000002E-3"/>
    <n v="0"/>
    <x v="2"/>
    <x v="1"/>
    <n v="2.3800000000000002E-3"/>
  </r>
  <r>
    <s v="SYN1018"/>
    <n v="34"/>
    <x v="0"/>
    <n v="12"/>
    <n v="45"/>
    <n v="1.3799999999999999E-3"/>
    <n v="0"/>
    <x v="3"/>
    <x v="2"/>
    <n v="1.3799999999999999E-3"/>
  </r>
  <r>
    <s v="SYN1019"/>
    <n v="46"/>
    <x v="1"/>
    <n v="26"/>
    <n v="71"/>
    <n v="1.553E-2"/>
    <n v="0"/>
    <x v="5"/>
    <x v="1"/>
    <n v="1.553E-2"/>
  </r>
  <r>
    <s v="SYN1020"/>
    <n v="57"/>
    <x v="0"/>
    <n v="10"/>
    <n v="66"/>
    <n v="1.074E-2"/>
    <n v="0"/>
    <x v="0"/>
    <x v="2"/>
    <n v="1.074E-2"/>
  </r>
  <r>
    <s v="SYN1021"/>
    <n v="23"/>
    <x v="1"/>
    <n v="28"/>
    <n v="50"/>
    <n v="1.73E-3"/>
    <n v="0"/>
    <x v="2"/>
    <x v="1"/>
    <n v="1.73E-3"/>
  </r>
  <r>
    <s v="SYN1022"/>
    <n v="59"/>
    <x v="0"/>
    <n v="3"/>
    <n v="61"/>
    <n v="4.3800000000000002E-3"/>
    <n v="0"/>
    <x v="0"/>
    <x v="0"/>
    <n v="4.3800000000000002E-3"/>
  </r>
  <r>
    <s v="SYN1023"/>
    <n v="27"/>
    <x v="1"/>
    <n v="28"/>
    <n v="54"/>
    <n v="2.3800000000000002E-3"/>
    <n v="0"/>
    <x v="2"/>
    <x v="1"/>
    <n v="2.3800000000000002E-3"/>
  </r>
  <r>
    <s v="SYN1024"/>
    <n v="46"/>
    <x v="1"/>
    <n v="2"/>
    <n v="47"/>
    <n v="4.6000000000000001E-4"/>
    <n v="0"/>
    <x v="3"/>
    <x v="0"/>
    <n v="4.6000000000000001E-4"/>
  </r>
  <r>
    <s v="SYN1025"/>
    <n v="32"/>
    <x v="0"/>
    <n v="11"/>
    <n v="42"/>
    <n v="1.16E-3"/>
    <n v="0"/>
    <x v="3"/>
    <x v="2"/>
    <n v="1.16E-3"/>
  </r>
  <r>
    <s v="SYN1026"/>
    <n v="49"/>
    <x v="0"/>
    <n v="5"/>
    <n v="53"/>
    <n v="2.31E-3"/>
    <n v="0"/>
    <x v="2"/>
    <x v="0"/>
    <n v="2.31E-3"/>
  </r>
  <r>
    <s v="SYN1027"/>
    <n v="25"/>
    <x v="0"/>
    <n v="16"/>
    <n v="40"/>
    <n v="1.2800000000000001E-3"/>
    <n v="0"/>
    <x v="3"/>
    <x v="2"/>
    <n v="1.2800000000000001E-3"/>
  </r>
  <r>
    <s v="SYN1028"/>
    <n v="40"/>
    <x v="0"/>
    <n v="21"/>
    <n v="60"/>
    <n v="6.3299999999999997E-3"/>
    <n v="0"/>
    <x v="0"/>
    <x v="1"/>
    <n v="6.3299999999999997E-3"/>
  </r>
  <r>
    <s v="SYN1029"/>
    <n v="33"/>
    <x v="1"/>
    <n v="25"/>
    <n v="57"/>
    <n v="3.6900000000000001E-3"/>
    <n v="0"/>
    <x v="2"/>
    <x v="1"/>
    <n v="3.6900000000000001E-3"/>
  </r>
  <r>
    <s v="SYN1030"/>
    <n v="30"/>
    <x v="1"/>
    <n v="16"/>
    <n v="45"/>
    <n v="1.1999999999999999E-3"/>
    <n v="0"/>
    <x v="3"/>
    <x v="2"/>
    <n v="1.1999999999999999E-3"/>
  </r>
  <r>
    <s v="SYN1031"/>
    <n v="28"/>
    <x v="0"/>
    <n v="20"/>
    <n v="47"/>
    <n v="2.0300000000000001E-3"/>
    <n v="0"/>
    <x v="3"/>
    <x v="1"/>
    <n v="2.0300000000000001E-3"/>
  </r>
  <r>
    <s v="SYN1032"/>
    <n v="47"/>
    <x v="0"/>
    <n v="16"/>
    <n v="62"/>
    <n v="7.6600000000000001E-3"/>
    <n v="0"/>
    <x v="0"/>
    <x v="2"/>
    <n v="7.6600000000000001E-3"/>
  </r>
  <r>
    <s v="SYN1033"/>
    <n v="32"/>
    <x v="0"/>
    <n v="24"/>
    <n v="55"/>
    <n v="4.0400000000000002E-3"/>
    <n v="0"/>
    <x v="2"/>
    <x v="1"/>
    <n v="4.0400000000000002E-3"/>
  </r>
  <r>
    <s v="SYN1034"/>
    <n v="40"/>
    <x v="1"/>
    <n v="25"/>
    <n v="64"/>
    <n v="7.4700000000000001E-3"/>
    <n v="0"/>
    <x v="0"/>
    <x v="1"/>
    <n v="7.4700000000000001E-3"/>
  </r>
  <r>
    <s v="SYN1035"/>
    <n v="63"/>
    <x v="1"/>
    <n v="1"/>
    <n v="63"/>
    <n v="1.1000000000000001E-3"/>
    <n v="0"/>
    <x v="0"/>
    <x v="0"/>
    <n v="1.1000000000000001E-3"/>
  </r>
  <r>
    <s v="SYN1036"/>
    <n v="64"/>
    <x v="0"/>
    <n v="29"/>
    <n v="92"/>
    <n v="0.14893999999999999"/>
    <n v="1"/>
    <x v="7"/>
    <x v="1"/>
    <n v="0.14893999999999999"/>
  </r>
  <r>
    <s v="SYN1037"/>
    <n v="44"/>
    <x v="1"/>
    <n v="17"/>
    <n v="60"/>
    <n v="4.6600000000000001E-3"/>
    <n v="0"/>
    <x v="0"/>
    <x v="2"/>
    <n v="4.6600000000000001E-3"/>
  </r>
  <r>
    <s v="SYN1038"/>
    <n v="22"/>
    <x v="1"/>
    <n v="10"/>
    <n v="31"/>
    <n v="4.0000000000000002E-4"/>
    <n v="0"/>
    <x v="1"/>
    <x v="2"/>
    <n v="4.0000000000000002E-4"/>
  </r>
  <r>
    <s v="SYN1039"/>
    <n v="53"/>
    <x v="1"/>
    <n v="20"/>
    <n v="72"/>
    <n v="1.66E-2"/>
    <n v="0"/>
    <x v="5"/>
    <x v="1"/>
    <n v="1.66E-2"/>
  </r>
  <r>
    <s v="SYN1040"/>
    <n v="63"/>
    <x v="0"/>
    <n v="5"/>
    <n v="67"/>
    <n v="8.5199999999999998E-3"/>
    <n v="0"/>
    <x v="0"/>
    <x v="0"/>
    <n v="8.5199999999999998E-3"/>
  </r>
  <r>
    <s v="SYN1041"/>
    <n v="42"/>
    <x v="0"/>
    <n v="25"/>
    <n v="66"/>
    <n v="1.162E-2"/>
    <n v="0"/>
    <x v="0"/>
    <x v="1"/>
    <n v="1.162E-2"/>
  </r>
  <r>
    <s v="SYN1042"/>
    <n v="45"/>
    <x v="0"/>
    <n v="1"/>
    <n v="45"/>
    <n v="5.5000000000000003E-4"/>
    <n v="0"/>
    <x v="3"/>
    <x v="0"/>
    <n v="5.5000000000000003E-4"/>
  </r>
  <r>
    <s v="SYN1043"/>
    <n v="28"/>
    <x v="1"/>
    <n v="7"/>
    <n v="34"/>
    <n v="3.6000000000000002E-4"/>
    <n v="0"/>
    <x v="1"/>
    <x v="0"/>
    <n v="3.6000000000000002E-4"/>
  </r>
  <r>
    <s v="SYN1044"/>
    <n v="30"/>
    <x v="0"/>
    <n v="4"/>
    <n v="33"/>
    <n v="4.2999999999999999E-4"/>
    <n v="0"/>
    <x v="1"/>
    <x v="0"/>
    <n v="4.2999999999999999E-4"/>
  </r>
  <r>
    <s v="SYN1045"/>
    <n v="22"/>
    <x v="1"/>
    <n v="13"/>
    <n v="34"/>
    <n v="5.1999999999999995E-4"/>
    <n v="0"/>
    <x v="1"/>
    <x v="2"/>
    <n v="5.1999999999999995E-4"/>
  </r>
  <r>
    <s v="SYN1046"/>
    <n v="54"/>
    <x v="0"/>
    <n v="20"/>
    <n v="73"/>
    <n v="2.3859999999999999E-2"/>
    <n v="0"/>
    <x v="5"/>
    <x v="1"/>
    <n v="2.3859999999999999E-2"/>
  </r>
  <r>
    <s v="SYN1047"/>
    <n v="62"/>
    <x v="1"/>
    <n v="4"/>
    <n v="65"/>
    <n v="4.5900000000000003E-3"/>
    <n v="0"/>
    <x v="0"/>
    <x v="0"/>
    <n v="4.5900000000000003E-3"/>
  </r>
  <r>
    <s v="SYN1048"/>
    <n v="64"/>
    <x v="0"/>
    <n v="4"/>
    <n v="67"/>
    <n v="7.5599999999999999E-3"/>
    <n v="0"/>
    <x v="0"/>
    <x v="0"/>
    <n v="7.5599999999999999E-3"/>
  </r>
  <r>
    <s v="SYN1049"/>
    <n v="55"/>
    <x v="0"/>
    <n v="9"/>
    <n v="63"/>
    <n v="7.9900000000000006E-3"/>
    <n v="0"/>
    <x v="0"/>
    <x v="0"/>
    <n v="7.9900000000000006E-3"/>
  </r>
  <r>
    <s v="SYN1050"/>
    <n v="64"/>
    <x v="1"/>
    <n v="22"/>
    <n v="85"/>
    <n v="7.2980000000000003E-2"/>
    <n v="0"/>
    <x v="4"/>
    <x v="1"/>
    <n v="7.2980000000000003E-2"/>
  </r>
  <r>
    <s v="SYN1051"/>
    <n v="62"/>
    <x v="1"/>
    <n v="4"/>
    <n v="65"/>
    <n v="4.5900000000000003E-3"/>
    <n v="0"/>
    <x v="0"/>
    <x v="0"/>
    <n v="4.5900000000000003E-3"/>
  </r>
  <r>
    <s v="SYN1052"/>
    <n v="58"/>
    <x v="0"/>
    <n v="23"/>
    <n v="80"/>
    <n v="5.0909999999999997E-2"/>
    <n v="0"/>
    <x v="4"/>
    <x v="1"/>
    <n v="5.0909999999999997E-2"/>
  </r>
  <r>
    <s v="SYN1053"/>
    <n v="26"/>
    <x v="1"/>
    <n v="17"/>
    <n v="42"/>
    <n v="1.08E-3"/>
    <n v="0"/>
    <x v="3"/>
    <x v="2"/>
    <n v="1.08E-3"/>
  </r>
  <r>
    <s v="SYN1054"/>
    <n v="27"/>
    <x v="0"/>
    <n v="26"/>
    <n v="52"/>
    <n v="3.2799999999999999E-3"/>
    <n v="0"/>
    <x v="2"/>
    <x v="1"/>
    <n v="3.2799999999999999E-3"/>
  </r>
  <r>
    <s v="SYN1055"/>
    <n v="32"/>
    <x v="0"/>
    <n v="25"/>
    <n v="56"/>
    <n v="4.3899999999999998E-3"/>
    <n v="0"/>
    <x v="2"/>
    <x v="1"/>
    <n v="4.3899999999999998E-3"/>
  </r>
  <r>
    <s v="SYN1056"/>
    <n v="32"/>
    <x v="1"/>
    <n v="12"/>
    <n v="43"/>
    <n v="9.5E-4"/>
    <n v="0"/>
    <x v="3"/>
    <x v="2"/>
    <n v="9.5E-4"/>
  </r>
  <r>
    <s v="SYN1057"/>
    <n v="22"/>
    <x v="0"/>
    <n v="18"/>
    <n v="39"/>
    <n v="1.3799999999999999E-3"/>
    <n v="0"/>
    <x v="1"/>
    <x v="2"/>
    <n v="1.3799999999999999E-3"/>
  </r>
  <r>
    <s v="SYN1058"/>
    <n v="50"/>
    <x v="0"/>
    <n v="11"/>
    <n v="60"/>
    <n v="5.9199999999999999E-3"/>
    <n v="0"/>
    <x v="0"/>
    <x v="2"/>
    <n v="5.9199999999999999E-3"/>
  </r>
  <r>
    <s v="SYN1059"/>
    <n v="25"/>
    <x v="0"/>
    <n v="30"/>
    <n v="54"/>
    <n v="2.9299999999999999E-3"/>
    <n v="0"/>
    <x v="2"/>
    <x v="3"/>
    <n v="2.9299999999999999E-3"/>
  </r>
  <r>
    <s v="SYN1060"/>
    <n v="51"/>
    <x v="1"/>
    <n v="5"/>
    <n v="55"/>
    <n v="1.99E-3"/>
    <n v="0"/>
    <x v="2"/>
    <x v="0"/>
    <n v="1.99E-3"/>
  </r>
  <r>
    <s v="SYN1061"/>
    <n v="24"/>
    <x v="1"/>
    <n v="24"/>
    <n v="47"/>
    <n v="1.6000000000000001E-3"/>
    <n v="0"/>
    <x v="3"/>
    <x v="1"/>
    <n v="1.6000000000000001E-3"/>
  </r>
  <r>
    <s v="SYN1062"/>
    <n v="61"/>
    <x v="0"/>
    <n v="8"/>
    <n v="68"/>
    <n v="1.136E-2"/>
    <n v="0"/>
    <x v="0"/>
    <x v="0"/>
    <n v="1.136E-2"/>
  </r>
  <r>
    <s v="SYN1063"/>
    <n v="36"/>
    <x v="0"/>
    <n v="15"/>
    <n v="50"/>
    <n v="2.3E-3"/>
    <n v="0"/>
    <x v="2"/>
    <x v="2"/>
    <n v="2.3E-3"/>
  </r>
  <r>
    <s v="SYN1064"/>
    <n v="22"/>
    <x v="0"/>
    <n v="28"/>
    <n v="49"/>
    <n v="2.6700000000000001E-3"/>
    <n v="0"/>
    <x v="3"/>
    <x v="1"/>
    <n v="2.6700000000000001E-3"/>
  </r>
  <r>
    <s v="SYN1065"/>
    <n v="40"/>
    <x v="1"/>
    <n v="14"/>
    <n v="53"/>
    <n v="2.2799999999999999E-3"/>
    <n v="0"/>
    <x v="2"/>
    <x v="2"/>
    <n v="2.2799999999999999E-3"/>
  </r>
  <r>
    <s v="SYN1066"/>
    <n v="22"/>
    <x v="1"/>
    <n v="1"/>
    <n v="22"/>
    <n v="2.0000000000000001E-4"/>
    <n v="0"/>
    <x v="6"/>
    <x v="0"/>
    <n v="2.0000000000000001E-4"/>
  </r>
  <r>
    <s v="SYN1067"/>
    <n v="30"/>
    <x v="0"/>
    <n v="11"/>
    <n v="40"/>
    <n v="1.01E-3"/>
    <n v="0"/>
    <x v="3"/>
    <x v="2"/>
    <n v="1.01E-3"/>
  </r>
  <r>
    <s v="SYN1068"/>
    <n v="59"/>
    <x v="1"/>
    <n v="9"/>
    <n v="67"/>
    <n v="7.0400000000000003E-3"/>
    <n v="0"/>
    <x v="0"/>
    <x v="0"/>
    <n v="7.0400000000000003E-3"/>
  </r>
  <r>
    <s v="SYN1069"/>
    <n v="41"/>
    <x v="0"/>
    <n v="6"/>
    <n v="46"/>
    <n v="1.2199999999999999E-3"/>
    <n v="0"/>
    <x v="3"/>
    <x v="0"/>
    <n v="1.2199999999999999E-3"/>
  </r>
  <r>
    <s v="SYN1070"/>
    <n v="49"/>
    <x v="1"/>
    <n v="9"/>
    <n v="57"/>
    <n v="2.7499999999999998E-3"/>
    <n v="0"/>
    <x v="2"/>
    <x v="0"/>
    <n v="2.7499999999999998E-3"/>
  </r>
  <r>
    <s v="SYN1071"/>
    <n v="50"/>
    <x v="0"/>
    <n v="26"/>
    <n v="75"/>
    <n v="3.006E-2"/>
    <n v="0"/>
    <x v="5"/>
    <x v="1"/>
    <n v="3.006E-2"/>
  </r>
  <r>
    <s v="SYN1072"/>
    <n v="30"/>
    <x v="0"/>
    <n v="4"/>
    <n v="33"/>
    <n v="4.2999999999999999E-4"/>
    <n v="0"/>
    <x v="1"/>
    <x v="0"/>
    <n v="4.2999999999999999E-4"/>
  </r>
  <r>
    <s v="SYN1073"/>
    <n v="30"/>
    <x v="0"/>
    <n v="4"/>
    <n v="33"/>
    <n v="4.2999999999999999E-4"/>
    <n v="0"/>
    <x v="1"/>
    <x v="0"/>
    <n v="4.2999999999999999E-4"/>
  </r>
  <r>
    <s v="SYN1074"/>
    <n v="56"/>
    <x v="0"/>
    <n v="22"/>
    <n v="77"/>
    <n v="3.7039999999999997E-2"/>
    <n v="0"/>
    <x v="5"/>
    <x v="1"/>
    <n v="3.7039999999999997E-2"/>
  </r>
  <r>
    <s v="SYN1075"/>
    <n v="42"/>
    <x v="0"/>
    <n v="20"/>
    <n v="61"/>
    <n v="7.0200000000000002E-3"/>
    <n v="0"/>
    <x v="0"/>
    <x v="1"/>
    <n v="7.0200000000000002E-3"/>
  </r>
  <r>
    <s v="SYN1076"/>
    <n v="28"/>
    <x v="1"/>
    <n v="16"/>
    <n v="43"/>
    <n v="1.09E-3"/>
    <n v="0"/>
    <x v="3"/>
    <x v="2"/>
    <n v="1.09E-3"/>
  </r>
  <r>
    <s v="SYN1077"/>
    <n v="46"/>
    <x v="0"/>
    <n v="15"/>
    <n v="60"/>
    <n v="6.11E-3"/>
    <n v="0"/>
    <x v="0"/>
    <x v="2"/>
    <n v="6.11E-3"/>
  </r>
  <r>
    <s v="SYN1078"/>
    <n v="40"/>
    <x v="1"/>
    <n v="1"/>
    <n v="40"/>
    <n v="2.3000000000000001E-4"/>
    <n v="0"/>
    <x v="3"/>
    <x v="0"/>
    <n v="2.3000000000000001E-4"/>
  </r>
  <r>
    <s v="SYN1079"/>
    <n v="56"/>
    <x v="1"/>
    <n v="24"/>
    <n v="79"/>
    <n v="3.569E-2"/>
    <n v="0"/>
    <x v="5"/>
    <x v="1"/>
    <n v="3.569E-2"/>
  </r>
  <r>
    <s v="SYN1080"/>
    <n v="62"/>
    <x v="0"/>
    <n v="28"/>
    <n v="89"/>
    <n v="0.11724"/>
    <n v="0"/>
    <x v="4"/>
    <x v="1"/>
    <n v="0.11724"/>
  </r>
  <r>
    <s v="SYN1081"/>
    <n v="64"/>
    <x v="0"/>
    <n v="20"/>
    <n v="83"/>
    <n v="7.1389999999999995E-2"/>
    <n v="0"/>
    <x v="4"/>
    <x v="1"/>
    <n v="7.1389999999999995E-2"/>
  </r>
  <r>
    <s v="SYN1082"/>
    <n v="35"/>
    <x v="0"/>
    <n v="16"/>
    <n v="50"/>
    <n v="2.3900000000000002E-3"/>
    <n v="0"/>
    <x v="2"/>
    <x v="2"/>
    <n v="2.3900000000000002E-3"/>
  </r>
  <r>
    <s v="SYN1083"/>
    <n v="44"/>
    <x v="1"/>
    <n v="5"/>
    <n v="48"/>
    <n v="1.0300000000000001E-3"/>
    <n v="0"/>
    <x v="3"/>
    <x v="0"/>
    <n v="1.0300000000000001E-3"/>
  </r>
  <r>
    <s v="SYN1084"/>
    <n v="59"/>
    <x v="0"/>
    <n v="2"/>
    <n v="60"/>
    <n v="2.6199999999999999E-3"/>
    <n v="0"/>
    <x v="0"/>
    <x v="0"/>
    <n v="2.6199999999999999E-3"/>
  </r>
  <r>
    <s v="SYN1085"/>
    <n v="52"/>
    <x v="0"/>
    <n v="28"/>
    <n v="79"/>
    <n v="3.7220000000000003E-2"/>
    <n v="0"/>
    <x v="5"/>
    <x v="1"/>
    <n v="3.7220000000000003E-2"/>
  </r>
  <r>
    <s v="SYN1086"/>
    <n v="30"/>
    <x v="1"/>
    <n v="3"/>
    <n v="32"/>
    <n v="2.2000000000000001E-4"/>
    <n v="0"/>
    <x v="1"/>
    <x v="0"/>
    <n v="2.2000000000000001E-4"/>
  </r>
  <r>
    <s v="SYN1087"/>
    <n v="41"/>
    <x v="0"/>
    <n v="9"/>
    <n v="49"/>
    <n v="1.82E-3"/>
    <n v="0"/>
    <x v="3"/>
    <x v="0"/>
    <n v="1.82E-3"/>
  </r>
  <r>
    <s v="SYN1088"/>
    <n v="61"/>
    <x v="0"/>
    <n v="13"/>
    <n v="73"/>
    <n v="2.2499999999999999E-2"/>
    <n v="0"/>
    <x v="5"/>
    <x v="2"/>
    <n v="2.2499999999999999E-2"/>
  </r>
  <r>
    <s v="SYN1089"/>
    <n v="49"/>
    <x v="1"/>
    <n v="15"/>
    <n v="63"/>
    <n v="6.2500000000000003E-3"/>
    <n v="0"/>
    <x v="0"/>
    <x v="2"/>
    <n v="6.2500000000000003E-3"/>
  </r>
  <r>
    <s v="SYN1090"/>
    <n v="51"/>
    <x v="0"/>
    <n v="15"/>
    <n v="65"/>
    <n v="1.005E-2"/>
    <n v="0"/>
    <x v="0"/>
    <x v="2"/>
    <n v="1.005E-2"/>
  </r>
  <r>
    <s v="SYN1091"/>
    <n v="61"/>
    <x v="0"/>
    <n v="1"/>
    <n v="61"/>
    <n v="2.2599999999999999E-3"/>
    <n v="0"/>
    <x v="0"/>
    <x v="0"/>
    <n v="2.2599999999999999E-3"/>
  </r>
  <r>
    <s v="SYN1092"/>
    <n v="55"/>
    <x v="0"/>
    <n v="18"/>
    <n v="72"/>
    <n v="2.1139999999999999E-2"/>
    <n v="0"/>
    <x v="5"/>
    <x v="2"/>
    <n v="2.1139999999999999E-2"/>
  </r>
  <r>
    <s v="SYN1093"/>
    <n v="58"/>
    <x v="1"/>
    <n v="20"/>
    <n v="77"/>
    <n v="2.836E-2"/>
    <n v="0"/>
    <x v="5"/>
    <x v="1"/>
    <n v="2.836E-2"/>
  </r>
  <r>
    <s v="SYN1094"/>
    <n v="55"/>
    <x v="1"/>
    <n v="7"/>
    <n v="61"/>
    <n v="3.8899999999999998E-3"/>
    <n v="0"/>
    <x v="0"/>
    <x v="0"/>
    <n v="3.8899999999999998E-3"/>
  </r>
  <r>
    <s v="SYN1095"/>
    <n v="41"/>
    <x v="1"/>
    <n v="12"/>
    <n v="52"/>
    <n v="2.0100000000000001E-3"/>
    <n v="0"/>
    <x v="2"/>
    <x v="2"/>
    <n v="2.0100000000000001E-3"/>
  </r>
  <r>
    <s v="SYN1096"/>
    <n v="49"/>
    <x v="1"/>
    <n v="11"/>
    <n v="59"/>
    <n v="3.6099999999999999E-3"/>
    <n v="0"/>
    <x v="2"/>
    <x v="2"/>
    <n v="3.6099999999999999E-3"/>
  </r>
  <r>
    <s v="SYN1097"/>
    <n v="50"/>
    <x v="1"/>
    <n v="23"/>
    <n v="72"/>
    <n v="1.7170000000000001E-2"/>
    <n v="0"/>
    <x v="5"/>
    <x v="1"/>
    <n v="1.7170000000000001E-2"/>
  </r>
  <r>
    <s v="SYN1098"/>
    <n v="27"/>
    <x v="1"/>
    <n v="4"/>
    <n v="30"/>
    <n v="2.2000000000000001E-4"/>
    <n v="0"/>
    <x v="1"/>
    <x v="0"/>
    <n v="2.2000000000000001E-4"/>
  </r>
  <r>
    <s v="SYN1099"/>
    <n v="41"/>
    <x v="1"/>
    <n v="12"/>
    <n v="52"/>
    <n v="2.0100000000000001E-3"/>
    <n v="0"/>
    <x v="2"/>
    <x v="2"/>
    <n v="2.0100000000000001E-3"/>
  </r>
  <r>
    <s v="SYN1100"/>
    <n v="38"/>
    <x v="1"/>
    <n v="18"/>
    <n v="55"/>
    <n v="2.8900000000000002E-3"/>
    <n v="0"/>
    <x v="2"/>
    <x v="2"/>
    <n v="2.8900000000000002E-3"/>
  </r>
  <r>
    <s v="SYN1101"/>
    <n v="22"/>
    <x v="0"/>
    <n v="29"/>
    <n v="50"/>
    <n v="2.6700000000000001E-3"/>
    <n v="0"/>
    <x v="2"/>
    <x v="1"/>
    <n v="2.6700000000000001E-3"/>
  </r>
  <r>
    <s v="SYN1102"/>
    <n v="65"/>
    <x v="1"/>
    <n v="24"/>
    <n v="88"/>
    <n v="0.10484"/>
    <n v="0"/>
    <x v="4"/>
    <x v="1"/>
    <n v="0.10484"/>
  </r>
  <r>
    <s v="SYN1103"/>
    <n v="59"/>
    <x v="0"/>
    <n v="7"/>
    <n v="65"/>
    <n v="8.7600000000000004E-3"/>
    <n v="0"/>
    <x v="0"/>
    <x v="0"/>
    <n v="8.7600000000000004E-3"/>
  </r>
  <r>
    <s v="SYN1104"/>
    <n v="45"/>
    <x v="0"/>
    <n v="7"/>
    <n v="51"/>
    <n v="2.0200000000000001E-3"/>
    <n v="0"/>
    <x v="2"/>
    <x v="0"/>
    <n v="2.0200000000000001E-3"/>
  </r>
  <r>
    <s v="SYN1105"/>
    <n v="65"/>
    <x v="0"/>
    <n v="11"/>
    <n v="75"/>
    <n v="2.2440000000000002E-2"/>
    <n v="0"/>
    <x v="5"/>
    <x v="2"/>
    <n v="2.2440000000000002E-2"/>
  </r>
  <r>
    <s v="SYN1106"/>
    <n v="60"/>
    <x v="1"/>
    <n v="27"/>
    <n v="86"/>
    <n v="7.2980000000000003E-2"/>
    <n v="0"/>
    <x v="4"/>
    <x v="1"/>
    <n v="7.2980000000000003E-2"/>
  </r>
  <r>
    <s v="SYN1107"/>
    <n v="48"/>
    <x v="1"/>
    <n v="15"/>
    <n v="62"/>
    <n v="5.6600000000000001E-3"/>
    <n v="0"/>
    <x v="0"/>
    <x v="2"/>
    <n v="5.6600000000000001E-3"/>
  </r>
  <r>
    <s v="SYN1108"/>
    <n v="28"/>
    <x v="0"/>
    <n v="16"/>
    <n v="43"/>
    <n v="1.5399999999999999E-3"/>
    <n v="0"/>
    <x v="3"/>
    <x v="2"/>
    <n v="1.5399999999999999E-3"/>
  </r>
  <r>
    <s v="SYN1109"/>
    <n v="55"/>
    <x v="0"/>
    <n v="30"/>
    <n v="84"/>
    <n v="5.0909999999999997E-2"/>
    <n v="0"/>
    <x v="4"/>
    <x v="3"/>
    <n v="5.0909999999999997E-2"/>
  </r>
  <r>
    <s v="SYN1110"/>
    <n v="52"/>
    <x v="1"/>
    <n v="25"/>
    <n v="76"/>
    <n v="2.58E-2"/>
    <n v="0"/>
    <x v="5"/>
    <x v="1"/>
    <n v="2.58E-2"/>
  </r>
  <r>
    <s v="SYN1111"/>
    <n v="57"/>
    <x v="1"/>
    <n v="6"/>
    <n v="62"/>
    <n v="4.1999999999999997E-3"/>
    <n v="0"/>
    <x v="0"/>
    <x v="0"/>
    <n v="4.1999999999999997E-3"/>
  </r>
  <r>
    <s v="SYN1112"/>
    <n v="44"/>
    <x v="1"/>
    <n v="22"/>
    <n v="65"/>
    <n v="8.3099999999999997E-3"/>
    <n v="0"/>
    <x v="0"/>
    <x v="1"/>
    <n v="8.3099999999999997E-3"/>
  </r>
  <r>
    <s v="SYN1113"/>
    <n v="52"/>
    <x v="0"/>
    <n v="29"/>
    <n v="80"/>
    <n v="3.7220000000000003E-2"/>
    <n v="0"/>
    <x v="4"/>
    <x v="1"/>
    <n v="3.7220000000000003E-2"/>
  </r>
  <r>
    <s v="SYN1114"/>
    <n v="64"/>
    <x v="0"/>
    <n v="25"/>
    <n v="88"/>
    <n v="0.13253000000000001"/>
    <n v="0"/>
    <x v="4"/>
    <x v="1"/>
    <n v="0.13253000000000001"/>
  </r>
  <r>
    <s v="SYN1115"/>
    <n v="41"/>
    <x v="0"/>
    <n v="10"/>
    <n v="50"/>
    <n v="2.0799999999999998E-3"/>
    <n v="0"/>
    <x v="2"/>
    <x v="2"/>
    <n v="2.0799999999999998E-3"/>
  </r>
  <r>
    <s v="SYN1116"/>
    <n v="46"/>
    <x v="1"/>
    <n v="20"/>
    <n v="65"/>
    <n v="8.2000000000000007E-3"/>
    <n v="0"/>
    <x v="0"/>
    <x v="1"/>
    <n v="8.2000000000000007E-3"/>
  </r>
  <r>
    <s v="SYN1117"/>
    <n v="39"/>
    <x v="1"/>
    <n v="27"/>
    <n v="65"/>
    <n v="7.4700000000000001E-3"/>
    <n v="0"/>
    <x v="0"/>
    <x v="1"/>
    <n v="7.4700000000000001E-3"/>
  </r>
  <r>
    <s v="SYN1118"/>
    <n v="65"/>
    <x v="1"/>
    <n v="24"/>
    <n v="88"/>
    <n v="0.10484"/>
    <n v="0"/>
    <x v="4"/>
    <x v="1"/>
    <n v="0.10484"/>
  </r>
  <r>
    <s v="SYN1119"/>
    <n v="32"/>
    <x v="1"/>
    <n v="7"/>
    <n v="38"/>
    <n v="5.2999999999999998E-4"/>
    <n v="0"/>
    <x v="1"/>
    <x v="0"/>
    <n v="5.2999999999999998E-4"/>
  </r>
  <r>
    <s v="SYN1120"/>
    <n v="42"/>
    <x v="1"/>
    <n v="30"/>
    <n v="71"/>
    <n v="1.027E-2"/>
    <n v="0"/>
    <x v="5"/>
    <x v="3"/>
    <n v="1.027E-2"/>
  </r>
  <r>
    <s v="SYN1121"/>
    <n v="61"/>
    <x v="1"/>
    <n v="6"/>
    <n v="66"/>
    <n v="6.0499999999999998E-3"/>
    <n v="0"/>
    <x v="0"/>
    <x v="0"/>
    <n v="6.0499999999999998E-3"/>
  </r>
  <r>
    <s v="SYN1122"/>
    <n v="40"/>
    <x v="0"/>
    <n v="23"/>
    <n v="62"/>
    <n v="7.7400000000000004E-3"/>
    <n v="0"/>
    <x v="0"/>
    <x v="1"/>
    <n v="7.7400000000000004E-3"/>
  </r>
  <r>
    <s v="SYN1123"/>
    <n v="50"/>
    <x v="1"/>
    <n v="19"/>
    <n v="68"/>
    <n v="1.106E-2"/>
    <n v="0"/>
    <x v="0"/>
    <x v="2"/>
    <n v="1.106E-2"/>
  </r>
  <r>
    <s v="SYN1124"/>
    <n v="46"/>
    <x v="1"/>
    <n v="22"/>
    <n v="67"/>
    <n v="1.027E-2"/>
    <n v="0"/>
    <x v="0"/>
    <x v="1"/>
    <n v="1.027E-2"/>
  </r>
  <r>
    <s v="SYN1125"/>
    <n v="38"/>
    <x v="1"/>
    <n v="29"/>
    <n v="66"/>
    <n v="6.7200000000000003E-3"/>
    <n v="0"/>
    <x v="0"/>
    <x v="1"/>
    <n v="6.7200000000000003E-3"/>
  </r>
  <r>
    <s v="SYN1126"/>
    <n v="53"/>
    <x v="0"/>
    <n v="4"/>
    <n v="56"/>
    <n v="3.0899999999999999E-3"/>
    <n v="0"/>
    <x v="2"/>
    <x v="0"/>
    <n v="3.0899999999999999E-3"/>
  </r>
  <r>
    <s v="SYN1127"/>
    <n v="62"/>
    <x v="0"/>
    <n v="2"/>
    <n v="63"/>
    <n v="3.5100000000000001E-3"/>
    <n v="0"/>
    <x v="0"/>
    <x v="0"/>
    <n v="3.5100000000000001E-3"/>
  </r>
  <r>
    <s v="SYN1128"/>
    <n v="30"/>
    <x v="1"/>
    <n v="10"/>
    <n v="39"/>
    <n v="6.9999999999999999E-4"/>
    <n v="0"/>
    <x v="1"/>
    <x v="2"/>
    <n v="6.9999999999999999E-4"/>
  </r>
  <r>
    <s v="SYN1129"/>
    <n v="23"/>
    <x v="1"/>
    <n v="23"/>
    <n v="45"/>
    <n v="1.3799999999999999E-3"/>
    <n v="0"/>
    <x v="3"/>
    <x v="1"/>
    <n v="1.3799999999999999E-3"/>
  </r>
  <r>
    <s v="SYN1130"/>
    <n v="54"/>
    <x v="0"/>
    <n v="2"/>
    <n v="55"/>
    <n v="1.8500000000000001E-3"/>
    <n v="0"/>
    <x v="2"/>
    <x v="0"/>
    <n v="1.8500000000000001E-3"/>
  </r>
  <r>
    <s v="SYN1131"/>
    <n v="59"/>
    <x v="1"/>
    <n v="28"/>
    <n v="86"/>
    <n v="6.4490000000000006E-2"/>
    <n v="0"/>
    <x v="4"/>
    <x v="1"/>
    <n v="6.4490000000000006E-2"/>
  </r>
  <r>
    <s v="SYN1132"/>
    <n v="34"/>
    <x v="1"/>
    <n v="24"/>
    <n v="57"/>
    <n v="3.6900000000000001E-3"/>
    <n v="0"/>
    <x v="2"/>
    <x v="1"/>
    <n v="3.6900000000000001E-3"/>
  </r>
  <r>
    <s v="SYN1133"/>
    <n v="52"/>
    <x v="1"/>
    <n v="26"/>
    <n v="77"/>
    <n v="2.8719999999999999E-2"/>
    <n v="0"/>
    <x v="5"/>
    <x v="1"/>
    <n v="2.8719999999999999E-2"/>
  </r>
  <r>
    <s v="SYN1134"/>
    <n v="64"/>
    <x v="0"/>
    <n v="22"/>
    <n v="85"/>
    <n v="9.1270000000000004E-2"/>
    <n v="0"/>
    <x v="4"/>
    <x v="1"/>
    <n v="9.1270000000000004E-2"/>
  </r>
  <r>
    <s v="SYN1135"/>
    <n v="46"/>
    <x v="1"/>
    <n v="26"/>
    <n v="71"/>
    <n v="1.553E-2"/>
    <n v="0"/>
    <x v="5"/>
    <x v="1"/>
    <n v="1.553E-2"/>
  </r>
  <r>
    <s v="SYN1136"/>
    <n v="55"/>
    <x v="0"/>
    <n v="2"/>
    <n v="56"/>
    <n v="2.0100000000000001E-3"/>
    <n v="0"/>
    <x v="2"/>
    <x v="0"/>
    <n v="2.0100000000000001E-3"/>
  </r>
  <r>
    <s v="SYN1137"/>
    <n v="59"/>
    <x v="1"/>
    <n v="28"/>
    <n v="86"/>
    <n v="6.4490000000000006E-2"/>
    <n v="0"/>
    <x v="4"/>
    <x v="1"/>
    <n v="6.4490000000000006E-2"/>
  </r>
  <r>
    <s v="SYN1138"/>
    <n v="34"/>
    <x v="1"/>
    <n v="30"/>
    <n v="63"/>
    <n v="4.4600000000000004E-3"/>
    <n v="0"/>
    <x v="0"/>
    <x v="3"/>
    <n v="4.4600000000000004E-3"/>
  </r>
  <r>
    <s v="SYN1139"/>
    <n v="43"/>
    <x v="1"/>
    <n v="25"/>
    <n v="67"/>
    <n v="1.027E-2"/>
    <n v="0"/>
    <x v="0"/>
    <x v="1"/>
    <n v="1.027E-2"/>
  </r>
  <r>
    <s v="SYN1140"/>
    <n v="32"/>
    <x v="1"/>
    <n v="25"/>
    <n v="56"/>
    <n v="3.3700000000000002E-3"/>
    <n v="0"/>
    <x v="2"/>
    <x v="1"/>
    <n v="3.3700000000000002E-3"/>
  </r>
  <r>
    <s v="SYN1141"/>
    <n v="48"/>
    <x v="1"/>
    <n v="6"/>
    <n v="53"/>
    <n v="1.6900000000000001E-3"/>
    <n v="0"/>
    <x v="2"/>
    <x v="0"/>
    <n v="1.6900000000000001E-3"/>
  </r>
  <r>
    <s v="SYN1142"/>
    <n v="31"/>
    <x v="1"/>
    <n v="24"/>
    <n v="54"/>
    <n v="2.82E-3"/>
    <n v="0"/>
    <x v="2"/>
    <x v="1"/>
    <n v="2.82E-3"/>
  </r>
  <r>
    <s v="SYN1143"/>
    <n v="47"/>
    <x v="1"/>
    <n v="9"/>
    <n v="55"/>
    <n v="2.32E-3"/>
    <n v="0"/>
    <x v="2"/>
    <x v="0"/>
    <n v="2.32E-3"/>
  </r>
  <r>
    <s v="SYN1144"/>
    <n v="57"/>
    <x v="0"/>
    <n v="28"/>
    <n v="84"/>
    <n v="6.3329999999999997E-2"/>
    <n v="0"/>
    <x v="4"/>
    <x v="1"/>
    <n v="6.3329999999999997E-2"/>
  </r>
  <r>
    <s v="SYN1145"/>
    <n v="65"/>
    <x v="0"/>
    <n v="30"/>
    <n v="94"/>
    <n v="0.16611999999999999"/>
    <n v="1"/>
    <x v="7"/>
    <x v="3"/>
    <n v="0.16611999999999999"/>
  </r>
  <r>
    <s v="SYN1146"/>
    <n v="40"/>
    <x v="0"/>
    <n v="20"/>
    <n v="59"/>
    <n v="5.7400000000000003E-3"/>
    <n v="0"/>
    <x v="2"/>
    <x v="1"/>
    <n v="5.7400000000000003E-3"/>
  </r>
  <r>
    <s v="SYN1147"/>
    <n v="59"/>
    <x v="1"/>
    <n v="27"/>
    <n v="85"/>
    <n v="6.4490000000000006E-2"/>
    <n v="0"/>
    <x v="4"/>
    <x v="1"/>
    <n v="6.4490000000000006E-2"/>
  </r>
  <r>
    <s v="SYN1148"/>
    <n v="56"/>
    <x v="0"/>
    <n v="18"/>
    <n v="73"/>
    <n v="2.3859999999999999E-2"/>
    <n v="0"/>
    <x v="5"/>
    <x v="2"/>
    <n v="2.3859999999999999E-2"/>
  </r>
  <r>
    <s v="SYN1149"/>
    <n v="40"/>
    <x v="0"/>
    <n v="17"/>
    <n v="56"/>
    <n v="4.0800000000000003E-3"/>
    <n v="0"/>
    <x v="2"/>
    <x v="2"/>
    <n v="4.0800000000000003E-3"/>
  </r>
  <r>
    <s v="SYN1150"/>
    <n v="24"/>
    <x v="1"/>
    <n v="26"/>
    <n v="49"/>
    <n v="1.8699999999999999E-3"/>
    <n v="0"/>
    <x v="3"/>
    <x v="1"/>
    <n v="1.8699999999999999E-3"/>
  </r>
  <r>
    <s v="SYN1151"/>
    <n v="54"/>
    <x v="0"/>
    <n v="13"/>
    <n v="66"/>
    <n v="1.112E-2"/>
    <n v="0"/>
    <x v="0"/>
    <x v="2"/>
    <n v="1.112E-2"/>
  </r>
  <r>
    <s v="SYN1152"/>
    <n v="33"/>
    <x v="0"/>
    <n v="22"/>
    <n v="54"/>
    <n v="3.65E-3"/>
    <n v="0"/>
    <x v="2"/>
    <x v="1"/>
    <n v="3.65E-3"/>
  </r>
  <r>
    <s v="SYN1153"/>
    <n v="33"/>
    <x v="1"/>
    <n v="25"/>
    <n v="57"/>
    <n v="3.6900000000000001E-3"/>
    <n v="0"/>
    <x v="2"/>
    <x v="1"/>
    <n v="3.6900000000000001E-3"/>
  </r>
  <r>
    <s v="SYN1154"/>
    <n v="55"/>
    <x v="1"/>
    <n v="27"/>
    <n v="81"/>
    <n v="3.986E-2"/>
    <n v="0"/>
    <x v="4"/>
    <x v="1"/>
    <n v="3.986E-2"/>
  </r>
  <r>
    <s v="SYN1155"/>
    <n v="27"/>
    <x v="0"/>
    <n v="22"/>
    <n v="48"/>
    <n v="2.2699999999999999E-3"/>
    <n v="0"/>
    <x v="3"/>
    <x v="1"/>
    <n v="2.2699999999999999E-3"/>
  </r>
  <r>
    <s v="SYN1156"/>
    <n v="61"/>
    <x v="1"/>
    <n v="20"/>
    <n v="80"/>
    <n v="3.9030000000000002E-2"/>
    <n v="0"/>
    <x v="4"/>
    <x v="1"/>
    <n v="3.9030000000000002E-2"/>
  </r>
  <r>
    <s v="SYN1157"/>
    <n v="22"/>
    <x v="1"/>
    <n v="22"/>
    <n v="43"/>
    <n v="1.2800000000000001E-3"/>
    <n v="0"/>
    <x v="3"/>
    <x v="1"/>
    <n v="1.2800000000000001E-3"/>
  </r>
  <r>
    <s v="SYN1158"/>
    <n v="27"/>
    <x v="0"/>
    <n v="13"/>
    <n v="39"/>
    <n v="1.0300000000000001E-3"/>
    <n v="0"/>
    <x v="1"/>
    <x v="2"/>
    <n v="1.0300000000000001E-3"/>
  </r>
  <r>
    <s v="SYN1159"/>
    <n v="21"/>
    <x v="1"/>
    <n v="30"/>
    <n v="50"/>
    <n v="1.49E-3"/>
    <n v="0"/>
    <x v="2"/>
    <x v="3"/>
    <n v="1.49E-3"/>
  </r>
  <r>
    <s v="SYN1160"/>
    <n v="52"/>
    <x v="1"/>
    <n v="26"/>
    <n v="77"/>
    <n v="2.8719999999999999E-2"/>
    <n v="0"/>
    <x v="5"/>
    <x v="1"/>
    <n v="2.8719999999999999E-2"/>
  </r>
  <r>
    <s v="SYN1161"/>
    <n v="38"/>
    <x v="1"/>
    <n v="29"/>
    <n v="66"/>
    <n v="6.7200000000000003E-3"/>
    <n v="0"/>
    <x v="0"/>
    <x v="1"/>
    <n v="6.7200000000000003E-3"/>
  </r>
  <r>
    <s v="SYN1162"/>
    <n v="25"/>
    <x v="0"/>
    <n v="4"/>
    <n v="28"/>
    <n v="4.0999999999999999E-4"/>
    <n v="0"/>
    <x v="6"/>
    <x v="0"/>
    <n v="4.0999999999999999E-4"/>
  </r>
  <r>
    <s v="SYN1163"/>
    <n v="54"/>
    <x v="0"/>
    <n v="18"/>
    <n v="71"/>
    <n v="1.8769999999999998E-2"/>
    <n v="0"/>
    <x v="5"/>
    <x v="2"/>
    <n v="1.8769999999999998E-2"/>
  </r>
  <r>
    <s v="SYN1164"/>
    <n v="62"/>
    <x v="1"/>
    <n v="21"/>
    <n v="82"/>
    <n v="5.0599999999999999E-2"/>
    <n v="0"/>
    <x v="4"/>
    <x v="1"/>
    <n v="5.0599999999999999E-2"/>
  </r>
  <r>
    <s v="SYN1165"/>
    <n v="47"/>
    <x v="0"/>
    <n v="27"/>
    <n v="73"/>
    <n v="2.1340000000000001E-2"/>
    <n v="0"/>
    <x v="5"/>
    <x v="1"/>
    <n v="2.1340000000000001E-2"/>
  </r>
  <r>
    <s v="SYN1166"/>
    <n v="64"/>
    <x v="1"/>
    <n v="29"/>
    <n v="92"/>
    <n v="0.11754000000000001"/>
    <n v="0"/>
    <x v="7"/>
    <x v="1"/>
    <n v="0.11754000000000001"/>
  </r>
  <r>
    <s v="SYN1167"/>
    <n v="61"/>
    <x v="1"/>
    <n v="27"/>
    <n v="87"/>
    <n v="8.2710000000000006E-2"/>
    <n v="0"/>
    <x v="4"/>
    <x v="1"/>
    <n v="8.2710000000000006E-2"/>
  </r>
  <r>
    <s v="SYN1168"/>
    <n v="29"/>
    <x v="0"/>
    <n v="1"/>
    <n v="29"/>
    <n v="2.5000000000000001E-4"/>
    <n v="0"/>
    <x v="6"/>
    <x v="0"/>
    <n v="2.5000000000000001E-4"/>
  </r>
  <r>
    <s v="SYN1169"/>
    <n v="25"/>
    <x v="0"/>
    <n v="3"/>
    <n v="27"/>
    <n v="4.0000000000000002E-4"/>
    <n v="0"/>
    <x v="6"/>
    <x v="0"/>
    <n v="4.0000000000000002E-4"/>
  </r>
  <r>
    <s v="SYN1170"/>
    <n v="55"/>
    <x v="1"/>
    <n v="3"/>
    <n v="57"/>
    <n v="1.8500000000000001E-3"/>
    <n v="0"/>
    <x v="2"/>
    <x v="0"/>
    <n v="1.8500000000000001E-3"/>
  </r>
  <r>
    <s v="SYN1171"/>
    <n v="36"/>
    <x v="0"/>
    <n v="14"/>
    <n v="49"/>
    <n v="2.0699999999999998E-3"/>
    <n v="0"/>
    <x v="3"/>
    <x v="2"/>
    <n v="2.0699999999999998E-3"/>
  </r>
  <r>
    <s v="SYN1172"/>
    <n v="47"/>
    <x v="0"/>
    <n v="11"/>
    <n v="57"/>
    <n v="4.1900000000000001E-3"/>
    <n v="0"/>
    <x v="2"/>
    <x v="2"/>
    <n v="4.1900000000000001E-3"/>
  </r>
  <r>
    <s v="SYN1173"/>
    <n v="54"/>
    <x v="1"/>
    <n v="1"/>
    <n v="54"/>
    <n v="5.1000000000000004E-4"/>
    <n v="0"/>
    <x v="2"/>
    <x v="0"/>
    <n v="5.1000000000000004E-4"/>
  </r>
  <r>
    <s v="SYN1174"/>
    <n v="57"/>
    <x v="1"/>
    <n v="2"/>
    <n v="58"/>
    <n v="1.3699999999999999E-3"/>
    <n v="0"/>
    <x v="2"/>
    <x v="0"/>
    <n v="1.3699999999999999E-3"/>
  </r>
  <r>
    <s v="SYN1175"/>
    <n v="52"/>
    <x v="0"/>
    <n v="4"/>
    <n v="55"/>
    <n v="2.7299999999999998E-3"/>
    <n v="0"/>
    <x v="2"/>
    <x v="0"/>
    <n v="2.7299999999999998E-3"/>
  </r>
  <r>
    <s v="SYN1176"/>
    <n v="58"/>
    <x v="0"/>
    <n v="3"/>
    <n v="60"/>
    <n v="4.0800000000000003E-3"/>
    <n v="0"/>
    <x v="0"/>
    <x v="0"/>
    <n v="4.0800000000000003E-3"/>
  </r>
  <r>
    <s v="SYN1177"/>
    <n v="44"/>
    <x v="1"/>
    <n v="13"/>
    <n v="56"/>
    <n v="2.9399999999999999E-3"/>
    <n v="0"/>
    <x v="2"/>
    <x v="2"/>
    <n v="2.9399999999999999E-3"/>
  </r>
  <r>
    <s v="SYN1178"/>
    <n v="30"/>
    <x v="0"/>
    <n v="18"/>
    <n v="47"/>
    <n v="1.99E-3"/>
    <n v="0"/>
    <x v="3"/>
    <x v="2"/>
    <n v="1.99E-3"/>
  </r>
  <r>
    <s v="SYN1179"/>
    <n v="54"/>
    <x v="1"/>
    <n v="10"/>
    <n v="63"/>
    <n v="5.2500000000000003E-3"/>
    <n v="0"/>
    <x v="0"/>
    <x v="2"/>
    <n v="5.2500000000000003E-3"/>
  </r>
  <r>
    <s v="SYN1180"/>
    <n v="63"/>
    <x v="1"/>
    <n v="29"/>
    <n v="91"/>
    <n v="0.10484"/>
    <n v="0"/>
    <x v="7"/>
    <x v="1"/>
    <n v="0.10484"/>
  </r>
  <r>
    <s v="SYN1181"/>
    <n v="61"/>
    <x v="1"/>
    <n v="12"/>
    <n v="72"/>
    <n v="1.226E-2"/>
    <n v="1"/>
    <x v="5"/>
    <x v="2"/>
    <n v="1.226E-2"/>
  </r>
  <r>
    <s v="SYN1182"/>
    <n v="55"/>
    <x v="0"/>
    <n v="5"/>
    <n v="59"/>
    <n v="4.4799999999999996E-3"/>
    <n v="0"/>
    <x v="2"/>
    <x v="0"/>
    <n v="4.4799999999999996E-3"/>
  </r>
  <r>
    <s v="SYN1183"/>
    <n v="58"/>
    <x v="1"/>
    <n v="13"/>
    <n v="70"/>
    <n v="1.0829999999999999E-2"/>
    <n v="0"/>
    <x v="5"/>
    <x v="2"/>
    <n v="1.0829999999999999E-2"/>
  </r>
  <r>
    <s v="SYN1184"/>
    <n v="39"/>
    <x v="1"/>
    <n v="7"/>
    <n v="45"/>
    <n v="8.4999999999999995E-4"/>
    <n v="0"/>
    <x v="3"/>
    <x v="0"/>
    <n v="8.4999999999999995E-4"/>
  </r>
  <r>
    <s v="SYN1185"/>
    <n v="42"/>
    <x v="0"/>
    <n v="7"/>
    <n v="48"/>
    <n v="1.5200000000000001E-3"/>
    <n v="0"/>
    <x v="3"/>
    <x v="0"/>
    <n v="1.5200000000000001E-3"/>
  </r>
  <r>
    <s v="SYN1186"/>
    <n v="52"/>
    <x v="0"/>
    <n v="5"/>
    <n v="56"/>
    <n v="3.2100000000000002E-3"/>
    <n v="0"/>
    <x v="2"/>
    <x v="0"/>
    <n v="3.2100000000000002E-3"/>
  </r>
  <r>
    <s v="SYN1187"/>
    <n v="36"/>
    <x v="0"/>
    <n v="7"/>
    <n v="42"/>
    <n v="9.5E-4"/>
    <n v="0"/>
    <x v="3"/>
    <x v="0"/>
    <n v="9.5E-4"/>
  </r>
  <r>
    <s v="SYN1188"/>
    <n v="56"/>
    <x v="0"/>
    <n v="28"/>
    <n v="83"/>
    <n v="5.6829999999999999E-2"/>
    <n v="0"/>
    <x v="4"/>
    <x v="1"/>
    <n v="5.6829999999999999E-2"/>
  </r>
  <r>
    <s v="SYN1189"/>
    <n v="55"/>
    <x v="1"/>
    <n v="15"/>
    <n v="69"/>
    <n v="1.1010000000000001E-2"/>
    <n v="0"/>
    <x v="0"/>
    <x v="2"/>
    <n v="1.1010000000000001E-2"/>
  </r>
  <r>
    <s v="SYN1190"/>
    <n v="62"/>
    <x v="0"/>
    <n v="3"/>
    <n v="64"/>
    <n v="5.1900000000000002E-3"/>
    <n v="0"/>
    <x v="0"/>
    <x v="0"/>
    <n v="5.1900000000000002E-3"/>
  </r>
  <r>
    <s v="SYN1191"/>
    <n v="57"/>
    <x v="1"/>
    <n v="16"/>
    <n v="72"/>
    <n v="1.5219999999999999E-2"/>
    <n v="0"/>
    <x v="5"/>
    <x v="2"/>
    <n v="1.5219999999999999E-2"/>
  </r>
  <r>
    <s v="SYN1192"/>
    <n v="62"/>
    <x v="0"/>
    <n v="21"/>
    <n v="82"/>
    <n v="6.3329999999999997E-2"/>
    <n v="0"/>
    <x v="4"/>
    <x v="1"/>
    <n v="6.3329999999999997E-2"/>
  </r>
  <r>
    <s v="SYN1193"/>
    <n v="24"/>
    <x v="0"/>
    <n v="29"/>
    <n v="52"/>
    <n v="2.81E-3"/>
    <n v="0"/>
    <x v="2"/>
    <x v="1"/>
    <n v="2.81E-3"/>
  </r>
  <r>
    <s v="SYN1194"/>
    <n v="41"/>
    <x v="1"/>
    <n v="20"/>
    <n v="60"/>
    <n v="4.8799999999999998E-3"/>
    <n v="0"/>
    <x v="0"/>
    <x v="1"/>
    <n v="4.8799999999999998E-3"/>
  </r>
  <r>
    <s v="SYN1195"/>
    <n v="29"/>
    <x v="1"/>
    <n v="19"/>
    <n v="47"/>
    <n v="1.5200000000000001E-3"/>
    <n v="0"/>
    <x v="3"/>
    <x v="2"/>
    <n v="1.5200000000000001E-3"/>
  </r>
  <r>
    <s v="SYN1196"/>
    <n v="47"/>
    <x v="0"/>
    <n v="6"/>
    <n v="52"/>
    <n v="2.16E-3"/>
    <n v="0"/>
    <x v="2"/>
    <x v="0"/>
    <n v="2.16E-3"/>
  </r>
  <r>
    <s v="SYN1197"/>
    <n v="34"/>
    <x v="1"/>
    <n v="23"/>
    <n v="56"/>
    <n v="3.3700000000000002E-3"/>
    <n v="0"/>
    <x v="2"/>
    <x v="1"/>
    <n v="3.3700000000000002E-3"/>
  </r>
  <r>
    <s v="SYN1198"/>
    <n v="43"/>
    <x v="1"/>
    <n v="5"/>
    <n v="47"/>
    <n v="9.5E-4"/>
    <n v="0"/>
    <x v="3"/>
    <x v="0"/>
    <n v="9.5E-4"/>
  </r>
  <r>
    <s v="SYN1199"/>
    <n v="50"/>
    <x v="0"/>
    <n v="15"/>
    <n v="64"/>
    <n v="9.11E-3"/>
    <n v="0"/>
    <x v="0"/>
    <x v="2"/>
    <n v="9.11E-3"/>
  </r>
  <r>
    <s v="SYN1200"/>
    <n v="51"/>
    <x v="0"/>
    <n v="18"/>
    <n v="68"/>
    <n v="1.3690000000000001E-2"/>
    <n v="0"/>
    <x v="0"/>
    <x v="2"/>
    <n v="1.3690000000000001E-2"/>
  </r>
  <r>
    <s v="SYN1201"/>
    <n v="25"/>
    <x v="0"/>
    <n v="27"/>
    <n v="51"/>
    <n v="2.9299999999999999E-3"/>
    <n v="0"/>
    <x v="2"/>
    <x v="1"/>
    <n v="2.9299999999999999E-3"/>
  </r>
  <r>
    <s v="SYN1202"/>
    <n v="54"/>
    <x v="0"/>
    <n v="7"/>
    <n v="60"/>
    <n v="5.3E-3"/>
    <n v="0"/>
    <x v="0"/>
    <x v="0"/>
    <n v="5.3E-3"/>
  </r>
  <r>
    <s v="SYN1203"/>
    <n v="24"/>
    <x v="0"/>
    <n v="24"/>
    <n v="47"/>
    <n v="2.3600000000000001E-3"/>
    <n v="0"/>
    <x v="3"/>
    <x v="1"/>
    <n v="2.3600000000000001E-3"/>
  </r>
  <r>
    <s v="SYN1204"/>
    <n v="52"/>
    <x v="0"/>
    <n v="21"/>
    <n v="72"/>
    <n v="2.1329999999999998E-2"/>
    <n v="0"/>
    <x v="5"/>
    <x v="1"/>
    <n v="2.1329999999999998E-2"/>
  </r>
  <r>
    <s v="SYN1205"/>
    <n v="45"/>
    <x v="1"/>
    <n v="25"/>
    <n v="69"/>
    <n v="1.2659999999999999E-2"/>
    <n v="0"/>
    <x v="0"/>
    <x v="1"/>
    <n v="1.2659999999999999E-2"/>
  </r>
  <r>
    <s v="SYN1206"/>
    <n v="55"/>
    <x v="1"/>
    <n v="9"/>
    <n v="63"/>
    <n v="5.11E-3"/>
    <n v="0"/>
    <x v="0"/>
    <x v="0"/>
    <n v="5.11E-3"/>
  </r>
  <r>
    <s v="SYN1207"/>
    <n v="50"/>
    <x v="1"/>
    <n v="21"/>
    <n v="70"/>
    <n v="1.404E-2"/>
    <n v="0"/>
    <x v="5"/>
    <x v="1"/>
    <n v="1.404E-2"/>
  </r>
  <r>
    <s v="SYN1208"/>
    <n v="34"/>
    <x v="1"/>
    <n v="29"/>
    <n v="62"/>
    <n v="4.4600000000000004E-3"/>
    <n v="0"/>
    <x v="0"/>
    <x v="1"/>
    <n v="4.4600000000000004E-3"/>
  </r>
  <r>
    <s v="SYN1209"/>
    <n v="38"/>
    <x v="0"/>
    <n v="5"/>
    <n v="42"/>
    <n v="8.5999999999999998E-4"/>
    <n v="0"/>
    <x v="3"/>
    <x v="0"/>
    <n v="8.5999999999999998E-4"/>
  </r>
  <r>
    <s v="SYN1210"/>
    <n v="45"/>
    <x v="1"/>
    <n v="12"/>
    <n v="56"/>
    <n v="2.82E-3"/>
    <n v="0"/>
    <x v="2"/>
    <x v="2"/>
    <n v="2.82E-3"/>
  </r>
  <r>
    <s v="SYN1211"/>
    <n v="59"/>
    <x v="0"/>
    <n v="22"/>
    <n v="80"/>
    <n v="5.0909999999999997E-2"/>
    <n v="0"/>
    <x v="4"/>
    <x v="1"/>
    <n v="5.0909999999999997E-2"/>
  </r>
  <r>
    <s v="SYN1212"/>
    <n v="48"/>
    <x v="0"/>
    <n v="6"/>
    <n v="53"/>
    <n v="2.4199999999999998E-3"/>
    <n v="0"/>
    <x v="2"/>
    <x v="0"/>
    <n v="2.4199999999999998E-3"/>
  </r>
  <r>
    <s v="SYN1213"/>
    <n v="62"/>
    <x v="1"/>
    <n v="28"/>
    <n v="89"/>
    <n v="9.3240000000000003E-2"/>
    <n v="0"/>
    <x v="4"/>
    <x v="1"/>
    <n v="9.3240000000000003E-2"/>
  </r>
  <r>
    <s v="SYN1214"/>
    <n v="50"/>
    <x v="0"/>
    <n v="12"/>
    <n v="61"/>
    <n v="6.5500000000000003E-3"/>
    <n v="0"/>
    <x v="0"/>
    <x v="2"/>
    <n v="6.5500000000000003E-3"/>
  </r>
  <r>
    <s v="SYN1215"/>
    <n v="34"/>
    <x v="0"/>
    <n v="3"/>
    <n v="36"/>
    <n v="4.6999999999999999E-4"/>
    <n v="0"/>
    <x v="1"/>
    <x v="0"/>
    <n v="4.6999999999999999E-4"/>
  </r>
  <r>
    <s v="SYN1216"/>
    <n v="62"/>
    <x v="1"/>
    <n v="7"/>
    <n v="68"/>
    <n v="7.0200000000000002E-3"/>
    <n v="0"/>
    <x v="0"/>
    <x v="0"/>
    <n v="7.0200000000000002E-3"/>
  </r>
  <r>
    <s v="SYN1217"/>
    <n v="44"/>
    <x v="1"/>
    <n v="16"/>
    <n v="59"/>
    <n v="4.1700000000000001E-3"/>
    <n v="0"/>
    <x v="2"/>
    <x v="2"/>
    <n v="4.1700000000000001E-3"/>
  </r>
  <r>
    <s v="SYN1218"/>
    <n v="22"/>
    <x v="0"/>
    <n v="21"/>
    <n v="42"/>
    <n v="1.91E-3"/>
    <n v="0"/>
    <x v="3"/>
    <x v="1"/>
    <n v="1.91E-3"/>
  </r>
  <r>
    <s v="SYN1219"/>
    <n v="53"/>
    <x v="1"/>
    <n v="21"/>
    <n v="73"/>
    <n v="1.8970000000000001E-2"/>
    <n v="0"/>
    <x v="5"/>
    <x v="1"/>
    <n v="1.8970000000000001E-2"/>
  </r>
  <r>
    <s v="SYN1220"/>
    <n v="36"/>
    <x v="1"/>
    <n v="19"/>
    <n v="54"/>
    <n v="2.6800000000000001E-3"/>
    <n v="0"/>
    <x v="2"/>
    <x v="2"/>
    <n v="2.6800000000000001E-3"/>
  </r>
  <r>
    <s v="SYN1221"/>
    <n v="61"/>
    <x v="0"/>
    <n v="13"/>
    <n v="73"/>
    <n v="2.2499999999999999E-2"/>
    <n v="0"/>
    <x v="5"/>
    <x v="2"/>
    <n v="2.2499999999999999E-2"/>
  </r>
  <r>
    <s v="SYN1222"/>
    <n v="24"/>
    <x v="0"/>
    <n v="17"/>
    <n v="40"/>
    <n v="1.3600000000000001E-3"/>
    <n v="0"/>
    <x v="3"/>
    <x v="2"/>
    <n v="1.3600000000000001E-3"/>
  </r>
  <r>
    <s v="SYN1223"/>
    <n v="34"/>
    <x v="0"/>
    <n v="17"/>
    <n v="50"/>
    <n v="2.4599999999999999E-3"/>
    <n v="0"/>
    <x v="2"/>
    <x v="2"/>
    <n v="2.4599999999999999E-3"/>
  </r>
  <r>
    <s v="SYN1224"/>
    <n v="42"/>
    <x v="1"/>
    <n v="16"/>
    <n v="57"/>
    <n v="3.4099999999999998E-3"/>
    <n v="0"/>
    <x v="2"/>
    <x v="2"/>
    <n v="3.4099999999999998E-3"/>
  </r>
  <r>
    <s v="SYN1225"/>
    <n v="20"/>
    <x v="1"/>
    <n v="17"/>
    <n v="36"/>
    <n v="7.7999999999999999E-4"/>
    <n v="0"/>
    <x v="1"/>
    <x v="2"/>
    <n v="7.7999999999999999E-4"/>
  </r>
  <r>
    <s v="SYN1226"/>
    <n v="34"/>
    <x v="1"/>
    <n v="3"/>
    <n v="36"/>
    <n v="3.1E-4"/>
    <n v="0"/>
    <x v="1"/>
    <x v="0"/>
    <n v="3.1E-4"/>
  </r>
  <r>
    <s v="SYN1227"/>
    <n v="29"/>
    <x v="0"/>
    <n v="6"/>
    <n v="34"/>
    <n v="5.1000000000000004E-4"/>
    <n v="0"/>
    <x v="1"/>
    <x v="0"/>
    <n v="5.1000000000000004E-4"/>
  </r>
  <r>
    <s v="SYN1228"/>
    <n v="27"/>
    <x v="0"/>
    <n v="22"/>
    <n v="48"/>
    <n v="2.2699999999999999E-3"/>
    <n v="0"/>
    <x v="3"/>
    <x v="1"/>
    <n v="2.2699999999999999E-3"/>
  </r>
  <r>
    <s v="SYN1229"/>
    <n v="27"/>
    <x v="1"/>
    <n v="16"/>
    <n v="42"/>
    <n v="1.0499999999999999E-3"/>
    <n v="0"/>
    <x v="3"/>
    <x v="2"/>
    <n v="1.0499999999999999E-3"/>
  </r>
  <r>
    <s v="SYN1230"/>
    <n v="57"/>
    <x v="1"/>
    <n v="6"/>
    <n v="62"/>
    <n v="4.1999999999999997E-3"/>
    <n v="0"/>
    <x v="0"/>
    <x v="0"/>
    <n v="4.1999999999999997E-3"/>
  </r>
  <r>
    <s v="SYN1231"/>
    <n v="35"/>
    <x v="0"/>
    <n v="2"/>
    <n v="36"/>
    <n v="3.4000000000000002E-4"/>
    <n v="0"/>
    <x v="1"/>
    <x v="0"/>
    <n v="3.4000000000000002E-4"/>
  </r>
  <r>
    <s v="SYN1232"/>
    <n v="28"/>
    <x v="1"/>
    <n v="21"/>
    <n v="48"/>
    <n v="1.73E-3"/>
    <n v="0"/>
    <x v="3"/>
    <x v="1"/>
    <n v="1.73E-3"/>
  </r>
  <r>
    <s v="SYN1233"/>
    <n v="29"/>
    <x v="0"/>
    <n v="2"/>
    <n v="30"/>
    <n v="3.1E-4"/>
    <n v="0"/>
    <x v="1"/>
    <x v="0"/>
    <n v="3.1E-4"/>
  </r>
  <r>
    <s v="SYN1234"/>
    <n v="53"/>
    <x v="1"/>
    <n v="13"/>
    <n v="65"/>
    <n v="6.9199999999999999E-3"/>
    <n v="0"/>
    <x v="0"/>
    <x v="2"/>
    <n v="6.9199999999999999E-3"/>
  </r>
  <r>
    <s v="SYN1235"/>
    <n v="21"/>
    <x v="1"/>
    <n v="29"/>
    <n v="49"/>
    <n v="1.49E-3"/>
    <n v="0"/>
    <x v="3"/>
    <x v="1"/>
    <n v="1.49E-3"/>
  </r>
  <r>
    <s v="SYN1236"/>
    <n v="38"/>
    <x v="0"/>
    <n v="3"/>
    <n v="40"/>
    <n v="6.3000000000000003E-4"/>
    <n v="0"/>
    <x v="3"/>
    <x v="0"/>
    <n v="6.3000000000000003E-4"/>
  </r>
  <r>
    <s v="SYN1237"/>
    <n v="50"/>
    <x v="0"/>
    <n v="28"/>
    <n v="77"/>
    <n v="3.006E-2"/>
    <n v="0"/>
    <x v="5"/>
    <x v="1"/>
    <n v="3.006E-2"/>
  </r>
  <r>
    <s v="SYN1238"/>
    <n v="46"/>
    <x v="0"/>
    <n v="20"/>
    <n v="65"/>
    <n v="1.022E-2"/>
    <n v="0"/>
    <x v="0"/>
    <x v="1"/>
    <n v="1.022E-2"/>
  </r>
  <r>
    <s v="SYN1239"/>
    <n v="31"/>
    <x v="1"/>
    <n v="20"/>
    <n v="50"/>
    <n v="1.9599999999999999E-3"/>
    <n v="0"/>
    <x v="2"/>
    <x v="1"/>
    <n v="1.9599999999999999E-3"/>
  </r>
  <r>
    <s v="SYN1240"/>
    <n v="63"/>
    <x v="1"/>
    <n v="11"/>
    <n v="73"/>
    <n v="1.282E-2"/>
    <n v="0"/>
    <x v="5"/>
    <x v="2"/>
    <n v="1.282E-2"/>
  </r>
  <r>
    <s v="SYN1241"/>
    <n v="24"/>
    <x v="0"/>
    <n v="8"/>
    <n v="31"/>
    <n v="5.2999999999999998E-4"/>
    <n v="0"/>
    <x v="1"/>
    <x v="0"/>
    <n v="5.2999999999999998E-4"/>
  </r>
  <r>
    <s v="SYN1242"/>
    <n v="21"/>
    <x v="1"/>
    <n v="7"/>
    <n v="27"/>
    <n v="2.9999999999999997E-4"/>
    <n v="0"/>
    <x v="6"/>
    <x v="0"/>
    <n v="2.9999999999999997E-4"/>
  </r>
  <r>
    <s v="SYN1243"/>
    <n v="63"/>
    <x v="1"/>
    <n v="14"/>
    <n v="76"/>
    <n v="2.12E-2"/>
    <n v="0"/>
    <x v="5"/>
    <x v="2"/>
    <n v="2.12E-2"/>
  </r>
  <r>
    <s v="SYN1244"/>
    <n v="31"/>
    <x v="1"/>
    <n v="16"/>
    <n v="46"/>
    <n v="1.2899999999999999E-3"/>
    <n v="0"/>
    <x v="3"/>
    <x v="2"/>
    <n v="1.2899999999999999E-3"/>
  </r>
  <r>
    <s v="SYN1245"/>
    <n v="54"/>
    <x v="1"/>
    <n v="17"/>
    <n v="70"/>
    <n v="1.2760000000000001E-2"/>
    <n v="0"/>
    <x v="5"/>
    <x v="2"/>
    <n v="1.2760000000000001E-2"/>
  </r>
  <r>
    <s v="SYN1246"/>
    <n v="62"/>
    <x v="1"/>
    <n v="5"/>
    <n v="66"/>
    <n v="5.8500000000000002E-3"/>
    <n v="0"/>
    <x v="0"/>
    <x v="0"/>
    <n v="5.8500000000000002E-3"/>
  </r>
  <r>
    <s v="SYN1247"/>
    <n v="20"/>
    <x v="1"/>
    <n v="29"/>
    <n v="48"/>
    <n v="1.3799999999999999E-3"/>
    <n v="0"/>
    <x v="3"/>
    <x v="1"/>
    <n v="1.3799999999999999E-3"/>
  </r>
  <r>
    <s v="SYN1248"/>
    <n v="47"/>
    <x v="0"/>
    <n v="17"/>
    <n v="63"/>
    <n v="8.4899999999999993E-3"/>
    <n v="0"/>
    <x v="0"/>
    <x v="2"/>
    <n v="8.4899999999999993E-3"/>
  </r>
  <r>
    <s v="SYN1249"/>
    <n v="64"/>
    <x v="0"/>
    <n v="17"/>
    <n v="80"/>
    <n v="4.863E-2"/>
    <n v="0"/>
    <x v="4"/>
    <x v="2"/>
    <n v="4.863E-2"/>
  </r>
  <r>
    <s v="SYN1250"/>
    <n v="50"/>
    <x v="1"/>
    <n v="26"/>
    <n v="75"/>
    <n v="2.325E-2"/>
    <n v="0"/>
    <x v="5"/>
    <x v="1"/>
    <n v="2.325E-2"/>
  </r>
  <r>
    <s v="SYN1251"/>
    <n v="64"/>
    <x v="0"/>
    <n v="19"/>
    <n v="82"/>
    <n v="6.2700000000000006E-2"/>
    <n v="0"/>
    <x v="4"/>
    <x v="2"/>
    <n v="6.2700000000000006E-2"/>
  </r>
  <r>
    <s v="SYN1252"/>
    <n v="50"/>
    <x v="0"/>
    <n v="25"/>
    <n v="74"/>
    <n v="2.6859999999999998E-2"/>
    <n v="0"/>
    <x v="5"/>
    <x v="1"/>
    <n v="2.6859999999999998E-2"/>
  </r>
  <r>
    <s v="SYN1253"/>
    <n v="38"/>
    <x v="1"/>
    <n v="20"/>
    <n v="57"/>
    <n v="3.65E-3"/>
    <n v="0"/>
    <x v="2"/>
    <x v="1"/>
    <n v="3.65E-3"/>
  </r>
  <r>
    <s v="SYN1254"/>
    <n v="32"/>
    <x v="1"/>
    <n v="1"/>
    <n v="32"/>
    <n v="1.2E-4"/>
    <n v="0"/>
    <x v="1"/>
    <x v="0"/>
    <n v="1.2E-4"/>
  </r>
  <r>
    <s v="SYN1255"/>
    <n v="56"/>
    <x v="0"/>
    <n v="17"/>
    <n v="72"/>
    <n v="2.1139999999999999E-2"/>
    <n v="1"/>
    <x v="5"/>
    <x v="2"/>
    <n v="2.1139999999999999E-2"/>
  </r>
  <r>
    <s v="SYN1256"/>
    <n v="61"/>
    <x v="1"/>
    <n v="7"/>
    <n v="67"/>
    <n v="6.62E-3"/>
    <n v="0"/>
    <x v="0"/>
    <x v="0"/>
    <n v="6.62E-3"/>
  </r>
  <r>
    <s v="SYN1257"/>
    <n v="43"/>
    <x v="0"/>
    <n v="4"/>
    <n v="46"/>
    <n v="1.1000000000000001E-3"/>
    <n v="0"/>
    <x v="3"/>
    <x v="0"/>
    <n v="1.1000000000000001E-3"/>
  </r>
  <r>
    <s v="SYN1258"/>
    <n v="36"/>
    <x v="1"/>
    <n v="9"/>
    <n v="44"/>
    <n v="8.4000000000000003E-4"/>
    <n v="0"/>
    <x v="3"/>
    <x v="0"/>
    <n v="8.4000000000000003E-4"/>
  </r>
  <r>
    <s v="SYN1259"/>
    <n v="43"/>
    <x v="0"/>
    <n v="20"/>
    <n v="62"/>
    <n v="7.7400000000000004E-3"/>
    <n v="0"/>
    <x v="0"/>
    <x v="1"/>
    <n v="7.7400000000000004E-3"/>
  </r>
  <r>
    <s v="SYN1260"/>
    <n v="33"/>
    <x v="1"/>
    <n v="14"/>
    <n v="46"/>
    <n v="1.24E-3"/>
    <n v="0"/>
    <x v="3"/>
    <x v="2"/>
    <n v="1.24E-3"/>
  </r>
  <r>
    <s v="SYN1261"/>
    <n v="31"/>
    <x v="1"/>
    <n v="12"/>
    <n v="42"/>
    <n v="9.1E-4"/>
    <n v="0"/>
    <x v="3"/>
    <x v="2"/>
    <n v="9.1E-4"/>
  </r>
  <r>
    <s v="SYN1262"/>
    <n v="39"/>
    <x v="0"/>
    <n v="19"/>
    <n v="57"/>
    <n v="4.6699999999999997E-3"/>
    <n v="0"/>
    <x v="2"/>
    <x v="2"/>
    <n v="4.6699999999999997E-3"/>
  </r>
  <r>
    <s v="SYN1263"/>
    <n v="28"/>
    <x v="1"/>
    <n v="28"/>
    <n v="55"/>
    <n v="2.5899999999999999E-3"/>
    <n v="0"/>
    <x v="2"/>
    <x v="1"/>
    <n v="2.5899999999999999E-3"/>
  </r>
  <r>
    <s v="SYN1264"/>
    <n v="34"/>
    <x v="1"/>
    <n v="15"/>
    <n v="48"/>
    <n v="1.48E-3"/>
    <n v="0"/>
    <x v="3"/>
    <x v="2"/>
    <n v="1.48E-3"/>
  </r>
  <r>
    <s v="SYN1265"/>
    <n v="26"/>
    <x v="1"/>
    <n v="7"/>
    <n v="32"/>
    <n v="3.3E-4"/>
    <n v="0"/>
    <x v="1"/>
    <x v="0"/>
    <n v="3.3E-4"/>
  </r>
  <r>
    <s v="SYN1266"/>
    <n v="55"/>
    <x v="1"/>
    <n v="20"/>
    <n v="74"/>
    <n v="2.0740000000000001E-2"/>
    <n v="0"/>
    <x v="5"/>
    <x v="1"/>
    <n v="2.0740000000000001E-2"/>
  </r>
  <r>
    <s v="SYN1267"/>
    <n v="30"/>
    <x v="1"/>
    <n v="13"/>
    <n v="42"/>
    <n v="9.7000000000000005E-4"/>
    <n v="0"/>
    <x v="3"/>
    <x v="2"/>
    <n v="9.7000000000000005E-4"/>
  </r>
  <r>
    <s v="SYN1268"/>
    <n v="25"/>
    <x v="0"/>
    <n v="27"/>
    <n v="51"/>
    <n v="2.9299999999999999E-3"/>
    <n v="0"/>
    <x v="2"/>
    <x v="1"/>
    <n v="2.9299999999999999E-3"/>
  </r>
  <r>
    <s v="SYN1269"/>
    <n v="47"/>
    <x v="0"/>
    <n v="3"/>
    <n v="49"/>
    <n v="1.2800000000000001E-3"/>
    <n v="0"/>
    <x v="3"/>
    <x v="0"/>
    <n v="1.2800000000000001E-3"/>
  </r>
  <r>
    <s v="SYN1270"/>
    <n v="25"/>
    <x v="0"/>
    <n v="20"/>
    <n v="44"/>
    <n v="1.8799999999999999E-3"/>
    <n v="0"/>
    <x v="3"/>
    <x v="1"/>
    <n v="1.8799999999999999E-3"/>
  </r>
  <r>
    <s v="SYN1271"/>
    <n v="45"/>
    <x v="1"/>
    <n v="20"/>
    <n v="64"/>
    <n v="7.4000000000000003E-3"/>
    <n v="0"/>
    <x v="0"/>
    <x v="1"/>
    <n v="7.4000000000000003E-3"/>
  </r>
  <r>
    <s v="SYN1272"/>
    <n v="58"/>
    <x v="1"/>
    <n v="2"/>
    <n v="59"/>
    <n v="1.42E-3"/>
    <n v="0"/>
    <x v="2"/>
    <x v="0"/>
    <n v="1.42E-3"/>
  </r>
  <r>
    <s v="SYN1273"/>
    <n v="60"/>
    <x v="0"/>
    <n v="16"/>
    <n v="75"/>
    <n v="2.9260000000000001E-2"/>
    <n v="0"/>
    <x v="5"/>
    <x v="2"/>
    <n v="2.9260000000000001E-2"/>
  </r>
  <r>
    <s v="SYN1274"/>
    <n v="62"/>
    <x v="1"/>
    <n v="30"/>
    <n v="91"/>
    <n v="9.3240000000000003E-2"/>
    <n v="0"/>
    <x v="7"/>
    <x v="3"/>
    <n v="9.3240000000000003E-2"/>
  </r>
  <r>
    <s v="SYN1275"/>
    <n v="22"/>
    <x v="1"/>
    <n v="26"/>
    <n v="47"/>
    <n v="1.6000000000000001E-3"/>
    <n v="0"/>
    <x v="3"/>
    <x v="1"/>
    <n v="1.6000000000000001E-3"/>
  </r>
  <r>
    <s v="SYN1276"/>
    <n v="34"/>
    <x v="0"/>
    <n v="20"/>
    <n v="53"/>
    <n v="3.2599999999999999E-3"/>
    <n v="0"/>
    <x v="2"/>
    <x v="1"/>
    <n v="3.2599999999999999E-3"/>
  </r>
  <r>
    <s v="SYN1277"/>
    <n v="35"/>
    <x v="0"/>
    <n v="21"/>
    <n v="55"/>
    <n v="3.9699999999999996E-3"/>
    <n v="0"/>
    <x v="2"/>
    <x v="1"/>
    <n v="3.9699999999999996E-3"/>
  </r>
  <r>
    <s v="SYN1278"/>
    <n v="37"/>
    <x v="0"/>
    <n v="25"/>
    <n v="61"/>
    <n v="7.0200000000000002E-3"/>
    <n v="0"/>
    <x v="0"/>
    <x v="1"/>
    <n v="7.0200000000000002E-3"/>
  </r>
  <r>
    <s v="SYN1279"/>
    <n v="45"/>
    <x v="0"/>
    <n v="19"/>
    <n v="63"/>
    <n v="8.4899999999999993E-3"/>
    <n v="0"/>
    <x v="0"/>
    <x v="2"/>
    <n v="8.4899999999999993E-3"/>
  </r>
  <r>
    <s v="SYN1280"/>
    <n v="65"/>
    <x v="1"/>
    <n v="3"/>
    <n v="67"/>
    <n v="4.6100000000000004E-3"/>
    <n v="0"/>
    <x v="0"/>
    <x v="0"/>
    <n v="4.6100000000000004E-3"/>
  </r>
  <r>
    <s v="SYN1281"/>
    <n v="55"/>
    <x v="1"/>
    <n v="30"/>
    <n v="84"/>
    <n v="3.986E-2"/>
    <n v="0"/>
    <x v="4"/>
    <x v="3"/>
    <n v="3.986E-2"/>
  </r>
  <r>
    <s v="SYN1282"/>
    <n v="37"/>
    <x v="1"/>
    <n v="8"/>
    <n v="44"/>
    <n v="8.1999999999999998E-4"/>
    <n v="0"/>
    <x v="3"/>
    <x v="0"/>
    <n v="8.1999999999999998E-4"/>
  </r>
  <r>
    <s v="SYN1283"/>
    <n v="45"/>
    <x v="0"/>
    <n v="19"/>
    <n v="63"/>
    <n v="8.4899999999999993E-3"/>
    <n v="0"/>
    <x v="0"/>
    <x v="2"/>
    <n v="8.4899999999999993E-3"/>
  </r>
  <r>
    <s v="SYN1284"/>
    <n v="52"/>
    <x v="1"/>
    <n v="4"/>
    <n v="55"/>
    <n v="1.8699999999999999E-3"/>
    <n v="0"/>
    <x v="2"/>
    <x v="0"/>
    <n v="1.8699999999999999E-3"/>
  </r>
  <r>
    <s v="SYN1285"/>
    <n v="41"/>
    <x v="1"/>
    <n v="4"/>
    <n v="44"/>
    <n v="6.7000000000000002E-4"/>
    <n v="0"/>
    <x v="3"/>
    <x v="0"/>
    <n v="6.7000000000000002E-4"/>
  </r>
  <r>
    <s v="SYN1286"/>
    <n v="54"/>
    <x v="1"/>
    <n v="27"/>
    <n v="80"/>
    <n v="3.569E-2"/>
    <n v="0"/>
    <x v="4"/>
    <x v="1"/>
    <n v="3.569E-2"/>
  </r>
  <r>
    <s v="SYN1287"/>
    <n v="48"/>
    <x v="1"/>
    <n v="13"/>
    <n v="60"/>
    <n v="4.45E-3"/>
    <n v="0"/>
    <x v="0"/>
    <x v="2"/>
    <n v="4.45E-3"/>
  </r>
  <r>
    <s v="SYN1288"/>
    <n v="41"/>
    <x v="0"/>
    <n v="25"/>
    <n v="65"/>
    <n v="1.057E-2"/>
    <n v="0"/>
    <x v="0"/>
    <x v="1"/>
    <n v="1.057E-2"/>
  </r>
  <r>
    <s v="SYN1289"/>
    <n v="57"/>
    <x v="0"/>
    <n v="28"/>
    <n v="84"/>
    <n v="6.3329999999999997E-2"/>
    <n v="0"/>
    <x v="4"/>
    <x v="1"/>
    <n v="6.3329999999999997E-2"/>
  </r>
  <r>
    <s v="SYN1290"/>
    <n v="24"/>
    <x v="1"/>
    <n v="13"/>
    <n v="36"/>
    <n v="6.2E-4"/>
    <n v="0"/>
    <x v="1"/>
    <x v="2"/>
    <n v="6.2E-4"/>
  </r>
  <r>
    <s v="SYN1291"/>
    <n v="63"/>
    <x v="0"/>
    <n v="23"/>
    <n v="85"/>
    <n v="9.1270000000000004E-2"/>
    <n v="0"/>
    <x v="4"/>
    <x v="1"/>
    <n v="9.1270000000000004E-2"/>
  </r>
  <r>
    <s v="SYN1292"/>
    <n v="42"/>
    <x v="1"/>
    <n v="17"/>
    <n v="58"/>
    <n v="3.81E-3"/>
    <n v="0"/>
    <x v="2"/>
    <x v="2"/>
    <n v="3.81E-3"/>
  </r>
  <r>
    <s v="SYN1293"/>
    <n v="36"/>
    <x v="0"/>
    <n v="8"/>
    <n v="43"/>
    <n v="1.1000000000000001E-3"/>
    <n v="0"/>
    <x v="3"/>
    <x v="0"/>
    <n v="1.1000000000000001E-3"/>
  </r>
  <r>
    <s v="SYN1294"/>
    <n v="41"/>
    <x v="1"/>
    <n v="3"/>
    <n v="43"/>
    <n v="5.1999999999999995E-4"/>
    <n v="0"/>
    <x v="3"/>
    <x v="0"/>
    <n v="5.1999999999999995E-4"/>
  </r>
  <r>
    <s v="SYN1295"/>
    <n v="40"/>
    <x v="0"/>
    <n v="12"/>
    <n v="51"/>
    <n v="2.3400000000000001E-3"/>
    <n v="0"/>
    <x v="2"/>
    <x v="2"/>
    <n v="2.3400000000000001E-3"/>
  </r>
  <r>
    <s v="SYN1296"/>
    <n v="31"/>
    <x v="1"/>
    <n v="24"/>
    <n v="54"/>
    <n v="2.82E-3"/>
    <n v="0"/>
    <x v="2"/>
    <x v="1"/>
    <n v="2.82E-3"/>
  </r>
  <r>
    <s v="SYN1297"/>
    <n v="51"/>
    <x v="0"/>
    <n v="24"/>
    <n v="74"/>
    <n v="2.6859999999999998E-2"/>
    <n v="0"/>
    <x v="5"/>
    <x v="1"/>
    <n v="2.6859999999999998E-2"/>
  </r>
  <r>
    <s v="SYN1298"/>
    <n v="36"/>
    <x v="0"/>
    <n v="7"/>
    <n v="42"/>
    <n v="9.5E-4"/>
    <n v="0"/>
    <x v="3"/>
    <x v="0"/>
    <n v="9.5E-4"/>
  </r>
  <r>
    <s v="SYN1299"/>
    <n v="59"/>
    <x v="0"/>
    <n v="12"/>
    <n v="70"/>
    <n v="1.6310000000000002E-2"/>
    <n v="0"/>
    <x v="5"/>
    <x v="2"/>
    <n v="1.6310000000000002E-2"/>
  </r>
  <r>
    <s v="SYN1300"/>
    <n v="25"/>
    <x v="1"/>
    <n v="22"/>
    <n v="46"/>
    <n v="1.49E-3"/>
    <n v="0"/>
    <x v="3"/>
    <x v="1"/>
    <n v="1.49E-3"/>
  </r>
  <r>
    <s v="SYN1301"/>
    <n v="20"/>
    <x v="1"/>
    <n v="25"/>
    <n v="44"/>
    <n v="1.33E-3"/>
    <n v="0"/>
    <x v="3"/>
    <x v="1"/>
    <n v="1.33E-3"/>
  </r>
  <r>
    <s v="SYN1302"/>
    <n v="50"/>
    <x v="1"/>
    <n v="12"/>
    <n v="61"/>
    <n v="4.62E-3"/>
    <n v="0"/>
    <x v="0"/>
    <x v="2"/>
    <n v="4.62E-3"/>
  </r>
  <r>
    <s v="SYN1303"/>
    <n v="56"/>
    <x v="0"/>
    <n v="28"/>
    <n v="83"/>
    <n v="5.6829999999999999E-2"/>
    <n v="0"/>
    <x v="4"/>
    <x v="1"/>
    <n v="5.6829999999999999E-2"/>
  </r>
  <r>
    <s v="SYN1304"/>
    <n v="52"/>
    <x v="0"/>
    <n v="9"/>
    <n v="60"/>
    <n v="5.7299999999999999E-3"/>
    <n v="0"/>
    <x v="0"/>
    <x v="0"/>
    <n v="5.7299999999999999E-3"/>
  </r>
  <r>
    <s v="SYN1305"/>
    <n v="28"/>
    <x v="1"/>
    <n v="2"/>
    <n v="29"/>
    <n v="1.7000000000000001E-4"/>
    <n v="0"/>
    <x v="6"/>
    <x v="0"/>
    <n v="1.7000000000000001E-4"/>
  </r>
  <r>
    <s v="SYN1306"/>
    <n v="54"/>
    <x v="1"/>
    <n v="2"/>
    <n v="55"/>
    <n v="1.2199999999999999E-3"/>
    <n v="0"/>
    <x v="2"/>
    <x v="0"/>
    <n v="1.2199999999999999E-3"/>
  </r>
  <r>
    <s v="SYN1307"/>
    <n v="63"/>
    <x v="0"/>
    <n v="25"/>
    <n v="87"/>
    <n v="0.11724"/>
    <n v="0"/>
    <x v="4"/>
    <x v="1"/>
    <n v="0.11724"/>
  </r>
  <r>
    <s v="SYN1308"/>
    <n v="64"/>
    <x v="0"/>
    <n v="17"/>
    <n v="80"/>
    <n v="4.863E-2"/>
    <n v="0"/>
    <x v="4"/>
    <x v="2"/>
    <n v="4.863E-2"/>
  </r>
  <r>
    <s v="SYN1309"/>
    <n v="20"/>
    <x v="0"/>
    <n v="22"/>
    <n v="41"/>
    <n v="1.92E-3"/>
    <n v="0"/>
    <x v="3"/>
    <x v="1"/>
    <n v="1.92E-3"/>
  </r>
  <r>
    <s v="SYN1310"/>
    <n v="40"/>
    <x v="1"/>
    <n v="12"/>
    <n v="51"/>
    <n v="1.8500000000000001E-3"/>
    <n v="0"/>
    <x v="2"/>
    <x v="2"/>
    <n v="1.8500000000000001E-3"/>
  </r>
  <r>
    <s v="SYN1311"/>
    <n v="55"/>
    <x v="0"/>
    <n v="9"/>
    <n v="63"/>
    <n v="7.9900000000000006E-3"/>
    <n v="0"/>
    <x v="0"/>
    <x v="0"/>
    <n v="7.9900000000000006E-3"/>
  </r>
  <r>
    <s v="SYN1312"/>
    <n v="59"/>
    <x v="0"/>
    <n v="11"/>
    <n v="69"/>
    <n v="1.426E-2"/>
    <n v="0"/>
    <x v="0"/>
    <x v="2"/>
    <n v="1.426E-2"/>
  </r>
  <r>
    <s v="SYN1313"/>
    <n v="33"/>
    <x v="1"/>
    <n v="14"/>
    <n v="46"/>
    <n v="1.24E-3"/>
    <n v="0"/>
    <x v="3"/>
    <x v="2"/>
    <n v="1.24E-3"/>
  </r>
  <r>
    <s v="SYN1314"/>
    <n v="45"/>
    <x v="0"/>
    <n v="9"/>
    <n v="53"/>
    <n v="2.63E-3"/>
    <n v="0"/>
    <x v="2"/>
    <x v="0"/>
    <n v="2.63E-3"/>
  </r>
  <r>
    <s v="SYN1315"/>
    <n v="56"/>
    <x v="0"/>
    <n v="22"/>
    <n v="77"/>
    <n v="3.7039999999999997E-2"/>
    <n v="0"/>
    <x v="5"/>
    <x v="1"/>
    <n v="3.7039999999999997E-2"/>
  </r>
  <r>
    <s v="SYN1316"/>
    <n v="37"/>
    <x v="0"/>
    <n v="26"/>
    <n v="62"/>
    <n v="7.79E-3"/>
    <n v="0"/>
    <x v="0"/>
    <x v="1"/>
    <n v="7.79E-3"/>
  </r>
  <r>
    <s v="SYN1317"/>
    <n v="44"/>
    <x v="0"/>
    <n v="7"/>
    <n v="50"/>
    <n v="1.83E-3"/>
    <n v="0"/>
    <x v="2"/>
    <x v="0"/>
    <n v="1.83E-3"/>
  </r>
  <r>
    <s v="SYN1318"/>
    <n v="29"/>
    <x v="1"/>
    <n v="16"/>
    <n v="44"/>
    <n v="1.15E-3"/>
    <n v="0"/>
    <x v="3"/>
    <x v="2"/>
    <n v="1.15E-3"/>
  </r>
  <r>
    <s v="SYN1319"/>
    <n v="51"/>
    <x v="1"/>
    <n v="5"/>
    <n v="55"/>
    <n v="1.99E-3"/>
    <n v="0"/>
    <x v="2"/>
    <x v="0"/>
    <n v="1.99E-3"/>
  </r>
  <r>
    <s v="SYN1320"/>
    <n v="53"/>
    <x v="1"/>
    <n v="18"/>
    <n v="70"/>
    <n v="1.302E-2"/>
    <n v="0"/>
    <x v="5"/>
    <x v="2"/>
    <n v="1.302E-2"/>
  </r>
  <r>
    <s v="SYN1321"/>
    <n v="39"/>
    <x v="1"/>
    <n v="9"/>
    <n v="47"/>
    <n v="1.1100000000000001E-3"/>
    <n v="0"/>
    <x v="3"/>
    <x v="0"/>
    <n v="1.1100000000000001E-3"/>
  </r>
  <r>
    <s v="SYN1322"/>
    <n v="45"/>
    <x v="1"/>
    <n v="4"/>
    <n v="48"/>
    <n v="9.7999999999999997E-4"/>
    <n v="0"/>
    <x v="3"/>
    <x v="0"/>
    <n v="9.7999999999999997E-4"/>
  </r>
  <r>
    <s v="SYN1323"/>
    <n v="36"/>
    <x v="1"/>
    <n v="16"/>
    <n v="51"/>
    <n v="1.9400000000000001E-3"/>
    <n v="0"/>
    <x v="2"/>
    <x v="2"/>
    <n v="1.9400000000000001E-3"/>
  </r>
  <r>
    <s v="SYN1324"/>
    <n v="41"/>
    <x v="0"/>
    <n v="9"/>
    <n v="49"/>
    <n v="1.82E-3"/>
    <n v="0"/>
    <x v="3"/>
    <x v="0"/>
    <n v="1.82E-3"/>
  </r>
  <r>
    <s v="SYN1325"/>
    <n v="36"/>
    <x v="0"/>
    <n v="12"/>
    <n v="47"/>
    <n v="1.6299999999999999E-3"/>
    <n v="0"/>
    <x v="3"/>
    <x v="2"/>
    <n v="1.6299999999999999E-3"/>
  </r>
  <r>
    <s v="SYN1326"/>
    <n v="63"/>
    <x v="0"/>
    <n v="20"/>
    <n v="82"/>
    <n v="6.3060000000000005E-2"/>
    <n v="0"/>
    <x v="4"/>
    <x v="1"/>
    <n v="6.3060000000000005E-2"/>
  </r>
  <r>
    <s v="SYN1327"/>
    <n v="61"/>
    <x v="0"/>
    <n v="18"/>
    <n v="78"/>
    <n v="4.0219999999999999E-2"/>
    <n v="0"/>
    <x v="5"/>
    <x v="2"/>
    <n v="4.0219999999999999E-2"/>
  </r>
  <r>
    <s v="SYN1328"/>
    <n v="42"/>
    <x v="1"/>
    <n v="11"/>
    <n v="52"/>
    <n v="1.9599999999999999E-3"/>
    <n v="0"/>
    <x v="2"/>
    <x v="2"/>
    <n v="1.9599999999999999E-3"/>
  </r>
  <r>
    <s v="SYN1329"/>
    <n v="48"/>
    <x v="0"/>
    <n v="29"/>
    <n v="76"/>
    <n v="2.3939999999999999E-2"/>
    <n v="0"/>
    <x v="5"/>
    <x v="1"/>
    <n v="2.3939999999999999E-2"/>
  </r>
  <r>
    <s v="SYN1330"/>
    <n v="49"/>
    <x v="1"/>
    <n v="21"/>
    <n v="69"/>
    <n v="1.2659999999999999E-2"/>
    <n v="0"/>
    <x v="0"/>
    <x v="1"/>
    <n v="1.2659999999999999E-2"/>
  </r>
  <r>
    <s v="SYN1331"/>
    <n v="60"/>
    <x v="1"/>
    <n v="26"/>
    <n v="85"/>
    <n v="7.2980000000000003E-2"/>
    <n v="0"/>
    <x v="4"/>
    <x v="1"/>
    <n v="7.2980000000000003E-2"/>
  </r>
  <r>
    <s v="SYN1332"/>
    <n v="59"/>
    <x v="0"/>
    <n v="19"/>
    <n v="77"/>
    <n v="3.6740000000000002E-2"/>
    <n v="0"/>
    <x v="5"/>
    <x v="2"/>
    <n v="3.6740000000000002E-2"/>
  </r>
  <r>
    <s v="SYN1333"/>
    <n v="25"/>
    <x v="0"/>
    <n v="6"/>
    <n v="30"/>
    <n v="4.4000000000000002E-4"/>
    <n v="0"/>
    <x v="1"/>
    <x v="0"/>
    <n v="4.4000000000000002E-4"/>
  </r>
  <r>
    <s v="SYN1334"/>
    <n v="61"/>
    <x v="1"/>
    <n v="10"/>
    <n v="70"/>
    <n v="9.0100000000000006E-3"/>
    <n v="0"/>
    <x v="5"/>
    <x v="2"/>
    <n v="9.0100000000000006E-3"/>
  </r>
  <r>
    <s v="SYN1335"/>
    <n v="45"/>
    <x v="1"/>
    <n v="9"/>
    <n v="53"/>
    <n v="1.9499999999999999E-3"/>
    <n v="0"/>
    <x v="2"/>
    <x v="0"/>
    <n v="1.9499999999999999E-3"/>
  </r>
  <r>
    <s v="SYN1336"/>
    <n v="43"/>
    <x v="1"/>
    <n v="24"/>
    <n v="66"/>
    <n v="9.2399999999999999E-3"/>
    <n v="0"/>
    <x v="0"/>
    <x v="1"/>
    <n v="9.2399999999999999E-3"/>
  </r>
  <r>
    <s v="SYN1337"/>
    <n v="46"/>
    <x v="0"/>
    <n v="6"/>
    <n v="51"/>
    <n v="1.9300000000000001E-3"/>
    <n v="0"/>
    <x v="2"/>
    <x v="0"/>
    <n v="1.9300000000000001E-3"/>
  </r>
  <r>
    <s v="SYN1338"/>
    <n v="35"/>
    <x v="0"/>
    <n v="22"/>
    <n v="56"/>
    <n v="4.3899999999999998E-3"/>
    <n v="0"/>
    <x v="2"/>
    <x v="1"/>
    <n v="4.3899999999999998E-3"/>
  </r>
  <r>
    <s v="SYN1339"/>
    <n v="25"/>
    <x v="0"/>
    <n v="7"/>
    <n v="31"/>
    <n v="4.8000000000000001E-4"/>
    <n v="0"/>
    <x v="1"/>
    <x v="0"/>
    <n v="4.8000000000000001E-4"/>
  </r>
  <r>
    <s v="SYN1340"/>
    <n v="24"/>
    <x v="1"/>
    <n v="30"/>
    <n v="53"/>
    <n v="1.8699999999999999E-3"/>
    <n v="0"/>
    <x v="2"/>
    <x v="3"/>
    <n v="1.8699999999999999E-3"/>
  </r>
  <r>
    <s v="SYN1341"/>
    <n v="21"/>
    <x v="0"/>
    <n v="25"/>
    <n v="45"/>
    <n v="2.4299999999999999E-3"/>
    <n v="0"/>
    <x v="3"/>
    <x v="1"/>
    <n v="2.4299999999999999E-3"/>
  </r>
  <r>
    <s v="SYN1342"/>
    <n v="25"/>
    <x v="0"/>
    <n v="4"/>
    <n v="28"/>
    <n v="4.0999999999999999E-4"/>
    <n v="0"/>
    <x v="6"/>
    <x v="0"/>
    <n v="4.0999999999999999E-4"/>
  </r>
  <r>
    <s v="SYN1343"/>
    <n v="61"/>
    <x v="1"/>
    <n v="30"/>
    <n v="90"/>
    <n v="8.2710000000000006E-2"/>
    <n v="0"/>
    <x v="7"/>
    <x v="3"/>
    <n v="8.2710000000000006E-2"/>
  </r>
  <r>
    <s v="SYN1344"/>
    <n v="35"/>
    <x v="0"/>
    <n v="24"/>
    <n v="58"/>
    <n v="5.2199999999999998E-3"/>
    <n v="0"/>
    <x v="2"/>
    <x v="1"/>
    <n v="5.2199999999999998E-3"/>
  </r>
  <r>
    <s v="SYN1345"/>
    <n v="28"/>
    <x v="1"/>
    <n v="17"/>
    <n v="44"/>
    <n v="1.1800000000000001E-3"/>
    <n v="0"/>
    <x v="3"/>
    <x v="2"/>
    <n v="1.1800000000000001E-3"/>
  </r>
  <r>
    <s v="SYN1346"/>
    <n v="62"/>
    <x v="1"/>
    <n v="12"/>
    <n v="73"/>
    <n v="1.3679999999999999E-2"/>
    <n v="0"/>
    <x v="5"/>
    <x v="2"/>
    <n v="1.3679999999999999E-2"/>
  </r>
  <r>
    <s v="SYN1347"/>
    <n v="50"/>
    <x v="1"/>
    <n v="15"/>
    <n v="64"/>
    <n v="6.8599999999999998E-3"/>
    <n v="0"/>
    <x v="0"/>
    <x v="2"/>
    <n v="6.8599999999999998E-3"/>
  </r>
  <r>
    <s v="SYN1348"/>
    <n v="37"/>
    <x v="0"/>
    <n v="18"/>
    <n v="54"/>
    <n v="3.4199999999999999E-3"/>
    <n v="0"/>
    <x v="2"/>
    <x v="2"/>
    <n v="3.4199999999999999E-3"/>
  </r>
  <r>
    <s v="SYN1349"/>
    <n v="64"/>
    <x v="0"/>
    <n v="18"/>
    <n v="81"/>
    <n v="5.5329999999999997E-2"/>
    <n v="0"/>
    <x v="4"/>
    <x v="2"/>
    <n v="5.5329999999999997E-2"/>
  </r>
  <r>
    <s v="SYN1350"/>
    <n v="60"/>
    <x v="1"/>
    <n v="24"/>
    <n v="83"/>
    <n v="5.704E-2"/>
    <n v="0"/>
    <x v="4"/>
    <x v="1"/>
    <n v="5.704E-2"/>
  </r>
  <r>
    <s v="SYN1351"/>
    <n v="53"/>
    <x v="1"/>
    <n v="21"/>
    <n v="73"/>
    <n v="1.8970000000000001E-2"/>
    <n v="0"/>
    <x v="5"/>
    <x v="1"/>
    <n v="1.8970000000000001E-2"/>
  </r>
  <r>
    <s v="SYN1352"/>
    <n v="42"/>
    <x v="1"/>
    <n v="16"/>
    <n v="57"/>
    <n v="3.4099999999999998E-3"/>
    <n v="0"/>
    <x v="2"/>
    <x v="2"/>
    <n v="3.4099999999999998E-3"/>
  </r>
  <r>
    <s v="SYN1353"/>
    <n v="48"/>
    <x v="0"/>
    <n v="10"/>
    <n v="57"/>
    <n v="4.1000000000000003E-3"/>
    <n v="0"/>
    <x v="2"/>
    <x v="2"/>
    <n v="4.1000000000000003E-3"/>
  </r>
  <r>
    <s v="SYN1354"/>
    <n v="39"/>
    <x v="0"/>
    <n v="1"/>
    <n v="39"/>
    <n v="2.9E-4"/>
    <n v="0"/>
    <x v="1"/>
    <x v="0"/>
    <n v="2.9E-4"/>
  </r>
  <r>
    <s v="SYN1355"/>
    <n v="28"/>
    <x v="0"/>
    <n v="12"/>
    <n v="39"/>
    <n v="9.7999999999999997E-4"/>
    <n v="0"/>
    <x v="1"/>
    <x v="2"/>
    <n v="9.7999999999999997E-4"/>
  </r>
  <r>
    <s v="SYN1356"/>
    <n v="64"/>
    <x v="0"/>
    <n v="30"/>
    <n v="93"/>
    <n v="0.14893999999999999"/>
    <n v="0"/>
    <x v="7"/>
    <x v="3"/>
    <n v="0.14893999999999999"/>
  </r>
  <r>
    <s v="SYN1357"/>
    <n v="39"/>
    <x v="1"/>
    <n v="1"/>
    <n v="39"/>
    <n v="2.2000000000000001E-4"/>
    <n v="0"/>
    <x v="1"/>
    <x v="0"/>
    <n v="2.2000000000000001E-4"/>
  </r>
  <r>
    <s v="SYN1358"/>
    <n v="58"/>
    <x v="1"/>
    <n v="8"/>
    <n v="65"/>
    <n v="5.9300000000000004E-3"/>
    <n v="0"/>
    <x v="0"/>
    <x v="0"/>
    <n v="5.9300000000000004E-3"/>
  </r>
  <r>
    <s v="SYN1359"/>
    <n v="32"/>
    <x v="1"/>
    <n v="14"/>
    <n v="45"/>
    <n v="1.15E-3"/>
    <n v="0"/>
    <x v="3"/>
    <x v="2"/>
    <n v="1.15E-3"/>
  </r>
  <r>
    <s v="SYN1360"/>
    <n v="35"/>
    <x v="1"/>
    <n v="6"/>
    <n v="40"/>
    <n v="5.9000000000000003E-4"/>
    <n v="0"/>
    <x v="3"/>
    <x v="0"/>
    <n v="5.9000000000000003E-4"/>
  </r>
  <r>
    <s v="SYN1361"/>
    <n v="44"/>
    <x v="0"/>
    <n v="8"/>
    <n v="51"/>
    <n v="2.1099999999999999E-3"/>
    <n v="0"/>
    <x v="2"/>
    <x v="0"/>
    <n v="2.1099999999999999E-3"/>
  </r>
  <r>
    <s v="SYN1362"/>
    <n v="35"/>
    <x v="1"/>
    <n v="17"/>
    <n v="51"/>
    <n v="1.9599999999999999E-3"/>
    <n v="0"/>
    <x v="2"/>
    <x v="2"/>
    <n v="1.9599999999999999E-3"/>
  </r>
  <r>
    <s v="SYN1363"/>
    <n v="64"/>
    <x v="0"/>
    <n v="22"/>
    <n v="85"/>
    <n v="9.1270000000000004E-2"/>
    <n v="0"/>
    <x v="4"/>
    <x v="1"/>
    <n v="9.1270000000000004E-2"/>
  </r>
  <r>
    <s v="SYN1364"/>
    <n v="54"/>
    <x v="0"/>
    <n v="26"/>
    <n v="79"/>
    <n v="4.5769999999999998E-2"/>
    <n v="0"/>
    <x v="5"/>
    <x v="1"/>
    <n v="4.5769999999999998E-2"/>
  </r>
  <r>
    <s v="SYN1365"/>
    <n v="24"/>
    <x v="0"/>
    <n v="6"/>
    <n v="29"/>
    <n v="4.6999999999999999E-4"/>
    <n v="0"/>
    <x v="6"/>
    <x v="0"/>
    <n v="4.6999999999999999E-4"/>
  </r>
  <r>
    <s v="SYN1366"/>
    <n v="49"/>
    <x v="0"/>
    <n v="20"/>
    <n v="68"/>
    <n v="1.3780000000000001E-2"/>
    <n v="0"/>
    <x v="0"/>
    <x v="1"/>
    <n v="1.3780000000000001E-2"/>
  </r>
  <r>
    <s v="SYN1367"/>
    <n v="51"/>
    <x v="0"/>
    <n v="7"/>
    <n v="57"/>
    <n v="3.6900000000000001E-3"/>
    <n v="0"/>
    <x v="2"/>
    <x v="0"/>
    <n v="3.6900000000000001E-3"/>
  </r>
  <r>
    <s v="SYN1368"/>
    <n v="54"/>
    <x v="0"/>
    <n v="1"/>
    <n v="54"/>
    <n v="1.01E-3"/>
    <n v="0"/>
    <x v="2"/>
    <x v="0"/>
    <n v="1.01E-3"/>
  </r>
  <r>
    <s v="SYN1369"/>
    <n v="37"/>
    <x v="1"/>
    <n v="5"/>
    <n v="41"/>
    <n v="6.3000000000000003E-4"/>
    <n v="0"/>
    <x v="3"/>
    <x v="0"/>
    <n v="6.3000000000000003E-4"/>
  </r>
  <r>
    <s v="SYN1370"/>
    <n v="34"/>
    <x v="0"/>
    <n v="3"/>
    <n v="36"/>
    <n v="4.6999999999999999E-4"/>
    <n v="0"/>
    <x v="1"/>
    <x v="0"/>
    <n v="4.6999999999999999E-4"/>
  </r>
  <r>
    <s v="SYN1371"/>
    <n v="41"/>
    <x v="0"/>
    <n v="14"/>
    <n v="54"/>
    <n v="3.2499999999999999E-3"/>
    <n v="0"/>
    <x v="2"/>
    <x v="2"/>
    <n v="3.2499999999999999E-3"/>
  </r>
  <r>
    <s v="SYN1372"/>
    <n v="43"/>
    <x v="1"/>
    <n v="15"/>
    <n v="57"/>
    <n v="3.3700000000000002E-3"/>
    <n v="0"/>
    <x v="2"/>
    <x v="2"/>
    <n v="3.3700000000000002E-3"/>
  </r>
  <r>
    <s v="SYN1373"/>
    <n v="25"/>
    <x v="1"/>
    <n v="27"/>
    <n v="51"/>
    <n v="2.0200000000000001E-3"/>
    <n v="0"/>
    <x v="2"/>
    <x v="1"/>
    <n v="2.0200000000000001E-3"/>
  </r>
  <r>
    <s v="SYN1374"/>
    <n v="37"/>
    <x v="0"/>
    <n v="25"/>
    <n v="61"/>
    <n v="7.0200000000000002E-3"/>
    <n v="0"/>
    <x v="0"/>
    <x v="1"/>
    <n v="7.0200000000000002E-3"/>
  </r>
  <r>
    <s v="SYN1375"/>
    <n v="31"/>
    <x v="1"/>
    <n v="7"/>
    <n v="37"/>
    <n v="4.8000000000000001E-4"/>
    <n v="0"/>
    <x v="1"/>
    <x v="0"/>
    <n v="4.8000000000000001E-4"/>
  </r>
  <r>
    <s v="SYN1376"/>
    <n v="44"/>
    <x v="0"/>
    <n v="27"/>
    <n v="70"/>
    <n v="1.553E-2"/>
    <n v="0"/>
    <x v="5"/>
    <x v="1"/>
    <n v="1.553E-2"/>
  </r>
  <r>
    <s v="SYN1377"/>
    <n v="65"/>
    <x v="0"/>
    <n v="8"/>
    <n v="72"/>
    <n v="1.4579999999999999E-2"/>
    <n v="0"/>
    <x v="5"/>
    <x v="0"/>
    <n v="1.4579999999999999E-2"/>
  </r>
  <r>
    <s v="SYN1378"/>
    <n v="35"/>
    <x v="1"/>
    <n v="24"/>
    <n v="58"/>
    <n v="4.0499999999999998E-3"/>
    <n v="0"/>
    <x v="2"/>
    <x v="1"/>
    <n v="4.0499999999999998E-3"/>
  </r>
  <r>
    <s v="SYN1379"/>
    <n v="26"/>
    <x v="1"/>
    <n v="17"/>
    <n v="42"/>
    <n v="1.08E-3"/>
    <n v="0"/>
    <x v="3"/>
    <x v="2"/>
    <n v="1.08E-3"/>
  </r>
  <r>
    <s v="SYN1380"/>
    <n v="44"/>
    <x v="1"/>
    <n v="22"/>
    <n v="65"/>
    <n v="8.3099999999999997E-3"/>
    <n v="0"/>
    <x v="0"/>
    <x v="1"/>
    <n v="8.3099999999999997E-3"/>
  </r>
  <r>
    <s v="SYN1381"/>
    <n v="30"/>
    <x v="1"/>
    <n v="21"/>
    <n v="50"/>
    <n v="2.0200000000000001E-3"/>
    <n v="0"/>
    <x v="2"/>
    <x v="1"/>
    <n v="2.0200000000000001E-3"/>
  </r>
  <r>
    <s v="SYN1382"/>
    <n v="55"/>
    <x v="0"/>
    <n v="17"/>
    <n v="71"/>
    <n v="1.8769999999999998E-2"/>
    <n v="0"/>
    <x v="5"/>
    <x v="2"/>
    <n v="1.8769999999999998E-2"/>
  </r>
  <r>
    <s v="SYN1383"/>
    <n v="39"/>
    <x v="0"/>
    <n v="7"/>
    <n v="45"/>
    <n v="1.16E-3"/>
    <n v="0"/>
    <x v="3"/>
    <x v="0"/>
    <n v="1.16E-3"/>
  </r>
  <r>
    <s v="SYN1384"/>
    <n v="62"/>
    <x v="1"/>
    <n v="7"/>
    <n v="68"/>
    <n v="7.0200000000000002E-3"/>
    <n v="0"/>
    <x v="0"/>
    <x v="0"/>
    <n v="7.0200000000000002E-3"/>
  </r>
  <r>
    <s v="SYN1385"/>
    <n v="47"/>
    <x v="0"/>
    <n v="11"/>
    <n v="57"/>
    <n v="4.1900000000000001E-3"/>
    <n v="0"/>
    <x v="2"/>
    <x v="2"/>
    <n v="4.1900000000000001E-3"/>
  </r>
  <r>
    <s v="SYN1386"/>
    <n v="57"/>
    <x v="0"/>
    <n v="4"/>
    <n v="60"/>
    <n v="4.6899999999999997E-3"/>
    <n v="0"/>
    <x v="0"/>
    <x v="0"/>
    <n v="4.6899999999999997E-3"/>
  </r>
  <r>
    <s v="SYN1387"/>
    <n v="22"/>
    <x v="1"/>
    <n v="19"/>
    <n v="40"/>
    <n v="1.1000000000000001E-3"/>
    <n v="0"/>
    <x v="3"/>
    <x v="2"/>
    <n v="1.1000000000000001E-3"/>
  </r>
  <r>
    <s v="SYN1388"/>
    <n v="58"/>
    <x v="0"/>
    <n v="5"/>
    <n v="62"/>
    <n v="5.8500000000000002E-3"/>
    <n v="0"/>
    <x v="0"/>
    <x v="0"/>
    <n v="5.8500000000000002E-3"/>
  </r>
  <r>
    <s v="SYN1389"/>
    <n v="30"/>
    <x v="0"/>
    <n v="16"/>
    <n v="45"/>
    <n v="1.67E-3"/>
    <n v="0"/>
    <x v="3"/>
    <x v="2"/>
    <n v="1.67E-3"/>
  </r>
  <r>
    <s v="SYN1390"/>
    <n v="60"/>
    <x v="0"/>
    <n v="2"/>
    <n v="61"/>
    <n v="2.8600000000000001E-3"/>
    <n v="0"/>
    <x v="0"/>
    <x v="0"/>
    <n v="2.8600000000000001E-3"/>
  </r>
  <r>
    <s v="SYN1391"/>
    <n v="64"/>
    <x v="1"/>
    <n v="18"/>
    <n v="81"/>
    <n v="4.3799999999999999E-2"/>
    <n v="0"/>
    <x v="4"/>
    <x v="2"/>
    <n v="4.3799999999999999E-2"/>
  </r>
  <r>
    <s v="SYN1392"/>
    <n v="34"/>
    <x v="1"/>
    <n v="11"/>
    <n v="44"/>
    <n v="9.3000000000000005E-4"/>
    <n v="0"/>
    <x v="3"/>
    <x v="2"/>
    <n v="9.3000000000000005E-4"/>
  </r>
  <r>
    <s v="SYN1393"/>
    <n v="42"/>
    <x v="1"/>
    <n v="26"/>
    <n v="67"/>
    <n v="1.027E-2"/>
    <n v="0"/>
    <x v="0"/>
    <x v="1"/>
    <n v="1.027E-2"/>
  </r>
  <r>
    <s v="SYN1394"/>
    <n v="21"/>
    <x v="0"/>
    <n v="23"/>
    <n v="43"/>
    <n v="2.14E-3"/>
    <n v="0"/>
    <x v="3"/>
    <x v="1"/>
    <n v="2.14E-3"/>
  </r>
  <r>
    <s v="SYN1395"/>
    <n v="36"/>
    <x v="0"/>
    <n v="29"/>
    <n v="64"/>
    <n v="7.0200000000000002E-3"/>
    <n v="0"/>
    <x v="0"/>
    <x v="1"/>
    <n v="7.0200000000000002E-3"/>
  </r>
  <r>
    <s v="SYN1396"/>
    <n v="55"/>
    <x v="1"/>
    <n v="10"/>
    <n v="64"/>
    <n v="5.7999999999999996E-3"/>
    <n v="0"/>
    <x v="0"/>
    <x v="2"/>
    <n v="5.7999999999999996E-3"/>
  </r>
  <r>
    <s v="SYN1397"/>
    <n v="56"/>
    <x v="1"/>
    <n v="6"/>
    <n v="61"/>
    <n v="3.7599999999999999E-3"/>
    <n v="0"/>
    <x v="0"/>
    <x v="0"/>
    <n v="3.7599999999999999E-3"/>
  </r>
  <r>
    <s v="SYN1398"/>
    <n v="49"/>
    <x v="1"/>
    <n v="9"/>
    <n v="57"/>
    <n v="2.7499999999999998E-3"/>
    <n v="0"/>
    <x v="2"/>
    <x v="0"/>
    <n v="2.7499999999999998E-3"/>
  </r>
  <r>
    <s v="SYN1399"/>
    <n v="55"/>
    <x v="0"/>
    <n v="6"/>
    <n v="60"/>
    <n v="5.0899999999999999E-3"/>
    <n v="0"/>
    <x v="0"/>
    <x v="0"/>
    <n v="5.0899999999999999E-3"/>
  </r>
  <r>
    <s v="SYN1400"/>
    <n v="38"/>
    <x v="0"/>
    <n v="27"/>
    <n v="64"/>
    <n v="8.6599999999999993E-3"/>
    <n v="0"/>
    <x v="0"/>
    <x v="1"/>
    <n v="8.6599999999999993E-3"/>
  </r>
  <r>
    <s v="SYN1401"/>
    <n v="20"/>
    <x v="1"/>
    <n v="25"/>
    <n v="44"/>
    <n v="1.33E-3"/>
    <n v="0"/>
    <x v="3"/>
    <x v="1"/>
    <n v="1.33E-3"/>
  </r>
  <r>
    <s v="SYN1402"/>
    <n v="31"/>
    <x v="0"/>
    <n v="29"/>
    <n v="59"/>
    <n v="4.3899999999999998E-3"/>
    <n v="0"/>
    <x v="2"/>
    <x v="1"/>
    <n v="4.3899999999999998E-3"/>
  </r>
  <r>
    <s v="SYN1403"/>
    <n v="59"/>
    <x v="0"/>
    <n v="8"/>
    <n v="66"/>
    <n v="0.01"/>
    <n v="0"/>
    <x v="0"/>
    <x v="0"/>
    <n v="0.01"/>
  </r>
  <r>
    <s v="SYN1404"/>
    <n v="54"/>
    <x v="0"/>
    <n v="27"/>
    <n v="80"/>
    <n v="4.5769999999999998E-2"/>
    <n v="0"/>
    <x v="4"/>
    <x v="1"/>
    <n v="4.5769999999999998E-2"/>
  </r>
  <r>
    <s v="SYN1405"/>
    <n v="51"/>
    <x v="1"/>
    <n v="25"/>
    <n v="75"/>
    <n v="2.325E-2"/>
    <n v="0"/>
    <x v="5"/>
    <x v="1"/>
    <n v="2.325E-2"/>
  </r>
  <r>
    <s v="SYN1406"/>
    <n v="40"/>
    <x v="1"/>
    <n v="14"/>
    <n v="53"/>
    <n v="2.2799999999999999E-3"/>
    <n v="0"/>
    <x v="2"/>
    <x v="2"/>
    <n v="2.2799999999999999E-3"/>
  </r>
  <r>
    <s v="SYN1407"/>
    <n v="53"/>
    <x v="0"/>
    <n v="22"/>
    <n v="74"/>
    <n v="2.657E-2"/>
    <n v="0"/>
    <x v="5"/>
    <x v="1"/>
    <n v="2.657E-2"/>
  </r>
  <r>
    <s v="SYN1408"/>
    <n v="28"/>
    <x v="1"/>
    <n v="6"/>
    <n v="33"/>
    <n v="2.9999999999999997E-4"/>
    <n v="0"/>
    <x v="1"/>
    <x v="0"/>
    <n v="2.9999999999999997E-4"/>
  </r>
  <r>
    <s v="SYN1409"/>
    <n v="51"/>
    <x v="0"/>
    <n v="7"/>
    <n v="57"/>
    <n v="3.6900000000000001E-3"/>
    <n v="0"/>
    <x v="2"/>
    <x v="0"/>
    <n v="3.6900000000000001E-3"/>
  </r>
  <r>
    <s v="SYN1410"/>
    <n v="44"/>
    <x v="0"/>
    <n v="22"/>
    <n v="65"/>
    <n v="1.03E-2"/>
    <n v="0"/>
    <x v="0"/>
    <x v="1"/>
    <n v="1.03E-2"/>
  </r>
  <r>
    <s v="SYN1411"/>
    <n v="57"/>
    <x v="0"/>
    <n v="9"/>
    <n v="65"/>
    <n v="9.5200000000000007E-3"/>
    <n v="0"/>
    <x v="0"/>
    <x v="0"/>
    <n v="9.5200000000000007E-3"/>
  </r>
  <r>
    <s v="SYN1412"/>
    <n v="65"/>
    <x v="0"/>
    <n v="3"/>
    <n v="67"/>
    <n v="6.3400000000000001E-3"/>
    <n v="0"/>
    <x v="0"/>
    <x v="0"/>
    <n v="6.3400000000000001E-3"/>
  </r>
  <r>
    <s v="SYN1413"/>
    <n v="61"/>
    <x v="1"/>
    <n v="16"/>
    <n v="76"/>
    <n v="2.2679999999999999E-2"/>
    <n v="0"/>
    <x v="5"/>
    <x v="2"/>
    <n v="2.2679999999999999E-2"/>
  </r>
  <r>
    <s v="SYN1414"/>
    <n v="49"/>
    <x v="1"/>
    <n v="26"/>
    <n v="74"/>
    <n v="2.0979999999999999E-2"/>
    <n v="0"/>
    <x v="5"/>
    <x v="1"/>
    <n v="2.0979999999999999E-2"/>
  </r>
  <r>
    <s v="SYN1415"/>
    <n v="46"/>
    <x v="0"/>
    <n v="27"/>
    <n v="72"/>
    <n v="1.9089999999999999E-2"/>
    <n v="0"/>
    <x v="5"/>
    <x v="1"/>
    <n v="1.9089999999999999E-2"/>
  </r>
  <r>
    <s v="SYN1416"/>
    <n v="59"/>
    <x v="1"/>
    <n v="9"/>
    <n v="67"/>
    <n v="7.0400000000000003E-3"/>
    <n v="0"/>
    <x v="0"/>
    <x v="0"/>
    <n v="7.0400000000000003E-3"/>
  </r>
  <r>
    <s v="SYN1417"/>
    <n v="39"/>
    <x v="1"/>
    <n v="3"/>
    <n v="41"/>
    <n v="4.8000000000000001E-4"/>
    <n v="0"/>
    <x v="3"/>
    <x v="0"/>
    <n v="4.8000000000000001E-4"/>
  </r>
  <r>
    <s v="SYN1418"/>
    <n v="26"/>
    <x v="1"/>
    <n v="4"/>
    <n v="29"/>
    <n v="2.2000000000000001E-4"/>
    <n v="0"/>
    <x v="6"/>
    <x v="0"/>
    <n v="2.2000000000000001E-4"/>
  </r>
  <r>
    <s v="SYN1419"/>
    <n v="32"/>
    <x v="1"/>
    <n v="7"/>
    <n v="38"/>
    <n v="5.2999999999999998E-4"/>
    <n v="0"/>
    <x v="1"/>
    <x v="0"/>
    <n v="5.2999999999999998E-4"/>
  </r>
  <r>
    <s v="SYN1420"/>
    <n v="60"/>
    <x v="1"/>
    <n v="6"/>
    <n v="65"/>
    <n v="5.6299999999999996E-3"/>
    <n v="0"/>
    <x v="0"/>
    <x v="0"/>
    <n v="5.6299999999999996E-3"/>
  </r>
  <r>
    <s v="SYN1421"/>
    <n v="26"/>
    <x v="1"/>
    <n v="25"/>
    <n v="50"/>
    <n v="2.0200000000000001E-3"/>
    <n v="0"/>
    <x v="2"/>
    <x v="1"/>
    <n v="2.0200000000000001E-3"/>
  </r>
  <r>
    <s v="SYN1422"/>
    <n v="49"/>
    <x v="1"/>
    <n v="23"/>
    <n v="71"/>
    <n v="1.553E-2"/>
    <n v="0"/>
    <x v="5"/>
    <x v="1"/>
    <n v="1.553E-2"/>
  </r>
  <r>
    <s v="SYN1423"/>
    <n v="30"/>
    <x v="0"/>
    <n v="26"/>
    <n v="55"/>
    <n v="4.0499999999999998E-3"/>
    <n v="0"/>
    <x v="2"/>
    <x v="1"/>
    <n v="4.0499999999999998E-3"/>
  </r>
  <r>
    <s v="SYN1424"/>
    <n v="41"/>
    <x v="0"/>
    <n v="22"/>
    <n v="62"/>
    <n v="7.7400000000000004E-3"/>
    <n v="0"/>
    <x v="0"/>
    <x v="1"/>
    <n v="7.7400000000000004E-3"/>
  </r>
  <r>
    <s v="SYN1425"/>
    <n v="48"/>
    <x v="0"/>
    <n v="30"/>
    <n v="77"/>
    <n v="2.3939999999999999E-2"/>
    <n v="0"/>
    <x v="5"/>
    <x v="3"/>
    <n v="2.3939999999999999E-2"/>
  </r>
  <r>
    <s v="SYN1426"/>
    <n v="40"/>
    <x v="0"/>
    <n v="28"/>
    <n v="67"/>
    <n v="1.064E-2"/>
    <n v="0"/>
    <x v="0"/>
    <x v="1"/>
    <n v="1.064E-2"/>
  </r>
  <r>
    <s v="SYN1427"/>
    <n v="47"/>
    <x v="1"/>
    <n v="27"/>
    <n v="73"/>
    <n v="1.7170000000000001E-2"/>
    <n v="0"/>
    <x v="5"/>
    <x v="1"/>
    <n v="1.7170000000000001E-2"/>
  </r>
  <r>
    <s v="SYN1428"/>
    <n v="56"/>
    <x v="0"/>
    <n v="18"/>
    <n v="73"/>
    <n v="2.3859999999999999E-2"/>
    <n v="0"/>
    <x v="5"/>
    <x v="2"/>
    <n v="2.3859999999999999E-2"/>
  </r>
  <r>
    <s v="SYN1429"/>
    <n v="36"/>
    <x v="1"/>
    <n v="12"/>
    <n v="47"/>
    <n v="1.2700000000000001E-3"/>
    <n v="0"/>
    <x v="3"/>
    <x v="2"/>
    <n v="1.2700000000000001E-3"/>
  </r>
  <r>
    <s v="SYN1430"/>
    <n v="45"/>
    <x v="1"/>
    <n v="1"/>
    <n v="45"/>
    <n v="3.1E-4"/>
    <n v="0"/>
    <x v="3"/>
    <x v="0"/>
    <n v="3.1E-4"/>
  </r>
  <r>
    <s v="SYN1431"/>
    <n v="58"/>
    <x v="1"/>
    <n v="1"/>
    <n v="58"/>
    <n v="6.2E-4"/>
    <n v="0"/>
    <x v="2"/>
    <x v="0"/>
    <n v="6.2E-4"/>
  </r>
  <r>
    <s v="SYN1432"/>
    <n v="39"/>
    <x v="0"/>
    <n v="1"/>
    <n v="39"/>
    <n v="2.9E-4"/>
    <n v="0"/>
    <x v="1"/>
    <x v="0"/>
    <n v="2.9E-4"/>
  </r>
  <r>
    <s v="SYN1433"/>
    <n v="40"/>
    <x v="1"/>
    <n v="1"/>
    <n v="40"/>
    <n v="2.3000000000000001E-4"/>
    <n v="0"/>
    <x v="3"/>
    <x v="0"/>
    <n v="2.3000000000000001E-4"/>
  </r>
  <r>
    <s v="SYN1434"/>
    <n v="37"/>
    <x v="1"/>
    <n v="30"/>
    <n v="66"/>
    <n v="6.0499999999999998E-3"/>
    <n v="0"/>
    <x v="0"/>
    <x v="3"/>
    <n v="6.0499999999999998E-3"/>
  </r>
  <r>
    <s v="SYN1435"/>
    <n v="56"/>
    <x v="0"/>
    <n v="5"/>
    <n v="60"/>
    <n v="4.8900000000000002E-3"/>
    <n v="0"/>
    <x v="0"/>
    <x v="0"/>
    <n v="4.8900000000000002E-3"/>
  </r>
  <r>
    <s v="SYN1436"/>
    <n v="29"/>
    <x v="0"/>
    <n v="5"/>
    <n v="33"/>
    <n v="4.6000000000000001E-4"/>
    <n v="0"/>
    <x v="1"/>
    <x v="0"/>
    <n v="4.6000000000000001E-4"/>
  </r>
  <r>
    <s v="SYN1437"/>
    <n v="35"/>
    <x v="0"/>
    <n v="8"/>
    <n v="42"/>
    <n v="1.0200000000000001E-3"/>
    <n v="0"/>
    <x v="3"/>
    <x v="0"/>
    <n v="1.0200000000000001E-3"/>
  </r>
  <r>
    <s v="SYN1438"/>
    <n v="56"/>
    <x v="1"/>
    <n v="13"/>
    <n v="68"/>
    <n v="9.1299999999999992E-3"/>
    <n v="0"/>
    <x v="0"/>
    <x v="2"/>
    <n v="9.1299999999999992E-3"/>
  </r>
  <r>
    <s v="SYN1439"/>
    <n v="24"/>
    <x v="0"/>
    <n v="24"/>
    <n v="47"/>
    <n v="2.3600000000000001E-3"/>
    <n v="0"/>
    <x v="3"/>
    <x v="1"/>
    <n v="2.3600000000000001E-3"/>
  </r>
  <r>
    <s v="SYN1440"/>
    <n v="51"/>
    <x v="1"/>
    <n v="27"/>
    <n v="77"/>
    <n v="2.58E-2"/>
    <n v="0"/>
    <x v="5"/>
    <x v="1"/>
    <n v="2.58E-2"/>
  </r>
  <r>
    <s v="SYN1441"/>
    <n v="26"/>
    <x v="1"/>
    <n v="20"/>
    <n v="45"/>
    <n v="1.3699999999999999E-3"/>
    <n v="0"/>
    <x v="3"/>
    <x v="1"/>
    <n v="1.3699999999999999E-3"/>
  </r>
  <r>
    <s v="SYN1442"/>
    <n v="56"/>
    <x v="0"/>
    <n v="13"/>
    <n v="68"/>
    <n v="1.3690000000000001E-2"/>
    <n v="0"/>
    <x v="0"/>
    <x v="2"/>
    <n v="1.3690000000000001E-2"/>
  </r>
  <r>
    <s v="SYN1443"/>
    <n v="41"/>
    <x v="1"/>
    <n v="12"/>
    <n v="52"/>
    <n v="2.0100000000000001E-3"/>
    <n v="0"/>
    <x v="2"/>
    <x v="2"/>
    <n v="2.0100000000000001E-3"/>
  </r>
  <r>
    <s v="SYN1444"/>
    <n v="27"/>
    <x v="1"/>
    <n v="28"/>
    <n v="54"/>
    <n v="2.3800000000000002E-3"/>
    <n v="0"/>
    <x v="2"/>
    <x v="1"/>
    <n v="2.3800000000000002E-3"/>
  </r>
  <r>
    <s v="SYN1445"/>
    <n v="58"/>
    <x v="0"/>
    <n v="30"/>
    <n v="87"/>
    <n v="7.1389999999999995E-2"/>
    <n v="0"/>
    <x v="4"/>
    <x v="3"/>
    <n v="7.1389999999999995E-2"/>
  </r>
  <r>
    <s v="SYN1446"/>
    <n v="44"/>
    <x v="0"/>
    <n v="2"/>
    <n v="45"/>
    <n v="7.6999999999999996E-4"/>
    <n v="0"/>
    <x v="3"/>
    <x v="0"/>
    <n v="7.6999999999999996E-4"/>
  </r>
  <r>
    <s v="SYN1447"/>
    <n v="54"/>
    <x v="0"/>
    <n v="19"/>
    <n v="72"/>
    <n v="2.1139999999999999E-2"/>
    <n v="0"/>
    <x v="5"/>
    <x v="2"/>
    <n v="2.1139999999999999E-2"/>
  </r>
  <r>
    <s v="SYN1448"/>
    <n v="34"/>
    <x v="0"/>
    <n v="5"/>
    <n v="38"/>
    <n v="6.0999999999999997E-4"/>
    <n v="0"/>
    <x v="1"/>
    <x v="0"/>
    <n v="6.0999999999999997E-4"/>
  </r>
  <r>
    <s v="SYN1449"/>
    <n v="45"/>
    <x v="1"/>
    <n v="15"/>
    <n v="59"/>
    <n v="4.1200000000000004E-3"/>
    <n v="0"/>
    <x v="2"/>
    <x v="2"/>
    <n v="4.1200000000000004E-3"/>
  </r>
  <r>
    <s v="SYN1450"/>
    <n v="25"/>
    <x v="0"/>
    <n v="8"/>
    <n v="32"/>
    <n v="5.2999999999999998E-4"/>
    <n v="0"/>
    <x v="1"/>
    <x v="0"/>
    <n v="5.2999999999999998E-4"/>
  </r>
  <r>
    <s v="SYN1451"/>
    <n v="29"/>
    <x v="0"/>
    <n v="5"/>
    <n v="33"/>
    <n v="4.6000000000000001E-4"/>
    <n v="0"/>
    <x v="1"/>
    <x v="0"/>
    <n v="4.6000000000000001E-4"/>
  </r>
  <r>
    <s v="SYN1452"/>
    <n v="23"/>
    <x v="0"/>
    <n v="18"/>
    <n v="40"/>
    <n v="1.4599999999999999E-3"/>
    <n v="0"/>
    <x v="3"/>
    <x v="2"/>
    <n v="1.4599999999999999E-3"/>
  </r>
  <r>
    <s v="SYN1453"/>
    <n v="52"/>
    <x v="1"/>
    <n v="14"/>
    <n v="65"/>
    <n v="7.2399999999999999E-3"/>
    <n v="0"/>
    <x v="0"/>
    <x v="2"/>
    <n v="7.2399999999999999E-3"/>
  </r>
  <r>
    <s v="SYN1454"/>
    <n v="28"/>
    <x v="1"/>
    <n v="16"/>
    <n v="43"/>
    <n v="1.09E-3"/>
    <n v="0"/>
    <x v="3"/>
    <x v="2"/>
    <n v="1.09E-3"/>
  </r>
  <r>
    <s v="SYN1455"/>
    <n v="61"/>
    <x v="0"/>
    <n v="19"/>
    <n v="79"/>
    <n v="4.5609999999999998E-2"/>
    <n v="0"/>
    <x v="5"/>
    <x v="2"/>
    <n v="4.5609999999999998E-2"/>
  </r>
  <r>
    <s v="SYN1456"/>
    <n v="53"/>
    <x v="0"/>
    <n v="8"/>
    <n v="60"/>
    <n v="5.5100000000000001E-3"/>
    <n v="0"/>
    <x v="0"/>
    <x v="0"/>
    <n v="5.5100000000000001E-3"/>
  </r>
  <r>
    <s v="SYN1457"/>
    <n v="47"/>
    <x v="1"/>
    <n v="11"/>
    <n v="57"/>
    <n v="2.98E-3"/>
    <n v="0"/>
    <x v="2"/>
    <x v="2"/>
    <n v="2.98E-3"/>
  </r>
  <r>
    <s v="SYN1458"/>
    <n v="27"/>
    <x v="0"/>
    <n v="22"/>
    <n v="48"/>
    <n v="2.2699999999999999E-3"/>
    <n v="0"/>
    <x v="3"/>
    <x v="1"/>
    <n v="2.2699999999999999E-3"/>
  </r>
  <r>
    <s v="SYN1459"/>
    <n v="32"/>
    <x v="0"/>
    <n v="11"/>
    <n v="42"/>
    <n v="1.16E-3"/>
    <n v="0"/>
    <x v="3"/>
    <x v="2"/>
    <n v="1.16E-3"/>
  </r>
  <r>
    <s v="SYN1460"/>
    <n v="39"/>
    <x v="1"/>
    <n v="6"/>
    <n v="44"/>
    <n v="7.9000000000000001E-4"/>
    <n v="0"/>
    <x v="3"/>
    <x v="0"/>
    <n v="7.9000000000000001E-4"/>
  </r>
  <r>
    <s v="SYN1461"/>
    <n v="48"/>
    <x v="0"/>
    <n v="20"/>
    <n v="67"/>
    <n v="1.247E-2"/>
    <n v="0"/>
    <x v="0"/>
    <x v="1"/>
    <n v="1.247E-2"/>
  </r>
  <r>
    <s v="SYN1462"/>
    <n v="34"/>
    <x v="1"/>
    <n v="7"/>
    <n v="40"/>
    <n v="6.3000000000000003E-4"/>
    <n v="0"/>
    <x v="3"/>
    <x v="0"/>
    <n v="6.3000000000000003E-4"/>
  </r>
  <r>
    <s v="SYN1463"/>
    <n v="25"/>
    <x v="1"/>
    <n v="4"/>
    <n v="28"/>
    <n v="2.2000000000000001E-4"/>
    <n v="0"/>
    <x v="6"/>
    <x v="0"/>
    <n v="2.2000000000000001E-4"/>
  </r>
  <r>
    <s v="SYN1464"/>
    <n v="59"/>
    <x v="0"/>
    <n v="30"/>
    <n v="88"/>
    <n v="8.0629999999999993E-2"/>
    <n v="0"/>
    <x v="4"/>
    <x v="3"/>
    <n v="8.0629999999999993E-2"/>
  </r>
  <r>
    <s v="SYN1465"/>
    <n v="38"/>
    <x v="0"/>
    <n v="1"/>
    <n v="38"/>
    <n v="2.7E-4"/>
    <n v="0"/>
    <x v="1"/>
    <x v="0"/>
    <n v="2.7E-4"/>
  </r>
  <r>
    <s v="SYN1466"/>
    <n v="39"/>
    <x v="0"/>
    <n v="15"/>
    <n v="53"/>
    <n v="2.97E-3"/>
    <n v="0"/>
    <x v="2"/>
    <x v="2"/>
    <n v="2.97E-3"/>
  </r>
  <r>
    <s v="SYN1467"/>
    <n v="54"/>
    <x v="0"/>
    <n v="7"/>
    <n v="60"/>
    <n v="5.3E-3"/>
    <n v="0"/>
    <x v="0"/>
    <x v="0"/>
    <n v="5.3E-3"/>
  </r>
  <r>
    <s v="SYN1468"/>
    <n v="36"/>
    <x v="0"/>
    <n v="18"/>
    <n v="53"/>
    <n v="3.16E-3"/>
    <n v="0"/>
    <x v="2"/>
    <x v="2"/>
    <n v="3.16E-3"/>
  </r>
  <r>
    <s v="SYN1469"/>
    <n v="29"/>
    <x v="1"/>
    <n v="23"/>
    <n v="51"/>
    <n v="2.1900000000000001E-3"/>
    <n v="0"/>
    <x v="2"/>
    <x v="1"/>
    <n v="2.1900000000000001E-3"/>
  </r>
  <r>
    <s v="SYN1470"/>
    <n v="57"/>
    <x v="1"/>
    <n v="29"/>
    <n v="85"/>
    <n v="5.0599999999999999E-2"/>
    <n v="1"/>
    <x v="4"/>
    <x v="1"/>
    <n v="5.0599999999999999E-2"/>
  </r>
  <r>
    <s v="SYN1471"/>
    <n v="30"/>
    <x v="0"/>
    <n v="2"/>
    <n v="31"/>
    <n v="2.9E-4"/>
    <n v="0"/>
    <x v="1"/>
    <x v="0"/>
    <n v="2.9E-4"/>
  </r>
  <r>
    <s v="SYN1472"/>
    <n v="59"/>
    <x v="0"/>
    <n v="9"/>
    <n v="67"/>
    <n v="1.128E-2"/>
    <n v="0"/>
    <x v="0"/>
    <x v="0"/>
    <n v="1.128E-2"/>
  </r>
  <r>
    <s v="SYN1473"/>
    <n v="20"/>
    <x v="0"/>
    <n v="3"/>
    <n v="22"/>
    <n v="7.7999999999999999E-4"/>
    <n v="0"/>
    <x v="6"/>
    <x v="0"/>
    <n v="7.7999999999999999E-4"/>
  </r>
  <r>
    <s v="SYN1474"/>
    <n v="62"/>
    <x v="1"/>
    <n v="12"/>
    <n v="73"/>
    <n v="1.3679999999999999E-2"/>
    <n v="0"/>
    <x v="5"/>
    <x v="2"/>
    <n v="1.3679999999999999E-2"/>
  </r>
  <r>
    <s v="SYN1475"/>
    <n v="61"/>
    <x v="0"/>
    <n v="13"/>
    <n v="73"/>
    <n v="2.2499999999999999E-2"/>
    <n v="0"/>
    <x v="5"/>
    <x v="2"/>
    <n v="2.2499999999999999E-2"/>
  </r>
  <r>
    <s v="SYN1476"/>
    <n v="65"/>
    <x v="1"/>
    <n v="4"/>
    <n v="68"/>
    <n v="5.7999999999999996E-3"/>
    <n v="0"/>
    <x v="0"/>
    <x v="0"/>
    <n v="5.7999999999999996E-3"/>
  </r>
  <r>
    <s v="SYN1477"/>
    <n v="58"/>
    <x v="0"/>
    <n v="18"/>
    <n v="75"/>
    <n v="2.9780000000000001E-2"/>
    <n v="0"/>
    <x v="5"/>
    <x v="2"/>
    <n v="2.9780000000000001E-2"/>
  </r>
  <r>
    <s v="SYN1478"/>
    <n v="49"/>
    <x v="1"/>
    <n v="18"/>
    <n v="66"/>
    <n v="8.9499999999999996E-3"/>
    <n v="0"/>
    <x v="0"/>
    <x v="2"/>
    <n v="8.9499999999999996E-3"/>
  </r>
  <r>
    <s v="SYN1479"/>
    <n v="35"/>
    <x v="1"/>
    <n v="30"/>
    <n v="64"/>
    <n v="4.9300000000000004E-3"/>
    <n v="0"/>
    <x v="0"/>
    <x v="3"/>
    <n v="4.9300000000000004E-3"/>
  </r>
  <r>
    <s v="SYN1480"/>
    <n v="45"/>
    <x v="0"/>
    <n v="24"/>
    <n v="68"/>
    <n v="1.405E-2"/>
    <n v="0"/>
    <x v="0"/>
    <x v="1"/>
    <n v="1.405E-2"/>
  </r>
  <r>
    <s v="SYN1481"/>
    <n v="42"/>
    <x v="1"/>
    <n v="12"/>
    <n v="53"/>
    <n v="2.1800000000000001E-3"/>
    <n v="0"/>
    <x v="2"/>
    <x v="2"/>
    <n v="2.1800000000000001E-3"/>
  </r>
  <r>
    <s v="SYN1482"/>
    <n v="52"/>
    <x v="1"/>
    <n v="9"/>
    <n v="60"/>
    <n v="3.6900000000000001E-3"/>
    <n v="0"/>
    <x v="0"/>
    <x v="0"/>
    <n v="3.6900000000000001E-3"/>
  </r>
  <r>
    <s v="SYN1483"/>
    <n v="44"/>
    <x v="1"/>
    <n v="29"/>
    <n v="72"/>
    <n v="1.2659999999999999E-2"/>
    <n v="0"/>
    <x v="5"/>
    <x v="1"/>
    <n v="1.2659999999999999E-2"/>
  </r>
  <r>
    <s v="SYN1484"/>
    <n v="55"/>
    <x v="0"/>
    <n v="9"/>
    <n v="63"/>
    <n v="7.9900000000000006E-3"/>
    <n v="0"/>
    <x v="0"/>
    <x v="0"/>
    <n v="7.9900000000000006E-3"/>
  </r>
  <r>
    <s v="SYN1485"/>
    <n v="45"/>
    <x v="0"/>
    <n v="22"/>
    <n v="66"/>
    <n v="1.1440000000000001E-2"/>
    <n v="0"/>
    <x v="0"/>
    <x v="1"/>
    <n v="1.1440000000000001E-2"/>
  </r>
  <r>
    <s v="SYN1486"/>
    <n v="53"/>
    <x v="1"/>
    <n v="22"/>
    <n v="74"/>
    <n v="2.0979999999999999E-2"/>
    <n v="0"/>
    <x v="5"/>
    <x v="1"/>
    <n v="2.0979999999999999E-2"/>
  </r>
  <r>
    <s v="SYN1487"/>
    <n v="34"/>
    <x v="0"/>
    <n v="14"/>
    <n v="47"/>
    <n v="1.7600000000000001E-3"/>
    <n v="0"/>
    <x v="3"/>
    <x v="2"/>
    <n v="1.7600000000000001E-3"/>
  </r>
  <r>
    <s v="SYN1488"/>
    <n v="39"/>
    <x v="1"/>
    <n v="30"/>
    <n v="68"/>
    <n v="7.4700000000000001E-3"/>
    <n v="0"/>
    <x v="0"/>
    <x v="3"/>
    <n v="7.4700000000000001E-3"/>
  </r>
  <r>
    <s v="SYN1489"/>
    <n v="28"/>
    <x v="1"/>
    <n v="7"/>
    <n v="34"/>
    <n v="3.6000000000000002E-4"/>
    <n v="0"/>
    <x v="1"/>
    <x v="0"/>
    <n v="3.6000000000000002E-4"/>
  </r>
  <r>
    <s v="SYN1490"/>
    <n v="63"/>
    <x v="0"/>
    <n v="26"/>
    <n v="88"/>
    <n v="0.13258"/>
    <n v="0"/>
    <x v="4"/>
    <x v="1"/>
    <n v="0.13258"/>
  </r>
  <r>
    <s v="SYN1491"/>
    <n v="64"/>
    <x v="1"/>
    <n v="23"/>
    <n v="86"/>
    <n v="8.2710000000000006E-2"/>
    <n v="0"/>
    <x v="4"/>
    <x v="1"/>
    <n v="8.2710000000000006E-2"/>
  </r>
  <r>
    <s v="SYN1492"/>
    <n v="47"/>
    <x v="1"/>
    <n v="30"/>
    <n v="76"/>
    <n v="1.7170000000000001E-2"/>
    <n v="0"/>
    <x v="5"/>
    <x v="3"/>
    <n v="1.7170000000000001E-2"/>
  </r>
  <r>
    <s v="SYN1493"/>
    <n v="56"/>
    <x v="0"/>
    <n v="30"/>
    <n v="85"/>
    <n v="5.6829999999999999E-2"/>
    <n v="0"/>
    <x v="4"/>
    <x v="3"/>
    <n v="5.6829999999999999E-2"/>
  </r>
  <r>
    <s v="SYN1494"/>
    <n v="54"/>
    <x v="0"/>
    <n v="24"/>
    <n v="77"/>
    <n v="3.7039999999999997E-2"/>
    <n v="0"/>
    <x v="5"/>
    <x v="1"/>
    <n v="3.7039999999999997E-2"/>
  </r>
  <r>
    <s v="SYN1495"/>
    <n v="29"/>
    <x v="0"/>
    <n v="24"/>
    <n v="52"/>
    <n v="3.0999999999999999E-3"/>
    <n v="0"/>
    <x v="2"/>
    <x v="1"/>
    <n v="3.0999999999999999E-3"/>
  </r>
  <r>
    <s v="SYN1496"/>
    <n v="46"/>
    <x v="0"/>
    <n v="14"/>
    <n v="59"/>
    <n v="5.4299999999999999E-3"/>
    <n v="0"/>
    <x v="2"/>
    <x v="2"/>
    <n v="5.4299999999999999E-3"/>
  </r>
  <r>
    <s v="SYN1497"/>
    <n v="60"/>
    <x v="1"/>
    <n v="30"/>
    <n v="89"/>
    <n v="7.2980000000000003E-2"/>
    <n v="0"/>
    <x v="4"/>
    <x v="3"/>
    <n v="7.2980000000000003E-2"/>
  </r>
  <r>
    <s v="SYN1498"/>
    <n v="32"/>
    <x v="0"/>
    <n v="4"/>
    <n v="35"/>
    <n v="4.8999999999999998E-4"/>
    <n v="0"/>
    <x v="1"/>
    <x v="0"/>
    <n v="4.8999999999999998E-4"/>
  </r>
  <r>
    <s v="SYN1499"/>
    <n v="59"/>
    <x v="0"/>
    <n v="20"/>
    <n v="78"/>
    <n v="4.079E-2"/>
    <n v="0"/>
    <x v="5"/>
    <x v="1"/>
    <n v="4.079E-2"/>
  </r>
  <r>
    <s v="SYN1500"/>
    <n v="34"/>
    <x v="0"/>
    <n v="20"/>
    <n v="53"/>
    <n v="3.2599999999999999E-3"/>
    <n v="0"/>
    <x v="2"/>
    <x v="1"/>
    <n v="3.2599999999999999E-3"/>
  </r>
  <r>
    <s v="SYN1501"/>
    <n v="42"/>
    <x v="1"/>
    <n v="3"/>
    <n v="44"/>
    <n v="5.4000000000000001E-4"/>
    <n v="0"/>
    <x v="3"/>
    <x v="0"/>
    <n v="5.4000000000000001E-4"/>
  </r>
  <r>
    <s v="SYN1502"/>
    <n v="52"/>
    <x v="1"/>
    <n v="28"/>
    <n v="79"/>
    <n v="2.8719999999999999E-2"/>
    <n v="0"/>
    <x v="5"/>
    <x v="1"/>
    <n v="2.8719999999999999E-2"/>
  </r>
  <r>
    <s v="SYN1503"/>
    <n v="43"/>
    <x v="1"/>
    <n v="6"/>
    <n v="48"/>
    <n v="1.1000000000000001E-3"/>
    <n v="0"/>
    <x v="3"/>
    <x v="0"/>
    <n v="1.1000000000000001E-3"/>
  </r>
  <r>
    <s v="SYN1504"/>
    <n v="28"/>
    <x v="0"/>
    <n v="6"/>
    <n v="33"/>
    <n v="4.6000000000000001E-4"/>
    <n v="0"/>
    <x v="1"/>
    <x v="0"/>
    <n v="4.6000000000000001E-4"/>
  </r>
  <r>
    <s v="SYN1505"/>
    <n v="20"/>
    <x v="0"/>
    <n v="30"/>
    <n v="49"/>
    <n v="2.5400000000000002E-3"/>
    <n v="0"/>
    <x v="3"/>
    <x v="3"/>
    <n v="2.5400000000000002E-3"/>
  </r>
  <r>
    <s v="SYN1506"/>
    <n v="62"/>
    <x v="1"/>
    <n v="7"/>
    <n v="68"/>
    <n v="7.0200000000000002E-3"/>
    <n v="0"/>
    <x v="0"/>
    <x v="0"/>
    <n v="7.0200000000000002E-3"/>
  </r>
  <r>
    <s v="SYN1507"/>
    <n v="48"/>
    <x v="1"/>
    <n v="28"/>
    <n v="75"/>
    <n v="1.8970000000000001E-2"/>
    <n v="0"/>
    <x v="5"/>
    <x v="1"/>
    <n v="1.8970000000000001E-2"/>
  </r>
  <r>
    <s v="SYN1508"/>
    <n v="49"/>
    <x v="0"/>
    <n v="29"/>
    <n v="77"/>
    <n v="2.6859999999999998E-2"/>
    <n v="0"/>
    <x v="5"/>
    <x v="1"/>
    <n v="2.6859999999999998E-2"/>
  </r>
  <r>
    <s v="SYN1509"/>
    <n v="22"/>
    <x v="1"/>
    <n v="20"/>
    <n v="41"/>
    <n v="1.1900000000000001E-3"/>
    <n v="0"/>
    <x v="3"/>
    <x v="1"/>
    <n v="1.1900000000000001E-3"/>
  </r>
  <r>
    <s v="SYN1510"/>
    <n v="40"/>
    <x v="1"/>
    <n v="13"/>
    <n v="52"/>
    <n v="2.0699999999999998E-3"/>
    <n v="0"/>
    <x v="2"/>
    <x v="2"/>
    <n v="2.0699999999999998E-3"/>
  </r>
  <r>
    <s v="SYN1511"/>
    <n v="58"/>
    <x v="1"/>
    <n v="18"/>
    <n v="75"/>
    <n v="2.18E-2"/>
    <n v="0"/>
    <x v="5"/>
    <x v="2"/>
    <n v="2.18E-2"/>
  </r>
  <r>
    <s v="SYN1512"/>
    <n v="22"/>
    <x v="0"/>
    <n v="17"/>
    <n v="38"/>
    <n v="1.2099999999999999E-3"/>
    <n v="0"/>
    <x v="1"/>
    <x v="2"/>
    <n v="1.2099999999999999E-3"/>
  </r>
  <r>
    <s v="SYN1513"/>
    <n v="22"/>
    <x v="1"/>
    <n v="29"/>
    <n v="50"/>
    <n v="1.6000000000000001E-3"/>
    <n v="0"/>
    <x v="2"/>
    <x v="1"/>
    <n v="1.6000000000000001E-3"/>
  </r>
  <r>
    <s v="SYN1514"/>
    <n v="45"/>
    <x v="0"/>
    <n v="24"/>
    <n v="68"/>
    <n v="1.405E-2"/>
    <n v="0"/>
    <x v="0"/>
    <x v="1"/>
    <n v="1.405E-2"/>
  </r>
  <r>
    <s v="SYN1515"/>
    <n v="60"/>
    <x v="0"/>
    <n v="2"/>
    <n v="61"/>
    <n v="2.8600000000000001E-3"/>
    <n v="0"/>
    <x v="0"/>
    <x v="0"/>
    <n v="2.8600000000000001E-3"/>
  </r>
  <r>
    <s v="SYN1516"/>
    <n v="39"/>
    <x v="1"/>
    <n v="25"/>
    <n v="63"/>
    <n v="6.7200000000000003E-3"/>
    <n v="0"/>
    <x v="0"/>
    <x v="1"/>
    <n v="6.7200000000000003E-3"/>
  </r>
  <r>
    <s v="SYN1517"/>
    <n v="47"/>
    <x v="1"/>
    <n v="10"/>
    <n v="56"/>
    <n v="2.6199999999999999E-3"/>
    <n v="0"/>
    <x v="2"/>
    <x v="2"/>
    <n v="2.6199999999999999E-3"/>
  </r>
  <r>
    <s v="SYN1518"/>
    <n v="53"/>
    <x v="0"/>
    <n v="29"/>
    <n v="81"/>
    <n v="4.1250000000000002E-2"/>
    <n v="0"/>
    <x v="4"/>
    <x v="1"/>
    <n v="4.1250000000000002E-2"/>
  </r>
  <r>
    <s v="SYN1519"/>
    <n v="48"/>
    <x v="1"/>
    <n v="3"/>
    <n v="50"/>
    <n v="9.7999999999999997E-4"/>
    <n v="0"/>
    <x v="2"/>
    <x v="0"/>
    <n v="9.7999999999999997E-4"/>
  </r>
  <r>
    <s v="SYN1520"/>
    <n v="57"/>
    <x v="1"/>
    <n v="29"/>
    <n v="85"/>
    <n v="5.0599999999999999E-2"/>
    <n v="0"/>
    <x v="4"/>
    <x v="1"/>
    <n v="5.0599999999999999E-2"/>
  </r>
  <r>
    <s v="SYN1521"/>
    <n v="46"/>
    <x v="0"/>
    <n v="11"/>
    <n v="56"/>
    <n v="3.7499999999999999E-3"/>
    <n v="0"/>
    <x v="2"/>
    <x v="2"/>
    <n v="3.7499999999999999E-3"/>
  </r>
  <r>
    <s v="SYN1522"/>
    <n v="57"/>
    <x v="1"/>
    <n v="29"/>
    <n v="85"/>
    <n v="5.0599999999999999E-2"/>
    <n v="0"/>
    <x v="4"/>
    <x v="1"/>
    <n v="5.0599999999999999E-2"/>
  </r>
  <r>
    <s v="SYN1523"/>
    <n v="49"/>
    <x v="0"/>
    <n v="3"/>
    <n v="51"/>
    <n v="1.5399999999999999E-3"/>
    <n v="0"/>
    <x v="2"/>
    <x v="0"/>
    <n v="1.5399999999999999E-3"/>
  </r>
  <r>
    <s v="SYN1524"/>
    <n v="65"/>
    <x v="0"/>
    <n v="26"/>
    <n v="90"/>
    <n v="0.16611999999999999"/>
    <n v="0"/>
    <x v="7"/>
    <x v="1"/>
    <n v="0.16611999999999999"/>
  </r>
  <r>
    <s v="SYN1525"/>
    <n v="25"/>
    <x v="1"/>
    <n v="4"/>
    <n v="28"/>
    <n v="2.2000000000000001E-4"/>
    <n v="0"/>
    <x v="6"/>
    <x v="0"/>
    <n v="2.2000000000000001E-4"/>
  </r>
  <r>
    <s v="SYN1526"/>
    <n v="25"/>
    <x v="1"/>
    <n v="17"/>
    <n v="41"/>
    <n v="1.0399999999999999E-3"/>
    <n v="0"/>
    <x v="3"/>
    <x v="2"/>
    <n v="1.0399999999999999E-3"/>
  </r>
  <r>
    <s v="SYN1527"/>
    <n v="52"/>
    <x v="1"/>
    <n v="20"/>
    <n v="71"/>
    <n v="1.506E-2"/>
    <n v="0"/>
    <x v="5"/>
    <x v="1"/>
    <n v="1.506E-2"/>
  </r>
  <r>
    <s v="SYN1528"/>
    <n v="44"/>
    <x v="1"/>
    <n v="2"/>
    <n v="45"/>
    <n v="4.2000000000000002E-4"/>
    <n v="0"/>
    <x v="3"/>
    <x v="0"/>
    <n v="4.2000000000000002E-4"/>
  </r>
  <r>
    <s v="SYN1529"/>
    <n v="56"/>
    <x v="1"/>
    <n v="28"/>
    <n v="83"/>
    <n v="4.4880000000000003E-2"/>
    <n v="0"/>
    <x v="4"/>
    <x v="1"/>
    <n v="4.4880000000000003E-2"/>
  </r>
  <r>
    <s v="SYN1530"/>
    <n v="29"/>
    <x v="1"/>
    <n v="6"/>
    <n v="34"/>
    <n v="3.2000000000000003E-4"/>
    <n v="0"/>
    <x v="1"/>
    <x v="0"/>
    <n v="3.2000000000000003E-4"/>
  </r>
  <r>
    <s v="SYN1531"/>
    <n v="39"/>
    <x v="1"/>
    <n v="10"/>
    <n v="48"/>
    <n v="1.2899999999999999E-3"/>
    <n v="0"/>
    <x v="3"/>
    <x v="2"/>
    <n v="1.2899999999999999E-3"/>
  </r>
  <r>
    <s v="SYN1532"/>
    <n v="38"/>
    <x v="0"/>
    <n v="21"/>
    <n v="58"/>
    <n v="5.2199999999999998E-3"/>
    <n v="0"/>
    <x v="2"/>
    <x v="1"/>
    <n v="5.2199999999999998E-3"/>
  </r>
  <r>
    <s v="SYN1533"/>
    <n v="32"/>
    <x v="1"/>
    <n v="1"/>
    <n v="32"/>
    <n v="1.2E-4"/>
    <n v="0"/>
    <x v="1"/>
    <x v="0"/>
    <n v="1.2E-4"/>
  </r>
  <r>
    <s v="SYN1534"/>
    <n v="49"/>
    <x v="1"/>
    <n v="16"/>
    <n v="64"/>
    <n v="7.0699999999999999E-3"/>
    <n v="0"/>
    <x v="0"/>
    <x v="2"/>
    <n v="7.0699999999999999E-3"/>
  </r>
  <r>
    <s v="SYN1535"/>
    <n v="20"/>
    <x v="1"/>
    <n v="20"/>
    <n v="39"/>
    <n v="1.08E-3"/>
    <n v="0"/>
    <x v="1"/>
    <x v="1"/>
    <n v="1.08E-3"/>
  </r>
  <r>
    <s v="SYN1536"/>
    <n v="57"/>
    <x v="0"/>
    <n v="22"/>
    <n v="78"/>
    <n v="4.1189999999999997E-2"/>
    <n v="0"/>
    <x v="5"/>
    <x v="1"/>
    <n v="4.1189999999999997E-2"/>
  </r>
  <r>
    <s v="SYN1537"/>
    <n v="25"/>
    <x v="1"/>
    <n v="20"/>
    <n v="44"/>
    <n v="1.31E-3"/>
    <n v="0"/>
    <x v="3"/>
    <x v="1"/>
    <n v="1.31E-3"/>
  </r>
  <r>
    <s v="SYN1538"/>
    <n v="55"/>
    <x v="1"/>
    <n v="9"/>
    <n v="63"/>
    <n v="5.11E-3"/>
    <n v="0"/>
    <x v="0"/>
    <x v="0"/>
    <n v="5.11E-3"/>
  </r>
  <r>
    <s v="SYN1539"/>
    <n v="33"/>
    <x v="0"/>
    <n v="2"/>
    <n v="34"/>
    <n v="3.1E-4"/>
    <n v="0"/>
    <x v="1"/>
    <x v="0"/>
    <n v="3.1E-4"/>
  </r>
  <r>
    <s v="SYN1540"/>
    <n v="42"/>
    <x v="0"/>
    <n v="2"/>
    <n v="43"/>
    <n v="6.7000000000000002E-4"/>
    <n v="0"/>
    <x v="3"/>
    <x v="0"/>
    <n v="6.7000000000000002E-4"/>
  </r>
  <r>
    <s v="SYN1541"/>
    <n v="56"/>
    <x v="1"/>
    <n v="27"/>
    <n v="82"/>
    <n v="4.4880000000000003E-2"/>
    <n v="0"/>
    <x v="4"/>
    <x v="1"/>
    <n v="4.4880000000000003E-2"/>
  </r>
  <r>
    <s v="SYN1542"/>
    <n v="25"/>
    <x v="0"/>
    <n v="2"/>
    <n v="26"/>
    <n v="4.2000000000000002E-4"/>
    <n v="0"/>
    <x v="6"/>
    <x v="0"/>
    <n v="4.2000000000000002E-4"/>
  </r>
  <r>
    <s v="SYN1543"/>
    <n v="30"/>
    <x v="0"/>
    <n v="22"/>
    <n v="51"/>
    <n v="2.7699999999999999E-3"/>
    <n v="0"/>
    <x v="2"/>
    <x v="1"/>
    <n v="2.7699999999999999E-3"/>
  </r>
  <r>
    <s v="SYN1544"/>
    <n v="64"/>
    <x v="1"/>
    <n v="20"/>
    <n v="83"/>
    <n v="5.6770000000000001E-2"/>
    <n v="0"/>
    <x v="4"/>
    <x v="1"/>
    <n v="5.6770000000000001E-2"/>
  </r>
  <r>
    <s v="SYN1545"/>
    <n v="49"/>
    <x v="1"/>
    <n v="24"/>
    <n v="72"/>
    <n v="1.7170000000000001E-2"/>
    <n v="0"/>
    <x v="5"/>
    <x v="1"/>
    <n v="1.7170000000000001E-2"/>
  </r>
  <r>
    <s v="SYN1546"/>
    <n v="25"/>
    <x v="0"/>
    <n v="25"/>
    <n v="49"/>
    <n v="2.7000000000000001E-3"/>
    <n v="0"/>
    <x v="3"/>
    <x v="1"/>
    <n v="2.7000000000000001E-3"/>
  </r>
  <r>
    <s v="SYN1547"/>
    <n v="44"/>
    <x v="0"/>
    <n v="27"/>
    <n v="70"/>
    <n v="1.553E-2"/>
    <n v="0"/>
    <x v="5"/>
    <x v="1"/>
    <n v="1.553E-2"/>
  </r>
  <r>
    <s v="SYN1548"/>
    <n v="55"/>
    <x v="0"/>
    <n v="3"/>
    <n v="57"/>
    <n v="3.0699999999999998E-3"/>
    <n v="0"/>
    <x v="2"/>
    <x v="0"/>
    <n v="3.0699999999999998E-3"/>
  </r>
  <r>
    <s v="SYN1549"/>
    <n v="64"/>
    <x v="0"/>
    <n v="28"/>
    <n v="91"/>
    <n v="0.14893999999999999"/>
    <n v="0"/>
    <x v="7"/>
    <x v="1"/>
    <n v="0.14893999999999999"/>
  </r>
  <r>
    <s v="SYN1550"/>
    <n v="53"/>
    <x v="1"/>
    <n v="7"/>
    <n v="59"/>
    <n v="3.13E-3"/>
    <n v="0"/>
    <x v="2"/>
    <x v="0"/>
    <n v="3.13E-3"/>
  </r>
  <r>
    <s v="SYN1551"/>
    <n v="26"/>
    <x v="1"/>
    <n v="19"/>
    <n v="44"/>
    <n v="1.2700000000000001E-3"/>
    <n v="0"/>
    <x v="3"/>
    <x v="2"/>
    <n v="1.2700000000000001E-3"/>
  </r>
  <r>
    <s v="SYN1552"/>
    <n v="25"/>
    <x v="1"/>
    <n v="16"/>
    <n v="40"/>
    <n v="9.6000000000000002E-4"/>
    <n v="0"/>
    <x v="3"/>
    <x v="2"/>
    <n v="9.6000000000000002E-4"/>
  </r>
  <r>
    <s v="SYN1553"/>
    <n v="65"/>
    <x v="0"/>
    <n v="10"/>
    <n v="74"/>
    <n v="1.9689999999999999E-2"/>
    <n v="0"/>
    <x v="5"/>
    <x v="2"/>
    <n v="1.9689999999999999E-2"/>
  </r>
  <r>
    <s v="SYN1554"/>
    <n v="36"/>
    <x v="1"/>
    <n v="17"/>
    <n v="52"/>
    <n v="2.14E-3"/>
    <n v="0"/>
    <x v="2"/>
    <x v="2"/>
    <n v="2.14E-3"/>
  </r>
  <r>
    <s v="SYN1555"/>
    <n v="28"/>
    <x v="1"/>
    <n v="20"/>
    <n v="47"/>
    <n v="1.57E-3"/>
    <n v="0"/>
    <x v="3"/>
    <x v="1"/>
    <n v="1.57E-3"/>
  </r>
  <r>
    <s v="SYN1556"/>
    <n v="60"/>
    <x v="0"/>
    <n v="16"/>
    <n v="75"/>
    <n v="2.9260000000000001E-2"/>
    <n v="0"/>
    <x v="5"/>
    <x v="2"/>
    <n v="2.9260000000000001E-2"/>
  </r>
  <r>
    <s v="SYN1557"/>
    <n v="59"/>
    <x v="1"/>
    <n v="8"/>
    <n v="66"/>
    <n v="6.3899999999999998E-3"/>
    <n v="0"/>
    <x v="0"/>
    <x v="0"/>
    <n v="6.3899999999999998E-3"/>
  </r>
  <r>
    <s v="SYN1558"/>
    <n v="20"/>
    <x v="0"/>
    <n v="4"/>
    <n v="23"/>
    <n v="7.7999999999999999E-4"/>
    <n v="0"/>
    <x v="6"/>
    <x v="0"/>
    <n v="7.7999999999999999E-4"/>
  </r>
  <r>
    <s v="SYN1559"/>
    <n v="27"/>
    <x v="1"/>
    <n v="24"/>
    <n v="50"/>
    <n v="2.0200000000000001E-3"/>
    <n v="0"/>
    <x v="2"/>
    <x v="1"/>
    <n v="2.0200000000000001E-3"/>
  </r>
  <r>
    <s v="SYN1560"/>
    <n v="46"/>
    <x v="0"/>
    <n v="14"/>
    <n v="59"/>
    <n v="5.4299999999999999E-3"/>
    <n v="0"/>
    <x v="2"/>
    <x v="2"/>
    <n v="5.4299999999999999E-3"/>
  </r>
  <r>
    <s v="SYN1561"/>
    <n v="60"/>
    <x v="0"/>
    <n v="7"/>
    <n v="66"/>
    <n v="9.4599999999999997E-3"/>
    <n v="0"/>
    <x v="0"/>
    <x v="0"/>
    <n v="9.4599999999999997E-3"/>
  </r>
  <r>
    <s v="SYN1562"/>
    <n v="38"/>
    <x v="1"/>
    <n v="9"/>
    <n v="46"/>
    <n v="1.01E-3"/>
    <n v="0"/>
    <x v="3"/>
    <x v="0"/>
    <n v="1.01E-3"/>
  </r>
  <r>
    <s v="SYN1563"/>
    <n v="52"/>
    <x v="0"/>
    <n v="18"/>
    <n v="69"/>
    <n v="1.5049999999999999E-2"/>
    <n v="1"/>
    <x v="0"/>
    <x v="2"/>
    <n v="1.5049999999999999E-2"/>
  </r>
  <r>
    <s v="SYN1564"/>
    <n v="63"/>
    <x v="0"/>
    <n v="11"/>
    <n v="73"/>
    <n v="1.9539999999999998E-2"/>
    <n v="0"/>
    <x v="5"/>
    <x v="2"/>
    <n v="1.9539999999999998E-2"/>
  </r>
  <r>
    <s v="SYN1565"/>
    <n v="59"/>
    <x v="1"/>
    <n v="1"/>
    <n v="59"/>
    <n v="6.4999999999999997E-4"/>
    <n v="0"/>
    <x v="2"/>
    <x v="0"/>
    <n v="6.4999999999999997E-4"/>
  </r>
  <r>
    <s v="SYN1566"/>
    <n v="41"/>
    <x v="1"/>
    <n v="30"/>
    <n v="70"/>
    <n v="9.2399999999999999E-3"/>
    <n v="0"/>
    <x v="5"/>
    <x v="3"/>
    <n v="9.2399999999999999E-3"/>
  </r>
  <r>
    <s v="SYN1567"/>
    <n v="22"/>
    <x v="0"/>
    <n v="21"/>
    <n v="42"/>
    <n v="1.91E-3"/>
    <n v="0"/>
    <x v="3"/>
    <x v="1"/>
    <n v="1.91E-3"/>
  </r>
  <r>
    <s v="SYN1568"/>
    <n v="49"/>
    <x v="1"/>
    <n v="29"/>
    <n v="77"/>
    <n v="2.0979999999999999E-2"/>
    <n v="0"/>
    <x v="5"/>
    <x v="1"/>
    <n v="2.0979999999999999E-2"/>
  </r>
  <r>
    <s v="SYN1569"/>
    <n v="49"/>
    <x v="1"/>
    <n v="26"/>
    <n v="74"/>
    <n v="2.0979999999999999E-2"/>
    <n v="0"/>
    <x v="5"/>
    <x v="1"/>
    <n v="2.0979999999999999E-2"/>
  </r>
  <r>
    <s v="SYN1570"/>
    <n v="23"/>
    <x v="1"/>
    <n v="27"/>
    <n v="49"/>
    <n v="1.73E-3"/>
    <n v="0"/>
    <x v="3"/>
    <x v="1"/>
    <n v="1.73E-3"/>
  </r>
  <r>
    <s v="SYN1571"/>
    <n v="63"/>
    <x v="1"/>
    <n v="11"/>
    <n v="73"/>
    <n v="1.282E-2"/>
    <n v="0"/>
    <x v="5"/>
    <x v="2"/>
    <n v="1.282E-2"/>
  </r>
  <r>
    <s v="SYN1572"/>
    <n v="56"/>
    <x v="0"/>
    <n v="22"/>
    <n v="77"/>
    <n v="3.7039999999999997E-2"/>
    <n v="0"/>
    <x v="5"/>
    <x v="1"/>
    <n v="3.7039999999999997E-2"/>
  </r>
  <r>
    <s v="SYN1573"/>
    <n v="42"/>
    <x v="1"/>
    <n v="3"/>
    <n v="44"/>
    <n v="5.4000000000000001E-4"/>
    <n v="0"/>
    <x v="3"/>
    <x v="0"/>
    <n v="5.4000000000000001E-4"/>
  </r>
  <r>
    <s v="SYN1574"/>
    <n v="21"/>
    <x v="1"/>
    <n v="11"/>
    <n v="31"/>
    <n v="4.0999999999999999E-4"/>
    <n v="0"/>
    <x v="1"/>
    <x v="2"/>
    <n v="4.0999999999999999E-4"/>
  </r>
  <r>
    <s v="SYN1575"/>
    <n v="30"/>
    <x v="1"/>
    <n v="19"/>
    <n v="48"/>
    <n v="1.64E-3"/>
    <n v="0"/>
    <x v="3"/>
    <x v="2"/>
    <n v="1.64E-3"/>
  </r>
  <r>
    <s v="SYN1576"/>
    <n v="27"/>
    <x v="1"/>
    <n v="28"/>
    <n v="54"/>
    <n v="2.3800000000000002E-3"/>
    <n v="0"/>
    <x v="2"/>
    <x v="1"/>
    <n v="2.3800000000000002E-3"/>
  </r>
  <r>
    <s v="SYN1577"/>
    <n v="40"/>
    <x v="0"/>
    <n v="23"/>
    <n v="62"/>
    <n v="7.7400000000000004E-3"/>
    <n v="0"/>
    <x v="0"/>
    <x v="1"/>
    <n v="7.7400000000000004E-3"/>
  </r>
  <r>
    <s v="SYN1578"/>
    <n v="51"/>
    <x v="0"/>
    <n v="29"/>
    <n v="79"/>
    <n v="3.3509999999999998E-2"/>
    <n v="0"/>
    <x v="5"/>
    <x v="1"/>
    <n v="3.3509999999999998E-2"/>
  </r>
  <r>
    <s v="SYN1579"/>
    <n v="39"/>
    <x v="1"/>
    <n v="7"/>
    <n v="45"/>
    <n v="8.4999999999999995E-4"/>
    <n v="0"/>
    <x v="3"/>
    <x v="0"/>
    <n v="8.4999999999999995E-4"/>
  </r>
  <r>
    <s v="SYN1580"/>
    <n v="43"/>
    <x v="0"/>
    <n v="26"/>
    <n v="68"/>
    <n v="1.413E-2"/>
    <n v="0"/>
    <x v="0"/>
    <x v="1"/>
    <n v="1.413E-2"/>
  </r>
  <r>
    <s v="SYN1581"/>
    <n v="25"/>
    <x v="1"/>
    <n v="15"/>
    <n v="39"/>
    <n v="8.8999999999999995E-4"/>
    <n v="0"/>
    <x v="1"/>
    <x v="2"/>
    <n v="8.8999999999999995E-4"/>
  </r>
  <r>
    <s v="SYN1582"/>
    <n v="52"/>
    <x v="0"/>
    <n v="5"/>
    <n v="56"/>
    <n v="3.2100000000000002E-3"/>
    <n v="0"/>
    <x v="2"/>
    <x v="0"/>
    <n v="3.2100000000000002E-3"/>
  </r>
  <r>
    <s v="SYN1583"/>
    <n v="53"/>
    <x v="1"/>
    <n v="10"/>
    <n v="62"/>
    <n v="4.7299999999999998E-3"/>
    <n v="0"/>
    <x v="0"/>
    <x v="2"/>
    <n v="4.7299999999999998E-3"/>
  </r>
  <r>
    <s v="SYN1584"/>
    <n v="26"/>
    <x v="1"/>
    <n v="27"/>
    <n v="52"/>
    <n v="2.1900000000000001E-3"/>
    <n v="0"/>
    <x v="2"/>
    <x v="1"/>
    <n v="2.1900000000000001E-3"/>
  </r>
  <r>
    <s v="SYN1585"/>
    <n v="28"/>
    <x v="1"/>
    <n v="7"/>
    <n v="34"/>
    <n v="3.6000000000000002E-4"/>
    <n v="0"/>
    <x v="1"/>
    <x v="0"/>
    <n v="3.6000000000000002E-4"/>
  </r>
  <r>
    <s v="SYN1586"/>
    <n v="65"/>
    <x v="1"/>
    <n v="28"/>
    <n v="92"/>
    <n v="0.13125000000000001"/>
    <n v="1"/>
    <x v="7"/>
    <x v="1"/>
    <n v="0.13125000000000001"/>
  </r>
  <r>
    <s v="SYN1587"/>
    <n v="22"/>
    <x v="1"/>
    <n v="22"/>
    <n v="43"/>
    <n v="1.2800000000000001E-3"/>
    <n v="0"/>
    <x v="3"/>
    <x v="1"/>
    <n v="1.2800000000000001E-3"/>
  </r>
  <r>
    <s v="SYN1588"/>
    <n v="41"/>
    <x v="1"/>
    <n v="15"/>
    <n v="55"/>
    <n v="2.7599999999999999E-3"/>
    <n v="0"/>
    <x v="2"/>
    <x v="2"/>
    <n v="2.7599999999999999E-3"/>
  </r>
  <r>
    <s v="SYN1589"/>
    <n v="62"/>
    <x v="0"/>
    <n v="24"/>
    <n v="85"/>
    <n v="9.1270000000000004E-2"/>
    <n v="0"/>
    <x v="4"/>
    <x v="1"/>
    <n v="9.1270000000000004E-2"/>
  </r>
  <r>
    <s v="SYN1590"/>
    <n v="39"/>
    <x v="1"/>
    <n v="21"/>
    <n v="59"/>
    <n v="4.4600000000000004E-3"/>
    <n v="0"/>
    <x v="2"/>
    <x v="1"/>
    <n v="4.4600000000000004E-3"/>
  </r>
  <r>
    <s v="SYN1591"/>
    <n v="32"/>
    <x v="0"/>
    <n v="10"/>
    <n v="41"/>
    <n v="1.06E-3"/>
    <n v="0"/>
    <x v="3"/>
    <x v="2"/>
    <n v="1.06E-3"/>
  </r>
  <r>
    <s v="SYN1592"/>
    <n v="48"/>
    <x v="0"/>
    <n v="22"/>
    <n v="69"/>
    <n v="1.5509999999999999E-2"/>
    <n v="0"/>
    <x v="0"/>
    <x v="1"/>
    <n v="1.5509999999999999E-2"/>
  </r>
  <r>
    <s v="SYN1593"/>
    <n v="37"/>
    <x v="0"/>
    <n v="4"/>
    <n v="40"/>
    <n v="6.8999999999999997E-4"/>
    <n v="0"/>
    <x v="3"/>
    <x v="0"/>
    <n v="6.8999999999999997E-4"/>
  </r>
  <r>
    <s v="SYN1594"/>
    <n v="52"/>
    <x v="0"/>
    <n v="4"/>
    <n v="55"/>
    <n v="2.7299999999999998E-3"/>
    <n v="0"/>
    <x v="2"/>
    <x v="0"/>
    <n v="2.7299999999999998E-3"/>
  </r>
  <r>
    <s v="SYN1595"/>
    <n v="40"/>
    <x v="0"/>
    <n v="9"/>
    <n v="48"/>
    <n v="1.65E-3"/>
    <n v="0"/>
    <x v="3"/>
    <x v="0"/>
    <n v="1.65E-3"/>
  </r>
  <r>
    <s v="SYN1596"/>
    <n v="38"/>
    <x v="0"/>
    <n v="19"/>
    <n v="56"/>
    <n v="4.2100000000000002E-3"/>
    <n v="0"/>
    <x v="2"/>
    <x v="2"/>
    <n v="4.2100000000000002E-3"/>
  </r>
  <r>
    <s v="SYN1597"/>
    <n v="59"/>
    <x v="0"/>
    <n v="29"/>
    <n v="87"/>
    <n v="8.0629999999999993E-2"/>
    <n v="0"/>
    <x v="4"/>
    <x v="1"/>
    <n v="8.0629999999999993E-2"/>
  </r>
  <r>
    <s v="SYN1598"/>
    <n v="28"/>
    <x v="0"/>
    <n v="1"/>
    <n v="28"/>
    <n v="2.7E-4"/>
    <n v="0"/>
    <x v="6"/>
    <x v="0"/>
    <n v="2.7E-4"/>
  </r>
  <r>
    <s v="SYN1599"/>
    <n v="26"/>
    <x v="0"/>
    <n v="13"/>
    <n v="38"/>
    <n v="9.6000000000000002E-4"/>
    <n v="0"/>
    <x v="1"/>
    <x v="2"/>
    <n v="9.6000000000000002E-4"/>
  </r>
  <r>
    <s v="SYN1600"/>
    <n v="31"/>
    <x v="1"/>
    <n v="23"/>
    <n v="53"/>
    <n v="2.5899999999999999E-3"/>
    <n v="0"/>
    <x v="2"/>
    <x v="1"/>
    <n v="2.5899999999999999E-3"/>
  </r>
  <r>
    <s v="SYN1601"/>
    <n v="64"/>
    <x v="0"/>
    <n v="23"/>
    <n v="86"/>
    <n v="0.10346"/>
    <n v="0"/>
    <x v="4"/>
    <x v="1"/>
    <n v="0.10346"/>
  </r>
  <r>
    <s v="SYN1602"/>
    <n v="41"/>
    <x v="0"/>
    <n v="27"/>
    <n v="67"/>
    <n v="1.1730000000000001E-2"/>
    <n v="0"/>
    <x v="0"/>
    <x v="1"/>
    <n v="1.1730000000000001E-2"/>
  </r>
  <r>
    <s v="SYN1603"/>
    <n v="54"/>
    <x v="1"/>
    <n v="3"/>
    <n v="56"/>
    <n v="1.75E-3"/>
    <n v="0"/>
    <x v="2"/>
    <x v="0"/>
    <n v="1.75E-3"/>
  </r>
  <r>
    <s v="SYN1604"/>
    <n v="49"/>
    <x v="0"/>
    <n v="19"/>
    <n v="67"/>
    <n v="1.2460000000000001E-2"/>
    <n v="0"/>
    <x v="0"/>
    <x v="2"/>
    <n v="1.2460000000000001E-2"/>
  </r>
  <r>
    <s v="SYN1605"/>
    <n v="64"/>
    <x v="0"/>
    <n v="15"/>
    <n v="78"/>
    <n v="3.6339999999999997E-2"/>
    <n v="0"/>
    <x v="5"/>
    <x v="2"/>
    <n v="3.6339999999999997E-2"/>
  </r>
  <r>
    <s v="SYN1606"/>
    <n v="61"/>
    <x v="1"/>
    <n v="23"/>
    <n v="83"/>
    <n v="5.704E-2"/>
    <n v="0"/>
    <x v="4"/>
    <x v="1"/>
    <n v="5.704E-2"/>
  </r>
  <r>
    <s v="SYN1607"/>
    <n v="34"/>
    <x v="1"/>
    <n v="5"/>
    <n v="38"/>
    <n v="4.6999999999999999E-4"/>
    <n v="0"/>
    <x v="1"/>
    <x v="0"/>
    <n v="4.6999999999999999E-4"/>
  </r>
  <r>
    <s v="SYN1608"/>
    <n v="43"/>
    <x v="0"/>
    <n v="13"/>
    <n v="55"/>
    <n v="3.5400000000000002E-3"/>
    <n v="0"/>
    <x v="2"/>
    <x v="2"/>
    <n v="3.5400000000000002E-3"/>
  </r>
  <r>
    <s v="SYN1609"/>
    <n v="41"/>
    <x v="1"/>
    <n v="26"/>
    <n v="66"/>
    <n v="9.2399999999999999E-3"/>
    <n v="0"/>
    <x v="0"/>
    <x v="1"/>
    <n v="9.2399999999999999E-3"/>
  </r>
  <r>
    <s v="SYN1610"/>
    <n v="51"/>
    <x v="0"/>
    <n v="1"/>
    <n v="51"/>
    <n v="8.5999999999999998E-4"/>
    <n v="0"/>
    <x v="2"/>
    <x v="0"/>
    <n v="8.5999999999999998E-4"/>
  </r>
  <r>
    <s v="SYN1611"/>
    <n v="50"/>
    <x v="1"/>
    <n v="15"/>
    <n v="64"/>
    <n v="6.8599999999999998E-3"/>
    <n v="0"/>
    <x v="0"/>
    <x v="2"/>
    <n v="6.8599999999999998E-3"/>
  </r>
  <r>
    <s v="SYN1612"/>
    <n v="42"/>
    <x v="1"/>
    <n v="20"/>
    <n v="61"/>
    <n v="5.4000000000000003E-3"/>
    <n v="0"/>
    <x v="0"/>
    <x v="1"/>
    <n v="5.4000000000000003E-3"/>
  </r>
  <r>
    <s v="SYN1613"/>
    <n v="45"/>
    <x v="1"/>
    <n v="27"/>
    <n v="71"/>
    <n v="1.404E-2"/>
    <n v="0"/>
    <x v="5"/>
    <x v="1"/>
    <n v="1.404E-2"/>
  </r>
  <r>
    <s v="SYN1614"/>
    <n v="55"/>
    <x v="0"/>
    <n v="21"/>
    <n v="75"/>
    <n v="2.9780000000000001E-2"/>
    <n v="0"/>
    <x v="5"/>
    <x v="1"/>
    <n v="2.9780000000000001E-2"/>
  </r>
  <r>
    <s v="SYN1615"/>
    <n v="49"/>
    <x v="1"/>
    <n v="13"/>
    <n v="61"/>
    <n v="4.8999999999999998E-3"/>
    <n v="0"/>
    <x v="0"/>
    <x v="2"/>
    <n v="4.8999999999999998E-3"/>
  </r>
  <r>
    <s v="SYN1616"/>
    <n v="35"/>
    <x v="0"/>
    <n v="18"/>
    <n v="52"/>
    <n v="2.9099999999999998E-3"/>
    <n v="0"/>
    <x v="2"/>
    <x v="2"/>
    <n v="2.9099999999999998E-3"/>
  </r>
  <r>
    <s v="SYN1617"/>
    <n v="24"/>
    <x v="0"/>
    <n v="11"/>
    <n v="34"/>
    <n v="7.1000000000000002E-4"/>
    <n v="0"/>
    <x v="1"/>
    <x v="2"/>
    <n v="7.1000000000000002E-4"/>
  </r>
  <r>
    <s v="SYN1618"/>
    <n v="47"/>
    <x v="1"/>
    <n v="26"/>
    <n v="72"/>
    <n v="1.7170000000000001E-2"/>
    <n v="0"/>
    <x v="5"/>
    <x v="1"/>
    <n v="1.7170000000000001E-2"/>
  </r>
  <r>
    <s v="SYN1619"/>
    <n v="41"/>
    <x v="1"/>
    <n v="18"/>
    <n v="58"/>
    <n v="3.8600000000000001E-3"/>
    <n v="0"/>
    <x v="2"/>
    <x v="2"/>
    <n v="3.8600000000000001E-3"/>
  </r>
  <r>
    <s v="SYN1620"/>
    <n v="62"/>
    <x v="1"/>
    <n v="3"/>
    <n v="64"/>
    <n v="3.3300000000000001E-3"/>
    <n v="0"/>
    <x v="0"/>
    <x v="0"/>
    <n v="3.3300000000000001E-3"/>
  </r>
  <r>
    <s v="SYN1621"/>
    <n v="51"/>
    <x v="1"/>
    <n v="4"/>
    <n v="54"/>
    <n v="1.72E-3"/>
    <n v="0"/>
    <x v="2"/>
    <x v="0"/>
    <n v="1.72E-3"/>
  </r>
  <r>
    <s v="SYN1622"/>
    <n v="55"/>
    <x v="1"/>
    <n v="4"/>
    <n v="58"/>
    <n v="2.3400000000000001E-3"/>
    <n v="0"/>
    <x v="2"/>
    <x v="0"/>
    <n v="2.3400000000000001E-3"/>
  </r>
  <r>
    <s v="SYN1623"/>
    <n v="45"/>
    <x v="1"/>
    <n v="3"/>
    <n v="47"/>
    <n v="6.8000000000000005E-4"/>
    <n v="0"/>
    <x v="3"/>
    <x v="0"/>
    <n v="6.8000000000000005E-4"/>
  </r>
  <r>
    <s v="SYN1624"/>
    <n v="58"/>
    <x v="1"/>
    <n v="25"/>
    <n v="82"/>
    <n v="5.0599999999999999E-2"/>
    <n v="0"/>
    <x v="4"/>
    <x v="1"/>
    <n v="5.0599999999999999E-2"/>
  </r>
  <r>
    <s v="SYN1625"/>
    <n v="61"/>
    <x v="0"/>
    <n v="22"/>
    <n v="82"/>
    <n v="6.3329999999999997E-2"/>
    <n v="0"/>
    <x v="4"/>
    <x v="1"/>
    <n v="6.3329999999999997E-2"/>
  </r>
  <r>
    <s v="SYN1626"/>
    <n v="28"/>
    <x v="1"/>
    <n v="29"/>
    <n v="56"/>
    <n v="2.5899999999999999E-3"/>
    <n v="0"/>
    <x v="2"/>
    <x v="1"/>
    <n v="2.5899999999999999E-3"/>
  </r>
  <r>
    <s v="SYN1627"/>
    <n v="20"/>
    <x v="0"/>
    <n v="25"/>
    <n v="44"/>
    <n v="2.3999999999999998E-3"/>
    <n v="0"/>
    <x v="3"/>
    <x v="1"/>
    <n v="2.3999999999999998E-3"/>
  </r>
  <r>
    <s v="SYN1628"/>
    <n v="54"/>
    <x v="0"/>
    <n v="10"/>
    <n v="63"/>
    <n v="8.0300000000000007E-3"/>
    <n v="0"/>
    <x v="0"/>
    <x v="2"/>
    <n v="8.0300000000000007E-3"/>
  </r>
  <r>
    <s v="SYN1629"/>
    <n v="32"/>
    <x v="1"/>
    <n v="7"/>
    <n v="38"/>
    <n v="5.2999999999999998E-4"/>
    <n v="0"/>
    <x v="1"/>
    <x v="0"/>
    <n v="5.2999999999999998E-4"/>
  </r>
  <r>
    <s v="SYN1630"/>
    <n v="56"/>
    <x v="1"/>
    <n v="26"/>
    <n v="81"/>
    <n v="4.4880000000000003E-2"/>
    <n v="0"/>
    <x v="4"/>
    <x v="1"/>
    <n v="4.4880000000000003E-2"/>
  </r>
  <r>
    <s v="SYN1631"/>
    <n v="47"/>
    <x v="1"/>
    <n v="23"/>
    <n v="69"/>
    <n v="1.2659999999999999E-2"/>
    <n v="0"/>
    <x v="0"/>
    <x v="1"/>
    <n v="1.2659999999999999E-2"/>
  </r>
  <r>
    <s v="SYN1632"/>
    <n v="25"/>
    <x v="0"/>
    <n v="19"/>
    <n v="43"/>
    <n v="1.7799999999999999E-3"/>
    <n v="0"/>
    <x v="3"/>
    <x v="2"/>
    <n v="1.7799999999999999E-3"/>
  </r>
  <r>
    <s v="SYN1633"/>
    <n v="45"/>
    <x v="0"/>
    <n v="28"/>
    <n v="72"/>
    <n v="1.7160000000000002E-2"/>
    <n v="0"/>
    <x v="5"/>
    <x v="1"/>
    <n v="1.7160000000000002E-2"/>
  </r>
  <r>
    <s v="SYN1634"/>
    <n v="43"/>
    <x v="1"/>
    <n v="29"/>
    <n v="71"/>
    <n v="1.141E-2"/>
    <n v="0"/>
    <x v="5"/>
    <x v="1"/>
    <n v="1.141E-2"/>
  </r>
  <r>
    <s v="SYN1635"/>
    <n v="65"/>
    <x v="1"/>
    <n v="18"/>
    <n v="82"/>
    <n v="4.897E-2"/>
    <n v="0"/>
    <x v="4"/>
    <x v="2"/>
    <n v="4.897E-2"/>
  </r>
  <r>
    <s v="SYN1636"/>
    <n v="38"/>
    <x v="0"/>
    <n v="28"/>
    <n v="65"/>
    <n v="8.6599999999999993E-3"/>
    <n v="0"/>
    <x v="0"/>
    <x v="1"/>
    <n v="8.6599999999999993E-3"/>
  </r>
  <r>
    <s v="SYN1637"/>
    <n v="57"/>
    <x v="1"/>
    <n v="13"/>
    <n v="69"/>
    <n v="9.9299999999999996E-3"/>
    <n v="0"/>
    <x v="0"/>
    <x v="2"/>
    <n v="9.9299999999999996E-3"/>
  </r>
  <r>
    <s v="SYN1638"/>
    <n v="45"/>
    <x v="0"/>
    <n v="13"/>
    <n v="57"/>
    <n v="4.3600000000000002E-3"/>
    <n v="0"/>
    <x v="2"/>
    <x v="2"/>
    <n v="4.3600000000000002E-3"/>
  </r>
  <r>
    <s v="SYN1639"/>
    <n v="31"/>
    <x v="0"/>
    <n v="16"/>
    <n v="46"/>
    <n v="1.7799999999999999E-3"/>
    <n v="0"/>
    <x v="3"/>
    <x v="2"/>
    <n v="1.7799999999999999E-3"/>
  </r>
  <r>
    <s v="SYN1640"/>
    <n v="43"/>
    <x v="0"/>
    <n v="27"/>
    <n v="69"/>
    <n v="1.413E-2"/>
    <n v="0"/>
    <x v="0"/>
    <x v="1"/>
    <n v="1.413E-2"/>
  </r>
  <r>
    <s v="SYN1641"/>
    <n v="62"/>
    <x v="0"/>
    <n v="5"/>
    <n v="66"/>
    <n v="7.9399999999999991E-3"/>
    <n v="0"/>
    <x v="0"/>
    <x v="0"/>
    <n v="7.9399999999999991E-3"/>
  </r>
  <r>
    <s v="SYN1642"/>
    <n v="21"/>
    <x v="1"/>
    <n v="5"/>
    <n v="25"/>
    <n v="2.9999999999999997E-4"/>
    <n v="0"/>
    <x v="6"/>
    <x v="0"/>
    <n v="2.9999999999999997E-4"/>
  </r>
  <r>
    <s v="SYN1643"/>
    <n v="47"/>
    <x v="0"/>
    <n v="5"/>
    <n v="51"/>
    <n v="1.8500000000000001E-3"/>
    <n v="0"/>
    <x v="2"/>
    <x v="0"/>
    <n v="1.8500000000000001E-3"/>
  </r>
  <r>
    <s v="SYN1644"/>
    <n v="46"/>
    <x v="0"/>
    <n v="28"/>
    <n v="73"/>
    <n v="1.9089999999999999E-2"/>
    <n v="0"/>
    <x v="5"/>
    <x v="1"/>
    <n v="1.9089999999999999E-2"/>
  </r>
  <r>
    <s v="SYN1645"/>
    <n v="58"/>
    <x v="0"/>
    <n v="30"/>
    <n v="87"/>
    <n v="7.1389999999999995E-2"/>
    <n v="0"/>
    <x v="4"/>
    <x v="3"/>
    <n v="7.1389999999999995E-2"/>
  </r>
  <r>
    <s v="SYN1646"/>
    <n v="52"/>
    <x v="1"/>
    <n v="14"/>
    <n v="65"/>
    <n v="7.2399999999999999E-3"/>
    <n v="0"/>
    <x v="0"/>
    <x v="2"/>
    <n v="7.2399999999999999E-3"/>
  </r>
  <r>
    <s v="SYN1647"/>
    <n v="42"/>
    <x v="0"/>
    <n v="8"/>
    <n v="49"/>
    <n v="1.74E-3"/>
    <n v="0"/>
    <x v="3"/>
    <x v="0"/>
    <n v="1.74E-3"/>
  </r>
  <r>
    <s v="SYN1648"/>
    <n v="56"/>
    <x v="1"/>
    <n v="16"/>
    <n v="71"/>
    <n v="1.376E-2"/>
    <n v="0"/>
    <x v="5"/>
    <x v="2"/>
    <n v="1.376E-2"/>
  </r>
  <r>
    <s v="SYN1649"/>
    <n v="52"/>
    <x v="0"/>
    <n v="9"/>
    <n v="60"/>
    <n v="5.7299999999999999E-3"/>
    <n v="0"/>
    <x v="0"/>
    <x v="0"/>
    <n v="5.7299999999999999E-3"/>
  </r>
  <r>
    <s v="SYN1650"/>
    <n v="43"/>
    <x v="1"/>
    <n v="2"/>
    <n v="44"/>
    <n v="4.0000000000000002E-4"/>
    <n v="0"/>
    <x v="3"/>
    <x v="0"/>
    <n v="4.0000000000000002E-4"/>
  </r>
  <r>
    <s v="SYN1651"/>
    <n v="65"/>
    <x v="0"/>
    <n v="12"/>
    <n v="76"/>
    <n v="2.529E-2"/>
    <n v="0"/>
    <x v="5"/>
    <x v="2"/>
    <n v="2.529E-2"/>
  </r>
  <r>
    <s v="SYN1652"/>
    <n v="64"/>
    <x v="0"/>
    <n v="3"/>
    <n v="66"/>
    <n v="5.8999999999999999E-3"/>
    <n v="0"/>
    <x v="0"/>
    <x v="0"/>
    <n v="5.8999999999999999E-3"/>
  </r>
  <r>
    <s v="SYN1653"/>
    <n v="37"/>
    <x v="1"/>
    <n v="15"/>
    <n v="51"/>
    <n v="1.92E-3"/>
    <n v="0"/>
    <x v="2"/>
    <x v="2"/>
    <n v="1.92E-3"/>
  </r>
  <r>
    <s v="SYN1654"/>
    <n v="59"/>
    <x v="0"/>
    <n v="3"/>
    <n v="61"/>
    <n v="4.3800000000000002E-3"/>
    <n v="0"/>
    <x v="0"/>
    <x v="0"/>
    <n v="4.3800000000000002E-3"/>
  </r>
  <r>
    <s v="SYN1655"/>
    <n v="62"/>
    <x v="0"/>
    <n v="22"/>
    <n v="83"/>
    <n v="7.1389999999999995E-2"/>
    <n v="0"/>
    <x v="4"/>
    <x v="1"/>
    <n v="7.1389999999999995E-2"/>
  </r>
  <r>
    <s v="SYN1656"/>
    <n v="57"/>
    <x v="1"/>
    <n v="10"/>
    <n v="66"/>
    <n v="6.79E-3"/>
    <n v="0"/>
    <x v="0"/>
    <x v="2"/>
    <n v="6.79E-3"/>
  </r>
  <r>
    <s v="SYN1657"/>
    <n v="54"/>
    <x v="0"/>
    <n v="25"/>
    <n v="78"/>
    <n v="4.1189999999999997E-2"/>
    <n v="0"/>
    <x v="5"/>
    <x v="1"/>
    <n v="4.1189999999999997E-2"/>
  </r>
  <r>
    <s v="SYN1658"/>
    <n v="50"/>
    <x v="1"/>
    <n v="19"/>
    <n v="68"/>
    <n v="1.106E-2"/>
    <n v="0"/>
    <x v="0"/>
    <x v="2"/>
    <n v="1.106E-2"/>
  </r>
  <r>
    <s v="SYN1659"/>
    <n v="38"/>
    <x v="0"/>
    <n v="10"/>
    <n v="47"/>
    <n v="1.56E-3"/>
    <n v="0"/>
    <x v="3"/>
    <x v="2"/>
    <n v="1.56E-3"/>
  </r>
  <r>
    <s v="SYN1660"/>
    <n v="58"/>
    <x v="0"/>
    <n v="24"/>
    <n v="81"/>
    <n v="5.6829999999999999E-2"/>
    <n v="0"/>
    <x v="4"/>
    <x v="1"/>
    <n v="5.6829999999999999E-2"/>
  </r>
  <r>
    <s v="SYN1661"/>
    <n v="36"/>
    <x v="1"/>
    <n v="2"/>
    <n v="37"/>
    <n v="2.7E-4"/>
    <n v="0"/>
    <x v="1"/>
    <x v="0"/>
    <n v="2.7E-4"/>
  </r>
  <r>
    <s v="SYN1662"/>
    <n v="56"/>
    <x v="1"/>
    <n v="2"/>
    <n v="57"/>
    <n v="1.31E-3"/>
    <n v="0"/>
    <x v="2"/>
    <x v="0"/>
    <n v="1.31E-3"/>
  </r>
  <r>
    <s v="SYN1663"/>
    <n v="59"/>
    <x v="0"/>
    <n v="1"/>
    <n v="59"/>
    <n v="1.81E-3"/>
    <n v="0"/>
    <x v="2"/>
    <x v="0"/>
    <n v="1.81E-3"/>
  </r>
  <r>
    <s v="SYN1664"/>
    <n v="52"/>
    <x v="1"/>
    <n v="3"/>
    <n v="54"/>
    <n v="1.5499999999999999E-3"/>
    <n v="0"/>
    <x v="2"/>
    <x v="0"/>
    <n v="1.5499999999999999E-3"/>
  </r>
  <r>
    <s v="SYN1665"/>
    <n v="28"/>
    <x v="0"/>
    <n v="20"/>
    <n v="47"/>
    <n v="2.0300000000000001E-3"/>
    <n v="0"/>
    <x v="3"/>
    <x v="1"/>
    <n v="2.0300000000000001E-3"/>
  </r>
  <r>
    <s v="SYN1666"/>
    <n v="20"/>
    <x v="0"/>
    <n v="24"/>
    <n v="43"/>
    <n v="2.2499999999999998E-3"/>
    <n v="0"/>
    <x v="3"/>
    <x v="1"/>
    <n v="2.2499999999999998E-3"/>
  </r>
  <r>
    <s v="SYN1667"/>
    <n v="57"/>
    <x v="0"/>
    <n v="24"/>
    <n v="80"/>
    <n v="5.0909999999999997E-2"/>
    <n v="0"/>
    <x v="4"/>
    <x v="1"/>
    <n v="5.0909999999999997E-2"/>
  </r>
  <r>
    <s v="SYN1668"/>
    <n v="31"/>
    <x v="1"/>
    <n v="9"/>
    <n v="39"/>
    <n v="6.6E-4"/>
    <n v="0"/>
    <x v="1"/>
    <x v="0"/>
    <n v="6.6E-4"/>
  </r>
  <r>
    <s v="SYN1669"/>
    <n v="31"/>
    <x v="1"/>
    <n v="26"/>
    <n v="56"/>
    <n v="3.3700000000000002E-3"/>
    <n v="0"/>
    <x v="2"/>
    <x v="1"/>
    <n v="3.3700000000000002E-3"/>
  </r>
  <r>
    <s v="SYN1670"/>
    <n v="25"/>
    <x v="1"/>
    <n v="5"/>
    <n v="29"/>
    <n v="2.5000000000000001E-4"/>
    <n v="0"/>
    <x v="6"/>
    <x v="0"/>
    <n v="2.5000000000000001E-4"/>
  </r>
  <r>
    <s v="SYN1671"/>
    <n v="51"/>
    <x v="1"/>
    <n v="25"/>
    <n v="75"/>
    <n v="2.325E-2"/>
    <n v="0"/>
    <x v="5"/>
    <x v="1"/>
    <n v="2.325E-2"/>
  </r>
  <r>
    <s v="SYN1672"/>
    <n v="35"/>
    <x v="0"/>
    <n v="22"/>
    <n v="56"/>
    <n v="4.3899999999999998E-3"/>
    <n v="0"/>
    <x v="2"/>
    <x v="1"/>
    <n v="4.3899999999999998E-3"/>
  </r>
  <r>
    <s v="SYN1673"/>
    <n v="33"/>
    <x v="1"/>
    <n v="19"/>
    <n v="51"/>
    <n v="2.0400000000000001E-3"/>
    <n v="0"/>
    <x v="2"/>
    <x v="2"/>
    <n v="2.0400000000000001E-3"/>
  </r>
  <r>
    <s v="SYN1674"/>
    <n v="61"/>
    <x v="1"/>
    <n v="9"/>
    <n v="69"/>
    <n v="8.0199999999999994E-3"/>
    <n v="0"/>
    <x v="0"/>
    <x v="0"/>
    <n v="8.0199999999999994E-3"/>
  </r>
  <r>
    <s v="SYN1675"/>
    <n v="30"/>
    <x v="0"/>
    <n v="15"/>
    <n v="44"/>
    <n v="1.5200000000000001E-3"/>
    <n v="0"/>
    <x v="3"/>
    <x v="2"/>
    <n v="1.5200000000000001E-3"/>
  </r>
  <r>
    <s v="SYN1676"/>
    <n v="54"/>
    <x v="0"/>
    <n v="8"/>
    <n v="61"/>
    <n v="6.1799999999999997E-3"/>
    <n v="0"/>
    <x v="0"/>
    <x v="0"/>
    <n v="6.1799999999999997E-3"/>
  </r>
  <r>
    <s v="SYN1677"/>
    <n v="50"/>
    <x v="0"/>
    <n v="9"/>
    <n v="58"/>
    <n v="4.5999999999999999E-3"/>
    <n v="0"/>
    <x v="2"/>
    <x v="0"/>
    <n v="4.5999999999999999E-3"/>
  </r>
  <r>
    <s v="SYN1678"/>
    <n v="20"/>
    <x v="1"/>
    <n v="10"/>
    <n v="29"/>
    <n v="3.8000000000000002E-4"/>
    <n v="0"/>
    <x v="6"/>
    <x v="2"/>
    <n v="3.8000000000000002E-4"/>
  </r>
  <r>
    <s v="SYN1679"/>
    <n v="63"/>
    <x v="1"/>
    <n v="11"/>
    <n v="73"/>
    <n v="1.282E-2"/>
    <n v="0"/>
    <x v="5"/>
    <x v="2"/>
    <n v="1.282E-2"/>
  </r>
  <r>
    <s v="SYN1680"/>
    <n v="22"/>
    <x v="1"/>
    <n v="4"/>
    <n v="25"/>
    <n v="2.7E-4"/>
    <n v="0"/>
    <x v="6"/>
    <x v="0"/>
    <n v="2.7E-4"/>
  </r>
  <r>
    <s v="SYN1681"/>
    <n v="47"/>
    <x v="1"/>
    <n v="20"/>
    <n v="66"/>
    <n v="9.1199999999999996E-3"/>
    <n v="0"/>
    <x v="0"/>
    <x v="1"/>
    <n v="9.1199999999999996E-3"/>
  </r>
  <r>
    <s v="SYN1682"/>
    <n v="41"/>
    <x v="0"/>
    <n v="9"/>
    <n v="49"/>
    <n v="1.82E-3"/>
    <n v="0"/>
    <x v="3"/>
    <x v="0"/>
    <n v="1.82E-3"/>
  </r>
  <r>
    <s v="SYN1683"/>
    <n v="61"/>
    <x v="0"/>
    <n v="19"/>
    <n v="79"/>
    <n v="4.5609999999999998E-2"/>
    <n v="0"/>
    <x v="5"/>
    <x v="2"/>
    <n v="4.5609999999999998E-2"/>
  </r>
  <r>
    <s v="SYN1684"/>
    <n v="35"/>
    <x v="1"/>
    <n v="24"/>
    <n v="58"/>
    <n v="4.0499999999999998E-3"/>
    <n v="0"/>
    <x v="2"/>
    <x v="1"/>
    <n v="4.0499999999999998E-3"/>
  </r>
  <r>
    <s v="SYN1685"/>
    <n v="53"/>
    <x v="1"/>
    <n v="11"/>
    <n v="63"/>
    <n v="5.3299999999999997E-3"/>
    <n v="0"/>
    <x v="0"/>
    <x v="2"/>
    <n v="5.3299999999999997E-3"/>
  </r>
  <r>
    <s v="SYN1686"/>
    <n v="40"/>
    <x v="0"/>
    <n v="18"/>
    <n v="57"/>
    <n v="4.5900000000000003E-3"/>
    <n v="0"/>
    <x v="2"/>
    <x v="2"/>
    <n v="4.5900000000000003E-3"/>
  </r>
  <r>
    <s v="SYN1687"/>
    <n v="24"/>
    <x v="0"/>
    <n v="1"/>
    <n v="24"/>
    <n v="4.4000000000000002E-4"/>
    <n v="0"/>
    <x v="6"/>
    <x v="0"/>
    <n v="4.4000000000000002E-4"/>
  </r>
  <r>
    <s v="SYN1688"/>
    <n v="63"/>
    <x v="0"/>
    <n v="15"/>
    <n v="77"/>
    <n v="3.3599999999999998E-2"/>
    <n v="0"/>
    <x v="5"/>
    <x v="2"/>
    <n v="3.3599999999999998E-2"/>
  </r>
  <r>
    <s v="SYN1689"/>
    <n v="36"/>
    <x v="0"/>
    <n v="7"/>
    <n v="42"/>
    <n v="9.5E-4"/>
    <n v="0"/>
    <x v="3"/>
    <x v="0"/>
    <n v="9.5E-4"/>
  </r>
  <r>
    <s v="SYN1690"/>
    <n v="23"/>
    <x v="1"/>
    <n v="20"/>
    <n v="42"/>
    <n v="1.23E-3"/>
    <n v="0"/>
    <x v="3"/>
    <x v="1"/>
    <n v="1.23E-3"/>
  </r>
  <r>
    <s v="SYN1691"/>
    <n v="58"/>
    <x v="0"/>
    <n v="21"/>
    <n v="78"/>
    <n v="4.1189999999999997E-2"/>
    <n v="0"/>
    <x v="5"/>
    <x v="1"/>
    <n v="4.1189999999999997E-2"/>
  </r>
  <r>
    <s v="SYN1692"/>
    <n v="25"/>
    <x v="1"/>
    <n v="28"/>
    <n v="52"/>
    <n v="2.0200000000000001E-3"/>
    <n v="0"/>
    <x v="2"/>
    <x v="1"/>
    <n v="2.0200000000000001E-3"/>
  </r>
  <r>
    <s v="SYN1693"/>
    <n v="61"/>
    <x v="1"/>
    <n v="19"/>
    <n v="79"/>
    <n v="3.3739999999999999E-2"/>
    <n v="0"/>
    <x v="5"/>
    <x v="2"/>
    <n v="3.3739999999999999E-2"/>
  </r>
  <r>
    <s v="SYN1694"/>
    <n v="27"/>
    <x v="0"/>
    <n v="23"/>
    <n v="49"/>
    <n v="2.49E-3"/>
    <n v="0"/>
    <x v="3"/>
    <x v="1"/>
    <n v="2.49E-3"/>
  </r>
  <r>
    <s v="SYN1695"/>
    <n v="62"/>
    <x v="0"/>
    <n v="30"/>
    <n v="91"/>
    <n v="0.11724"/>
    <n v="0"/>
    <x v="7"/>
    <x v="3"/>
    <n v="0.11724"/>
  </r>
  <r>
    <s v="SYN1696"/>
    <n v="37"/>
    <x v="0"/>
    <n v="25"/>
    <n v="61"/>
    <n v="7.0200000000000002E-3"/>
    <n v="0"/>
    <x v="0"/>
    <x v="1"/>
    <n v="7.0200000000000002E-3"/>
  </r>
  <r>
    <s v="SYN1697"/>
    <n v="40"/>
    <x v="0"/>
    <n v="9"/>
    <n v="48"/>
    <n v="1.65E-3"/>
    <n v="0"/>
    <x v="3"/>
    <x v="0"/>
    <n v="1.65E-3"/>
  </r>
  <r>
    <s v="SYN1698"/>
    <n v="23"/>
    <x v="0"/>
    <n v="13"/>
    <n v="35"/>
    <n v="8.0999999999999996E-4"/>
    <n v="0"/>
    <x v="1"/>
    <x v="2"/>
    <n v="8.0999999999999996E-4"/>
  </r>
  <r>
    <s v="SYN1699"/>
    <n v="36"/>
    <x v="0"/>
    <n v="27"/>
    <n v="62"/>
    <n v="7.0200000000000002E-3"/>
    <n v="0"/>
    <x v="0"/>
    <x v="1"/>
    <n v="7.0200000000000002E-3"/>
  </r>
  <r>
    <s v="SYN1700"/>
    <n v="51"/>
    <x v="0"/>
    <n v="30"/>
    <n v="80"/>
    <n v="3.3509999999999998E-2"/>
    <n v="0"/>
    <x v="4"/>
    <x v="3"/>
    <n v="3.3509999999999998E-2"/>
  </r>
  <r>
    <s v="SYN1701"/>
    <n v="61"/>
    <x v="0"/>
    <n v="16"/>
    <n v="76"/>
    <n v="3.1919999999999997E-2"/>
    <n v="0"/>
    <x v="5"/>
    <x v="2"/>
    <n v="3.1919999999999997E-2"/>
  </r>
  <r>
    <s v="SYN1702"/>
    <n v="47"/>
    <x v="1"/>
    <n v="7"/>
    <n v="53"/>
    <n v="1.75E-3"/>
    <n v="0"/>
    <x v="2"/>
    <x v="0"/>
    <n v="1.75E-3"/>
  </r>
  <r>
    <s v="SYN1703"/>
    <n v="48"/>
    <x v="0"/>
    <n v="23"/>
    <n v="70"/>
    <n v="1.7160000000000002E-2"/>
    <n v="0"/>
    <x v="5"/>
    <x v="1"/>
    <n v="1.7160000000000002E-2"/>
  </r>
  <r>
    <s v="SYN1704"/>
    <n v="24"/>
    <x v="1"/>
    <n v="19"/>
    <n v="42"/>
    <n v="1.17E-3"/>
    <n v="0"/>
    <x v="3"/>
    <x v="2"/>
    <n v="1.17E-3"/>
  </r>
  <r>
    <s v="SYN1705"/>
    <n v="21"/>
    <x v="0"/>
    <n v="29"/>
    <n v="49"/>
    <n v="2.6099999999999999E-3"/>
    <n v="0"/>
    <x v="3"/>
    <x v="1"/>
    <n v="2.6099999999999999E-3"/>
  </r>
  <r>
    <s v="SYN1706"/>
    <n v="20"/>
    <x v="0"/>
    <n v="30"/>
    <n v="49"/>
    <n v="2.5400000000000002E-3"/>
    <n v="0"/>
    <x v="3"/>
    <x v="3"/>
    <n v="2.5400000000000002E-3"/>
  </r>
  <r>
    <s v="SYN1707"/>
    <n v="29"/>
    <x v="0"/>
    <n v="23"/>
    <n v="51"/>
    <n v="2.82E-3"/>
    <n v="0"/>
    <x v="2"/>
    <x v="1"/>
    <n v="2.82E-3"/>
  </r>
  <r>
    <s v="SYN1708"/>
    <n v="20"/>
    <x v="1"/>
    <n v="17"/>
    <n v="36"/>
    <n v="7.7999999999999999E-4"/>
    <n v="0"/>
    <x v="1"/>
    <x v="2"/>
    <n v="7.7999999999999999E-4"/>
  </r>
  <r>
    <s v="SYN1709"/>
    <n v="50"/>
    <x v="0"/>
    <n v="14"/>
    <n v="63"/>
    <n v="8.1300000000000001E-3"/>
    <n v="0"/>
    <x v="0"/>
    <x v="2"/>
    <n v="8.1300000000000001E-3"/>
  </r>
  <r>
    <s v="SYN1710"/>
    <n v="24"/>
    <x v="0"/>
    <n v="18"/>
    <n v="41"/>
    <n v="1.5499999999999999E-3"/>
    <n v="0"/>
    <x v="3"/>
    <x v="2"/>
    <n v="1.5499999999999999E-3"/>
  </r>
  <r>
    <s v="SYN1711"/>
    <n v="64"/>
    <x v="1"/>
    <n v="27"/>
    <n v="90"/>
    <n v="0.11754000000000001"/>
    <n v="0"/>
    <x v="7"/>
    <x v="1"/>
    <n v="0.11754000000000001"/>
  </r>
  <r>
    <s v="SYN1712"/>
    <n v="54"/>
    <x v="1"/>
    <n v="30"/>
    <n v="83"/>
    <n v="3.569E-2"/>
    <n v="0"/>
    <x v="4"/>
    <x v="3"/>
    <n v="3.569E-2"/>
  </r>
  <r>
    <s v="SYN1713"/>
    <n v="39"/>
    <x v="0"/>
    <n v="13"/>
    <n v="51"/>
    <n v="2.3999999999999998E-3"/>
    <n v="0"/>
    <x v="2"/>
    <x v="2"/>
    <n v="2.3999999999999998E-3"/>
  </r>
  <r>
    <s v="SYN1714"/>
    <n v="61"/>
    <x v="0"/>
    <n v="3"/>
    <n v="63"/>
    <n v="4.9100000000000003E-3"/>
    <n v="0"/>
    <x v="0"/>
    <x v="0"/>
    <n v="4.9100000000000003E-3"/>
  </r>
  <r>
    <s v="SYN1715"/>
    <n v="41"/>
    <x v="1"/>
    <n v="3"/>
    <n v="43"/>
    <n v="5.1999999999999995E-4"/>
    <n v="0"/>
    <x v="3"/>
    <x v="0"/>
    <n v="5.1999999999999995E-4"/>
  </r>
  <r>
    <s v="SYN1716"/>
    <n v="38"/>
    <x v="0"/>
    <n v="21"/>
    <n v="58"/>
    <n v="5.2199999999999998E-3"/>
    <n v="0"/>
    <x v="2"/>
    <x v="1"/>
    <n v="5.2199999999999998E-3"/>
  </r>
  <r>
    <s v="SYN1717"/>
    <n v="44"/>
    <x v="0"/>
    <n v="22"/>
    <n v="65"/>
    <n v="1.03E-2"/>
    <n v="0"/>
    <x v="0"/>
    <x v="1"/>
    <n v="1.03E-2"/>
  </r>
  <r>
    <s v="SYN1718"/>
    <n v="26"/>
    <x v="1"/>
    <n v="21"/>
    <n v="46"/>
    <n v="1.49E-3"/>
    <n v="0"/>
    <x v="3"/>
    <x v="1"/>
    <n v="1.49E-3"/>
  </r>
  <r>
    <s v="SYN1719"/>
    <n v="60"/>
    <x v="1"/>
    <n v="15"/>
    <n v="74"/>
    <n v="1.7819999999999999E-2"/>
    <n v="0"/>
    <x v="5"/>
    <x v="2"/>
    <n v="1.7819999999999999E-2"/>
  </r>
  <r>
    <s v="SYN1720"/>
    <n v="32"/>
    <x v="1"/>
    <n v="1"/>
    <n v="32"/>
    <n v="1.2E-4"/>
    <n v="0"/>
    <x v="1"/>
    <x v="0"/>
    <n v="1.2E-4"/>
  </r>
  <r>
    <s v="SYN1721"/>
    <n v="51"/>
    <x v="0"/>
    <n v="13"/>
    <n v="63"/>
    <n v="8.0300000000000007E-3"/>
    <n v="0"/>
    <x v="0"/>
    <x v="2"/>
    <n v="8.0300000000000007E-3"/>
  </r>
  <r>
    <s v="SYN1722"/>
    <n v="39"/>
    <x v="1"/>
    <n v="16"/>
    <n v="54"/>
    <n v="2.5400000000000002E-3"/>
    <n v="0"/>
    <x v="2"/>
    <x v="2"/>
    <n v="2.5400000000000002E-3"/>
  </r>
  <r>
    <s v="SYN1723"/>
    <n v="48"/>
    <x v="0"/>
    <n v="1"/>
    <n v="48"/>
    <n v="7.2999999999999996E-4"/>
    <n v="0"/>
    <x v="3"/>
    <x v="0"/>
    <n v="7.2999999999999996E-4"/>
  </r>
  <r>
    <s v="SYN1724"/>
    <n v="22"/>
    <x v="0"/>
    <n v="13"/>
    <n v="34"/>
    <n v="7.9000000000000001E-4"/>
    <n v="0"/>
    <x v="1"/>
    <x v="2"/>
    <n v="7.9000000000000001E-4"/>
  </r>
  <r>
    <s v="SYN1725"/>
    <n v="62"/>
    <x v="0"/>
    <n v="17"/>
    <n v="78"/>
    <n v="3.943E-2"/>
    <n v="0"/>
    <x v="5"/>
    <x v="2"/>
    <n v="3.943E-2"/>
  </r>
  <r>
    <s v="SYN1726"/>
    <n v="54"/>
    <x v="1"/>
    <n v="5"/>
    <n v="58"/>
    <n v="2.63E-3"/>
    <n v="0"/>
    <x v="2"/>
    <x v="0"/>
    <n v="2.63E-3"/>
  </r>
  <r>
    <s v="SYN1727"/>
    <n v="24"/>
    <x v="1"/>
    <n v="2"/>
    <n v="25"/>
    <n v="2.2000000000000001E-4"/>
    <n v="0"/>
    <x v="6"/>
    <x v="0"/>
    <n v="2.2000000000000001E-4"/>
  </r>
  <r>
    <s v="SYN1728"/>
    <n v="21"/>
    <x v="1"/>
    <n v="16"/>
    <n v="36"/>
    <n v="7.2999999999999996E-4"/>
    <n v="0"/>
    <x v="1"/>
    <x v="2"/>
    <n v="7.2999999999999996E-4"/>
  </r>
  <r>
    <s v="SYN1729"/>
    <n v="35"/>
    <x v="1"/>
    <n v="23"/>
    <n v="57"/>
    <n v="3.6900000000000001E-3"/>
    <n v="0"/>
    <x v="2"/>
    <x v="1"/>
    <n v="3.6900000000000001E-3"/>
  </r>
  <r>
    <s v="SYN1730"/>
    <n v="60"/>
    <x v="1"/>
    <n v="2"/>
    <n v="61"/>
    <n v="1.58E-3"/>
    <n v="0"/>
    <x v="0"/>
    <x v="0"/>
    <n v="1.58E-3"/>
  </r>
  <r>
    <s v="SYN1731"/>
    <n v="26"/>
    <x v="1"/>
    <n v="15"/>
    <n v="40"/>
    <n v="9.3999999999999997E-4"/>
    <n v="0"/>
    <x v="3"/>
    <x v="2"/>
    <n v="9.3999999999999997E-4"/>
  </r>
  <r>
    <s v="SYN1732"/>
    <n v="24"/>
    <x v="1"/>
    <n v="27"/>
    <n v="50"/>
    <n v="1.8699999999999999E-3"/>
    <n v="0"/>
    <x v="2"/>
    <x v="1"/>
    <n v="1.8699999999999999E-3"/>
  </r>
  <r>
    <s v="SYN1733"/>
    <n v="58"/>
    <x v="1"/>
    <n v="26"/>
    <n v="83"/>
    <n v="5.704E-2"/>
    <n v="0"/>
    <x v="4"/>
    <x v="1"/>
    <n v="5.704E-2"/>
  </r>
  <r>
    <s v="SYN1734"/>
    <n v="32"/>
    <x v="0"/>
    <n v="14"/>
    <n v="45"/>
    <n v="1.5200000000000001E-3"/>
    <n v="0"/>
    <x v="3"/>
    <x v="2"/>
    <n v="1.5200000000000001E-3"/>
  </r>
  <r>
    <s v="SYN1735"/>
    <n v="63"/>
    <x v="0"/>
    <n v="13"/>
    <n v="75"/>
    <n v="2.5520000000000001E-2"/>
    <n v="0"/>
    <x v="5"/>
    <x v="2"/>
    <n v="2.5520000000000001E-2"/>
  </r>
  <r>
    <s v="SYN1736"/>
    <n v="56"/>
    <x v="0"/>
    <n v="18"/>
    <n v="73"/>
    <n v="2.3859999999999999E-2"/>
    <n v="0"/>
    <x v="5"/>
    <x v="2"/>
    <n v="2.3859999999999999E-2"/>
  </r>
  <r>
    <s v="SYN1737"/>
    <n v="33"/>
    <x v="0"/>
    <n v="25"/>
    <n v="57"/>
    <n v="4.7800000000000004E-3"/>
    <n v="0"/>
    <x v="2"/>
    <x v="1"/>
    <n v="4.7800000000000004E-3"/>
  </r>
  <r>
    <s v="SYN1738"/>
    <n v="24"/>
    <x v="0"/>
    <n v="4"/>
    <n v="27"/>
    <n v="4.6000000000000001E-4"/>
    <n v="0"/>
    <x v="6"/>
    <x v="0"/>
    <n v="4.6000000000000001E-4"/>
  </r>
  <r>
    <s v="SYN1739"/>
    <n v="30"/>
    <x v="0"/>
    <n v="23"/>
    <n v="52"/>
    <n v="3.0500000000000002E-3"/>
    <n v="0"/>
    <x v="2"/>
    <x v="1"/>
    <n v="3.0500000000000002E-3"/>
  </r>
  <r>
    <s v="SYN1740"/>
    <n v="35"/>
    <x v="1"/>
    <n v="30"/>
    <n v="64"/>
    <n v="4.9300000000000004E-3"/>
    <n v="0"/>
    <x v="0"/>
    <x v="3"/>
    <n v="4.9300000000000004E-3"/>
  </r>
  <r>
    <s v="SYN1741"/>
    <n v="60"/>
    <x v="0"/>
    <n v="20"/>
    <n v="79"/>
    <n v="4.5769999999999998E-2"/>
    <n v="0"/>
    <x v="5"/>
    <x v="1"/>
    <n v="4.5769999999999998E-2"/>
  </r>
  <r>
    <s v="SYN1742"/>
    <n v="51"/>
    <x v="0"/>
    <n v="3"/>
    <n v="53"/>
    <n v="1.91E-3"/>
    <n v="0"/>
    <x v="2"/>
    <x v="0"/>
    <n v="1.91E-3"/>
  </r>
  <r>
    <s v="SYN1743"/>
    <n v="25"/>
    <x v="1"/>
    <n v="23"/>
    <n v="47"/>
    <n v="1.6000000000000001E-3"/>
    <n v="0"/>
    <x v="3"/>
    <x v="1"/>
    <n v="1.6000000000000001E-3"/>
  </r>
  <r>
    <s v="SYN1744"/>
    <n v="46"/>
    <x v="1"/>
    <n v="23"/>
    <n v="68"/>
    <n v="1.141E-2"/>
    <n v="0"/>
    <x v="0"/>
    <x v="1"/>
    <n v="1.141E-2"/>
  </r>
  <r>
    <s v="SYN1745"/>
    <n v="64"/>
    <x v="0"/>
    <n v="5"/>
    <n v="68"/>
    <n v="9.1599999999999997E-3"/>
    <n v="0"/>
    <x v="0"/>
    <x v="0"/>
    <n v="9.1599999999999997E-3"/>
  </r>
  <r>
    <s v="SYN1746"/>
    <n v="53"/>
    <x v="0"/>
    <n v="15"/>
    <n v="67"/>
    <n v="1.2460000000000001E-2"/>
    <n v="0"/>
    <x v="0"/>
    <x v="2"/>
    <n v="1.2460000000000001E-2"/>
  </r>
  <r>
    <s v="SYN1747"/>
    <n v="59"/>
    <x v="0"/>
    <n v="23"/>
    <n v="81"/>
    <n v="5.6829999999999999E-2"/>
    <n v="0"/>
    <x v="4"/>
    <x v="1"/>
    <n v="5.6829999999999999E-2"/>
  </r>
  <r>
    <s v="SYN1748"/>
    <n v="51"/>
    <x v="1"/>
    <n v="20"/>
    <n v="70"/>
    <n v="1.3610000000000001E-2"/>
    <n v="0"/>
    <x v="5"/>
    <x v="1"/>
    <n v="1.3610000000000001E-2"/>
  </r>
  <r>
    <s v="SYN1749"/>
    <n v="39"/>
    <x v="0"/>
    <n v="12"/>
    <n v="50"/>
    <n v="2.1299999999999999E-3"/>
    <n v="0"/>
    <x v="2"/>
    <x v="2"/>
    <n v="2.1299999999999999E-3"/>
  </r>
  <r>
    <s v="SYN1750"/>
    <n v="32"/>
    <x v="1"/>
    <n v="4"/>
    <n v="35"/>
    <n v="2.9999999999999997E-4"/>
    <n v="0"/>
    <x v="1"/>
    <x v="0"/>
    <n v="2.9999999999999997E-4"/>
  </r>
  <r>
    <s v="SYN1751"/>
    <n v="59"/>
    <x v="1"/>
    <n v="12"/>
    <n v="70"/>
    <n v="1.009E-2"/>
    <n v="0"/>
    <x v="5"/>
    <x v="2"/>
    <n v="1.009E-2"/>
  </r>
  <r>
    <s v="SYN1752"/>
    <n v="52"/>
    <x v="0"/>
    <n v="8"/>
    <n v="59"/>
    <n v="4.9300000000000004E-3"/>
    <n v="0"/>
    <x v="2"/>
    <x v="0"/>
    <n v="4.9300000000000004E-3"/>
  </r>
  <r>
    <s v="SYN1753"/>
    <n v="33"/>
    <x v="0"/>
    <n v="9"/>
    <n v="41"/>
    <n v="1E-3"/>
    <n v="0"/>
    <x v="3"/>
    <x v="0"/>
    <n v="1E-3"/>
  </r>
  <r>
    <s v="SYN1754"/>
    <n v="29"/>
    <x v="1"/>
    <n v="22"/>
    <n v="50"/>
    <n v="2.0200000000000001E-3"/>
    <n v="0"/>
    <x v="2"/>
    <x v="1"/>
    <n v="2.0200000000000001E-3"/>
  </r>
  <r>
    <s v="SYN1755"/>
    <n v="51"/>
    <x v="0"/>
    <n v="6"/>
    <n v="56"/>
    <n v="3.2699999999999999E-3"/>
    <n v="0"/>
    <x v="2"/>
    <x v="0"/>
    <n v="3.2699999999999999E-3"/>
  </r>
  <r>
    <s v="SYN1756"/>
    <n v="23"/>
    <x v="0"/>
    <n v="21"/>
    <n v="43"/>
    <n v="1.9499999999999999E-3"/>
    <n v="0"/>
    <x v="3"/>
    <x v="1"/>
    <n v="1.9499999999999999E-3"/>
  </r>
  <r>
    <s v="SYN1757"/>
    <n v="36"/>
    <x v="1"/>
    <n v="11"/>
    <n v="46"/>
    <n v="1.1000000000000001E-3"/>
    <n v="0"/>
    <x v="3"/>
    <x v="2"/>
    <n v="1.1000000000000001E-3"/>
  </r>
  <r>
    <s v="SYN1758"/>
    <n v="49"/>
    <x v="0"/>
    <n v="2"/>
    <n v="50"/>
    <n v="1.09E-3"/>
    <n v="0"/>
    <x v="2"/>
    <x v="0"/>
    <n v="1.09E-3"/>
  </r>
  <r>
    <s v="SYN1759"/>
    <n v="54"/>
    <x v="0"/>
    <n v="6"/>
    <n v="59"/>
    <n v="4.6100000000000004E-3"/>
    <n v="0"/>
    <x v="2"/>
    <x v="0"/>
    <n v="4.6100000000000004E-3"/>
  </r>
  <r>
    <s v="SYN1760"/>
    <n v="52"/>
    <x v="0"/>
    <n v="4"/>
    <n v="55"/>
    <n v="2.7299999999999998E-3"/>
    <n v="0"/>
    <x v="2"/>
    <x v="0"/>
    <n v="2.7299999999999998E-3"/>
  </r>
  <r>
    <s v="SYN1761"/>
    <n v="48"/>
    <x v="1"/>
    <n v="19"/>
    <n v="66"/>
    <n v="9.0399999999999994E-3"/>
    <n v="0"/>
    <x v="0"/>
    <x v="2"/>
    <n v="9.0399999999999994E-3"/>
  </r>
  <r>
    <s v="SYN1762"/>
    <n v="63"/>
    <x v="0"/>
    <n v="29"/>
    <n v="91"/>
    <n v="0.13258"/>
    <n v="0"/>
    <x v="7"/>
    <x v="1"/>
    <n v="0.13258"/>
  </r>
  <r>
    <s v="SYN1763"/>
    <n v="40"/>
    <x v="0"/>
    <n v="8"/>
    <n v="47"/>
    <n v="1.4400000000000001E-3"/>
    <n v="0"/>
    <x v="3"/>
    <x v="0"/>
    <n v="1.4400000000000001E-3"/>
  </r>
  <r>
    <s v="SYN1764"/>
    <n v="32"/>
    <x v="1"/>
    <n v="13"/>
    <n v="44"/>
    <n v="1.06E-3"/>
    <n v="0"/>
    <x v="3"/>
    <x v="2"/>
    <n v="1.06E-3"/>
  </r>
  <r>
    <s v="SYN1765"/>
    <n v="57"/>
    <x v="0"/>
    <n v="16"/>
    <n v="72"/>
    <n v="2.1080000000000002E-2"/>
    <n v="0"/>
    <x v="5"/>
    <x v="2"/>
    <n v="2.1080000000000002E-2"/>
  </r>
  <r>
    <s v="SYN1766"/>
    <n v="33"/>
    <x v="1"/>
    <n v="30"/>
    <n v="62"/>
    <n v="4.0499999999999998E-3"/>
    <n v="0"/>
    <x v="0"/>
    <x v="3"/>
    <n v="4.0499999999999998E-3"/>
  </r>
  <r>
    <s v="SYN1767"/>
    <n v="43"/>
    <x v="0"/>
    <n v="5"/>
    <n v="47"/>
    <n v="1.2800000000000001E-3"/>
    <n v="0"/>
    <x v="3"/>
    <x v="0"/>
    <n v="1.2800000000000001E-3"/>
  </r>
  <r>
    <s v="SYN1768"/>
    <n v="42"/>
    <x v="0"/>
    <n v="9"/>
    <n v="50"/>
    <n v="2E-3"/>
    <n v="0"/>
    <x v="2"/>
    <x v="0"/>
    <n v="2E-3"/>
  </r>
  <r>
    <s v="SYN1769"/>
    <n v="64"/>
    <x v="0"/>
    <n v="19"/>
    <n v="82"/>
    <n v="6.2700000000000006E-2"/>
    <n v="0"/>
    <x v="4"/>
    <x v="2"/>
    <n v="6.2700000000000006E-2"/>
  </r>
  <r>
    <s v="SYN1770"/>
    <n v="49"/>
    <x v="0"/>
    <n v="15"/>
    <n v="63"/>
    <n v="8.2799999999999992E-3"/>
    <n v="0"/>
    <x v="0"/>
    <x v="2"/>
    <n v="8.2799999999999992E-3"/>
  </r>
  <r>
    <s v="SYN1771"/>
    <n v="34"/>
    <x v="0"/>
    <n v="29"/>
    <n v="62"/>
    <n v="5.7400000000000003E-3"/>
    <n v="0"/>
    <x v="0"/>
    <x v="1"/>
    <n v="5.7400000000000003E-3"/>
  </r>
  <r>
    <s v="SYN1772"/>
    <n v="60"/>
    <x v="1"/>
    <n v="20"/>
    <n v="79"/>
    <n v="3.4779999999999998E-2"/>
    <n v="0"/>
    <x v="5"/>
    <x v="1"/>
    <n v="3.4779999999999998E-2"/>
  </r>
  <r>
    <s v="SYN1773"/>
    <n v="55"/>
    <x v="0"/>
    <n v="28"/>
    <n v="82"/>
    <n v="5.0909999999999997E-2"/>
    <n v="0"/>
    <x v="4"/>
    <x v="1"/>
    <n v="5.0909999999999997E-2"/>
  </r>
  <r>
    <s v="SYN1774"/>
    <n v="53"/>
    <x v="1"/>
    <n v="16"/>
    <n v="68"/>
    <n v="1.03E-2"/>
    <n v="0"/>
    <x v="0"/>
    <x v="2"/>
    <n v="1.03E-2"/>
  </r>
  <r>
    <s v="SYN1775"/>
    <n v="50"/>
    <x v="0"/>
    <n v="27"/>
    <n v="76"/>
    <n v="3.006E-2"/>
    <n v="1"/>
    <x v="5"/>
    <x v="1"/>
    <n v="3.006E-2"/>
  </r>
  <r>
    <s v="SYN1776"/>
    <n v="47"/>
    <x v="1"/>
    <n v="24"/>
    <n v="70"/>
    <n v="1.404E-2"/>
    <n v="0"/>
    <x v="5"/>
    <x v="1"/>
    <n v="1.404E-2"/>
  </r>
  <r>
    <s v="SYN1777"/>
    <n v="47"/>
    <x v="0"/>
    <n v="19"/>
    <n v="65"/>
    <n v="1.022E-2"/>
    <n v="0"/>
    <x v="0"/>
    <x v="2"/>
    <n v="1.022E-2"/>
  </r>
  <r>
    <s v="SYN1778"/>
    <n v="29"/>
    <x v="1"/>
    <n v="30"/>
    <n v="58"/>
    <n v="2.82E-3"/>
    <n v="0"/>
    <x v="2"/>
    <x v="3"/>
    <n v="2.82E-3"/>
  </r>
  <r>
    <s v="SYN1779"/>
    <n v="22"/>
    <x v="1"/>
    <n v="2"/>
    <n v="23"/>
    <n v="2.4000000000000001E-4"/>
    <n v="0"/>
    <x v="6"/>
    <x v="0"/>
    <n v="2.4000000000000001E-4"/>
  </r>
  <r>
    <s v="SYN1780"/>
    <n v="52"/>
    <x v="0"/>
    <n v="2"/>
    <n v="53"/>
    <n v="1.5E-3"/>
    <n v="0"/>
    <x v="2"/>
    <x v="0"/>
    <n v="1.5E-3"/>
  </r>
  <r>
    <s v="SYN1781"/>
    <n v="64"/>
    <x v="0"/>
    <n v="27"/>
    <n v="90"/>
    <n v="0.14893999999999999"/>
    <n v="0"/>
    <x v="7"/>
    <x v="1"/>
    <n v="0.14893999999999999"/>
  </r>
  <r>
    <s v="SYN1782"/>
    <n v="25"/>
    <x v="1"/>
    <n v="18"/>
    <n v="42"/>
    <n v="1.1199999999999999E-3"/>
    <n v="0"/>
    <x v="3"/>
    <x v="2"/>
    <n v="1.1199999999999999E-3"/>
  </r>
  <r>
    <s v="SYN1783"/>
    <n v="46"/>
    <x v="0"/>
    <n v="7"/>
    <n v="52"/>
    <n v="2.2399999999999998E-3"/>
    <n v="0"/>
    <x v="2"/>
    <x v="0"/>
    <n v="2.2399999999999998E-3"/>
  </r>
  <r>
    <s v="SYN1784"/>
    <n v="61"/>
    <x v="0"/>
    <n v="3"/>
    <n v="63"/>
    <n v="4.9100000000000003E-3"/>
    <n v="0"/>
    <x v="0"/>
    <x v="0"/>
    <n v="4.9100000000000003E-3"/>
  </r>
  <r>
    <s v="SYN1785"/>
    <n v="30"/>
    <x v="0"/>
    <n v="23"/>
    <n v="52"/>
    <n v="3.0500000000000002E-3"/>
    <n v="0"/>
    <x v="2"/>
    <x v="1"/>
    <n v="3.0500000000000002E-3"/>
  </r>
  <r>
    <s v="SYN1786"/>
    <n v="57"/>
    <x v="1"/>
    <n v="1"/>
    <n v="57"/>
    <n v="5.9000000000000003E-4"/>
    <n v="0"/>
    <x v="2"/>
    <x v="0"/>
    <n v="5.9000000000000003E-4"/>
  </r>
  <r>
    <s v="SYN1787"/>
    <n v="28"/>
    <x v="1"/>
    <n v="28"/>
    <n v="55"/>
    <n v="2.5899999999999999E-3"/>
    <n v="0"/>
    <x v="2"/>
    <x v="1"/>
    <n v="2.5899999999999999E-3"/>
  </r>
  <r>
    <s v="SYN1788"/>
    <n v="43"/>
    <x v="0"/>
    <n v="21"/>
    <n v="63"/>
    <n v="8.4899999999999993E-3"/>
    <n v="0"/>
    <x v="0"/>
    <x v="1"/>
    <n v="8.4899999999999993E-3"/>
  </r>
  <r>
    <s v="SYN1789"/>
    <n v="60"/>
    <x v="0"/>
    <n v="3"/>
    <n v="62"/>
    <n v="4.6499999999999996E-3"/>
    <n v="0"/>
    <x v="0"/>
    <x v="0"/>
    <n v="4.6499999999999996E-3"/>
  </r>
  <r>
    <s v="SYN1790"/>
    <n v="53"/>
    <x v="0"/>
    <n v="2"/>
    <n v="54"/>
    <n v="1.67E-3"/>
    <n v="0"/>
    <x v="2"/>
    <x v="0"/>
    <n v="1.67E-3"/>
  </r>
  <r>
    <s v="SYN1791"/>
    <n v="64"/>
    <x v="1"/>
    <n v="20"/>
    <n v="83"/>
    <n v="5.6770000000000001E-2"/>
    <n v="0"/>
    <x v="4"/>
    <x v="1"/>
    <n v="5.6770000000000001E-2"/>
  </r>
  <r>
    <s v="SYN1792"/>
    <n v="63"/>
    <x v="1"/>
    <n v="3"/>
    <n v="65"/>
    <n v="3.8E-3"/>
    <n v="0"/>
    <x v="0"/>
    <x v="0"/>
    <n v="3.8E-3"/>
  </r>
  <r>
    <s v="SYN1793"/>
    <n v="23"/>
    <x v="1"/>
    <n v="17"/>
    <n v="39"/>
    <n v="9.5E-4"/>
    <n v="0"/>
    <x v="1"/>
    <x v="2"/>
    <n v="9.5E-4"/>
  </r>
  <r>
    <s v="SYN1794"/>
    <n v="23"/>
    <x v="0"/>
    <n v="4"/>
    <n v="26"/>
    <n v="5.1000000000000004E-4"/>
    <n v="0"/>
    <x v="6"/>
    <x v="0"/>
    <n v="5.1000000000000004E-4"/>
  </r>
  <r>
    <s v="SYN1795"/>
    <n v="22"/>
    <x v="0"/>
    <n v="12"/>
    <n v="33"/>
    <n v="7.3999999999999999E-4"/>
    <n v="0"/>
    <x v="1"/>
    <x v="2"/>
    <n v="7.3999999999999999E-4"/>
  </r>
  <r>
    <s v="SYN1796"/>
    <n v="65"/>
    <x v="1"/>
    <n v="3"/>
    <n v="67"/>
    <n v="4.6100000000000004E-3"/>
    <n v="0"/>
    <x v="0"/>
    <x v="0"/>
    <n v="4.6100000000000004E-3"/>
  </r>
  <r>
    <s v="SYN1797"/>
    <n v="28"/>
    <x v="0"/>
    <n v="11"/>
    <n v="38"/>
    <n v="8.7000000000000001E-4"/>
    <n v="0"/>
    <x v="1"/>
    <x v="2"/>
    <n v="8.7000000000000001E-4"/>
  </r>
  <r>
    <s v="SYN1798"/>
    <n v="50"/>
    <x v="1"/>
    <n v="24"/>
    <n v="73"/>
    <n v="1.8970000000000001E-2"/>
    <n v="0"/>
    <x v="5"/>
    <x v="1"/>
    <n v="1.8970000000000001E-2"/>
  </r>
  <r>
    <s v="SYN1799"/>
    <n v="64"/>
    <x v="1"/>
    <n v="7"/>
    <n v="70"/>
    <n v="8.2500000000000004E-3"/>
    <n v="0"/>
    <x v="5"/>
    <x v="0"/>
    <n v="8.2500000000000004E-3"/>
  </r>
  <r>
    <s v="SYN1800"/>
    <n v="40"/>
    <x v="1"/>
    <n v="12"/>
    <n v="51"/>
    <n v="1.8500000000000001E-3"/>
    <n v="0"/>
    <x v="2"/>
    <x v="2"/>
    <n v="1.8500000000000001E-3"/>
  </r>
  <r>
    <s v="SYN1801"/>
    <n v="47"/>
    <x v="0"/>
    <n v="9"/>
    <n v="55"/>
    <n v="3.1900000000000001E-3"/>
    <n v="0"/>
    <x v="2"/>
    <x v="0"/>
    <n v="3.1900000000000001E-3"/>
  </r>
  <r>
    <s v="SYN1802"/>
    <n v="48"/>
    <x v="1"/>
    <n v="16"/>
    <n v="63"/>
    <n v="6.3899999999999998E-3"/>
    <n v="0"/>
    <x v="0"/>
    <x v="2"/>
    <n v="6.3899999999999998E-3"/>
  </r>
  <r>
    <s v="SYN1803"/>
    <n v="50"/>
    <x v="1"/>
    <n v="23"/>
    <n v="72"/>
    <n v="1.7170000000000001E-2"/>
    <n v="0"/>
    <x v="5"/>
    <x v="1"/>
    <n v="1.7170000000000001E-2"/>
  </r>
  <r>
    <s v="SYN1804"/>
    <n v="38"/>
    <x v="1"/>
    <n v="15"/>
    <n v="52"/>
    <n v="2.0899999999999998E-3"/>
    <n v="0"/>
    <x v="2"/>
    <x v="2"/>
    <n v="2.0899999999999998E-3"/>
  </r>
  <r>
    <s v="SYN1805"/>
    <n v="64"/>
    <x v="1"/>
    <n v="26"/>
    <n v="89"/>
    <n v="0.11754000000000001"/>
    <n v="0"/>
    <x v="4"/>
    <x v="1"/>
    <n v="0.11754000000000001"/>
  </r>
  <r>
    <s v="SYN1806"/>
    <n v="32"/>
    <x v="1"/>
    <n v="29"/>
    <n v="60"/>
    <n v="3.6900000000000001E-3"/>
    <n v="0"/>
    <x v="0"/>
    <x v="1"/>
    <n v="3.6900000000000001E-3"/>
  </r>
  <r>
    <s v="SYN1807"/>
    <n v="45"/>
    <x v="0"/>
    <n v="29"/>
    <n v="73"/>
    <n v="1.7160000000000002E-2"/>
    <n v="0"/>
    <x v="5"/>
    <x v="1"/>
    <n v="1.7160000000000002E-2"/>
  </r>
  <r>
    <s v="SYN1808"/>
    <n v="24"/>
    <x v="0"/>
    <n v="4"/>
    <n v="27"/>
    <n v="4.6000000000000001E-4"/>
    <n v="0"/>
    <x v="6"/>
    <x v="0"/>
    <n v="4.6000000000000001E-4"/>
  </r>
  <r>
    <s v="SYN1809"/>
    <n v="29"/>
    <x v="0"/>
    <n v="16"/>
    <n v="44"/>
    <n v="1.6100000000000001E-3"/>
    <n v="0"/>
    <x v="3"/>
    <x v="2"/>
    <n v="1.6100000000000001E-3"/>
  </r>
  <r>
    <s v="SYN1810"/>
    <n v="60"/>
    <x v="0"/>
    <n v="1"/>
    <n v="60"/>
    <n v="2.0500000000000002E-3"/>
    <n v="0"/>
    <x v="0"/>
    <x v="0"/>
    <n v="2.0500000000000002E-3"/>
  </r>
  <r>
    <s v="SYN1811"/>
    <n v="54"/>
    <x v="0"/>
    <n v="30"/>
    <n v="83"/>
    <n v="4.5769999999999998E-2"/>
    <n v="0"/>
    <x v="4"/>
    <x v="3"/>
    <n v="4.5769999999999998E-2"/>
  </r>
  <r>
    <s v="SYN1812"/>
    <n v="48"/>
    <x v="1"/>
    <n v="24"/>
    <n v="71"/>
    <n v="1.553E-2"/>
    <n v="0"/>
    <x v="5"/>
    <x v="1"/>
    <n v="1.553E-2"/>
  </r>
  <r>
    <s v="SYN1813"/>
    <n v="24"/>
    <x v="1"/>
    <n v="1"/>
    <n v="24"/>
    <n v="1.8000000000000001E-4"/>
    <n v="0"/>
    <x v="6"/>
    <x v="0"/>
    <n v="1.8000000000000001E-4"/>
  </r>
  <r>
    <s v="SYN1814"/>
    <n v="53"/>
    <x v="0"/>
    <n v="21"/>
    <n v="73"/>
    <n v="2.3869999999999999E-2"/>
    <n v="0"/>
    <x v="5"/>
    <x v="1"/>
    <n v="2.3869999999999999E-2"/>
  </r>
  <r>
    <s v="SYN1815"/>
    <n v="61"/>
    <x v="1"/>
    <n v="21"/>
    <n v="81"/>
    <n v="4.4880000000000003E-2"/>
    <n v="0"/>
    <x v="4"/>
    <x v="1"/>
    <n v="4.4880000000000003E-2"/>
  </r>
  <r>
    <s v="SYN1816"/>
    <n v="62"/>
    <x v="1"/>
    <n v="23"/>
    <n v="84"/>
    <n v="6.4490000000000006E-2"/>
    <n v="0"/>
    <x v="4"/>
    <x v="1"/>
    <n v="6.4490000000000006E-2"/>
  </r>
  <r>
    <s v="SYN1817"/>
    <n v="49"/>
    <x v="1"/>
    <n v="10"/>
    <n v="58"/>
    <n v="3.15E-3"/>
    <n v="0"/>
    <x v="2"/>
    <x v="2"/>
    <n v="3.15E-3"/>
  </r>
  <r>
    <s v="SYN1818"/>
    <n v="39"/>
    <x v="1"/>
    <n v="6"/>
    <n v="44"/>
    <n v="7.9000000000000001E-4"/>
    <n v="0"/>
    <x v="3"/>
    <x v="0"/>
    <n v="7.9000000000000001E-4"/>
  </r>
  <r>
    <s v="SYN1819"/>
    <n v="43"/>
    <x v="1"/>
    <n v="10"/>
    <n v="52"/>
    <n v="1.89E-3"/>
    <n v="0"/>
    <x v="2"/>
    <x v="2"/>
    <n v="1.89E-3"/>
  </r>
  <r>
    <s v="SYN1820"/>
    <n v="42"/>
    <x v="0"/>
    <n v="10"/>
    <n v="51"/>
    <n v="2.2799999999999999E-3"/>
    <n v="0"/>
    <x v="2"/>
    <x v="2"/>
    <n v="2.2799999999999999E-3"/>
  </r>
  <r>
    <s v="SYN1821"/>
    <n v="30"/>
    <x v="1"/>
    <n v="23"/>
    <n v="52"/>
    <n v="2.3800000000000002E-3"/>
    <n v="0"/>
    <x v="2"/>
    <x v="1"/>
    <n v="2.3800000000000002E-3"/>
  </r>
  <r>
    <s v="SYN1822"/>
    <n v="31"/>
    <x v="1"/>
    <n v="27"/>
    <n v="57"/>
    <n v="3.3700000000000002E-3"/>
    <n v="0"/>
    <x v="2"/>
    <x v="1"/>
    <n v="3.3700000000000002E-3"/>
  </r>
  <r>
    <s v="SYN1823"/>
    <n v="29"/>
    <x v="0"/>
    <n v="6"/>
    <n v="34"/>
    <n v="5.1000000000000004E-4"/>
    <n v="0"/>
    <x v="1"/>
    <x v="0"/>
    <n v="5.1000000000000004E-4"/>
  </r>
  <r>
    <s v="SYN1824"/>
    <n v="40"/>
    <x v="0"/>
    <n v="19"/>
    <n v="58"/>
    <n v="5.2100000000000002E-3"/>
    <n v="0"/>
    <x v="2"/>
    <x v="2"/>
    <n v="5.2100000000000002E-3"/>
  </r>
  <r>
    <s v="SYN1825"/>
    <n v="31"/>
    <x v="1"/>
    <n v="7"/>
    <n v="37"/>
    <n v="4.8000000000000001E-4"/>
    <n v="0"/>
    <x v="1"/>
    <x v="0"/>
    <n v="4.8000000000000001E-4"/>
  </r>
  <r>
    <s v="SYN1826"/>
    <n v="40"/>
    <x v="0"/>
    <n v="12"/>
    <n v="51"/>
    <n v="2.3400000000000001E-3"/>
    <n v="0"/>
    <x v="2"/>
    <x v="2"/>
    <n v="2.3400000000000001E-3"/>
  </r>
  <r>
    <s v="SYN1827"/>
    <n v="30"/>
    <x v="0"/>
    <n v="18"/>
    <n v="47"/>
    <n v="1.99E-3"/>
    <n v="0"/>
    <x v="3"/>
    <x v="2"/>
    <n v="1.99E-3"/>
  </r>
  <r>
    <s v="SYN1828"/>
    <n v="45"/>
    <x v="0"/>
    <n v="30"/>
    <n v="74"/>
    <n v="1.7160000000000002E-2"/>
    <n v="0"/>
    <x v="5"/>
    <x v="3"/>
    <n v="1.7160000000000002E-2"/>
  </r>
  <r>
    <s v="SYN1829"/>
    <n v="49"/>
    <x v="0"/>
    <n v="30"/>
    <n v="78"/>
    <n v="2.6859999999999998E-2"/>
    <n v="1"/>
    <x v="5"/>
    <x v="3"/>
    <n v="2.6859999999999998E-2"/>
  </r>
  <r>
    <s v="SYN1830"/>
    <n v="54"/>
    <x v="0"/>
    <n v="17"/>
    <n v="70"/>
    <n v="1.6750000000000001E-2"/>
    <n v="0"/>
    <x v="5"/>
    <x v="2"/>
    <n v="1.6750000000000001E-2"/>
  </r>
  <r>
    <s v="SYN1831"/>
    <n v="50"/>
    <x v="0"/>
    <n v="29"/>
    <n v="78"/>
    <n v="3.006E-2"/>
    <n v="0"/>
    <x v="5"/>
    <x v="1"/>
    <n v="3.006E-2"/>
  </r>
  <r>
    <s v="SYN1832"/>
    <n v="56"/>
    <x v="0"/>
    <n v="22"/>
    <n v="77"/>
    <n v="3.7039999999999997E-2"/>
    <n v="0"/>
    <x v="5"/>
    <x v="1"/>
    <n v="3.7039999999999997E-2"/>
  </r>
  <r>
    <s v="SYN1833"/>
    <n v="48"/>
    <x v="1"/>
    <n v="11"/>
    <n v="58"/>
    <n v="3.2799999999999999E-3"/>
    <n v="0"/>
    <x v="2"/>
    <x v="2"/>
    <n v="3.2799999999999999E-3"/>
  </r>
  <r>
    <s v="SYN1834"/>
    <n v="22"/>
    <x v="1"/>
    <n v="5"/>
    <n v="26"/>
    <n v="2.7E-4"/>
    <n v="0"/>
    <x v="6"/>
    <x v="0"/>
    <n v="2.7E-4"/>
  </r>
  <r>
    <s v="SYN1835"/>
    <n v="21"/>
    <x v="1"/>
    <n v="13"/>
    <n v="33"/>
    <n v="4.4999999999999999E-4"/>
    <n v="0"/>
    <x v="1"/>
    <x v="2"/>
    <n v="4.4999999999999999E-4"/>
  </r>
  <r>
    <s v="SYN1836"/>
    <n v="42"/>
    <x v="0"/>
    <n v="3"/>
    <n v="44"/>
    <n v="8.7000000000000001E-4"/>
    <n v="0"/>
    <x v="3"/>
    <x v="0"/>
    <n v="8.7000000000000001E-4"/>
  </r>
  <r>
    <s v="SYN1837"/>
    <n v="32"/>
    <x v="1"/>
    <n v="19"/>
    <n v="50"/>
    <n v="1.91E-3"/>
    <n v="0"/>
    <x v="2"/>
    <x v="2"/>
    <n v="1.91E-3"/>
  </r>
  <r>
    <s v="SYN1838"/>
    <n v="37"/>
    <x v="0"/>
    <n v="7"/>
    <n v="43"/>
    <n v="1.0399999999999999E-3"/>
    <n v="0"/>
    <x v="3"/>
    <x v="0"/>
    <n v="1.0399999999999999E-3"/>
  </r>
  <r>
    <s v="SYN1839"/>
    <n v="48"/>
    <x v="1"/>
    <n v="22"/>
    <n v="69"/>
    <n v="1.2659999999999999E-2"/>
    <n v="0"/>
    <x v="0"/>
    <x v="1"/>
    <n v="1.2659999999999999E-2"/>
  </r>
  <r>
    <s v="SYN1840"/>
    <n v="52"/>
    <x v="0"/>
    <n v="13"/>
    <n v="64"/>
    <n v="8.8699999999999994E-3"/>
    <n v="0"/>
    <x v="0"/>
    <x v="2"/>
    <n v="8.8699999999999994E-3"/>
  </r>
  <r>
    <s v="SYN1841"/>
    <n v="58"/>
    <x v="1"/>
    <n v="17"/>
    <n v="74"/>
    <n v="1.9210000000000001E-2"/>
    <n v="0"/>
    <x v="5"/>
    <x v="2"/>
    <n v="1.9210000000000001E-2"/>
  </r>
  <r>
    <s v="SYN1842"/>
    <n v="43"/>
    <x v="0"/>
    <n v="13"/>
    <n v="55"/>
    <n v="3.5400000000000002E-3"/>
    <n v="0"/>
    <x v="2"/>
    <x v="2"/>
    <n v="3.5400000000000002E-3"/>
  </r>
  <r>
    <s v="SYN1843"/>
    <n v="43"/>
    <x v="0"/>
    <n v="13"/>
    <n v="55"/>
    <n v="3.5400000000000002E-3"/>
    <n v="0"/>
    <x v="2"/>
    <x v="2"/>
    <n v="3.5400000000000002E-3"/>
  </r>
  <r>
    <s v="SYN1844"/>
    <n v="42"/>
    <x v="1"/>
    <n v="10"/>
    <n v="51"/>
    <n v="1.73E-3"/>
    <n v="0"/>
    <x v="2"/>
    <x v="2"/>
    <n v="1.73E-3"/>
  </r>
  <r>
    <s v="SYN1845"/>
    <n v="25"/>
    <x v="1"/>
    <n v="7"/>
    <n v="31"/>
    <n v="3.2000000000000003E-4"/>
    <n v="0"/>
    <x v="1"/>
    <x v="0"/>
    <n v="3.2000000000000003E-4"/>
  </r>
  <r>
    <s v="SYN1846"/>
    <n v="46"/>
    <x v="0"/>
    <n v="26"/>
    <n v="71"/>
    <n v="1.9089999999999999E-2"/>
    <n v="0"/>
    <x v="5"/>
    <x v="1"/>
    <n v="1.9089999999999999E-2"/>
  </r>
  <r>
    <s v="SYN1847"/>
    <n v="47"/>
    <x v="1"/>
    <n v="24"/>
    <n v="70"/>
    <n v="1.404E-2"/>
    <n v="0"/>
    <x v="5"/>
    <x v="1"/>
    <n v="1.404E-2"/>
  </r>
  <r>
    <s v="SYN1848"/>
    <n v="57"/>
    <x v="0"/>
    <n v="20"/>
    <n v="76"/>
    <n v="3.32E-2"/>
    <n v="0"/>
    <x v="5"/>
    <x v="1"/>
    <n v="3.32E-2"/>
  </r>
  <r>
    <s v="SYN1849"/>
    <n v="50"/>
    <x v="1"/>
    <n v="28"/>
    <n v="77"/>
    <n v="2.325E-2"/>
    <n v="0"/>
    <x v="5"/>
    <x v="1"/>
    <n v="2.325E-2"/>
  </r>
  <r>
    <s v="SYN1850"/>
    <n v="57"/>
    <x v="0"/>
    <n v="25"/>
    <n v="81"/>
    <n v="5.6829999999999999E-2"/>
    <n v="1"/>
    <x v="4"/>
    <x v="1"/>
    <n v="5.6829999999999999E-2"/>
  </r>
  <r>
    <s v="SYN1851"/>
    <n v="60"/>
    <x v="0"/>
    <n v="30"/>
    <n v="89"/>
    <n v="9.1270000000000004E-2"/>
    <n v="0"/>
    <x v="4"/>
    <x v="3"/>
    <n v="9.1270000000000004E-2"/>
  </r>
  <r>
    <s v="SYN1852"/>
    <n v="49"/>
    <x v="1"/>
    <n v="23"/>
    <n v="71"/>
    <n v="1.553E-2"/>
    <n v="0"/>
    <x v="5"/>
    <x v="1"/>
    <n v="1.553E-2"/>
  </r>
  <r>
    <s v="SYN1853"/>
    <n v="32"/>
    <x v="1"/>
    <n v="6"/>
    <n v="37"/>
    <n v="4.4999999999999999E-4"/>
    <n v="0"/>
    <x v="1"/>
    <x v="0"/>
    <n v="4.4999999999999999E-4"/>
  </r>
  <r>
    <s v="SYN1854"/>
    <n v="51"/>
    <x v="1"/>
    <n v="2"/>
    <n v="52"/>
    <n v="8.8000000000000003E-4"/>
    <n v="0"/>
    <x v="2"/>
    <x v="0"/>
    <n v="8.8000000000000003E-4"/>
  </r>
  <r>
    <s v="SYN1855"/>
    <n v="57"/>
    <x v="0"/>
    <n v="10"/>
    <n v="66"/>
    <n v="1.074E-2"/>
    <n v="0"/>
    <x v="0"/>
    <x v="2"/>
    <n v="1.074E-2"/>
  </r>
  <r>
    <s v="SYN1856"/>
    <n v="34"/>
    <x v="1"/>
    <n v="1"/>
    <n v="34"/>
    <n v="1.3999999999999999E-4"/>
    <n v="0"/>
    <x v="1"/>
    <x v="0"/>
    <n v="1.3999999999999999E-4"/>
  </r>
  <r>
    <s v="SYN1857"/>
    <n v="39"/>
    <x v="1"/>
    <n v="21"/>
    <n v="59"/>
    <n v="4.4600000000000004E-3"/>
    <n v="0"/>
    <x v="2"/>
    <x v="1"/>
    <n v="4.4600000000000004E-3"/>
  </r>
  <r>
    <s v="SYN1858"/>
    <n v="61"/>
    <x v="1"/>
    <n v="22"/>
    <n v="82"/>
    <n v="5.0599999999999999E-2"/>
    <n v="0"/>
    <x v="4"/>
    <x v="1"/>
    <n v="5.0599999999999999E-2"/>
  </r>
  <r>
    <s v="SYN1859"/>
    <n v="51"/>
    <x v="1"/>
    <n v="30"/>
    <n v="80"/>
    <n v="2.58E-2"/>
    <n v="0"/>
    <x v="4"/>
    <x v="3"/>
    <n v="2.58E-2"/>
  </r>
  <r>
    <s v="SYN1860"/>
    <n v="27"/>
    <x v="0"/>
    <n v="25"/>
    <n v="51"/>
    <n v="3.0000000000000001E-3"/>
    <n v="0"/>
    <x v="2"/>
    <x v="1"/>
    <n v="3.0000000000000001E-3"/>
  </r>
  <r>
    <s v="SYN1861"/>
    <n v="24"/>
    <x v="1"/>
    <n v="20"/>
    <n v="43"/>
    <n v="1.2600000000000001E-3"/>
    <n v="0"/>
    <x v="3"/>
    <x v="1"/>
    <n v="1.2600000000000001E-3"/>
  </r>
  <r>
    <s v="SYN1862"/>
    <n v="56"/>
    <x v="1"/>
    <n v="14"/>
    <n v="69"/>
    <n v="1.055E-2"/>
    <n v="0"/>
    <x v="0"/>
    <x v="2"/>
    <n v="1.055E-2"/>
  </r>
  <r>
    <s v="SYN1863"/>
    <n v="50"/>
    <x v="1"/>
    <n v="23"/>
    <n v="72"/>
    <n v="1.7170000000000001E-2"/>
    <n v="0"/>
    <x v="5"/>
    <x v="1"/>
    <n v="1.7170000000000001E-2"/>
  </r>
  <r>
    <s v="SYN1864"/>
    <n v="56"/>
    <x v="1"/>
    <n v="1"/>
    <n v="56"/>
    <n v="5.5999999999999995E-4"/>
    <n v="0"/>
    <x v="2"/>
    <x v="0"/>
    <n v="5.5999999999999995E-4"/>
  </r>
  <r>
    <s v="SYN1865"/>
    <n v="23"/>
    <x v="0"/>
    <n v="5"/>
    <n v="27"/>
    <n v="5.1999999999999995E-4"/>
    <n v="0"/>
    <x v="6"/>
    <x v="0"/>
    <n v="5.1999999999999995E-4"/>
  </r>
  <r>
    <s v="SYN1866"/>
    <n v="28"/>
    <x v="0"/>
    <n v="12"/>
    <n v="39"/>
    <n v="9.7999999999999997E-4"/>
    <n v="0"/>
    <x v="1"/>
    <x v="2"/>
    <n v="9.7999999999999997E-4"/>
  </r>
  <r>
    <s v="SYN1867"/>
    <n v="46"/>
    <x v="1"/>
    <n v="21"/>
    <n v="66"/>
    <n v="9.2399999999999999E-3"/>
    <n v="0"/>
    <x v="0"/>
    <x v="1"/>
    <n v="9.2399999999999999E-3"/>
  </r>
  <r>
    <s v="SYN1868"/>
    <n v="38"/>
    <x v="1"/>
    <n v="10"/>
    <n v="47"/>
    <n v="1.16E-3"/>
    <n v="0"/>
    <x v="3"/>
    <x v="2"/>
    <n v="1.16E-3"/>
  </r>
  <r>
    <s v="SYN1869"/>
    <n v="52"/>
    <x v="1"/>
    <n v="7"/>
    <n v="58"/>
    <n v="2.8400000000000001E-3"/>
    <n v="0"/>
    <x v="2"/>
    <x v="0"/>
    <n v="2.8400000000000001E-3"/>
  </r>
  <r>
    <s v="SYN1870"/>
    <n v="26"/>
    <x v="1"/>
    <n v="20"/>
    <n v="45"/>
    <n v="1.3699999999999999E-3"/>
    <n v="0"/>
    <x v="3"/>
    <x v="1"/>
    <n v="1.3699999999999999E-3"/>
  </r>
  <r>
    <s v="SYN1871"/>
    <n v="40"/>
    <x v="1"/>
    <n v="27"/>
    <n v="66"/>
    <n v="8.3099999999999997E-3"/>
    <n v="0"/>
    <x v="0"/>
    <x v="1"/>
    <n v="8.3099999999999997E-3"/>
  </r>
  <r>
    <s v="SYN1872"/>
    <n v="37"/>
    <x v="1"/>
    <n v="22"/>
    <n v="58"/>
    <n v="4.0499999999999998E-3"/>
    <n v="0"/>
    <x v="2"/>
    <x v="1"/>
    <n v="4.0499999999999998E-3"/>
  </r>
  <r>
    <s v="SYN1873"/>
    <n v="54"/>
    <x v="0"/>
    <n v="19"/>
    <n v="72"/>
    <n v="2.1139999999999999E-2"/>
    <n v="0"/>
    <x v="5"/>
    <x v="2"/>
    <n v="2.1139999999999999E-2"/>
  </r>
  <r>
    <s v="SYN1874"/>
    <n v="28"/>
    <x v="0"/>
    <n v="17"/>
    <n v="44"/>
    <n v="1.6900000000000001E-3"/>
    <n v="0"/>
    <x v="3"/>
    <x v="2"/>
    <n v="1.6900000000000001E-3"/>
  </r>
  <r>
    <s v="SYN1875"/>
    <n v="46"/>
    <x v="1"/>
    <n v="11"/>
    <n v="56"/>
    <n v="2.7100000000000002E-3"/>
    <n v="0"/>
    <x v="2"/>
    <x v="2"/>
    <n v="2.7100000000000002E-3"/>
  </r>
  <r>
    <s v="SYN1876"/>
    <n v="33"/>
    <x v="1"/>
    <n v="5"/>
    <n v="37"/>
    <n v="4.2000000000000002E-4"/>
    <n v="0"/>
    <x v="1"/>
    <x v="0"/>
    <n v="4.2000000000000002E-4"/>
  </r>
  <r>
    <s v="SYN1877"/>
    <n v="55"/>
    <x v="1"/>
    <n v="20"/>
    <n v="74"/>
    <n v="2.0740000000000001E-2"/>
    <n v="0"/>
    <x v="5"/>
    <x v="1"/>
    <n v="2.0740000000000001E-2"/>
  </r>
  <r>
    <s v="SYN1878"/>
    <n v="54"/>
    <x v="1"/>
    <n v="23"/>
    <n v="76"/>
    <n v="2.58E-2"/>
    <n v="0"/>
    <x v="5"/>
    <x v="1"/>
    <n v="2.58E-2"/>
  </r>
  <r>
    <s v="SYN1879"/>
    <n v="27"/>
    <x v="0"/>
    <n v="14"/>
    <n v="40"/>
    <n v="1.1800000000000001E-3"/>
    <n v="0"/>
    <x v="3"/>
    <x v="2"/>
    <n v="1.1800000000000001E-3"/>
  </r>
  <r>
    <s v="SYN1880"/>
    <n v="28"/>
    <x v="0"/>
    <n v="30"/>
    <n v="57"/>
    <n v="3.5000000000000001E-3"/>
    <n v="0"/>
    <x v="2"/>
    <x v="3"/>
    <n v="3.5000000000000001E-3"/>
  </r>
  <r>
    <s v="SYN1881"/>
    <n v="64"/>
    <x v="0"/>
    <n v="12"/>
    <n v="75"/>
    <n v="2.35E-2"/>
    <n v="0"/>
    <x v="5"/>
    <x v="2"/>
    <n v="2.35E-2"/>
  </r>
  <r>
    <s v="SYN1882"/>
    <n v="58"/>
    <x v="1"/>
    <n v="17"/>
    <n v="74"/>
    <n v="1.9210000000000001E-2"/>
    <n v="0"/>
    <x v="5"/>
    <x v="2"/>
    <n v="1.9210000000000001E-2"/>
  </r>
  <r>
    <s v="SYN1883"/>
    <n v="65"/>
    <x v="0"/>
    <n v="10"/>
    <n v="74"/>
    <n v="1.9689999999999999E-2"/>
    <n v="0"/>
    <x v="5"/>
    <x v="2"/>
    <n v="1.9689999999999999E-2"/>
  </r>
  <r>
    <s v="SYN1884"/>
    <n v="34"/>
    <x v="1"/>
    <n v="5"/>
    <n v="38"/>
    <n v="4.6999999999999999E-4"/>
    <n v="0"/>
    <x v="1"/>
    <x v="0"/>
    <n v="4.6999999999999999E-4"/>
  </r>
  <r>
    <s v="SYN1885"/>
    <n v="34"/>
    <x v="0"/>
    <n v="10"/>
    <n v="43"/>
    <n v="1.2199999999999999E-3"/>
    <n v="0"/>
    <x v="3"/>
    <x v="2"/>
    <n v="1.2199999999999999E-3"/>
  </r>
  <r>
    <s v="SYN1886"/>
    <n v="25"/>
    <x v="1"/>
    <n v="14"/>
    <n v="38"/>
    <n v="7.9000000000000001E-4"/>
    <n v="0"/>
    <x v="1"/>
    <x v="2"/>
    <n v="7.9000000000000001E-4"/>
  </r>
  <r>
    <s v="SYN1887"/>
    <n v="24"/>
    <x v="1"/>
    <n v="1"/>
    <n v="24"/>
    <n v="1.8000000000000001E-4"/>
    <n v="0"/>
    <x v="6"/>
    <x v="0"/>
    <n v="1.8000000000000001E-4"/>
  </r>
  <r>
    <s v="SYN1888"/>
    <n v="22"/>
    <x v="0"/>
    <n v="7"/>
    <n v="28"/>
    <n v="5.9999999999999995E-4"/>
    <n v="0"/>
    <x v="6"/>
    <x v="0"/>
    <n v="5.9999999999999995E-4"/>
  </r>
  <r>
    <s v="SYN1889"/>
    <n v="52"/>
    <x v="0"/>
    <n v="19"/>
    <n v="70"/>
    <n v="1.6750000000000001E-2"/>
    <n v="0"/>
    <x v="5"/>
    <x v="2"/>
    <n v="1.6750000000000001E-2"/>
  </r>
  <r>
    <s v="SYN1890"/>
    <n v="36"/>
    <x v="0"/>
    <n v="2"/>
    <n v="37"/>
    <n v="3.6000000000000002E-4"/>
    <n v="0"/>
    <x v="1"/>
    <x v="0"/>
    <n v="3.6000000000000002E-4"/>
  </r>
  <r>
    <s v="SYN1891"/>
    <n v="26"/>
    <x v="0"/>
    <n v="26"/>
    <n v="51"/>
    <n v="3.0899999999999999E-3"/>
    <n v="0"/>
    <x v="2"/>
    <x v="1"/>
    <n v="3.0899999999999999E-3"/>
  </r>
  <r>
    <s v="SYN1892"/>
    <n v="57"/>
    <x v="0"/>
    <n v="29"/>
    <n v="85"/>
    <n v="6.3329999999999997E-2"/>
    <n v="0"/>
    <x v="4"/>
    <x v="1"/>
    <n v="6.3329999999999997E-2"/>
  </r>
  <r>
    <s v="SYN1893"/>
    <n v="21"/>
    <x v="0"/>
    <n v="3"/>
    <n v="23"/>
    <n v="6.7000000000000002E-4"/>
    <n v="0"/>
    <x v="6"/>
    <x v="0"/>
    <n v="6.7000000000000002E-4"/>
  </r>
  <r>
    <s v="SYN1894"/>
    <n v="37"/>
    <x v="0"/>
    <n v="19"/>
    <n v="55"/>
    <n v="3.82E-3"/>
    <n v="0"/>
    <x v="2"/>
    <x v="2"/>
    <n v="3.82E-3"/>
  </r>
  <r>
    <s v="SYN1895"/>
    <n v="52"/>
    <x v="1"/>
    <n v="25"/>
    <n v="76"/>
    <n v="2.58E-2"/>
    <n v="0"/>
    <x v="5"/>
    <x v="1"/>
    <n v="2.58E-2"/>
  </r>
  <r>
    <s v="SYN1896"/>
    <n v="56"/>
    <x v="0"/>
    <n v="3"/>
    <n v="58"/>
    <n v="3.4099999999999998E-3"/>
    <n v="0"/>
    <x v="2"/>
    <x v="0"/>
    <n v="3.4099999999999998E-3"/>
  </r>
  <r>
    <s v="SYN1897"/>
    <n v="20"/>
    <x v="0"/>
    <n v="17"/>
    <n v="36"/>
    <n v="1.09E-3"/>
    <n v="0"/>
    <x v="1"/>
    <x v="2"/>
    <n v="1.09E-3"/>
  </r>
  <r>
    <s v="SYN1898"/>
    <n v="38"/>
    <x v="1"/>
    <n v="6"/>
    <n v="43"/>
    <n v="7.5000000000000002E-4"/>
    <n v="0"/>
    <x v="3"/>
    <x v="0"/>
    <n v="7.5000000000000002E-4"/>
  </r>
  <r>
    <s v="SYN1899"/>
    <n v="26"/>
    <x v="0"/>
    <n v="30"/>
    <n v="55"/>
    <n v="3.0899999999999999E-3"/>
    <n v="0"/>
    <x v="2"/>
    <x v="3"/>
    <n v="3.0899999999999999E-3"/>
  </r>
  <r>
    <s v="SYN1900"/>
    <n v="65"/>
    <x v="0"/>
    <n v="16"/>
    <n v="80"/>
    <n v="4.65E-2"/>
    <n v="0"/>
    <x v="4"/>
    <x v="2"/>
    <n v="4.65E-2"/>
  </r>
  <r>
    <s v="SYN1901"/>
    <n v="48"/>
    <x v="1"/>
    <n v="22"/>
    <n v="69"/>
    <n v="1.2659999999999999E-2"/>
    <n v="0"/>
    <x v="0"/>
    <x v="1"/>
    <n v="1.2659999999999999E-2"/>
  </r>
  <r>
    <s v="SYN1902"/>
    <n v="42"/>
    <x v="0"/>
    <n v="13"/>
    <n v="54"/>
    <n v="3.2100000000000002E-3"/>
    <n v="0"/>
    <x v="2"/>
    <x v="2"/>
    <n v="3.2100000000000002E-3"/>
  </r>
  <r>
    <s v="SYN1903"/>
    <n v="46"/>
    <x v="1"/>
    <n v="4"/>
    <n v="49"/>
    <n v="1.0499999999999999E-3"/>
    <n v="0"/>
    <x v="3"/>
    <x v="0"/>
    <n v="1.0499999999999999E-3"/>
  </r>
  <r>
    <s v="SYN1904"/>
    <n v="49"/>
    <x v="1"/>
    <n v="4"/>
    <n v="52"/>
    <n v="1.4E-3"/>
    <n v="0"/>
    <x v="2"/>
    <x v="0"/>
    <n v="1.4E-3"/>
  </r>
  <r>
    <s v="SYN1905"/>
    <n v="43"/>
    <x v="0"/>
    <n v="23"/>
    <n v="65"/>
    <n v="1.0359999999999999E-2"/>
    <n v="0"/>
    <x v="0"/>
    <x v="1"/>
    <n v="1.0359999999999999E-2"/>
  </r>
  <r>
    <s v="SYN1906"/>
    <n v="25"/>
    <x v="0"/>
    <n v="11"/>
    <n v="35"/>
    <n v="7.2999999999999996E-4"/>
    <n v="0"/>
    <x v="1"/>
    <x v="2"/>
    <n v="7.2999999999999996E-4"/>
  </r>
  <r>
    <s v="SYN1907"/>
    <n v="49"/>
    <x v="1"/>
    <n v="20"/>
    <n v="68"/>
    <n v="1.125E-2"/>
    <n v="0"/>
    <x v="0"/>
    <x v="1"/>
    <n v="1.125E-2"/>
  </r>
  <r>
    <s v="SYN1908"/>
    <n v="48"/>
    <x v="1"/>
    <n v="8"/>
    <n v="55"/>
    <n v="2.2300000000000002E-3"/>
    <n v="0"/>
    <x v="2"/>
    <x v="0"/>
    <n v="2.2300000000000002E-3"/>
  </r>
  <r>
    <s v="SYN1909"/>
    <n v="47"/>
    <x v="1"/>
    <n v="7"/>
    <n v="53"/>
    <n v="1.75E-3"/>
    <n v="0"/>
    <x v="2"/>
    <x v="0"/>
    <n v="1.75E-3"/>
  </r>
  <r>
    <s v="SYN1910"/>
    <n v="50"/>
    <x v="0"/>
    <n v="22"/>
    <n v="71"/>
    <n v="1.9089999999999999E-2"/>
    <n v="1"/>
    <x v="5"/>
    <x v="1"/>
    <n v="1.9089999999999999E-2"/>
  </r>
  <r>
    <s v="SYN1911"/>
    <n v="63"/>
    <x v="1"/>
    <n v="16"/>
    <n v="78"/>
    <n v="2.8119999999999999E-2"/>
    <n v="0"/>
    <x v="5"/>
    <x v="2"/>
    <n v="2.8119999999999999E-2"/>
  </r>
  <r>
    <s v="SYN1912"/>
    <n v="53"/>
    <x v="1"/>
    <n v="22"/>
    <n v="74"/>
    <n v="2.0979999999999999E-2"/>
    <n v="0"/>
    <x v="5"/>
    <x v="1"/>
    <n v="2.0979999999999999E-2"/>
  </r>
  <r>
    <s v="SYN1913"/>
    <n v="45"/>
    <x v="1"/>
    <n v="13"/>
    <n v="57"/>
    <n v="3.2399999999999998E-3"/>
    <n v="0"/>
    <x v="2"/>
    <x v="2"/>
    <n v="3.2399999999999998E-3"/>
  </r>
  <r>
    <s v="SYN1914"/>
    <n v="30"/>
    <x v="0"/>
    <n v="3"/>
    <n v="32"/>
    <n v="3.6999999999999999E-4"/>
    <n v="0"/>
    <x v="1"/>
    <x v="0"/>
    <n v="3.6999999999999999E-4"/>
  </r>
  <r>
    <s v="SYN1915"/>
    <n v="32"/>
    <x v="1"/>
    <n v="20"/>
    <n v="51"/>
    <n v="2.1199999999999999E-3"/>
    <n v="0"/>
    <x v="2"/>
    <x v="1"/>
    <n v="2.1199999999999999E-3"/>
  </r>
  <r>
    <s v="SYN1916"/>
    <n v="34"/>
    <x v="0"/>
    <n v="27"/>
    <n v="60"/>
    <n v="5.7400000000000003E-3"/>
    <n v="0"/>
    <x v="0"/>
    <x v="1"/>
    <n v="5.7400000000000003E-3"/>
  </r>
  <r>
    <s v="SYN1917"/>
    <n v="65"/>
    <x v="1"/>
    <n v="25"/>
    <n v="89"/>
    <n v="0.11754000000000001"/>
    <n v="0"/>
    <x v="4"/>
    <x v="1"/>
    <n v="0.11754000000000001"/>
  </r>
  <r>
    <s v="SYN1918"/>
    <n v="61"/>
    <x v="0"/>
    <n v="13"/>
    <n v="73"/>
    <n v="2.2499999999999999E-2"/>
    <n v="0"/>
    <x v="5"/>
    <x v="2"/>
    <n v="2.2499999999999999E-2"/>
  </r>
  <r>
    <s v="SYN1919"/>
    <n v="45"/>
    <x v="1"/>
    <n v="16"/>
    <n v="60"/>
    <n v="4.62E-3"/>
    <n v="0"/>
    <x v="0"/>
    <x v="2"/>
    <n v="4.62E-3"/>
  </r>
  <r>
    <s v="SYN1920"/>
    <n v="49"/>
    <x v="0"/>
    <n v="4"/>
    <n v="52"/>
    <n v="1.9400000000000001E-3"/>
    <n v="0"/>
    <x v="2"/>
    <x v="0"/>
    <n v="1.9400000000000001E-3"/>
  </r>
  <r>
    <s v="SYN1921"/>
    <n v="34"/>
    <x v="1"/>
    <n v="21"/>
    <n v="54"/>
    <n v="2.82E-3"/>
    <n v="0"/>
    <x v="2"/>
    <x v="1"/>
    <n v="2.82E-3"/>
  </r>
  <r>
    <s v="SYN1922"/>
    <n v="23"/>
    <x v="0"/>
    <n v="27"/>
    <n v="49"/>
    <n v="2.7399999999999998E-3"/>
    <n v="0"/>
    <x v="3"/>
    <x v="1"/>
    <n v="2.7399999999999998E-3"/>
  </r>
  <r>
    <s v="SYN1923"/>
    <n v="31"/>
    <x v="1"/>
    <n v="13"/>
    <n v="43"/>
    <n v="1.01E-3"/>
    <n v="0"/>
    <x v="3"/>
    <x v="2"/>
    <n v="1.01E-3"/>
  </r>
  <r>
    <s v="SYN1924"/>
    <n v="39"/>
    <x v="1"/>
    <n v="20"/>
    <n v="58"/>
    <n v="4.0200000000000001E-3"/>
    <n v="0"/>
    <x v="2"/>
    <x v="1"/>
    <n v="4.0200000000000001E-3"/>
  </r>
  <r>
    <s v="SYN1925"/>
    <n v="62"/>
    <x v="1"/>
    <n v="25"/>
    <n v="86"/>
    <n v="8.2710000000000006E-2"/>
    <n v="0"/>
    <x v="4"/>
    <x v="1"/>
    <n v="8.2710000000000006E-2"/>
  </r>
  <r>
    <s v="SYN1926"/>
    <n v="49"/>
    <x v="0"/>
    <n v="7"/>
    <n v="55"/>
    <n v="3.0500000000000002E-3"/>
    <n v="0"/>
    <x v="2"/>
    <x v="0"/>
    <n v="3.0500000000000002E-3"/>
  </r>
  <r>
    <s v="SYN1927"/>
    <n v="52"/>
    <x v="1"/>
    <n v="9"/>
    <n v="60"/>
    <n v="3.6900000000000001E-3"/>
    <n v="0"/>
    <x v="0"/>
    <x v="0"/>
    <n v="3.6900000000000001E-3"/>
  </r>
  <r>
    <s v="SYN1928"/>
    <n v="54"/>
    <x v="0"/>
    <n v="18"/>
    <n v="71"/>
    <n v="1.8769999999999998E-2"/>
    <n v="0"/>
    <x v="5"/>
    <x v="2"/>
    <n v="1.8769999999999998E-2"/>
  </r>
  <r>
    <s v="SYN1929"/>
    <n v="47"/>
    <x v="1"/>
    <n v="29"/>
    <n v="75"/>
    <n v="1.7170000000000001E-2"/>
    <n v="0"/>
    <x v="5"/>
    <x v="1"/>
    <n v="1.7170000000000001E-2"/>
  </r>
  <r>
    <s v="SYN1930"/>
    <n v="40"/>
    <x v="0"/>
    <n v="28"/>
    <n v="67"/>
    <n v="1.064E-2"/>
    <n v="0"/>
    <x v="0"/>
    <x v="1"/>
    <n v="1.064E-2"/>
  </r>
  <r>
    <s v="SYN1931"/>
    <n v="22"/>
    <x v="1"/>
    <n v="6"/>
    <n v="27"/>
    <n v="2.7E-4"/>
    <n v="0"/>
    <x v="6"/>
    <x v="0"/>
    <n v="2.7E-4"/>
  </r>
  <r>
    <s v="SYN1932"/>
    <n v="39"/>
    <x v="1"/>
    <n v="29"/>
    <n v="67"/>
    <n v="7.4700000000000001E-3"/>
    <n v="0"/>
    <x v="0"/>
    <x v="1"/>
    <n v="7.4700000000000001E-3"/>
  </r>
  <r>
    <s v="SYN1933"/>
    <n v="28"/>
    <x v="1"/>
    <n v="10"/>
    <n v="37"/>
    <n v="5.9000000000000003E-4"/>
    <n v="0"/>
    <x v="1"/>
    <x v="2"/>
    <n v="5.9000000000000003E-4"/>
  </r>
  <r>
    <s v="SYN1934"/>
    <n v="27"/>
    <x v="1"/>
    <n v="19"/>
    <n v="45"/>
    <n v="1.34E-3"/>
    <n v="0"/>
    <x v="3"/>
    <x v="2"/>
    <n v="1.34E-3"/>
  </r>
  <r>
    <s v="SYN1935"/>
    <n v="63"/>
    <x v="1"/>
    <n v="18"/>
    <n v="80"/>
    <n v="3.7789999999999997E-2"/>
    <n v="0"/>
    <x v="4"/>
    <x v="2"/>
    <n v="3.7789999999999997E-2"/>
  </r>
  <r>
    <s v="SYN1936"/>
    <n v="30"/>
    <x v="0"/>
    <n v="17"/>
    <n v="46"/>
    <n v="1.8500000000000001E-3"/>
    <n v="0"/>
    <x v="3"/>
    <x v="2"/>
    <n v="1.8500000000000001E-3"/>
  </r>
  <r>
    <s v="SYN1937"/>
    <n v="57"/>
    <x v="1"/>
    <n v="13"/>
    <n v="69"/>
    <n v="9.9299999999999996E-3"/>
    <n v="0"/>
    <x v="0"/>
    <x v="2"/>
    <n v="9.9299999999999996E-3"/>
  </r>
  <r>
    <s v="SYN1938"/>
    <n v="38"/>
    <x v="0"/>
    <n v="11"/>
    <n v="48"/>
    <n v="1.74E-3"/>
    <n v="0"/>
    <x v="3"/>
    <x v="2"/>
    <n v="1.74E-3"/>
  </r>
  <r>
    <s v="SYN1939"/>
    <n v="28"/>
    <x v="0"/>
    <n v="27"/>
    <n v="54"/>
    <n v="3.5000000000000001E-3"/>
    <n v="0"/>
    <x v="2"/>
    <x v="1"/>
    <n v="3.5000000000000001E-3"/>
  </r>
  <r>
    <s v="SYN1940"/>
    <n v="57"/>
    <x v="1"/>
    <n v="1"/>
    <n v="57"/>
    <n v="5.9000000000000003E-4"/>
    <n v="0"/>
    <x v="2"/>
    <x v="0"/>
    <n v="5.9000000000000003E-4"/>
  </r>
  <r>
    <s v="SYN1941"/>
    <n v="44"/>
    <x v="0"/>
    <n v="4"/>
    <n v="47"/>
    <n v="1.1999999999999999E-3"/>
    <n v="0"/>
    <x v="3"/>
    <x v="0"/>
    <n v="1.1999999999999999E-3"/>
  </r>
  <r>
    <s v="SYN1942"/>
    <n v="46"/>
    <x v="0"/>
    <n v="12"/>
    <n v="57"/>
    <n v="4.2700000000000004E-3"/>
    <n v="0"/>
    <x v="2"/>
    <x v="2"/>
    <n v="4.2700000000000004E-3"/>
  </r>
  <r>
    <s v="SYN1943"/>
    <n v="35"/>
    <x v="0"/>
    <n v="21"/>
    <n v="55"/>
    <n v="3.9699999999999996E-3"/>
    <n v="0"/>
    <x v="2"/>
    <x v="1"/>
    <n v="3.9699999999999996E-3"/>
  </r>
  <r>
    <s v="SYN1944"/>
    <n v="64"/>
    <x v="1"/>
    <n v="3"/>
    <n v="66"/>
    <n v="4.2300000000000003E-3"/>
    <n v="0"/>
    <x v="0"/>
    <x v="0"/>
    <n v="4.2300000000000003E-3"/>
  </r>
  <r>
    <s v="SYN1945"/>
    <n v="30"/>
    <x v="1"/>
    <n v="1"/>
    <n v="30"/>
    <n v="1.2E-4"/>
    <n v="0"/>
    <x v="1"/>
    <x v="0"/>
    <n v="1.2E-4"/>
  </r>
  <r>
    <s v="SYN1946"/>
    <n v="62"/>
    <x v="0"/>
    <n v="28"/>
    <n v="89"/>
    <n v="0.11724"/>
    <n v="0"/>
    <x v="4"/>
    <x v="1"/>
    <n v="0.11724"/>
  </r>
  <r>
    <s v="SYN1947"/>
    <n v="46"/>
    <x v="0"/>
    <n v="9"/>
    <n v="54"/>
    <n v="2.8900000000000002E-3"/>
    <n v="0"/>
    <x v="2"/>
    <x v="0"/>
    <n v="2.8900000000000002E-3"/>
  </r>
  <r>
    <s v="SYN1948"/>
    <n v="21"/>
    <x v="0"/>
    <n v="11"/>
    <n v="31"/>
    <n v="6.8000000000000005E-4"/>
    <n v="0"/>
    <x v="1"/>
    <x v="2"/>
    <n v="6.8000000000000005E-4"/>
  </r>
  <r>
    <s v="SYN1949"/>
    <n v="56"/>
    <x v="1"/>
    <n v="4"/>
    <n v="59"/>
    <n v="2.5100000000000001E-3"/>
    <n v="0"/>
    <x v="2"/>
    <x v="0"/>
    <n v="2.5100000000000001E-3"/>
  </r>
  <r>
    <s v="SYN1950"/>
    <n v="63"/>
    <x v="0"/>
    <n v="7"/>
    <n v="69"/>
    <n v="1.0999999999999999E-2"/>
    <n v="0"/>
    <x v="0"/>
    <x v="0"/>
    <n v="1.0999999999999999E-2"/>
  </r>
  <r>
    <s v="SYN1951"/>
    <n v="62"/>
    <x v="0"/>
    <n v="11"/>
    <n v="72"/>
    <n v="1.847E-2"/>
    <n v="0"/>
    <x v="5"/>
    <x v="2"/>
    <n v="1.847E-2"/>
  </r>
  <r>
    <s v="SYN1952"/>
    <n v="47"/>
    <x v="0"/>
    <n v="7"/>
    <n v="53"/>
    <n v="2.5000000000000001E-3"/>
    <n v="0"/>
    <x v="2"/>
    <x v="0"/>
    <n v="2.5000000000000001E-3"/>
  </r>
  <r>
    <s v="SYN1953"/>
    <n v="24"/>
    <x v="1"/>
    <n v="27"/>
    <n v="50"/>
    <n v="1.8699999999999999E-3"/>
    <n v="0"/>
    <x v="2"/>
    <x v="1"/>
    <n v="1.8699999999999999E-3"/>
  </r>
  <r>
    <s v="SYN1954"/>
    <n v="36"/>
    <x v="0"/>
    <n v="2"/>
    <n v="37"/>
    <n v="3.6000000000000002E-4"/>
    <n v="0"/>
    <x v="1"/>
    <x v="0"/>
    <n v="3.6000000000000002E-4"/>
  </r>
  <r>
    <s v="SYN1955"/>
    <n v="34"/>
    <x v="1"/>
    <n v="20"/>
    <n v="53"/>
    <n v="2.5000000000000001E-3"/>
    <n v="0"/>
    <x v="2"/>
    <x v="1"/>
    <n v="2.5000000000000001E-3"/>
  </r>
  <r>
    <s v="SYN1956"/>
    <n v="57"/>
    <x v="1"/>
    <n v="4"/>
    <n v="60"/>
    <n v="2.7399999999999998E-3"/>
    <n v="0"/>
    <x v="0"/>
    <x v="0"/>
    <n v="2.7399999999999998E-3"/>
  </r>
  <r>
    <s v="SYN1957"/>
    <n v="56"/>
    <x v="1"/>
    <n v="26"/>
    <n v="81"/>
    <n v="4.4880000000000003E-2"/>
    <n v="0"/>
    <x v="4"/>
    <x v="1"/>
    <n v="4.4880000000000003E-2"/>
  </r>
  <r>
    <s v="SYN1958"/>
    <n v="42"/>
    <x v="0"/>
    <n v="26"/>
    <n v="67"/>
    <n v="1.2880000000000001E-2"/>
    <n v="0"/>
    <x v="0"/>
    <x v="1"/>
    <n v="1.2880000000000001E-2"/>
  </r>
  <r>
    <s v="SYN1959"/>
    <n v="52"/>
    <x v="0"/>
    <n v="26"/>
    <n v="77"/>
    <n v="3.7220000000000003E-2"/>
    <n v="0"/>
    <x v="5"/>
    <x v="1"/>
    <n v="3.7220000000000003E-2"/>
  </r>
  <r>
    <s v="SYN1960"/>
    <n v="40"/>
    <x v="0"/>
    <n v="7"/>
    <n v="46"/>
    <n v="1.2700000000000001E-3"/>
    <n v="0"/>
    <x v="3"/>
    <x v="0"/>
    <n v="1.2700000000000001E-3"/>
  </r>
  <r>
    <s v="SYN1961"/>
    <n v="52"/>
    <x v="1"/>
    <n v="15"/>
    <n v="66"/>
    <n v="8.2400000000000008E-3"/>
    <n v="0"/>
    <x v="0"/>
    <x v="2"/>
    <n v="8.2400000000000008E-3"/>
  </r>
  <r>
    <s v="SYN1962"/>
    <n v="21"/>
    <x v="1"/>
    <n v="21"/>
    <n v="41"/>
    <n v="1.1999999999999999E-3"/>
    <n v="0"/>
    <x v="3"/>
    <x v="1"/>
    <n v="1.1999999999999999E-3"/>
  </r>
  <r>
    <s v="SYN1963"/>
    <n v="56"/>
    <x v="0"/>
    <n v="16"/>
    <n v="71"/>
    <n v="1.8769999999999998E-2"/>
    <n v="0"/>
    <x v="5"/>
    <x v="2"/>
    <n v="1.8769999999999998E-2"/>
  </r>
  <r>
    <s v="SYN1964"/>
    <n v="49"/>
    <x v="1"/>
    <n v="9"/>
    <n v="57"/>
    <n v="2.7499999999999998E-3"/>
    <n v="0"/>
    <x v="2"/>
    <x v="0"/>
    <n v="2.7499999999999998E-3"/>
  </r>
  <r>
    <s v="SYN1965"/>
    <n v="59"/>
    <x v="1"/>
    <n v="28"/>
    <n v="86"/>
    <n v="6.4490000000000006E-2"/>
    <n v="0"/>
    <x v="4"/>
    <x v="1"/>
    <n v="6.4490000000000006E-2"/>
  </r>
  <r>
    <s v="SYN1966"/>
    <n v="56"/>
    <x v="1"/>
    <n v="24"/>
    <n v="79"/>
    <n v="3.569E-2"/>
    <n v="0"/>
    <x v="5"/>
    <x v="1"/>
    <n v="3.569E-2"/>
  </r>
  <r>
    <s v="SYN1967"/>
    <n v="43"/>
    <x v="0"/>
    <n v="15"/>
    <n v="57"/>
    <n v="4.4299999999999999E-3"/>
    <n v="0"/>
    <x v="2"/>
    <x v="2"/>
    <n v="4.4299999999999999E-3"/>
  </r>
  <r>
    <s v="SYN1968"/>
    <n v="63"/>
    <x v="0"/>
    <n v="25"/>
    <n v="87"/>
    <n v="0.11724"/>
    <n v="0"/>
    <x v="4"/>
    <x v="1"/>
    <n v="0.11724"/>
  </r>
  <r>
    <s v="SYN1969"/>
    <n v="40"/>
    <x v="1"/>
    <n v="28"/>
    <n v="67"/>
    <n v="8.3099999999999997E-3"/>
    <n v="0"/>
    <x v="0"/>
    <x v="1"/>
    <n v="8.3099999999999997E-3"/>
  </r>
  <r>
    <s v="SYN1970"/>
    <n v="33"/>
    <x v="0"/>
    <n v="28"/>
    <n v="60"/>
    <n v="5.2199999999999998E-3"/>
    <n v="0"/>
    <x v="0"/>
    <x v="1"/>
    <n v="5.2199999999999998E-3"/>
  </r>
  <r>
    <s v="SYN1971"/>
    <n v="61"/>
    <x v="0"/>
    <n v="6"/>
    <n v="66"/>
    <n v="8.7799999999999996E-3"/>
    <n v="0"/>
    <x v="0"/>
    <x v="0"/>
    <n v="8.7799999999999996E-3"/>
  </r>
  <r>
    <s v="SYN1972"/>
    <n v="45"/>
    <x v="0"/>
    <n v="8"/>
    <n v="52"/>
    <n v="2.32E-3"/>
    <n v="0"/>
    <x v="2"/>
    <x v="0"/>
    <n v="2.32E-3"/>
  </r>
  <r>
    <s v="SYN1973"/>
    <n v="35"/>
    <x v="1"/>
    <n v="26"/>
    <n v="60"/>
    <n v="4.9300000000000004E-3"/>
    <n v="0"/>
    <x v="0"/>
    <x v="1"/>
    <n v="4.9300000000000004E-3"/>
  </r>
  <r>
    <s v="SYN1974"/>
    <n v="55"/>
    <x v="0"/>
    <n v="14"/>
    <n v="68"/>
    <n v="1.3690000000000001E-2"/>
    <n v="0"/>
    <x v="0"/>
    <x v="2"/>
    <n v="1.3690000000000001E-2"/>
  </r>
  <r>
    <s v="SYN1975"/>
    <n v="32"/>
    <x v="0"/>
    <n v="6"/>
    <n v="37"/>
    <n v="5.9000000000000003E-4"/>
    <n v="0"/>
    <x v="1"/>
    <x v="0"/>
    <n v="5.9000000000000003E-4"/>
  </r>
  <r>
    <s v="SYN1976"/>
    <n v="37"/>
    <x v="1"/>
    <n v="22"/>
    <n v="58"/>
    <n v="4.0499999999999998E-3"/>
    <n v="0"/>
    <x v="2"/>
    <x v="1"/>
    <n v="4.0499999999999998E-3"/>
  </r>
  <r>
    <s v="SYN1977"/>
    <n v="22"/>
    <x v="0"/>
    <n v="24"/>
    <n v="45"/>
    <n v="2.31E-3"/>
    <n v="0"/>
    <x v="3"/>
    <x v="1"/>
    <n v="2.31E-3"/>
  </r>
  <r>
    <s v="SYN1978"/>
    <n v="25"/>
    <x v="1"/>
    <n v="11"/>
    <n v="35"/>
    <n v="5.1999999999999995E-4"/>
    <n v="0"/>
    <x v="1"/>
    <x v="2"/>
    <n v="5.1999999999999995E-4"/>
  </r>
  <r>
    <s v="SYN1979"/>
    <n v="46"/>
    <x v="0"/>
    <n v="29"/>
    <n v="74"/>
    <n v="1.9089999999999999E-2"/>
    <n v="0"/>
    <x v="5"/>
    <x v="1"/>
    <n v="1.9089999999999999E-2"/>
  </r>
  <r>
    <s v="SYN1980"/>
    <n v="25"/>
    <x v="1"/>
    <n v="13"/>
    <n v="37"/>
    <n v="6.8999999999999997E-4"/>
    <n v="0"/>
    <x v="1"/>
    <x v="2"/>
    <n v="6.8999999999999997E-4"/>
  </r>
  <r>
    <s v="SYN1981"/>
    <n v="28"/>
    <x v="0"/>
    <n v="8"/>
    <n v="35"/>
    <n v="5.9000000000000003E-4"/>
    <n v="0"/>
    <x v="1"/>
    <x v="0"/>
    <n v="5.9000000000000003E-4"/>
  </r>
  <r>
    <s v="SYN1982"/>
    <n v="27"/>
    <x v="1"/>
    <n v="17"/>
    <n v="43"/>
    <n v="1.1299999999999999E-3"/>
    <n v="0"/>
    <x v="3"/>
    <x v="2"/>
    <n v="1.1299999999999999E-3"/>
  </r>
  <r>
    <s v="SYN1983"/>
    <n v="53"/>
    <x v="0"/>
    <n v="9"/>
    <n v="61"/>
    <n v="6.4200000000000004E-3"/>
    <n v="0"/>
    <x v="0"/>
    <x v="0"/>
    <n v="6.4200000000000004E-3"/>
  </r>
  <r>
    <s v="SYN1984"/>
    <n v="58"/>
    <x v="1"/>
    <n v="4"/>
    <n v="61"/>
    <n v="3.0599999999999998E-3"/>
    <n v="0"/>
    <x v="0"/>
    <x v="0"/>
    <n v="3.0599999999999998E-3"/>
  </r>
  <r>
    <s v="SYN1985"/>
    <n v="57"/>
    <x v="0"/>
    <n v="24"/>
    <n v="80"/>
    <n v="5.0909999999999997E-2"/>
    <n v="0"/>
    <x v="4"/>
    <x v="1"/>
    <n v="5.0909999999999997E-2"/>
  </r>
  <r>
    <s v="SYN1986"/>
    <n v="35"/>
    <x v="0"/>
    <n v="30"/>
    <n v="64"/>
    <n v="6.3299999999999997E-3"/>
    <n v="0"/>
    <x v="0"/>
    <x v="3"/>
    <n v="6.3299999999999997E-3"/>
  </r>
  <r>
    <s v="SYN1987"/>
    <n v="31"/>
    <x v="1"/>
    <n v="7"/>
    <n v="37"/>
    <n v="4.8000000000000001E-4"/>
    <n v="0"/>
    <x v="1"/>
    <x v="0"/>
    <n v="4.8000000000000001E-4"/>
  </r>
  <r>
    <s v="SYN1988"/>
    <n v="36"/>
    <x v="1"/>
    <n v="28"/>
    <n v="63"/>
    <n v="5.4599999999999996E-3"/>
    <n v="0"/>
    <x v="0"/>
    <x v="1"/>
    <n v="5.4599999999999996E-3"/>
  </r>
  <r>
    <s v="SYN1989"/>
    <n v="43"/>
    <x v="1"/>
    <n v="23"/>
    <n v="65"/>
    <n v="8.3099999999999997E-3"/>
    <n v="0"/>
    <x v="0"/>
    <x v="1"/>
    <n v="8.3099999999999997E-3"/>
  </r>
  <r>
    <s v="SYN1990"/>
    <n v="47"/>
    <x v="1"/>
    <n v="16"/>
    <n v="62"/>
    <n v="5.7299999999999999E-3"/>
    <n v="0"/>
    <x v="0"/>
    <x v="2"/>
    <n v="5.7299999999999999E-3"/>
  </r>
  <r>
    <s v="SYN1991"/>
    <n v="29"/>
    <x v="0"/>
    <n v="12"/>
    <n v="40"/>
    <n v="1.06E-3"/>
    <n v="0"/>
    <x v="3"/>
    <x v="2"/>
    <n v="1.06E-3"/>
  </r>
  <r>
    <s v="SYN1992"/>
    <n v="39"/>
    <x v="1"/>
    <n v="1"/>
    <n v="39"/>
    <n v="2.2000000000000001E-4"/>
    <n v="0"/>
    <x v="1"/>
    <x v="0"/>
    <n v="2.2000000000000001E-4"/>
  </r>
  <r>
    <s v="SYN1993"/>
    <n v="22"/>
    <x v="1"/>
    <n v="27"/>
    <n v="48"/>
    <n v="1.6000000000000001E-3"/>
    <n v="0"/>
    <x v="3"/>
    <x v="1"/>
    <n v="1.6000000000000001E-3"/>
  </r>
  <r>
    <s v="SYN1994"/>
    <n v="23"/>
    <x v="1"/>
    <n v="23"/>
    <n v="45"/>
    <n v="1.3799999999999999E-3"/>
    <n v="0"/>
    <x v="3"/>
    <x v="1"/>
    <n v="1.3799999999999999E-3"/>
  </r>
  <r>
    <s v="SYN1995"/>
    <n v="36"/>
    <x v="0"/>
    <n v="18"/>
    <n v="53"/>
    <n v="3.16E-3"/>
    <n v="0"/>
    <x v="2"/>
    <x v="2"/>
    <n v="3.16E-3"/>
  </r>
  <r>
    <s v="SYN1996"/>
    <n v="64"/>
    <x v="1"/>
    <n v="12"/>
    <n v="75"/>
    <n v="1.7270000000000001E-2"/>
    <n v="0"/>
    <x v="5"/>
    <x v="2"/>
    <n v="1.7270000000000001E-2"/>
  </r>
  <r>
    <s v="SYN1997"/>
    <n v="54"/>
    <x v="0"/>
    <n v="28"/>
    <n v="81"/>
    <n v="4.5769999999999998E-2"/>
    <n v="0"/>
    <x v="4"/>
    <x v="1"/>
    <n v="4.5769999999999998E-2"/>
  </r>
  <r>
    <s v="SYN1998"/>
    <n v="20"/>
    <x v="1"/>
    <n v="30"/>
    <n v="49"/>
    <n v="1.3799999999999999E-3"/>
    <n v="0"/>
    <x v="3"/>
    <x v="3"/>
    <n v="1.3799999999999999E-3"/>
  </r>
  <r>
    <s v="SYN1999"/>
    <n v="36"/>
    <x v="0"/>
    <n v="10"/>
    <n v="45"/>
    <n v="1.2999999999999999E-3"/>
    <n v="0"/>
    <x v="3"/>
    <x v="2"/>
    <n v="1.2999999999999999E-3"/>
  </r>
  <r>
    <s v="SYN2000"/>
    <n v="35"/>
    <x v="0"/>
    <n v="10"/>
    <n v="44"/>
    <n v="1.2600000000000001E-3"/>
    <n v="0"/>
    <x v="3"/>
    <x v="2"/>
    <n v="1.2600000000000001E-3"/>
  </r>
  <r>
    <s v="SYN2001"/>
    <n v="48"/>
    <x v="0"/>
    <n v="21"/>
    <n v="68"/>
    <n v="1.3950000000000001E-2"/>
    <n v="0"/>
    <x v="0"/>
    <x v="1"/>
    <n v="1.3950000000000001E-2"/>
  </r>
  <r>
    <s v="SYN2002"/>
    <n v="61"/>
    <x v="1"/>
    <n v="14"/>
    <n v="74"/>
    <n v="1.704E-2"/>
    <n v="0"/>
    <x v="5"/>
    <x v="2"/>
    <n v="1.704E-2"/>
  </r>
  <r>
    <s v="SYN2003"/>
    <n v="25"/>
    <x v="1"/>
    <n v="27"/>
    <n v="51"/>
    <n v="2.0200000000000001E-3"/>
    <n v="0"/>
    <x v="2"/>
    <x v="1"/>
    <n v="2.0200000000000001E-3"/>
  </r>
  <r>
    <s v="SYN2004"/>
    <n v="46"/>
    <x v="1"/>
    <n v="30"/>
    <n v="75"/>
    <n v="1.553E-2"/>
    <n v="0"/>
    <x v="5"/>
    <x v="3"/>
    <n v="1.553E-2"/>
  </r>
  <r>
    <s v="SYN2005"/>
    <n v="26"/>
    <x v="0"/>
    <n v="27"/>
    <n v="52"/>
    <n v="3.0899999999999999E-3"/>
    <n v="0"/>
    <x v="2"/>
    <x v="1"/>
    <n v="3.0899999999999999E-3"/>
  </r>
  <r>
    <s v="SYN2006"/>
    <n v="24"/>
    <x v="0"/>
    <n v="12"/>
    <n v="35"/>
    <n v="7.6999999999999996E-4"/>
    <n v="0"/>
    <x v="1"/>
    <x v="2"/>
    <n v="7.6999999999999996E-4"/>
  </r>
  <r>
    <s v="SYN2007"/>
    <n v="55"/>
    <x v="0"/>
    <n v="24"/>
    <n v="78"/>
    <n v="4.1189999999999997E-2"/>
    <n v="0"/>
    <x v="5"/>
    <x v="1"/>
    <n v="4.1189999999999997E-2"/>
  </r>
  <r>
    <s v="SYN2008"/>
    <n v="23"/>
    <x v="1"/>
    <n v="21"/>
    <n v="43"/>
    <n v="1.2800000000000001E-3"/>
    <n v="0"/>
    <x v="3"/>
    <x v="1"/>
    <n v="1.2800000000000001E-3"/>
  </r>
  <r>
    <s v="SYN2009"/>
    <n v="61"/>
    <x v="0"/>
    <n v="5"/>
    <n v="65"/>
    <n v="7.3899999999999999E-3"/>
    <n v="0"/>
    <x v="0"/>
    <x v="0"/>
    <n v="7.3899999999999999E-3"/>
  </r>
  <r>
    <s v="SYN2010"/>
    <n v="39"/>
    <x v="1"/>
    <n v="11"/>
    <n v="49"/>
    <n v="1.49E-3"/>
    <n v="0"/>
    <x v="3"/>
    <x v="2"/>
    <n v="1.49E-3"/>
  </r>
  <r>
    <s v="SYN2011"/>
    <n v="35"/>
    <x v="1"/>
    <n v="17"/>
    <n v="51"/>
    <n v="1.9599999999999999E-3"/>
    <n v="0"/>
    <x v="2"/>
    <x v="2"/>
    <n v="1.9599999999999999E-3"/>
  </r>
  <r>
    <s v="SYN2012"/>
    <n v="61"/>
    <x v="0"/>
    <n v="25"/>
    <n v="85"/>
    <n v="9.1270000000000004E-2"/>
    <n v="0"/>
    <x v="4"/>
    <x v="1"/>
    <n v="9.1270000000000004E-2"/>
  </r>
  <r>
    <s v="SYN2013"/>
    <n v="46"/>
    <x v="1"/>
    <n v="26"/>
    <n v="71"/>
    <n v="1.553E-2"/>
    <n v="0"/>
    <x v="5"/>
    <x v="1"/>
    <n v="1.553E-2"/>
  </r>
  <r>
    <s v="SYN2014"/>
    <n v="28"/>
    <x v="0"/>
    <n v="9"/>
    <n v="36"/>
    <n v="6.4999999999999997E-4"/>
    <n v="0"/>
    <x v="1"/>
    <x v="0"/>
    <n v="6.4999999999999997E-4"/>
  </r>
  <r>
    <s v="SYN2015"/>
    <n v="40"/>
    <x v="0"/>
    <n v="26"/>
    <n v="65"/>
    <n v="1.064E-2"/>
    <n v="0"/>
    <x v="0"/>
    <x v="1"/>
    <n v="1.064E-2"/>
  </r>
  <r>
    <s v="SYN2016"/>
    <n v="43"/>
    <x v="0"/>
    <n v="6"/>
    <n v="48"/>
    <n v="1.4499999999999999E-3"/>
    <n v="0"/>
    <x v="3"/>
    <x v="0"/>
    <n v="1.4499999999999999E-3"/>
  </r>
  <r>
    <s v="SYN2017"/>
    <n v="56"/>
    <x v="0"/>
    <n v="8"/>
    <n v="63"/>
    <n v="7.6899999999999998E-3"/>
    <n v="0"/>
    <x v="0"/>
    <x v="0"/>
    <n v="7.6899999999999998E-3"/>
  </r>
  <r>
    <s v="SYN2018"/>
    <n v="55"/>
    <x v="1"/>
    <n v="21"/>
    <n v="75"/>
    <n v="2.325E-2"/>
    <n v="0"/>
    <x v="5"/>
    <x v="1"/>
    <n v="2.325E-2"/>
  </r>
  <r>
    <s v="SYN2019"/>
    <n v="25"/>
    <x v="0"/>
    <n v="15"/>
    <n v="39"/>
    <n v="1.15E-3"/>
    <n v="0"/>
    <x v="1"/>
    <x v="2"/>
    <n v="1.15E-3"/>
  </r>
  <r>
    <s v="SYN2020"/>
    <n v="30"/>
    <x v="0"/>
    <n v="2"/>
    <n v="31"/>
    <n v="2.9E-4"/>
    <n v="0"/>
    <x v="1"/>
    <x v="0"/>
    <n v="2.9E-4"/>
  </r>
  <r>
    <s v="SYN2021"/>
    <n v="36"/>
    <x v="0"/>
    <n v="5"/>
    <n v="40"/>
    <n v="7.2000000000000005E-4"/>
    <n v="0"/>
    <x v="3"/>
    <x v="0"/>
    <n v="7.2000000000000005E-4"/>
  </r>
  <r>
    <s v="SYN2022"/>
    <n v="56"/>
    <x v="0"/>
    <n v="4"/>
    <n v="59"/>
    <n v="4.2900000000000004E-3"/>
    <n v="0"/>
    <x v="2"/>
    <x v="0"/>
    <n v="4.2900000000000004E-3"/>
  </r>
  <r>
    <s v="SYN2023"/>
    <n v="49"/>
    <x v="1"/>
    <n v="27"/>
    <n v="75"/>
    <n v="2.0979999999999999E-2"/>
    <n v="0"/>
    <x v="5"/>
    <x v="1"/>
    <n v="2.0979999999999999E-2"/>
  </r>
  <r>
    <s v="SYN2024"/>
    <n v="65"/>
    <x v="0"/>
    <n v="7"/>
    <n v="71"/>
    <n v="1.257E-2"/>
    <n v="0"/>
    <x v="5"/>
    <x v="0"/>
    <n v="1.257E-2"/>
  </r>
  <r>
    <s v="SYN2025"/>
    <n v="37"/>
    <x v="1"/>
    <n v="10"/>
    <n v="46"/>
    <n v="1.0499999999999999E-3"/>
    <n v="0"/>
    <x v="3"/>
    <x v="2"/>
    <n v="1.0499999999999999E-3"/>
  </r>
  <r>
    <s v="SYN2026"/>
    <n v="47"/>
    <x v="0"/>
    <n v="28"/>
    <n v="74"/>
    <n v="2.1340000000000001E-2"/>
    <n v="0"/>
    <x v="5"/>
    <x v="1"/>
    <n v="2.1340000000000001E-2"/>
  </r>
  <r>
    <s v="SYN2027"/>
    <n v="38"/>
    <x v="1"/>
    <n v="24"/>
    <n v="61"/>
    <n v="5.4599999999999996E-3"/>
    <n v="0"/>
    <x v="0"/>
    <x v="1"/>
    <n v="5.4599999999999996E-3"/>
  </r>
  <r>
    <s v="SYN2028"/>
    <n v="46"/>
    <x v="0"/>
    <n v="26"/>
    <n v="71"/>
    <n v="1.9089999999999999E-2"/>
    <n v="0"/>
    <x v="5"/>
    <x v="1"/>
    <n v="1.9089999999999999E-2"/>
  </r>
  <r>
    <s v="SYN2029"/>
    <n v="36"/>
    <x v="1"/>
    <n v="8"/>
    <n v="43"/>
    <n v="7.7999999999999999E-4"/>
    <n v="0"/>
    <x v="3"/>
    <x v="0"/>
    <n v="7.7999999999999999E-4"/>
  </r>
  <r>
    <s v="SYN2030"/>
    <n v="43"/>
    <x v="1"/>
    <n v="19"/>
    <n v="61"/>
    <n v="5.3099999999999996E-3"/>
    <n v="0"/>
    <x v="0"/>
    <x v="2"/>
    <n v="5.3099999999999996E-3"/>
  </r>
  <r>
    <s v="SYN2031"/>
    <n v="20"/>
    <x v="0"/>
    <n v="16"/>
    <n v="35"/>
    <n v="9.7999999999999997E-4"/>
    <n v="0"/>
    <x v="1"/>
    <x v="2"/>
    <n v="9.7999999999999997E-4"/>
  </r>
  <r>
    <s v="SYN2032"/>
    <n v="64"/>
    <x v="1"/>
    <n v="13"/>
    <n v="76"/>
    <n v="2.018E-2"/>
    <n v="0"/>
    <x v="5"/>
    <x v="2"/>
    <n v="2.018E-2"/>
  </r>
  <r>
    <s v="SYN2033"/>
    <n v="65"/>
    <x v="1"/>
    <n v="14"/>
    <n v="78"/>
    <n v="2.564E-2"/>
    <n v="0"/>
    <x v="5"/>
    <x v="2"/>
    <n v="2.564E-2"/>
  </r>
  <r>
    <s v="SYN2034"/>
    <n v="26"/>
    <x v="0"/>
    <n v="18"/>
    <n v="43"/>
    <n v="1.7099999999999999E-3"/>
    <n v="0"/>
    <x v="3"/>
    <x v="2"/>
    <n v="1.7099999999999999E-3"/>
  </r>
  <r>
    <s v="SYN2035"/>
    <n v="35"/>
    <x v="1"/>
    <n v="16"/>
    <n v="50"/>
    <n v="1.7799999999999999E-3"/>
    <n v="0"/>
    <x v="2"/>
    <x v="2"/>
    <n v="1.7799999999999999E-3"/>
  </r>
  <r>
    <s v="SYN2036"/>
    <n v="62"/>
    <x v="1"/>
    <n v="26"/>
    <n v="87"/>
    <n v="9.3240000000000003E-2"/>
    <n v="0"/>
    <x v="4"/>
    <x v="1"/>
    <n v="9.3240000000000003E-2"/>
  </r>
  <r>
    <s v="SYN2037"/>
    <n v="22"/>
    <x v="0"/>
    <n v="1"/>
    <n v="22"/>
    <n v="5.8E-4"/>
    <n v="0"/>
    <x v="6"/>
    <x v="0"/>
    <n v="5.8E-4"/>
  </r>
  <r>
    <s v="SYN2038"/>
    <n v="39"/>
    <x v="1"/>
    <n v="13"/>
    <n v="51"/>
    <n v="1.9E-3"/>
    <n v="0"/>
    <x v="2"/>
    <x v="2"/>
    <n v="1.9E-3"/>
  </r>
  <r>
    <s v="SYN2039"/>
    <n v="55"/>
    <x v="1"/>
    <n v="2"/>
    <n v="56"/>
    <n v="1.2600000000000001E-3"/>
    <n v="0"/>
    <x v="2"/>
    <x v="0"/>
    <n v="1.2600000000000001E-3"/>
  </r>
  <r>
    <s v="SYN2040"/>
    <n v="52"/>
    <x v="1"/>
    <n v="16"/>
    <n v="67"/>
    <n v="9.4000000000000004E-3"/>
    <n v="0"/>
    <x v="0"/>
    <x v="2"/>
    <n v="9.4000000000000004E-3"/>
  </r>
  <r>
    <s v="SYN2041"/>
    <n v="28"/>
    <x v="0"/>
    <n v="3"/>
    <n v="30"/>
    <n v="3.4000000000000002E-4"/>
    <n v="0"/>
    <x v="1"/>
    <x v="0"/>
    <n v="3.4000000000000002E-4"/>
  </r>
  <r>
    <s v="SYN2042"/>
    <n v="29"/>
    <x v="0"/>
    <n v="9"/>
    <n v="37"/>
    <n v="6.9999999999999999E-4"/>
    <n v="0"/>
    <x v="1"/>
    <x v="0"/>
    <n v="6.9999999999999999E-4"/>
  </r>
  <r>
    <s v="SYN2043"/>
    <n v="28"/>
    <x v="1"/>
    <n v="16"/>
    <n v="43"/>
    <n v="1.09E-3"/>
    <n v="0"/>
    <x v="3"/>
    <x v="2"/>
    <n v="1.09E-3"/>
  </r>
  <r>
    <s v="SYN2044"/>
    <n v="43"/>
    <x v="0"/>
    <n v="30"/>
    <n v="72"/>
    <n v="1.413E-2"/>
    <n v="0"/>
    <x v="5"/>
    <x v="3"/>
    <n v="1.413E-2"/>
  </r>
  <r>
    <s v="SYN2045"/>
    <n v="36"/>
    <x v="1"/>
    <n v="20"/>
    <n v="55"/>
    <n v="3.0200000000000001E-3"/>
    <n v="0"/>
    <x v="2"/>
    <x v="1"/>
    <n v="3.0200000000000001E-3"/>
  </r>
  <r>
    <s v="SYN2046"/>
    <n v="53"/>
    <x v="0"/>
    <n v="11"/>
    <n v="63"/>
    <n v="8.0300000000000007E-3"/>
    <n v="0"/>
    <x v="0"/>
    <x v="2"/>
    <n v="8.0300000000000007E-3"/>
  </r>
  <r>
    <s v="SYN2047"/>
    <n v="51"/>
    <x v="1"/>
    <n v="25"/>
    <n v="75"/>
    <n v="2.325E-2"/>
    <n v="0"/>
    <x v="5"/>
    <x v="1"/>
    <n v="2.325E-2"/>
  </r>
  <r>
    <s v="SYN2048"/>
    <n v="62"/>
    <x v="1"/>
    <n v="21"/>
    <n v="82"/>
    <n v="5.0599999999999999E-2"/>
    <n v="0"/>
    <x v="4"/>
    <x v="1"/>
    <n v="5.0599999999999999E-2"/>
  </r>
  <r>
    <s v="SYN2049"/>
    <n v="29"/>
    <x v="0"/>
    <n v="2"/>
    <n v="30"/>
    <n v="3.1E-4"/>
    <n v="0"/>
    <x v="1"/>
    <x v="0"/>
    <n v="3.1E-4"/>
  </r>
  <r>
    <s v="SYN2050"/>
    <n v="36"/>
    <x v="1"/>
    <n v="6"/>
    <n v="41"/>
    <n v="6.4999999999999997E-4"/>
    <n v="0"/>
    <x v="3"/>
    <x v="0"/>
    <n v="6.4999999999999997E-4"/>
  </r>
  <r>
    <s v="SYN2051"/>
    <n v="51"/>
    <x v="0"/>
    <n v="2"/>
    <n v="52"/>
    <n v="1.34E-3"/>
    <n v="0"/>
    <x v="2"/>
    <x v="0"/>
    <n v="1.34E-3"/>
  </r>
  <r>
    <s v="SYN2052"/>
    <n v="55"/>
    <x v="0"/>
    <n v="16"/>
    <n v="70"/>
    <n v="1.6750000000000001E-2"/>
    <n v="0"/>
    <x v="5"/>
    <x v="2"/>
    <n v="1.6750000000000001E-2"/>
  </r>
  <r>
    <s v="SYN2053"/>
    <n v="29"/>
    <x v="0"/>
    <n v="4"/>
    <n v="32"/>
    <n v="4.0999999999999999E-4"/>
    <n v="0"/>
    <x v="1"/>
    <x v="0"/>
    <n v="4.0999999999999999E-4"/>
  </r>
  <r>
    <s v="SYN2054"/>
    <n v="38"/>
    <x v="1"/>
    <n v="6"/>
    <n v="43"/>
    <n v="7.5000000000000002E-4"/>
    <n v="0"/>
    <x v="3"/>
    <x v="0"/>
    <n v="7.5000000000000002E-4"/>
  </r>
  <r>
    <s v="SYN2055"/>
    <n v="37"/>
    <x v="1"/>
    <n v="19"/>
    <n v="55"/>
    <n v="2.9499999999999999E-3"/>
    <n v="0"/>
    <x v="2"/>
    <x v="2"/>
    <n v="2.9499999999999999E-3"/>
  </r>
  <r>
    <s v="SYN2056"/>
    <n v="57"/>
    <x v="1"/>
    <n v="1"/>
    <n v="57"/>
    <n v="5.9000000000000003E-4"/>
    <n v="0"/>
    <x v="2"/>
    <x v="0"/>
    <n v="5.9000000000000003E-4"/>
  </r>
  <r>
    <s v="SYN2057"/>
    <n v="46"/>
    <x v="0"/>
    <n v="30"/>
    <n v="75"/>
    <n v="1.9089999999999999E-2"/>
    <n v="0"/>
    <x v="5"/>
    <x v="3"/>
    <n v="1.9089999999999999E-2"/>
  </r>
  <r>
    <s v="SYN2058"/>
    <n v="63"/>
    <x v="1"/>
    <n v="4"/>
    <n v="66"/>
    <n v="5.0800000000000003E-3"/>
    <n v="0"/>
    <x v="0"/>
    <x v="0"/>
    <n v="5.0800000000000003E-3"/>
  </r>
  <r>
    <s v="SYN2059"/>
    <n v="63"/>
    <x v="0"/>
    <n v="22"/>
    <n v="84"/>
    <n v="8.0629999999999993E-2"/>
    <n v="0"/>
    <x v="4"/>
    <x v="1"/>
    <n v="8.0629999999999993E-2"/>
  </r>
  <r>
    <s v="SYN2060"/>
    <n v="26"/>
    <x v="0"/>
    <n v="27"/>
    <n v="52"/>
    <n v="3.0899999999999999E-3"/>
    <n v="0"/>
    <x v="2"/>
    <x v="1"/>
    <n v="3.0899999999999999E-3"/>
  </r>
  <r>
    <s v="SYN2061"/>
    <n v="49"/>
    <x v="1"/>
    <n v="27"/>
    <n v="75"/>
    <n v="2.0979999999999999E-2"/>
    <n v="0"/>
    <x v="5"/>
    <x v="1"/>
    <n v="2.0979999999999999E-2"/>
  </r>
  <r>
    <s v="SYN2062"/>
    <n v="60"/>
    <x v="1"/>
    <n v="9"/>
    <n v="68"/>
    <n v="7.4900000000000001E-3"/>
    <n v="1"/>
    <x v="0"/>
    <x v="0"/>
    <n v="7.4900000000000001E-3"/>
  </r>
  <r>
    <s v="SYN2063"/>
    <n v="22"/>
    <x v="1"/>
    <n v="21"/>
    <n v="42"/>
    <n v="1.24E-3"/>
    <n v="0"/>
    <x v="3"/>
    <x v="1"/>
    <n v="1.24E-3"/>
  </r>
  <r>
    <s v="SYN2064"/>
    <n v="56"/>
    <x v="0"/>
    <n v="5"/>
    <n v="60"/>
    <n v="4.8900000000000002E-3"/>
    <n v="0"/>
    <x v="0"/>
    <x v="0"/>
    <n v="4.8900000000000002E-3"/>
  </r>
  <r>
    <s v="SYN2065"/>
    <n v="61"/>
    <x v="0"/>
    <n v="10"/>
    <n v="70"/>
    <n v="1.4999999999999999E-2"/>
    <n v="0"/>
    <x v="5"/>
    <x v="2"/>
    <n v="1.4999999999999999E-2"/>
  </r>
  <r>
    <s v="SYN2066"/>
    <n v="24"/>
    <x v="1"/>
    <n v="18"/>
    <n v="41"/>
    <n v="1.08E-3"/>
    <n v="0"/>
    <x v="3"/>
    <x v="2"/>
    <n v="1.08E-3"/>
  </r>
  <r>
    <s v="SYN2067"/>
    <n v="45"/>
    <x v="0"/>
    <n v="9"/>
    <n v="53"/>
    <n v="2.63E-3"/>
    <n v="0"/>
    <x v="2"/>
    <x v="0"/>
    <n v="2.63E-3"/>
  </r>
  <r>
    <s v="SYN2068"/>
    <n v="45"/>
    <x v="0"/>
    <n v="3"/>
    <n v="47"/>
    <n v="1.08E-3"/>
    <n v="0"/>
    <x v="3"/>
    <x v="0"/>
    <n v="1.08E-3"/>
  </r>
  <r>
    <s v="SYN2069"/>
    <n v="44"/>
    <x v="0"/>
    <n v="25"/>
    <n v="68"/>
    <n v="1.405E-2"/>
    <n v="0"/>
    <x v="0"/>
    <x v="1"/>
    <n v="1.405E-2"/>
  </r>
  <r>
    <s v="SYN2070"/>
    <n v="61"/>
    <x v="0"/>
    <n v="5"/>
    <n v="65"/>
    <n v="7.3899999999999999E-3"/>
    <n v="0"/>
    <x v="0"/>
    <x v="0"/>
    <n v="7.3899999999999999E-3"/>
  </r>
  <r>
    <s v="SYN2071"/>
    <n v="47"/>
    <x v="1"/>
    <n v="24"/>
    <n v="70"/>
    <n v="1.404E-2"/>
    <n v="0"/>
    <x v="5"/>
    <x v="1"/>
    <n v="1.404E-2"/>
  </r>
  <r>
    <s v="SYN2072"/>
    <n v="63"/>
    <x v="0"/>
    <n v="20"/>
    <n v="82"/>
    <n v="6.3060000000000005E-2"/>
    <n v="0"/>
    <x v="4"/>
    <x v="1"/>
    <n v="6.3060000000000005E-2"/>
  </r>
  <r>
    <s v="SYN2073"/>
    <n v="43"/>
    <x v="0"/>
    <n v="17"/>
    <n v="59"/>
    <n v="5.7000000000000002E-3"/>
    <n v="0"/>
    <x v="2"/>
    <x v="2"/>
    <n v="5.7000000000000002E-3"/>
  </r>
  <r>
    <s v="SYN2074"/>
    <n v="44"/>
    <x v="0"/>
    <n v="16"/>
    <n v="59"/>
    <n v="5.6100000000000004E-3"/>
    <n v="0"/>
    <x v="2"/>
    <x v="2"/>
    <n v="5.6100000000000004E-3"/>
  </r>
  <r>
    <s v="SYN2075"/>
    <n v="25"/>
    <x v="0"/>
    <n v="25"/>
    <n v="49"/>
    <n v="2.7000000000000001E-3"/>
    <n v="0"/>
    <x v="3"/>
    <x v="1"/>
    <n v="2.7000000000000001E-3"/>
  </r>
  <r>
    <s v="SYN2076"/>
    <n v="31"/>
    <x v="1"/>
    <n v="14"/>
    <n v="44"/>
    <n v="1.09E-3"/>
    <n v="0"/>
    <x v="3"/>
    <x v="2"/>
    <n v="1.09E-3"/>
  </r>
  <r>
    <s v="SYN2077"/>
    <n v="52"/>
    <x v="1"/>
    <n v="11"/>
    <n v="62"/>
    <n v="4.8399999999999997E-3"/>
    <n v="0"/>
    <x v="0"/>
    <x v="2"/>
    <n v="4.8399999999999997E-3"/>
  </r>
  <r>
    <s v="SYN2078"/>
    <n v="61"/>
    <x v="1"/>
    <n v="22"/>
    <n v="82"/>
    <n v="5.0599999999999999E-2"/>
    <n v="0"/>
    <x v="4"/>
    <x v="1"/>
    <n v="5.0599999999999999E-2"/>
  </r>
  <r>
    <s v="SYN2079"/>
    <n v="53"/>
    <x v="1"/>
    <n v="21"/>
    <n v="73"/>
    <n v="1.8970000000000001E-2"/>
    <n v="0"/>
    <x v="5"/>
    <x v="1"/>
    <n v="1.8970000000000001E-2"/>
  </r>
  <r>
    <s v="SYN2080"/>
    <n v="49"/>
    <x v="0"/>
    <n v="14"/>
    <n v="62"/>
    <n v="7.3699999999999998E-3"/>
    <n v="0"/>
    <x v="0"/>
    <x v="2"/>
    <n v="7.3699999999999998E-3"/>
  </r>
  <r>
    <s v="SYN2081"/>
    <n v="39"/>
    <x v="1"/>
    <n v="5"/>
    <n v="43"/>
    <n v="7.2000000000000005E-4"/>
    <n v="0"/>
    <x v="3"/>
    <x v="0"/>
    <n v="7.2000000000000005E-4"/>
  </r>
  <r>
    <s v="SYN2082"/>
    <n v="39"/>
    <x v="0"/>
    <n v="27"/>
    <n v="65"/>
    <n v="9.6200000000000001E-3"/>
    <n v="0"/>
    <x v="0"/>
    <x v="1"/>
    <n v="9.6200000000000001E-3"/>
  </r>
  <r>
    <s v="SYN2083"/>
    <n v="56"/>
    <x v="1"/>
    <n v="2"/>
    <n v="57"/>
    <n v="1.31E-3"/>
    <n v="0"/>
    <x v="2"/>
    <x v="0"/>
    <n v="1.31E-3"/>
  </r>
  <r>
    <s v="SYN2084"/>
    <n v="52"/>
    <x v="1"/>
    <n v="4"/>
    <n v="55"/>
    <n v="1.8699999999999999E-3"/>
    <n v="0"/>
    <x v="2"/>
    <x v="0"/>
    <n v="1.8699999999999999E-3"/>
  </r>
  <r>
    <s v="SYN2085"/>
    <n v="49"/>
    <x v="1"/>
    <n v="22"/>
    <n v="70"/>
    <n v="1.404E-2"/>
    <n v="0"/>
    <x v="5"/>
    <x v="1"/>
    <n v="1.404E-2"/>
  </r>
  <r>
    <s v="SYN2086"/>
    <n v="42"/>
    <x v="1"/>
    <n v="9"/>
    <n v="50"/>
    <n v="1.49E-3"/>
    <n v="0"/>
    <x v="2"/>
    <x v="0"/>
    <n v="1.49E-3"/>
  </r>
  <r>
    <s v="SYN2087"/>
    <n v="21"/>
    <x v="1"/>
    <n v="4"/>
    <n v="24"/>
    <n v="2.9E-4"/>
    <n v="0"/>
    <x v="6"/>
    <x v="0"/>
    <n v="2.9E-4"/>
  </r>
  <r>
    <s v="SYN2088"/>
    <n v="31"/>
    <x v="0"/>
    <n v="27"/>
    <n v="57"/>
    <n v="4.3899999999999998E-3"/>
    <n v="0"/>
    <x v="2"/>
    <x v="1"/>
    <n v="4.3899999999999998E-3"/>
  </r>
  <r>
    <s v="SYN2089"/>
    <n v="65"/>
    <x v="0"/>
    <n v="10"/>
    <n v="74"/>
    <n v="1.9689999999999999E-2"/>
    <n v="0"/>
    <x v="5"/>
    <x v="2"/>
    <n v="1.9689999999999999E-2"/>
  </r>
  <r>
    <s v="SYN2090"/>
    <n v="62"/>
    <x v="1"/>
    <n v="15"/>
    <n v="76"/>
    <n v="2.1930000000000002E-2"/>
    <n v="0"/>
    <x v="5"/>
    <x v="2"/>
    <n v="2.1930000000000002E-2"/>
  </r>
  <r>
    <s v="SYN2091"/>
    <n v="31"/>
    <x v="0"/>
    <n v="7"/>
    <n v="37"/>
    <n v="6.0999999999999997E-4"/>
    <n v="0"/>
    <x v="1"/>
    <x v="0"/>
    <n v="6.0999999999999997E-4"/>
  </r>
  <r>
    <s v="SYN2092"/>
    <n v="58"/>
    <x v="1"/>
    <n v="9"/>
    <n v="66"/>
    <n v="6.5799999999999999E-3"/>
    <n v="0"/>
    <x v="0"/>
    <x v="0"/>
    <n v="6.5799999999999999E-3"/>
  </r>
  <r>
    <s v="SYN2093"/>
    <n v="54"/>
    <x v="0"/>
    <n v="1"/>
    <n v="54"/>
    <n v="1.01E-3"/>
    <n v="0"/>
    <x v="2"/>
    <x v="0"/>
    <n v="1.01E-3"/>
  </r>
  <r>
    <s v="SYN2094"/>
    <n v="30"/>
    <x v="0"/>
    <n v="21"/>
    <n v="50"/>
    <n v="2.5200000000000001E-3"/>
    <n v="0"/>
    <x v="2"/>
    <x v="1"/>
    <n v="2.5200000000000001E-3"/>
  </r>
  <r>
    <s v="SYN2095"/>
    <n v="62"/>
    <x v="1"/>
    <n v="24"/>
    <n v="85"/>
    <n v="7.2980000000000003E-2"/>
    <n v="0"/>
    <x v="4"/>
    <x v="1"/>
    <n v="7.2980000000000003E-2"/>
  </r>
  <r>
    <s v="SYN2096"/>
    <n v="59"/>
    <x v="1"/>
    <n v="27"/>
    <n v="85"/>
    <n v="6.4490000000000006E-2"/>
    <n v="0"/>
    <x v="4"/>
    <x v="1"/>
    <n v="6.4490000000000006E-2"/>
  </r>
  <r>
    <s v="SYN2097"/>
    <n v="63"/>
    <x v="1"/>
    <n v="23"/>
    <n v="85"/>
    <n v="7.2980000000000003E-2"/>
    <n v="0"/>
    <x v="4"/>
    <x v="1"/>
    <n v="7.2980000000000003E-2"/>
  </r>
  <r>
    <s v="SYN2098"/>
    <n v="25"/>
    <x v="0"/>
    <n v="5"/>
    <n v="29"/>
    <n v="4.2999999999999999E-4"/>
    <n v="0"/>
    <x v="6"/>
    <x v="0"/>
    <n v="4.2999999999999999E-4"/>
  </r>
  <r>
    <s v="SYN2099"/>
    <n v="21"/>
    <x v="1"/>
    <n v="23"/>
    <n v="43"/>
    <n v="1.2800000000000001E-3"/>
    <n v="0"/>
    <x v="3"/>
    <x v="1"/>
    <n v="1.2800000000000001E-3"/>
  </r>
  <r>
    <s v="SYN2100"/>
    <n v="33"/>
    <x v="1"/>
    <n v="16"/>
    <n v="48"/>
    <n v="1.5100000000000001E-3"/>
    <n v="0"/>
    <x v="3"/>
    <x v="2"/>
    <n v="1.5100000000000001E-3"/>
  </r>
  <r>
    <s v="SYN2101"/>
    <n v="47"/>
    <x v="1"/>
    <n v="27"/>
    <n v="73"/>
    <n v="1.7170000000000001E-2"/>
    <n v="0"/>
    <x v="5"/>
    <x v="1"/>
    <n v="1.7170000000000001E-2"/>
  </r>
  <r>
    <s v="SYN2102"/>
    <n v="32"/>
    <x v="0"/>
    <n v="3"/>
    <n v="34"/>
    <n v="4.0999999999999999E-4"/>
    <n v="0"/>
    <x v="1"/>
    <x v="0"/>
    <n v="4.0999999999999999E-4"/>
  </r>
  <r>
    <s v="SYN2103"/>
    <n v="50"/>
    <x v="0"/>
    <n v="14"/>
    <n v="63"/>
    <n v="8.1300000000000001E-3"/>
    <n v="0"/>
    <x v="0"/>
    <x v="2"/>
    <n v="8.1300000000000001E-3"/>
  </r>
  <r>
    <s v="SYN2104"/>
    <n v="29"/>
    <x v="1"/>
    <n v="24"/>
    <n v="52"/>
    <n v="2.3800000000000002E-3"/>
    <n v="0"/>
    <x v="2"/>
    <x v="1"/>
    <n v="2.3800000000000002E-3"/>
  </r>
  <r>
    <s v="SYN2105"/>
    <n v="50"/>
    <x v="1"/>
    <n v="1"/>
    <n v="50"/>
    <n v="4.2000000000000002E-4"/>
    <n v="0"/>
    <x v="2"/>
    <x v="0"/>
    <n v="4.2000000000000002E-4"/>
  </r>
  <r>
    <s v="SYN2106"/>
    <n v="32"/>
    <x v="1"/>
    <n v="10"/>
    <n v="41"/>
    <n v="7.7999999999999999E-4"/>
    <n v="0"/>
    <x v="3"/>
    <x v="2"/>
    <n v="7.7999999999999999E-4"/>
  </r>
  <r>
    <s v="SYN2107"/>
    <n v="23"/>
    <x v="0"/>
    <n v="11"/>
    <n v="33"/>
    <n v="6.8999999999999997E-4"/>
    <n v="0"/>
    <x v="1"/>
    <x v="2"/>
    <n v="6.8999999999999997E-4"/>
  </r>
  <r>
    <s v="SYN2108"/>
    <n v="65"/>
    <x v="1"/>
    <n v="14"/>
    <n v="78"/>
    <n v="2.564E-2"/>
    <n v="0"/>
    <x v="5"/>
    <x v="2"/>
    <n v="2.564E-2"/>
  </r>
  <r>
    <s v="SYN2109"/>
    <n v="57"/>
    <x v="1"/>
    <n v="20"/>
    <n v="76"/>
    <n v="2.5510000000000001E-2"/>
    <n v="0"/>
    <x v="5"/>
    <x v="1"/>
    <n v="2.5510000000000001E-2"/>
  </r>
  <r>
    <s v="SYN2110"/>
    <n v="22"/>
    <x v="0"/>
    <n v="16"/>
    <n v="37"/>
    <n v="1.0399999999999999E-3"/>
    <n v="0"/>
    <x v="1"/>
    <x v="2"/>
    <n v="1.0399999999999999E-3"/>
  </r>
  <r>
    <s v="SYN2111"/>
    <n v="59"/>
    <x v="1"/>
    <n v="30"/>
    <n v="88"/>
    <n v="6.4490000000000006E-2"/>
    <n v="0"/>
    <x v="4"/>
    <x v="3"/>
    <n v="6.4490000000000006E-2"/>
  </r>
  <r>
    <s v="SYN2112"/>
    <n v="51"/>
    <x v="1"/>
    <n v="8"/>
    <n v="58"/>
    <n v="2.9199999999999999E-3"/>
    <n v="0"/>
    <x v="2"/>
    <x v="0"/>
    <n v="2.9199999999999999E-3"/>
  </r>
  <r>
    <s v="SYN2113"/>
    <n v="47"/>
    <x v="0"/>
    <n v="19"/>
    <n v="65"/>
    <n v="1.022E-2"/>
    <n v="0"/>
    <x v="0"/>
    <x v="2"/>
    <n v="1.022E-2"/>
  </r>
  <r>
    <s v="SYN2114"/>
    <n v="61"/>
    <x v="1"/>
    <n v="14"/>
    <n v="74"/>
    <n v="1.704E-2"/>
    <n v="0"/>
    <x v="5"/>
    <x v="2"/>
    <n v="1.704E-2"/>
  </r>
  <r>
    <s v="SYN2115"/>
    <n v="59"/>
    <x v="0"/>
    <n v="21"/>
    <n v="79"/>
    <n v="4.5769999999999998E-2"/>
    <n v="0"/>
    <x v="5"/>
    <x v="1"/>
    <n v="4.5769999999999998E-2"/>
  </r>
  <r>
    <s v="SYN2116"/>
    <n v="21"/>
    <x v="0"/>
    <n v="6"/>
    <n v="26"/>
    <n v="6.8000000000000005E-4"/>
    <n v="0"/>
    <x v="6"/>
    <x v="0"/>
    <n v="6.8000000000000005E-4"/>
  </r>
  <r>
    <s v="SYN2117"/>
    <n v="42"/>
    <x v="0"/>
    <n v="15"/>
    <n v="56"/>
    <n v="3.9899999999999996E-3"/>
    <n v="0"/>
    <x v="2"/>
    <x v="2"/>
    <n v="3.9899999999999996E-3"/>
  </r>
  <r>
    <s v="SYN2118"/>
    <n v="63"/>
    <x v="1"/>
    <n v="11"/>
    <n v="73"/>
    <n v="1.282E-2"/>
    <n v="0"/>
    <x v="5"/>
    <x v="2"/>
    <n v="1.282E-2"/>
  </r>
  <r>
    <s v="SYN2119"/>
    <n v="65"/>
    <x v="0"/>
    <n v="22"/>
    <n v="86"/>
    <n v="0.10324"/>
    <n v="0"/>
    <x v="4"/>
    <x v="1"/>
    <n v="0.10324"/>
  </r>
  <r>
    <s v="SYN2120"/>
    <n v="65"/>
    <x v="1"/>
    <n v="13"/>
    <n v="77"/>
    <n v="2.2210000000000001E-2"/>
    <n v="0"/>
    <x v="5"/>
    <x v="2"/>
    <n v="2.2210000000000001E-2"/>
  </r>
  <r>
    <s v="SYN2121"/>
    <n v="63"/>
    <x v="1"/>
    <n v="21"/>
    <n v="83"/>
    <n v="5.704E-2"/>
    <n v="0"/>
    <x v="4"/>
    <x v="1"/>
    <n v="5.704E-2"/>
  </r>
  <r>
    <s v="SYN2122"/>
    <n v="30"/>
    <x v="0"/>
    <n v="20"/>
    <n v="49"/>
    <n v="2.3E-3"/>
    <n v="0"/>
    <x v="3"/>
    <x v="1"/>
    <n v="2.3E-3"/>
  </r>
  <r>
    <s v="SYN2123"/>
    <n v="25"/>
    <x v="0"/>
    <n v="22"/>
    <n v="46"/>
    <n v="2.0799999999999998E-3"/>
    <n v="0"/>
    <x v="3"/>
    <x v="1"/>
    <n v="2.0799999999999998E-3"/>
  </r>
  <r>
    <s v="SYN2124"/>
    <n v="30"/>
    <x v="0"/>
    <n v="20"/>
    <n v="49"/>
    <n v="2.3E-3"/>
    <n v="0"/>
    <x v="3"/>
    <x v="1"/>
    <n v="2.3E-3"/>
  </r>
  <r>
    <s v="SYN2125"/>
    <n v="51"/>
    <x v="0"/>
    <n v="10"/>
    <n v="60"/>
    <n v="5.8999999999999999E-3"/>
    <n v="0"/>
    <x v="0"/>
    <x v="2"/>
    <n v="5.8999999999999999E-3"/>
  </r>
  <r>
    <s v="SYN2126"/>
    <n v="21"/>
    <x v="1"/>
    <n v="12"/>
    <n v="32"/>
    <n v="4.2999999999999999E-4"/>
    <n v="0"/>
    <x v="1"/>
    <x v="2"/>
    <n v="4.2999999999999999E-4"/>
  </r>
  <r>
    <s v="SYN2127"/>
    <n v="30"/>
    <x v="1"/>
    <n v="6"/>
    <n v="35"/>
    <n v="3.5E-4"/>
    <n v="0"/>
    <x v="1"/>
    <x v="0"/>
    <n v="3.5E-4"/>
  </r>
  <r>
    <s v="SYN2128"/>
    <n v="22"/>
    <x v="0"/>
    <n v="26"/>
    <n v="47"/>
    <n v="2.6700000000000001E-3"/>
    <n v="0"/>
    <x v="3"/>
    <x v="1"/>
    <n v="2.6700000000000001E-3"/>
  </r>
  <r>
    <s v="SYN2129"/>
    <n v="59"/>
    <x v="0"/>
    <n v="8"/>
    <n v="66"/>
    <n v="0.01"/>
    <n v="0"/>
    <x v="0"/>
    <x v="0"/>
    <n v="0.01"/>
  </r>
  <r>
    <s v="SYN2130"/>
    <n v="36"/>
    <x v="1"/>
    <n v="11"/>
    <n v="46"/>
    <n v="1.1000000000000001E-3"/>
    <n v="0"/>
    <x v="3"/>
    <x v="2"/>
    <n v="1.1000000000000001E-3"/>
  </r>
  <r>
    <s v="SYN2131"/>
    <n v="55"/>
    <x v="1"/>
    <n v="9"/>
    <n v="63"/>
    <n v="5.11E-3"/>
    <n v="0"/>
    <x v="0"/>
    <x v="0"/>
    <n v="5.11E-3"/>
  </r>
  <r>
    <s v="SYN2132"/>
    <n v="52"/>
    <x v="1"/>
    <n v="20"/>
    <n v="71"/>
    <n v="1.506E-2"/>
    <n v="0"/>
    <x v="5"/>
    <x v="1"/>
    <n v="1.506E-2"/>
  </r>
  <r>
    <s v="SYN2133"/>
    <n v="48"/>
    <x v="0"/>
    <n v="26"/>
    <n v="73"/>
    <n v="2.3939999999999999E-2"/>
    <n v="0"/>
    <x v="5"/>
    <x v="1"/>
    <n v="2.3939999999999999E-2"/>
  </r>
  <r>
    <s v="SYN2134"/>
    <n v="27"/>
    <x v="1"/>
    <n v="4"/>
    <n v="30"/>
    <n v="2.2000000000000001E-4"/>
    <n v="0"/>
    <x v="1"/>
    <x v="0"/>
    <n v="2.2000000000000001E-4"/>
  </r>
  <r>
    <s v="SYN2135"/>
    <n v="26"/>
    <x v="1"/>
    <n v="27"/>
    <n v="52"/>
    <n v="2.1900000000000001E-3"/>
    <n v="0"/>
    <x v="2"/>
    <x v="1"/>
    <n v="2.1900000000000001E-3"/>
  </r>
  <r>
    <s v="SYN2136"/>
    <n v="30"/>
    <x v="0"/>
    <n v="21"/>
    <n v="50"/>
    <n v="2.5200000000000001E-3"/>
    <n v="0"/>
    <x v="2"/>
    <x v="1"/>
    <n v="2.5200000000000001E-3"/>
  </r>
  <r>
    <s v="SYN2137"/>
    <n v="43"/>
    <x v="1"/>
    <n v="6"/>
    <n v="48"/>
    <n v="1.1000000000000001E-3"/>
    <n v="0"/>
    <x v="3"/>
    <x v="0"/>
    <n v="1.1000000000000001E-3"/>
  </r>
  <r>
    <s v="SYN2138"/>
    <n v="52"/>
    <x v="1"/>
    <n v="16"/>
    <n v="67"/>
    <n v="9.4000000000000004E-3"/>
    <n v="0"/>
    <x v="0"/>
    <x v="2"/>
    <n v="9.4000000000000004E-3"/>
  </r>
  <r>
    <s v="SYN2139"/>
    <n v="61"/>
    <x v="0"/>
    <n v="12"/>
    <n v="72"/>
    <n v="1.9769999999999999E-2"/>
    <n v="0"/>
    <x v="5"/>
    <x v="2"/>
    <n v="1.9769999999999999E-2"/>
  </r>
  <r>
    <s v="SYN2140"/>
    <n v="32"/>
    <x v="1"/>
    <n v="15"/>
    <n v="46"/>
    <n v="1.2600000000000001E-3"/>
    <n v="0"/>
    <x v="3"/>
    <x v="2"/>
    <n v="1.2600000000000001E-3"/>
  </r>
  <r>
    <s v="SYN2141"/>
    <n v="20"/>
    <x v="1"/>
    <n v="8"/>
    <n v="27"/>
    <n v="3.2000000000000003E-4"/>
    <n v="0"/>
    <x v="6"/>
    <x v="0"/>
    <n v="3.2000000000000003E-4"/>
  </r>
  <r>
    <s v="SYN2142"/>
    <n v="38"/>
    <x v="0"/>
    <n v="17"/>
    <n v="54"/>
    <n v="3.3700000000000002E-3"/>
    <n v="0"/>
    <x v="2"/>
    <x v="2"/>
    <n v="3.3700000000000002E-3"/>
  </r>
  <r>
    <s v="SYN2143"/>
    <n v="65"/>
    <x v="0"/>
    <n v="25"/>
    <n v="89"/>
    <n v="0.14881"/>
    <n v="0"/>
    <x v="4"/>
    <x v="1"/>
    <n v="0.14881"/>
  </r>
  <r>
    <s v="SYN2144"/>
    <n v="35"/>
    <x v="1"/>
    <n v="5"/>
    <n v="39"/>
    <n v="5.1999999999999995E-4"/>
    <n v="0"/>
    <x v="1"/>
    <x v="0"/>
    <n v="5.1999999999999995E-4"/>
  </r>
  <r>
    <s v="SYN2145"/>
    <n v="34"/>
    <x v="1"/>
    <n v="5"/>
    <n v="38"/>
    <n v="4.6999999999999999E-4"/>
    <n v="0"/>
    <x v="1"/>
    <x v="0"/>
    <n v="4.6999999999999999E-4"/>
  </r>
  <r>
    <s v="SYN2146"/>
    <n v="46"/>
    <x v="0"/>
    <n v="29"/>
    <n v="74"/>
    <n v="1.9089999999999999E-2"/>
    <n v="0"/>
    <x v="5"/>
    <x v="1"/>
    <n v="1.9089999999999999E-2"/>
  </r>
  <r>
    <s v="SYN2147"/>
    <n v="63"/>
    <x v="1"/>
    <n v="12"/>
    <n v="74"/>
    <n v="1.541E-2"/>
    <n v="0"/>
    <x v="5"/>
    <x v="2"/>
    <n v="1.541E-2"/>
  </r>
  <r>
    <s v="SYN2148"/>
    <n v="20"/>
    <x v="1"/>
    <n v="23"/>
    <n v="42"/>
    <n v="1.24E-3"/>
    <n v="0"/>
    <x v="3"/>
    <x v="1"/>
    <n v="1.24E-3"/>
  </r>
  <r>
    <s v="SYN2149"/>
    <n v="25"/>
    <x v="0"/>
    <n v="11"/>
    <n v="35"/>
    <n v="7.2999999999999996E-4"/>
    <n v="0"/>
    <x v="1"/>
    <x v="2"/>
    <n v="7.2999999999999996E-4"/>
  </r>
  <r>
    <s v="SYN2150"/>
    <n v="30"/>
    <x v="0"/>
    <n v="14"/>
    <n v="43"/>
    <n v="1.4E-3"/>
    <n v="0"/>
    <x v="3"/>
    <x v="2"/>
    <n v="1.4E-3"/>
  </r>
  <r>
    <s v="SYN2151"/>
    <n v="62"/>
    <x v="1"/>
    <n v="30"/>
    <n v="91"/>
    <n v="9.3240000000000003E-2"/>
    <n v="0"/>
    <x v="7"/>
    <x v="3"/>
    <n v="9.3240000000000003E-2"/>
  </r>
  <r>
    <s v="SYN2152"/>
    <n v="23"/>
    <x v="1"/>
    <n v="21"/>
    <n v="43"/>
    <n v="1.2800000000000001E-3"/>
    <n v="0"/>
    <x v="3"/>
    <x v="1"/>
    <n v="1.2800000000000001E-3"/>
  </r>
  <r>
    <s v="SYN2153"/>
    <n v="53"/>
    <x v="0"/>
    <n v="10"/>
    <n v="62"/>
    <n v="7.2700000000000004E-3"/>
    <n v="0"/>
    <x v="0"/>
    <x v="2"/>
    <n v="7.2700000000000004E-3"/>
  </r>
  <r>
    <s v="SYN2154"/>
    <n v="64"/>
    <x v="1"/>
    <n v="18"/>
    <n v="81"/>
    <n v="4.3799999999999999E-2"/>
    <n v="0"/>
    <x v="4"/>
    <x v="2"/>
    <n v="4.3799999999999999E-2"/>
  </r>
  <r>
    <s v="SYN2155"/>
    <n v="40"/>
    <x v="0"/>
    <n v="30"/>
    <n v="69"/>
    <n v="1.064E-2"/>
    <n v="0"/>
    <x v="0"/>
    <x v="3"/>
    <n v="1.064E-2"/>
  </r>
  <r>
    <s v="SYN2156"/>
    <n v="53"/>
    <x v="1"/>
    <n v="20"/>
    <n v="72"/>
    <n v="1.66E-2"/>
    <n v="0"/>
    <x v="5"/>
    <x v="1"/>
    <n v="1.66E-2"/>
  </r>
  <r>
    <s v="SYN2157"/>
    <n v="48"/>
    <x v="0"/>
    <n v="21"/>
    <n v="68"/>
    <n v="1.3950000000000001E-2"/>
    <n v="0"/>
    <x v="0"/>
    <x v="1"/>
    <n v="1.3950000000000001E-2"/>
  </r>
  <r>
    <s v="SYN2158"/>
    <n v="59"/>
    <x v="0"/>
    <n v="21"/>
    <n v="79"/>
    <n v="4.5769999999999998E-2"/>
    <n v="0"/>
    <x v="5"/>
    <x v="1"/>
    <n v="4.5769999999999998E-2"/>
  </r>
  <r>
    <s v="SYN2159"/>
    <n v="61"/>
    <x v="1"/>
    <n v="13"/>
    <n v="73"/>
    <n v="1.453E-2"/>
    <n v="0"/>
    <x v="5"/>
    <x v="2"/>
    <n v="1.453E-2"/>
  </r>
  <r>
    <s v="SYN2160"/>
    <n v="25"/>
    <x v="1"/>
    <n v="2"/>
    <n v="26"/>
    <n v="1.9000000000000001E-4"/>
    <n v="0"/>
    <x v="6"/>
    <x v="0"/>
    <n v="1.9000000000000001E-4"/>
  </r>
  <r>
    <s v="SYN2161"/>
    <n v="28"/>
    <x v="1"/>
    <n v="17"/>
    <n v="44"/>
    <n v="1.1800000000000001E-3"/>
    <n v="0"/>
    <x v="3"/>
    <x v="2"/>
    <n v="1.1800000000000001E-3"/>
  </r>
  <r>
    <s v="SYN2162"/>
    <n v="25"/>
    <x v="1"/>
    <n v="17"/>
    <n v="41"/>
    <n v="1.0399999999999999E-3"/>
    <n v="0"/>
    <x v="3"/>
    <x v="2"/>
    <n v="1.0399999999999999E-3"/>
  </r>
  <r>
    <s v="SYN2163"/>
    <n v="60"/>
    <x v="0"/>
    <n v="6"/>
    <n v="65"/>
    <n v="8.1399999999999997E-3"/>
    <n v="0"/>
    <x v="0"/>
    <x v="0"/>
    <n v="8.1399999999999997E-3"/>
  </r>
  <r>
    <s v="SYN2164"/>
    <n v="54"/>
    <x v="0"/>
    <n v="19"/>
    <n v="72"/>
    <n v="2.1139999999999999E-2"/>
    <n v="0"/>
    <x v="5"/>
    <x v="2"/>
    <n v="2.1139999999999999E-2"/>
  </r>
  <r>
    <s v="SYN2165"/>
    <n v="39"/>
    <x v="0"/>
    <n v="24"/>
    <n v="62"/>
    <n v="7.7600000000000004E-3"/>
    <n v="0"/>
    <x v="0"/>
    <x v="1"/>
    <n v="7.7600000000000004E-3"/>
  </r>
  <r>
    <s v="SYN2166"/>
    <n v="23"/>
    <x v="0"/>
    <n v="27"/>
    <n v="49"/>
    <n v="2.7399999999999998E-3"/>
    <n v="0"/>
    <x v="3"/>
    <x v="1"/>
    <n v="2.7399999999999998E-3"/>
  </r>
  <r>
    <s v="SYN2167"/>
    <n v="42"/>
    <x v="0"/>
    <n v="4"/>
    <n v="45"/>
    <n v="1.01E-3"/>
    <n v="0"/>
    <x v="3"/>
    <x v="0"/>
    <n v="1.01E-3"/>
  </r>
  <r>
    <s v="SYN2168"/>
    <n v="27"/>
    <x v="0"/>
    <n v="15"/>
    <n v="41"/>
    <n v="1.32E-3"/>
    <n v="0"/>
    <x v="3"/>
    <x v="2"/>
    <n v="1.32E-3"/>
  </r>
  <r>
    <s v="SYN2169"/>
    <n v="49"/>
    <x v="1"/>
    <n v="11"/>
    <n v="59"/>
    <n v="3.6099999999999999E-3"/>
    <n v="0"/>
    <x v="2"/>
    <x v="2"/>
    <n v="3.6099999999999999E-3"/>
  </r>
  <r>
    <s v="SYN2170"/>
    <n v="57"/>
    <x v="1"/>
    <n v="19"/>
    <n v="75"/>
    <n v="2.2349999999999998E-2"/>
    <n v="0"/>
    <x v="5"/>
    <x v="2"/>
    <n v="2.2349999999999998E-2"/>
  </r>
  <r>
    <s v="SYN2171"/>
    <n v="62"/>
    <x v="1"/>
    <n v="18"/>
    <n v="79"/>
    <n v="3.3279999999999997E-2"/>
    <n v="0"/>
    <x v="5"/>
    <x v="2"/>
    <n v="3.3279999999999997E-2"/>
  </r>
  <r>
    <s v="SYN2172"/>
    <n v="39"/>
    <x v="1"/>
    <n v="10"/>
    <n v="48"/>
    <n v="1.2899999999999999E-3"/>
    <n v="0"/>
    <x v="3"/>
    <x v="2"/>
    <n v="1.2899999999999999E-3"/>
  </r>
  <r>
    <s v="SYN2173"/>
    <n v="56"/>
    <x v="0"/>
    <n v="22"/>
    <n v="77"/>
    <n v="3.7039999999999997E-2"/>
    <n v="0"/>
    <x v="5"/>
    <x v="1"/>
    <n v="3.7039999999999997E-2"/>
  </r>
  <r>
    <s v="SYN2174"/>
    <n v="35"/>
    <x v="0"/>
    <n v="4"/>
    <n v="38"/>
    <n v="5.8E-4"/>
    <n v="0"/>
    <x v="1"/>
    <x v="0"/>
    <n v="5.8E-4"/>
  </r>
  <r>
    <s v="SYN2175"/>
    <n v="43"/>
    <x v="0"/>
    <n v="15"/>
    <n v="57"/>
    <n v="4.4299999999999999E-3"/>
    <n v="0"/>
    <x v="2"/>
    <x v="2"/>
    <n v="4.4299999999999999E-3"/>
  </r>
  <r>
    <s v="SYN2176"/>
    <n v="46"/>
    <x v="0"/>
    <n v="3"/>
    <n v="48"/>
    <n v="1.17E-3"/>
    <n v="0"/>
    <x v="3"/>
    <x v="0"/>
    <n v="1.17E-3"/>
  </r>
  <r>
    <s v="SYN2177"/>
    <n v="28"/>
    <x v="0"/>
    <n v="16"/>
    <n v="43"/>
    <n v="1.5399999999999999E-3"/>
    <n v="0"/>
    <x v="3"/>
    <x v="2"/>
    <n v="1.5399999999999999E-3"/>
  </r>
  <r>
    <s v="SYN2178"/>
    <n v="63"/>
    <x v="0"/>
    <n v="17"/>
    <n v="79"/>
    <n v="4.3999999999999997E-2"/>
    <n v="0"/>
    <x v="5"/>
    <x v="2"/>
    <n v="4.3999999999999997E-2"/>
  </r>
  <r>
    <s v="SYN2179"/>
    <n v="45"/>
    <x v="0"/>
    <n v="28"/>
    <n v="72"/>
    <n v="1.7160000000000002E-2"/>
    <n v="0"/>
    <x v="5"/>
    <x v="1"/>
    <n v="1.7160000000000002E-2"/>
  </r>
  <r>
    <s v="SYN2180"/>
    <n v="47"/>
    <x v="1"/>
    <n v="15"/>
    <n v="61"/>
    <n v="5.0800000000000003E-3"/>
    <n v="0"/>
    <x v="0"/>
    <x v="2"/>
    <n v="5.0800000000000003E-3"/>
  </r>
  <r>
    <s v="SYN2181"/>
    <n v="46"/>
    <x v="0"/>
    <n v="27"/>
    <n v="72"/>
    <n v="1.9089999999999999E-2"/>
    <n v="0"/>
    <x v="5"/>
    <x v="1"/>
    <n v="1.9089999999999999E-2"/>
  </r>
  <r>
    <s v="SYN2182"/>
    <n v="51"/>
    <x v="0"/>
    <n v="23"/>
    <n v="73"/>
    <n v="2.3939999999999999E-2"/>
    <n v="0"/>
    <x v="5"/>
    <x v="1"/>
    <n v="2.3939999999999999E-2"/>
  </r>
  <r>
    <s v="SYN2183"/>
    <n v="52"/>
    <x v="1"/>
    <n v="28"/>
    <n v="79"/>
    <n v="2.8719999999999999E-2"/>
    <n v="0"/>
    <x v="5"/>
    <x v="1"/>
    <n v="2.8719999999999999E-2"/>
  </r>
  <r>
    <s v="SYN2184"/>
    <n v="49"/>
    <x v="0"/>
    <n v="16"/>
    <n v="64"/>
    <n v="9.2800000000000001E-3"/>
    <n v="0"/>
    <x v="0"/>
    <x v="2"/>
    <n v="9.2800000000000001E-3"/>
  </r>
  <r>
    <s v="SYN2185"/>
    <n v="55"/>
    <x v="1"/>
    <n v="12"/>
    <n v="66"/>
    <n v="7.2700000000000004E-3"/>
    <n v="0"/>
    <x v="0"/>
    <x v="2"/>
    <n v="7.2700000000000004E-3"/>
  </r>
  <r>
    <s v="SYN2186"/>
    <n v="46"/>
    <x v="0"/>
    <n v="4"/>
    <n v="49"/>
    <n v="1.4400000000000001E-3"/>
    <n v="0"/>
    <x v="3"/>
    <x v="0"/>
    <n v="1.4400000000000001E-3"/>
  </r>
  <r>
    <s v="SYN2187"/>
    <n v="22"/>
    <x v="0"/>
    <n v="17"/>
    <n v="38"/>
    <n v="1.2099999999999999E-3"/>
    <n v="0"/>
    <x v="1"/>
    <x v="2"/>
    <n v="1.2099999999999999E-3"/>
  </r>
  <r>
    <s v="SYN2188"/>
    <n v="43"/>
    <x v="0"/>
    <n v="10"/>
    <n v="52"/>
    <n v="2.49E-3"/>
    <n v="0"/>
    <x v="2"/>
    <x v="2"/>
    <n v="2.49E-3"/>
  </r>
  <r>
    <s v="SYN2189"/>
    <n v="29"/>
    <x v="1"/>
    <n v="5"/>
    <n v="33"/>
    <n v="2.7E-4"/>
    <n v="0"/>
    <x v="1"/>
    <x v="0"/>
    <n v="2.7E-4"/>
  </r>
  <r>
    <s v="SYN2190"/>
    <n v="39"/>
    <x v="0"/>
    <n v="29"/>
    <n v="67"/>
    <n v="9.6200000000000001E-3"/>
    <n v="0"/>
    <x v="0"/>
    <x v="1"/>
    <n v="9.6200000000000001E-3"/>
  </r>
  <r>
    <s v="SYN2191"/>
    <n v="51"/>
    <x v="0"/>
    <n v="1"/>
    <n v="51"/>
    <n v="8.5999999999999998E-4"/>
    <n v="0"/>
    <x v="2"/>
    <x v="0"/>
    <n v="8.5999999999999998E-4"/>
  </r>
  <r>
    <s v="SYN2192"/>
    <n v="22"/>
    <x v="0"/>
    <n v="14"/>
    <n v="35"/>
    <n v="8.7000000000000001E-4"/>
    <n v="0"/>
    <x v="1"/>
    <x v="2"/>
    <n v="8.7000000000000001E-4"/>
  </r>
  <r>
    <s v="SYN2193"/>
    <n v="48"/>
    <x v="0"/>
    <n v="29"/>
    <n v="76"/>
    <n v="2.3939999999999999E-2"/>
    <n v="0"/>
    <x v="5"/>
    <x v="1"/>
    <n v="2.3939999999999999E-2"/>
  </r>
  <r>
    <s v="SYN2194"/>
    <n v="58"/>
    <x v="1"/>
    <n v="5"/>
    <n v="62"/>
    <n v="4.0299999999999997E-3"/>
    <n v="0"/>
    <x v="0"/>
    <x v="0"/>
    <n v="4.0299999999999997E-3"/>
  </r>
  <r>
    <s v="SYN2195"/>
    <n v="49"/>
    <x v="0"/>
    <n v="25"/>
    <n v="73"/>
    <n v="2.3939999999999999E-2"/>
    <n v="0"/>
    <x v="5"/>
    <x v="1"/>
    <n v="2.3939999999999999E-2"/>
  </r>
  <r>
    <s v="SYN2196"/>
    <n v="40"/>
    <x v="1"/>
    <n v="3"/>
    <n v="42"/>
    <n v="5.0000000000000001E-4"/>
    <n v="0"/>
    <x v="3"/>
    <x v="0"/>
    <n v="5.0000000000000001E-4"/>
  </r>
  <r>
    <s v="SYN2197"/>
    <n v="46"/>
    <x v="0"/>
    <n v="13"/>
    <n v="58"/>
    <n v="4.8399999999999997E-3"/>
    <n v="0"/>
    <x v="2"/>
    <x v="2"/>
    <n v="4.8399999999999997E-3"/>
  </r>
  <r>
    <s v="SYN2198"/>
    <n v="54"/>
    <x v="1"/>
    <n v="2"/>
    <n v="55"/>
    <n v="1.2199999999999999E-3"/>
    <n v="0"/>
    <x v="2"/>
    <x v="0"/>
    <n v="1.2199999999999999E-3"/>
  </r>
  <r>
    <s v="SYN2199"/>
    <n v="37"/>
    <x v="0"/>
    <n v="21"/>
    <n v="57"/>
    <n v="4.7800000000000004E-3"/>
    <n v="0"/>
    <x v="2"/>
    <x v="1"/>
    <n v="4.7800000000000004E-3"/>
  </r>
  <r>
    <s v="SYN2200"/>
    <n v="21"/>
    <x v="1"/>
    <n v="19"/>
    <n v="39"/>
    <n v="1.06E-3"/>
    <n v="0"/>
    <x v="1"/>
    <x v="2"/>
    <n v="1.06E-3"/>
  </r>
  <r>
    <s v="SYN2201"/>
    <n v="39"/>
    <x v="1"/>
    <n v="18"/>
    <n v="56"/>
    <n v="3.1800000000000001E-3"/>
    <n v="0"/>
    <x v="2"/>
    <x v="2"/>
    <n v="3.1800000000000001E-3"/>
  </r>
  <r>
    <s v="SYN2202"/>
    <n v="25"/>
    <x v="1"/>
    <n v="7"/>
    <n v="31"/>
    <n v="3.2000000000000003E-4"/>
    <n v="0"/>
    <x v="1"/>
    <x v="0"/>
    <n v="3.2000000000000003E-4"/>
  </r>
  <r>
    <s v="SYN2203"/>
    <n v="23"/>
    <x v="1"/>
    <n v="19"/>
    <n v="41"/>
    <n v="1.14E-3"/>
    <n v="0"/>
    <x v="3"/>
    <x v="2"/>
    <n v="1.14E-3"/>
  </r>
  <r>
    <s v="SYN2204"/>
    <n v="52"/>
    <x v="0"/>
    <n v="29"/>
    <n v="80"/>
    <n v="3.7220000000000003E-2"/>
    <n v="0"/>
    <x v="4"/>
    <x v="1"/>
    <n v="3.7220000000000003E-2"/>
  </r>
  <r>
    <s v="SYN2205"/>
    <n v="54"/>
    <x v="1"/>
    <n v="6"/>
    <n v="59"/>
    <n v="3.0400000000000002E-3"/>
    <n v="0"/>
    <x v="2"/>
    <x v="0"/>
    <n v="3.0400000000000002E-3"/>
  </r>
  <r>
    <s v="SYN2206"/>
    <n v="33"/>
    <x v="1"/>
    <n v="8"/>
    <n v="40"/>
    <n v="6.6E-4"/>
    <n v="0"/>
    <x v="3"/>
    <x v="0"/>
    <n v="6.6E-4"/>
  </r>
  <r>
    <s v="SYN2207"/>
    <n v="57"/>
    <x v="0"/>
    <n v="15"/>
    <n v="71"/>
    <n v="1.8769999999999998E-2"/>
    <n v="0"/>
    <x v="5"/>
    <x v="2"/>
    <n v="1.8769999999999998E-2"/>
  </r>
  <r>
    <s v="SYN2208"/>
    <n v="40"/>
    <x v="1"/>
    <n v="13"/>
    <n v="52"/>
    <n v="2.0699999999999998E-3"/>
    <n v="0"/>
    <x v="2"/>
    <x v="2"/>
    <n v="2.0699999999999998E-3"/>
  </r>
  <r>
    <s v="SYN2209"/>
    <n v="21"/>
    <x v="0"/>
    <n v="11"/>
    <n v="31"/>
    <n v="6.8000000000000005E-4"/>
    <n v="0"/>
    <x v="1"/>
    <x v="2"/>
    <n v="6.8000000000000005E-4"/>
  </r>
  <r>
    <s v="SYN2210"/>
    <n v="53"/>
    <x v="0"/>
    <n v="11"/>
    <n v="63"/>
    <n v="8.0300000000000007E-3"/>
    <n v="0"/>
    <x v="0"/>
    <x v="2"/>
    <n v="8.0300000000000007E-3"/>
  </r>
  <r>
    <s v="SYN2211"/>
    <n v="26"/>
    <x v="0"/>
    <n v="18"/>
    <n v="43"/>
    <n v="1.7099999999999999E-3"/>
    <n v="0"/>
    <x v="3"/>
    <x v="2"/>
    <n v="1.7099999999999999E-3"/>
  </r>
  <r>
    <s v="SYN2212"/>
    <n v="36"/>
    <x v="0"/>
    <n v="25"/>
    <n v="60"/>
    <n v="6.3299999999999997E-3"/>
    <n v="0"/>
    <x v="0"/>
    <x v="1"/>
    <n v="6.3299999999999997E-3"/>
  </r>
  <r>
    <s v="SYN2213"/>
    <n v="46"/>
    <x v="0"/>
    <n v="22"/>
    <n v="67"/>
    <n v="1.2710000000000001E-2"/>
    <n v="0"/>
    <x v="0"/>
    <x v="1"/>
    <n v="1.2710000000000001E-2"/>
  </r>
  <r>
    <s v="SYN2214"/>
    <n v="40"/>
    <x v="0"/>
    <n v="6"/>
    <n v="45"/>
    <n v="1.1199999999999999E-3"/>
    <n v="0"/>
    <x v="3"/>
    <x v="0"/>
    <n v="1.1199999999999999E-3"/>
  </r>
  <r>
    <s v="SYN2215"/>
    <n v="44"/>
    <x v="0"/>
    <n v="4"/>
    <n v="47"/>
    <n v="1.1999999999999999E-3"/>
    <n v="0"/>
    <x v="3"/>
    <x v="0"/>
    <n v="1.1999999999999999E-3"/>
  </r>
  <r>
    <s v="SYN2216"/>
    <n v="40"/>
    <x v="0"/>
    <n v="9"/>
    <n v="48"/>
    <n v="1.65E-3"/>
    <n v="0"/>
    <x v="3"/>
    <x v="0"/>
    <n v="1.65E-3"/>
  </r>
  <r>
    <s v="SYN2217"/>
    <n v="27"/>
    <x v="0"/>
    <n v="2"/>
    <n v="28"/>
    <n v="3.4000000000000002E-4"/>
    <n v="0"/>
    <x v="6"/>
    <x v="0"/>
    <n v="3.4000000000000002E-4"/>
  </r>
  <r>
    <s v="SYN2218"/>
    <n v="57"/>
    <x v="0"/>
    <n v="8"/>
    <n v="64"/>
    <n v="8.4600000000000005E-3"/>
    <n v="0"/>
    <x v="0"/>
    <x v="0"/>
    <n v="8.4600000000000005E-3"/>
  </r>
  <r>
    <s v="SYN2219"/>
    <n v="44"/>
    <x v="0"/>
    <n v="4"/>
    <n v="47"/>
    <n v="1.1999999999999999E-3"/>
    <n v="0"/>
    <x v="3"/>
    <x v="0"/>
    <n v="1.1999999999999999E-3"/>
  </r>
  <r>
    <s v="SYN2220"/>
    <n v="55"/>
    <x v="0"/>
    <n v="14"/>
    <n v="68"/>
    <n v="1.3690000000000001E-2"/>
    <n v="0"/>
    <x v="0"/>
    <x v="2"/>
    <n v="1.3690000000000001E-2"/>
  </r>
  <r>
    <s v="SYN2221"/>
    <n v="60"/>
    <x v="1"/>
    <n v="8"/>
    <n v="67"/>
    <n v="6.8100000000000001E-3"/>
    <n v="0"/>
    <x v="0"/>
    <x v="0"/>
    <n v="6.8100000000000001E-3"/>
  </r>
  <r>
    <s v="SYN2222"/>
    <n v="55"/>
    <x v="1"/>
    <n v="19"/>
    <n v="73"/>
    <n v="1.8159999999999999E-2"/>
    <n v="0"/>
    <x v="5"/>
    <x v="2"/>
    <n v="1.8159999999999999E-2"/>
  </r>
  <r>
    <s v="SYN2223"/>
    <n v="55"/>
    <x v="1"/>
    <n v="21"/>
    <n v="75"/>
    <n v="2.325E-2"/>
    <n v="0"/>
    <x v="5"/>
    <x v="1"/>
    <n v="2.325E-2"/>
  </r>
  <r>
    <s v="SYN2224"/>
    <n v="46"/>
    <x v="0"/>
    <n v="15"/>
    <n v="60"/>
    <n v="6.11E-3"/>
    <n v="0"/>
    <x v="0"/>
    <x v="2"/>
    <n v="6.11E-3"/>
  </r>
  <r>
    <s v="SYN2225"/>
    <n v="33"/>
    <x v="1"/>
    <n v="26"/>
    <n v="58"/>
    <n v="4.0499999999999998E-3"/>
    <n v="0"/>
    <x v="2"/>
    <x v="1"/>
    <n v="4.0499999999999998E-3"/>
  </r>
  <r>
    <s v="SYN2226"/>
    <n v="30"/>
    <x v="0"/>
    <n v="26"/>
    <n v="55"/>
    <n v="4.0499999999999998E-3"/>
    <n v="0"/>
    <x v="2"/>
    <x v="1"/>
    <n v="4.0499999999999998E-3"/>
  </r>
  <r>
    <s v="SYN2227"/>
    <n v="55"/>
    <x v="0"/>
    <n v="15"/>
    <n v="69"/>
    <n v="1.5049999999999999E-2"/>
    <n v="0"/>
    <x v="0"/>
    <x v="2"/>
    <n v="1.5049999999999999E-2"/>
  </r>
  <r>
    <s v="SYN2228"/>
    <n v="59"/>
    <x v="1"/>
    <n v="10"/>
    <n v="68"/>
    <n v="7.77E-3"/>
    <n v="0"/>
    <x v="0"/>
    <x v="2"/>
    <n v="7.77E-3"/>
  </r>
  <r>
    <s v="SYN2229"/>
    <n v="23"/>
    <x v="1"/>
    <n v="30"/>
    <n v="52"/>
    <n v="1.73E-3"/>
    <n v="0"/>
    <x v="2"/>
    <x v="3"/>
    <n v="1.73E-3"/>
  </r>
  <r>
    <s v="SYN2230"/>
    <n v="36"/>
    <x v="1"/>
    <n v="27"/>
    <n v="62"/>
    <n v="5.4599999999999996E-3"/>
    <n v="0"/>
    <x v="0"/>
    <x v="1"/>
    <n v="5.4599999999999996E-3"/>
  </r>
  <r>
    <s v="SYN2231"/>
    <n v="60"/>
    <x v="1"/>
    <n v="7"/>
    <n v="66"/>
    <n v="6.2199999999999998E-3"/>
    <n v="0"/>
    <x v="0"/>
    <x v="0"/>
    <n v="6.2199999999999998E-3"/>
  </r>
  <r>
    <s v="SYN2232"/>
    <n v="22"/>
    <x v="1"/>
    <n v="6"/>
    <n v="27"/>
    <n v="2.7E-4"/>
    <n v="0"/>
    <x v="6"/>
    <x v="0"/>
    <n v="2.7E-4"/>
  </r>
  <r>
    <s v="SYN2233"/>
    <n v="39"/>
    <x v="0"/>
    <n v="3"/>
    <n v="41"/>
    <n v="6.8999999999999997E-4"/>
    <n v="0"/>
    <x v="3"/>
    <x v="0"/>
    <n v="6.8999999999999997E-4"/>
  </r>
  <r>
    <s v="SYN2234"/>
    <n v="28"/>
    <x v="1"/>
    <n v="24"/>
    <n v="51"/>
    <n v="2.1900000000000001E-3"/>
    <n v="0"/>
    <x v="2"/>
    <x v="1"/>
    <n v="2.1900000000000001E-3"/>
  </r>
  <r>
    <s v="SYN2235"/>
    <n v="47"/>
    <x v="1"/>
    <n v="7"/>
    <n v="53"/>
    <n v="1.75E-3"/>
    <n v="0"/>
    <x v="2"/>
    <x v="0"/>
    <n v="1.75E-3"/>
  </r>
  <r>
    <s v="SYN2236"/>
    <n v="40"/>
    <x v="1"/>
    <n v="29"/>
    <n v="68"/>
    <n v="8.3099999999999997E-3"/>
    <n v="0"/>
    <x v="0"/>
    <x v="1"/>
    <n v="8.3099999999999997E-3"/>
  </r>
  <r>
    <s v="SYN2237"/>
    <n v="36"/>
    <x v="1"/>
    <n v="25"/>
    <n v="60"/>
    <n v="4.9300000000000004E-3"/>
    <n v="0"/>
    <x v="0"/>
    <x v="1"/>
    <n v="4.9300000000000004E-3"/>
  </r>
  <r>
    <s v="SYN2238"/>
    <n v="62"/>
    <x v="0"/>
    <n v="11"/>
    <n v="72"/>
    <n v="1.847E-2"/>
    <n v="0"/>
    <x v="5"/>
    <x v="2"/>
    <n v="1.847E-2"/>
  </r>
  <r>
    <s v="SYN2239"/>
    <n v="58"/>
    <x v="0"/>
    <n v="11"/>
    <n v="68"/>
    <n v="1.3270000000000001E-2"/>
    <n v="0"/>
    <x v="0"/>
    <x v="2"/>
    <n v="1.3270000000000001E-2"/>
  </r>
  <r>
    <s v="SYN2240"/>
    <n v="61"/>
    <x v="0"/>
    <n v="30"/>
    <n v="90"/>
    <n v="0.10347000000000001"/>
    <n v="0"/>
    <x v="7"/>
    <x v="3"/>
    <n v="0.10347000000000001"/>
  </r>
  <r>
    <s v="SYN2241"/>
    <n v="20"/>
    <x v="0"/>
    <n v="22"/>
    <n v="41"/>
    <n v="1.92E-3"/>
    <n v="0"/>
    <x v="3"/>
    <x v="1"/>
    <n v="1.92E-3"/>
  </r>
  <r>
    <s v="SYN2242"/>
    <n v="64"/>
    <x v="0"/>
    <n v="23"/>
    <n v="86"/>
    <n v="0.10346"/>
    <n v="0"/>
    <x v="4"/>
    <x v="1"/>
    <n v="0.10346"/>
  </r>
  <r>
    <s v="SYN2243"/>
    <n v="25"/>
    <x v="1"/>
    <n v="26"/>
    <n v="50"/>
    <n v="2.0200000000000001E-3"/>
    <n v="0"/>
    <x v="2"/>
    <x v="1"/>
    <n v="2.0200000000000001E-3"/>
  </r>
  <r>
    <s v="SYN2244"/>
    <n v="54"/>
    <x v="1"/>
    <n v="1"/>
    <n v="54"/>
    <n v="5.1000000000000004E-4"/>
    <n v="0"/>
    <x v="2"/>
    <x v="0"/>
    <n v="5.1000000000000004E-4"/>
  </r>
  <r>
    <s v="SYN2245"/>
    <n v="48"/>
    <x v="0"/>
    <n v="22"/>
    <n v="69"/>
    <n v="1.5509999999999999E-2"/>
    <n v="0"/>
    <x v="0"/>
    <x v="1"/>
    <n v="1.5509999999999999E-2"/>
  </r>
  <r>
    <s v="SYN2246"/>
    <n v="44"/>
    <x v="1"/>
    <n v="27"/>
    <n v="70"/>
    <n v="1.2659999999999999E-2"/>
    <n v="0"/>
    <x v="5"/>
    <x v="1"/>
    <n v="1.2659999999999999E-2"/>
  </r>
  <r>
    <s v="SYN2247"/>
    <n v="64"/>
    <x v="0"/>
    <n v="1"/>
    <n v="64"/>
    <n v="2.66E-3"/>
    <n v="0"/>
    <x v="0"/>
    <x v="0"/>
    <n v="2.66E-3"/>
  </r>
  <r>
    <s v="SYN2248"/>
    <n v="32"/>
    <x v="0"/>
    <n v="15"/>
    <n v="46"/>
    <n v="1.6999999999999999E-3"/>
    <n v="0"/>
    <x v="3"/>
    <x v="2"/>
    <n v="1.6999999999999999E-3"/>
  </r>
  <r>
    <s v="SYN2249"/>
    <n v="37"/>
    <x v="1"/>
    <n v="22"/>
    <n v="58"/>
    <n v="4.0499999999999998E-3"/>
    <n v="0"/>
    <x v="2"/>
    <x v="1"/>
    <n v="4.0499999999999998E-3"/>
  </r>
  <r>
    <s v="SYN2250"/>
    <n v="25"/>
    <x v="1"/>
    <n v="27"/>
    <n v="51"/>
    <n v="2.0200000000000001E-3"/>
    <n v="0"/>
    <x v="2"/>
    <x v="1"/>
    <n v="2.0200000000000001E-3"/>
  </r>
  <r>
    <s v="SYN2251"/>
    <n v="65"/>
    <x v="0"/>
    <n v="8"/>
    <n v="72"/>
    <n v="1.4579999999999999E-2"/>
    <n v="0"/>
    <x v="5"/>
    <x v="0"/>
    <n v="1.4579999999999999E-2"/>
  </r>
  <r>
    <s v="SYN2252"/>
    <n v="43"/>
    <x v="0"/>
    <n v="2"/>
    <n v="44"/>
    <n v="7.2000000000000005E-4"/>
    <n v="0"/>
    <x v="3"/>
    <x v="0"/>
    <n v="7.2000000000000005E-4"/>
  </r>
  <r>
    <s v="SYN2253"/>
    <n v="65"/>
    <x v="0"/>
    <n v="20"/>
    <n v="84"/>
    <n v="8.0589999999999995E-2"/>
    <n v="0"/>
    <x v="4"/>
    <x v="1"/>
    <n v="8.0589999999999995E-2"/>
  </r>
  <r>
    <s v="SYN2254"/>
    <n v="60"/>
    <x v="0"/>
    <n v="13"/>
    <n v="72"/>
    <n v="2.0410000000000001E-2"/>
    <n v="0"/>
    <x v="5"/>
    <x v="2"/>
    <n v="2.0410000000000001E-2"/>
  </r>
  <r>
    <s v="SYN2255"/>
    <n v="52"/>
    <x v="0"/>
    <n v="16"/>
    <n v="67"/>
    <n v="1.2460000000000001E-2"/>
    <n v="0"/>
    <x v="0"/>
    <x v="2"/>
    <n v="1.2460000000000001E-2"/>
  </r>
  <r>
    <s v="SYN2256"/>
    <n v="56"/>
    <x v="1"/>
    <n v="22"/>
    <n v="77"/>
    <n v="2.8719999999999999E-2"/>
    <n v="0"/>
    <x v="5"/>
    <x v="1"/>
    <n v="2.8719999999999999E-2"/>
  </r>
  <r>
    <s v="SYN2257"/>
    <n v="24"/>
    <x v="0"/>
    <n v="19"/>
    <n v="42"/>
    <n v="1.72E-3"/>
    <n v="0"/>
    <x v="3"/>
    <x v="2"/>
    <n v="1.72E-3"/>
  </r>
  <r>
    <s v="SYN2258"/>
    <n v="36"/>
    <x v="1"/>
    <n v="30"/>
    <n v="65"/>
    <n v="5.4599999999999996E-3"/>
    <n v="0"/>
    <x v="0"/>
    <x v="3"/>
    <n v="5.4599999999999996E-3"/>
  </r>
  <r>
    <s v="SYN2259"/>
    <n v="53"/>
    <x v="1"/>
    <n v="24"/>
    <n v="76"/>
    <n v="2.58E-2"/>
    <n v="0"/>
    <x v="5"/>
    <x v="1"/>
    <n v="2.58E-2"/>
  </r>
  <r>
    <s v="SYN2260"/>
    <n v="63"/>
    <x v="1"/>
    <n v="1"/>
    <n v="63"/>
    <n v="1.1000000000000001E-3"/>
    <n v="0"/>
    <x v="0"/>
    <x v="0"/>
    <n v="1.1000000000000001E-3"/>
  </r>
  <r>
    <s v="SYN2261"/>
    <n v="54"/>
    <x v="0"/>
    <n v="20"/>
    <n v="73"/>
    <n v="2.3859999999999999E-2"/>
    <n v="0"/>
    <x v="5"/>
    <x v="1"/>
    <n v="2.3859999999999999E-2"/>
  </r>
  <r>
    <s v="SYN2262"/>
    <n v="49"/>
    <x v="1"/>
    <n v="1"/>
    <n v="49"/>
    <n v="4.0000000000000002E-4"/>
    <n v="0"/>
    <x v="3"/>
    <x v="0"/>
    <n v="4.0000000000000002E-4"/>
  </r>
  <r>
    <s v="SYN2263"/>
    <n v="61"/>
    <x v="1"/>
    <n v="2"/>
    <n v="62"/>
    <n v="1.6800000000000001E-3"/>
    <n v="0"/>
    <x v="0"/>
    <x v="0"/>
    <n v="1.6800000000000001E-3"/>
  </r>
  <r>
    <s v="SYN2264"/>
    <n v="46"/>
    <x v="0"/>
    <n v="9"/>
    <n v="54"/>
    <n v="2.8900000000000002E-3"/>
    <n v="0"/>
    <x v="2"/>
    <x v="0"/>
    <n v="2.8900000000000002E-3"/>
  </r>
  <r>
    <s v="SYN2265"/>
    <n v="51"/>
    <x v="1"/>
    <n v="12"/>
    <n v="62"/>
    <n v="5.0499999999999998E-3"/>
    <n v="0"/>
    <x v="0"/>
    <x v="2"/>
    <n v="5.0499999999999998E-3"/>
  </r>
  <r>
    <s v="SYN2266"/>
    <n v="34"/>
    <x v="0"/>
    <n v="2"/>
    <n v="35"/>
    <n v="3.3E-4"/>
    <n v="0"/>
    <x v="1"/>
    <x v="0"/>
    <n v="3.3E-4"/>
  </r>
  <r>
    <s v="SYN2267"/>
    <n v="48"/>
    <x v="0"/>
    <n v="11"/>
    <n v="58"/>
    <n v="4.7600000000000003E-3"/>
    <n v="0"/>
    <x v="2"/>
    <x v="2"/>
    <n v="4.7600000000000003E-3"/>
  </r>
  <r>
    <s v="SYN2268"/>
    <n v="25"/>
    <x v="1"/>
    <n v="29"/>
    <n v="53"/>
    <n v="2.0200000000000001E-3"/>
    <n v="0"/>
    <x v="2"/>
    <x v="1"/>
    <n v="2.0200000000000001E-3"/>
  </r>
  <r>
    <s v="SYN2269"/>
    <n v="34"/>
    <x v="0"/>
    <n v="23"/>
    <n v="56"/>
    <n v="4.3899999999999998E-3"/>
    <n v="0"/>
    <x v="2"/>
    <x v="1"/>
    <n v="4.3899999999999998E-3"/>
  </r>
  <r>
    <s v="SYN2270"/>
    <n v="35"/>
    <x v="0"/>
    <n v="7"/>
    <n v="41"/>
    <n v="8.5999999999999998E-4"/>
    <n v="0"/>
    <x v="3"/>
    <x v="0"/>
    <n v="8.5999999999999998E-4"/>
  </r>
  <r>
    <s v="SYN2271"/>
    <n v="60"/>
    <x v="0"/>
    <n v="21"/>
    <n v="80"/>
    <n v="5.0909999999999997E-2"/>
    <n v="0"/>
    <x v="4"/>
    <x v="1"/>
    <n v="5.0909999999999997E-2"/>
  </r>
  <r>
    <s v="SYN2272"/>
    <n v="21"/>
    <x v="1"/>
    <n v="19"/>
    <n v="39"/>
    <n v="1.06E-3"/>
    <n v="0"/>
    <x v="1"/>
    <x v="2"/>
    <n v="1.06E-3"/>
  </r>
  <r>
    <s v="SYN2273"/>
    <n v="36"/>
    <x v="0"/>
    <n v="8"/>
    <n v="43"/>
    <n v="1.1000000000000001E-3"/>
    <n v="0"/>
    <x v="3"/>
    <x v="0"/>
    <n v="1.1000000000000001E-3"/>
  </r>
  <r>
    <s v="SYN2274"/>
    <n v="41"/>
    <x v="0"/>
    <n v="27"/>
    <n v="67"/>
    <n v="1.1730000000000001E-2"/>
    <n v="0"/>
    <x v="0"/>
    <x v="1"/>
    <n v="1.1730000000000001E-2"/>
  </r>
  <r>
    <s v="SYN2275"/>
    <n v="35"/>
    <x v="1"/>
    <n v="3"/>
    <n v="37"/>
    <n v="3.5E-4"/>
    <n v="0"/>
    <x v="1"/>
    <x v="0"/>
    <n v="3.5E-4"/>
  </r>
  <r>
    <s v="SYN2276"/>
    <n v="26"/>
    <x v="0"/>
    <n v="21"/>
    <n v="46"/>
    <n v="2.0100000000000001E-3"/>
    <n v="0"/>
    <x v="3"/>
    <x v="1"/>
    <n v="2.0100000000000001E-3"/>
  </r>
  <r>
    <s v="SYN2277"/>
    <n v="23"/>
    <x v="0"/>
    <n v="30"/>
    <n v="52"/>
    <n v="2.7399999999999998E-3"/>
    <n v="0"/>
    <x v="2"/>
    <x v="3"/>
    <n v="2.7399999999999998E-3"/>
  </r>
  <r>
    <s v="SYN2278"/>
    <n v="64"/>
    <x v="1"/>
    <n v="3"/>
    <n v="66"/>
    <n v="4.2300000000000003E-3"/>
    <n v="0"/>
    <x v="0"/>
    <x v="0"/>
    <n v="4.2300000000000003E-3"/>
  </r>
  <r>
    <s v="SYN2279"/>
    <n v="48"/>
    <x v="0"/>
    <n v="2"/>
    <n v="49"/>
    <n v="1E-3"/>
    <n v="0"/>
    <x v="3"/>
    <x v="0"/>
    <n v="1E-3"/>
  </r>
  <r>
    <s v="SYN2280"/>
    <n v="24"/>
    <x v="1"/>
    <n v="4"/>
    <n v="27"/>
    <n v="2.2000000000000001E-4"/>
    <n v="0"/>
    <x v="6"/>
    <x v="0"/>
    <n v="2.2000000000000001E-4"/>
  </r>
  <r>
    <s v="SYN2281"/>
    <n v="38"/>
    <x v="0"/>
    <n v="28"/>
    <n v="65"/>
    <n v="8.6599999999999993E-3"/>
    <n v="0"/>
    <x v="0"/>
    <x v="1"/>
    <n v="8.6599999999999993E-3"/>
  </r>
  <r>
    <s v="SYN2282"/>
    <n v="46"/>
    <x v="1"/>
    <n v="8"/>
    <n v="53"/>
    <n v="1.8500000000000001E-3"/>
    <n v="0"/>
    <x v="2"/>
    <x v="0"/>
    <n v="1.8500000000000001E-3"/>
  </r>
  <r>
    <s v="SYN2283"/>
    <n v="59"/>
    <x v="0"/>
    <n v="1"/>
    <n v="59"/>
    <n v="1.81E-3"/>
    <n v="0"/>
    <x v="2"/>
    <x v="0"/>
    <n v="1.81E-3"/>
  </r>
  <r>
    <s v="SYN2284"/>
    <n v="47"/>
    <x v="1"/>
    <n v="29"/>
    <n v="75"/>
    <n v="1.7170000000000001E-2"/>
    <n v="0"/>
    <x v="5"/>
    <x v="1"/>
    <n v="1.7170000000000001E-2"/>
  </r>
  <r>
    <s v="SYN2285"/>
    <n v="61"/>
    <x v="1"/>
    <n v="22"/>
    <n v="82"/>
    <n v="5.0599999999999999E-2"/>
    <n v="0"/>
    <x v="4"/>
    <x v="1"/>
    <n v="5.0599999999999999E-2"/>
  </r>
  <r>
    <s v="SYN2286"/>
    <n v="41"/>
    <x v="0"/>
    <n v="19"/>
    <n v="59"/>
    <n v="5.7400000000000003E-3"/>
    <n v="0"/>
    <x v="2"/>
    <x v="2"/>
    <n v="5.7400000000000003E-3"/>
  </r>
  <r>
    <s v="SYN2287"/>
    <n v="58"/>
    <x v="0"/>
    <n v="23"/>
    <n v="80"/>
    <n v="5.0909999999999997E-2"/>
    <n v="0"/>
    <x v="4"/>
    <x v="1"/>
    <n v="5.0909999999999997E-2"/>
  </r>
  <r>
    <s v="SYN2288"/>
    <n v="32"/>
    <x v="1"/>
    <n v="29"/>
    <n v="60"/>
    <n v="3.6900000000000001E-3"/>
    <n v="0"/>
    <x v="0"/>
    <x v="1"/>
    <n v="3.6900000000000001E-3"/>
  </r>
  <r>
    <s v="SYN2289"/>
    <n v="36"/>
    <x v="0"/>
    <n v="12"/>
    <n v="47"/>
    <n v="1.6299999999999999E-3"/>
    <n v="0"/>
    <x v="3"/>
    <x v="2"/>
    <n v="1.6299999999999999E-3"/>
  </r>
  <r>
    <s v="SYN2290"/>
    <n v="48"/>
    <x v="0"/>
    <n v="6"/>
    <n v="53"/>
    <n v="2.4199999999999998E-3"/>
    <n v="0"/>
    <x v="2"/>
    <x v="0"/>
    <n v="2.4199999999999998E-3"/>
  </r>
  <r>
    <s v="SYN2291"/>
    <n v="23"/>
    <x v="0"/>
    <n v="5"/>
    <n v="27"/>
    <n v="5.1999999999999995E-4"/>
    <n v="0"/>
    <x v="6"/>
    <x v="0"/>
    <n v="5.1999999999999995E-4"/>
  </r>
  <r>
    <s v="SYN2292"/>
    <n v="61"/>
    <x v="0"/>
    <n v="25"/>
    <n v="85"/>
    <n v="9.1270000000000004E-2"/>
    <n v="0"/>
    <x v="4"/>
    <x v="1"/>
    <n v="9.1270000000000004E-2"/>
  </r>
  <r>
    <s v="SYN2293"/>
    <n v="54"/>
    <x v="0"/>
    <n v="25"/>
    <n v="78"/>
    <n v="4.1189999999999997E-2"/>
    <n v="0"/>
    <x v="5"/>
    <x v="1"/>
    <n v="4.1189999999999997E-2"/>
  </r>
  <r>
    <s v="SYN2294"/>
    <n v="58"/>
    <x v="0"/>
    <n v="11"/>
    <n v="68"/>
    <n v="1.3270000000000001E-2"/>
    <n v="0"/>
    <x v="0"/>
    <x v="2"/>
    <n v="1.3270000000000001E-2"/>
  </r>
  <r>
    <s v="SYN2295"/>
    <n v="53"/>
    <x v="1"/>
    <n v="19"/>
    <n v="71"/>
    <n v="1.47E-2"/>
    <n v="0"/>
    <x v="5"/>
    <x v="2"/>
    <n v="1.47E-2"/>
  </r>
  <r>
    <s v="SYN2296"/>
    <n v="35"/>
    <x v="1"/>
    <n v="17"/>
    <n v="51"/>
    <n v="1.9599999999999999E-3"/>
    <n v="0"/>
    <x v="2"/>
    <x v="2"/>
    <n v="1.9599999999999999E-3"/>
  </r>
  <r>
    <s v="SYN2297"/>
    <n v="23"/>
    <x v="0"/>
    <n v="14"/>
    <n v="36"/>
    <n v="9.1E-4"/>
    <n v="0"/>
    <x v="1"/>
    <x v="2"/>
    <n v="9.1E-4"/>
  </r>
  <r>
    <s v="SYN2298"/>
    <n v="60"/>
    <x v="0"/>
    <n v="30"/>
    <n v="89"/>
    <n v="9.1270000000000004E-2"/>
    <n v="1"/>
    <x v="4"/>
    <x v="3"/>
    <n v="9.1270000000000004E-2"/>
  </r>
  <r>
    <s v="SYN2299"/>
    <n v="32"/>
    <x v="0"/>
    <n v="22"/>
    <n v="53"/>
    <n v="3.32E-3"/>
    <n v="0"/>
    <x v="2"/>
    <x v="1"/>
    <n v="3.32E-3"/>
  </r>
  <r>
    <s v="SYN2300"/>
    <n v="49"/>
    <x v="1"/>
    <n v="20"/>
    <n v="68"/>
    <n v="1.125E-2"/>
    <n v="0"/>
    <x v="0"/>
    <x v="1"/>
    <n v="1.125E-2"/>
  </r>
  <r>
    <s v="SYN2301"/>
    <n v="56"/>
    <x v="1"/>
    <n v="11"/>
    <n v="66"/>
    <n v="6.96E-3"/>
    <n v="0"/>
    <x v="0"/>
    <x v="2"/>
    <n v="6.96E-3"/>
  </r>
  <r>
    <s v="SYN2302"/>
    <n v="30"/>
    <x v="0"/>
    <n v="4"/>
    <n v="33"/>
    <n v="4.2999999999999999E-4"/>
    <n v="0"/>
    <x v="1"/>
    <x v="0"/>
    <n v="4.2999999999999999E-4"/>
  </r>
  <r>
    <s v="SYN2303"/>
    <n v="22"/>
    <x v="0"/>
    <n v="16"/>
    <n v="37"/>
    <n v="1.0399999999999999E-3"/>
    <n v="0"/>
    <x v="1"/>
    <x v="2"/>
    <n v="1.0399999999999999E-3"/>
  </r>
  <r>
    <s v="SYN2304"/>
    <n v="34"/>
    <x v="0"/>
    <n v="23"/>
    <n v="56"/>
    <n v="4.3899999999999998E-3"/>
    <n v="0"/>
    <x v="2"/>
    <x v="1"/>
    <n v="4.3899999999999998E-3"/>
  </r>
  <r>
    <s v="SYN2305"/>
    <n v="35"/>
    <x v="1"/>
    <n v="16"/>
    <n v="50"/>
    <n v="1.7799999999999999E-3"/>
    <n v="0"/>
    <x v="2"/>
    <x v="2"/>
    <n v="1.7799999999999999E-3"/>
  </r>
  <r>
    <s v="SYN2306"/>
    <n v="41"/>
    <x v="1"/>
    <n v="26"/>
    <n v="66"/>
    <n v="9.2399999999999999E-3"/>
    <n v="0"/>
    <x v="0"/>
    <x v="1"/>
    <n v="9.2399999999999999E-3"/>
  </r>
  <r>
    <s v="SYN2307"/>
    <n v="31"/>
    <x v="1"/>
    <n v="27"/>
    <n v="57"/>
    <n v="3.3700000000000002E-3"/>
    <n v="0"/>
    <x v="2"/>
    <x v="1"/>
    <n v="3.3700000000000002E-3"/>
  </r>
  <r>
    <s v="SYN2308"/>
    <n v="24"/>
    <x v="0"/>
    <n v="12"/>
    <n v="35"/>
    <n v="7.6999999999999996E-4"/>
    <n v="0"/>
    <x v="1"/>
    <x v="2"/>
    <n v="7.6999999999999996E-4"/>
  </r>
  <r>
    <s v="SYN2309"/>
    <n v="38"/>
    <x v="0"/>
    <n v="15"/>
    <n v="52"/>
    <n v="2.7100000000000002E-3"/>
    <n v="0"/>
    <x v="2"/>
    <x v="2"/>
    <n v="2.7100000000000002E-3"/>
  </r>
  <r>
    <s v="SYN2310"/>
    <n v="43"/>
    <x v="1"/>
    <n v="2"/>
    <n v="44"/>
    <n v="4.0000000000000002E-4"/>
    <n v="0"/>
    <x v="3"/>
    <x v="0"/>
    <n v="4.0000000000000002E-4"/>
  </r>
  <r>
    <s v="SYN2311"/>
    <n v="38"/>
    <x v="0"/>
    <n v="6"/>
    <n v="43"/>
    <n v="9.8999999999999999E-4"/>
    <n v="0"/>
    <x v="3"/>
    <x v="0"/>
    <n v="9.8999999999999999E-4"/>
  </r>
  <r>
    <s v="SYN2312"/>
    <n v="31"/>
    <x v="1"/>
    <n v="11"/>
    <n v="41"/>
    <n v="8.1999999999999998E-4"/>
    <n v="0"/>
    <x v="3"/>
    <x v="2"/>
    <n v="8.1999999999999998E-4"/>
  </r>
  <r>
    <s v="SYN2313"/>
    <n v="32"/>
    <x v="0"/>
    <n v="1"/>
    <n v="32"/>
    <n v="2.3000000000000001E-4"/>
    <n v="0"/>
    <x v="1"/>
    <x v="0"/>
    <n v="2.3000000000000001E-4"/>
  </r>
  <r>
    <s v="SYN2314"/>
    <n v="26"/>
    <x v="1"/>
    <n v="1"/>
    <n v="26"/>
    <n v="1.3999999999999999E-4"/>
    <n v="0"/>
    <x v="6"/>
    <x v="0"/>
    <n v="1.3999999999999999E-4"/>
  </r>
  <r>
    <s v="SYN2315"/>
    <n v="61"/>
    <x v="1"/>
    <n v="26"/>
    <n v="86"/>
    <n v="8.2710000000000006E-2"/>
    <n v="0"/>
    <x v="4"/>
    <x v="1"/>
    <n v="8.2710000000000006E-2"/>
  </r>
  <r>
    <s v="SYN2316"/>
    <n v="33"/>
    <x v="0"/>
    <n v="10"/>
    <n v="42"/>
    <n v="1.14E-3"/>
    <n v="0"/>
    <x v="3"/>
    <x v="2"/>
    <n v="1.14E-3"/>
  </r>
  <r>
    <s v="SYN2317"/>
    <n v="43"/>
    <x v="0"/>
    <n v="22"/>
    <n v="64"/>
    <n v="9.3299999999999998E-3"/>
    <n v="0"/>
    <x v="0"/>
    <x v="1"/>
    <n v="9.3299999999999998E-3"/>
  </r>
  <r>
    <s v="SYN2318"/>
    <n v="59"/>
    <x v="0"/>
    <n v="29"/>
    <n v="87"/>
    <n v="8.0629999999999993E-2"/>
    <n v="0"/>
    <x v="4"/>
    <x v="1"/>
    <n v="8.0629999999999993E-2"/>
  </r>
  <r>
    <s v="SYN2319"/>
    <n v="27"/>
    <x v="1"/>
    <n v="5"/>
    <n v="31"/>
    <n v="2.5999999999999998E-4"/>
    <n v="0"/>
    <x v="1"/>
    <x v="0"/>
    <n v="2.5999999999999998E-4"/>
  </r>
  <r>
    <s v="SYN2320"/>
    <n v="32"/>
    <x v="1"/>
    <n v="7"/>
    <n v="38"/>
    <n v="5.2999999999999998E-4"/>
    <n v="0"/>
    <x v="1"/>
    <x v="0"/>
    <n v="5.2999999999999998E-4"/>
  </r>
  <r>
    <s v="SYN2321"/>
    <n v="40"/>
    <x v="0"/>
    <n v="20"/>
    <n v="59"/>
    <n v="5.7400000000000003E-3"/>
    <n v="0"/>
    <x v="2"/>
    <x v="1"/>
    <n v="5.7400000000000003E-3"/>
  </r>
  <r>
    <s v="SYN2322"/>
    <n v="22"/>
    <x v="1"/>
    <n v="25"/>
    <n v="46"/>
    <n v="1.49E-3"/>
    <n v="0"/>
    <x v="3"/>
    <x v="1"/>
    <n v="1.49E-3"/>
  </r>
  <r>
    <s v="SYN2323"/>
    <n v="54"/>
    <x v="1"/>
    <n v="10"/>
    <n v="63"/>
    <n v="5.2500000000000003E-3"/>
    <n v="0"/>
    <x v="0"/>
    <x v="2"/>
    <n v="5.2500000000000003E-3"/>
  </r>
  <r>
    <s v="SYN2324"/>
    <n v="23"/>
    <x v="1"/>
    <n v="21"/>
    <n v="43"/>
    <n v="1.2800000000000001E-3"/>
    <n v="0"/>
    <x v="3"/>
    <x v="1"/>
    <n v="1.2800000000000001E-3"/>
  </r>
  <r>
    <s v="SYN2325"/>
    <n v="52"/>
    <x v="1"/>
    <n v="19"/>
    <n v="70"/>
    <n v="1.328E-2"/>
    <n v="0"/>
    <x v="5"/>
    <x v="2"/>
    <n v="1.328E-2"/>
  </r>
  <r>
    <s v="SYN2326"/>
    <n v="25"/>
    <x v="0"/>
    <n v="26"/>
    <n v="50"/>
    <n v="2.9299999999999999E-3"/>
    <n v="0"/>
    <x v="2"/>
    <x v="1"/>
    <n v="2.9299999999999999E-3"/>
  </r>
  <r>
    <s v="SYN2327"/>
    <n v="24"/>
    <x v="1"/>
    <n v="6"/>
    <n v="29"/>
    <n v="2.7E-4"/>
    <n v="0"/>
    <x v="6"/>
    <x v="0"/>
    <n v="2.7E-4"/>
  </r>
  <r>
    <s v="SYN2328"/>
    <n v="61"/>
    <x v="1"/>
    <n v="25"/>
    <n v="85"/>
    <n v="7.2980000000000003E-2"/>
    <n v="0"/>
    <x v="4"/>
    <x v="1"/>
    <n v="7.2980000000000003E-2"/>
  </r>
  <r>
    <s v="SYN2329"/>
    <n v="49"/>
    <x v="0"/>
    <n v="6"/>
    <n v="54"/>
    <n v="2.7000000000000001E-3"/>
    <n v="0"/>
    <x v="2"/>
    <x v="0"/>
    <n v="2.7000000000000001E-3"/>
  </r>
  <r>
    <s v="SYN2330"/>
    <n v="64"/>
    <x v="1"/>
    <n v="16"/>
    <n v="79"/>
    <n v="3.184E-2"/>
    <n v="0"/>
    <x v="5"/>
    <x v="2"/>
    <n v="3.184E-2"/>
  </r>
  <r>
    <s v="SYN2331"/>
    <n v="37"/>
    <x v="0"/>
    <n v="19"/>
    <n v="55"/>
    <n v="3.82E-3"/>
    <n v="0"/>
    <x v="2"/>
    <x v="2"/>
    <n v="3.82E-3"/>
  </r>
  <r>
    <s v="SYN2332"/>
    <n v="57"/>
    <x v="0"/>
    <n v="21"/>
    <n v="77"/>
    <n v="3.7039999999999997E-2"/>
    <n v="0"/>
    <x v="5"/>
    <x v="1"/>
    <n v="3.7039999999999997E-2"/>
  </r>
  <r>
    <s v="SYN2333"/>
    <n v="32"/>
    <x v="1"/>
    <n v="15"/>
    <n v="46"/>
    <n v="1.2600000000000001E-3"/>
    <n v="0"/>
    <x v="3"/>
    <x v="2"/>
    <n v="1.2600000000000001E-3"/>
  </r>
  <r>
    <s v="SYN2334"/>
    <n v="39"/>
    <x v="1"/>
    <n v="14"/>
    <n v="52"/>
    <n v="2.0899999999999998E-3"/>
    <n v="0"/>
    <x v="2"/>
    <x v="2"/>
    <n v="2.0899999999999998E-3"/>
  </r>
  <r>
    <s v="SYN2335"/>
    <n v="43"/>
    <x v="1"/>
    <n v="9"/>
    <n v="51"/>
    <n v="1.64E-3"/>
    <n v="0"/>
    <x v="2"/>
    <x v="0"/>
    <n v="1.64E-3"/>
  </r>
  <r>
    <s v="SYN2336"/>
    <n v="25"/>
    <x v="0"/>
    <n v="10"/>
    <n v="34"/>
    <n v="6.6E-4"/>
    <n v="0"/>
    <x v="1"/>
    <x v="2"/>
    <n v="6.6E-4"/>
  </r>
  <r>
    <s v="SYN2337"/>
    <n v="57"/>
    <x v="0"/>
    <n v="2"/>
    <n v="58"/>
    <n v="2.2799999999999999E-3"/>
    <n v="0"/>
    <x v="2"/>
    <x v="0"/>
    <n v="2.2799999999999999E-3"/>
  </r>
  <r>
    <s v="SYN2338"/>
    <n v="47"/>
    <x v="0"/>
    <n v="15"/>
    <n v="61"/>
    <n v="6.7799999999999996E-3"/>
    <n v="0"/>
    <x v="0"/>
    <x v="2"/>
    <n v="6.7799999999999996E-3"/>
  </r>
  <r>
    <s v="SYN2339"/>
    <n v="51"/>
    <x v="0"/>
    <n v="11"/>
    <n v="61"/>
    <n v="6.5500000000000003E-3"/>
    <n v="0"/>
    <x v="0"/>
    <x v="2"/>
    <n v="6.5500000000000003E-3"/>
  </r>
  <r>
    <s v="SYN2340"/>
    <n v="48"/>
    <x v="0"/>
    <n v="8"/>
    <n v="55"/>
    <n v="3.1099999999999999E-3"/>
    <n v="0"/>
    <x v="2"/>
    <x v="0"/>
    <n v="3.1099999999999999E-3"/>
  </r>
  <r>
    <s v="SYN2341"/>
    <n v="25"/>
    <x v="1"/>
    <n v="10"/>
    <n v="34"/>
    <n v="4.6000000000000001E-4"/>
    <n v="0"/>
    <x v="1"/>
    <x v="2"/>
    <n v="4.6000000000000001E-4"/>
  </r>
  <r>
    <s v="SYN2342"/>
    <n v="61"/>
    <x v="1"/>
    <n v="3"/>
    <n v="63"/>
    <n v="2.8900000000000002E-3"/>
    <n v="0"/>
    <x v="0"/>
    <x v="0"/>
    <n v="2.8900000000000002E-3"/>
  </r>
  <r>
    <s v="SYN2343"/>
    <n v="26"/>
    <x v="0"/>
    <n v="4"/>
    <n v="29"/>
    <n v="3.8999999999999999E-4"/>
    <n v="0"/>
    <x v="6"/>
    <x v="0"/>
    <n v="3.8999999999999999E-4"/>
  </r>
  <r>
    <s v="SYN2344"/>
    <n v="32"/>
    <x v="0"/>
    <n v="11"/>
    <n v="42"/>
    <n v="1.16E-3"/>
    <n v="0"/>
    <x v="3"/>
    <x v="2"/>
    <n v="1.16E-3"/>
  </r>
  <r>
    <s v="SYN2345"/>
    <n v="39"/>
    <x v="1"/>
    <n v="24"/>
    <n v="62"/>
    <n v="6.0499999999999998E-3"/>
    <n v="0"/>
    <x v="0"/>
    <x v="1"/>
    <n v="6.0499999999999998E-3"/>
  </r>
  <r>
    <s v="SYN2346"/>
    <n v="37"/>
    <x v="1"/>
    <n v="7"/>
    <n v="43"/>
    <n v="7.6000000000000004E-4"/>
    <n v="0"/>
    <x v="3"/>
    <x v="0"/>
    <n v="7.6000000000000004E-4"/>
  </r>
  <r>
    <s v="SYN2347"/>
    <n v="65"/>
    <x v="1"/>
    <n v="24"/>
    <n v="88"/>
    <n v="0.10484"/>
    <n v="0"/>
    <x v="4"/>
    <x v="1"/>
    <n v="0.10484"/>
  </r>
  <r>
    <s v="SYN2348"/>
    <n v="39"/>
    <x v="1"/>
    <n v="10"/>
    <n v="48"/>
    <n v="1.2899999999999999E-3"/>
    <n v="0"/>
    <x v="3"/>
    <x v="2"/>
    <n v="1.2899999999999999E-3"/>
  </r>
  <r>
    <s v="SYN2349"/>
    <n v="45"/>
    <x v="1"/>
    <n v="13"/>
    <n v="57"/>
    <n v="3.2399999999999998E-3"/>
    <n v="0"/>
    <x v="2"/>
    <x v="2"/>
    <n v="3.2399999999999998E-3"/>
  </r>
  <r>
    <s v="SYN2350"/>
    <n v="20"/>
    <x v="1"/>
    <n v="16"/>
    <n v="35"/>
    <n v="6.6E-4"/>
    <n v="0"/>
    <x v="1"/>
    <x v="2"/>
    <n v="6.6E-4"/>
  </r>
  <r>
    <s v="SYN2351"/>
    <n v="29"/>
    <x v="0"/>
    <n v="28"/>
    <n v="56"/>
    <n v="3.7499999999999999E-3"/>
    <n v="0"/>
    <x v="2"/>
    <x v="1"/>
    <n v="3.7499999999999999E-3"/>
  </r>
  <r>
    <s v="SYN2352"/>
    <n v="33"/>
    <x v="0"/>
    <n v="16"/>
    <n v="48"/>
    <n v="2.0500000000000002E-3"/>
    <n v="0"/>
    <x v="3"/>
    <x v="2"/>
    <n v="2.0500000000000002E-3"/>
  </r>
  <r>
    <s v="SYN2353"/>
    <n v="55"/>
    <x v="0"/>
    <n v="25"/>
    <n v="79"/>
    <n v="4.5769999999999998E-2"/>
    <n v="0"/>
    <x v="5"/>
    <x v="1"/>
    <n v="4.5769999999999998E-2"/>
  </r>
  <r>
    <s v="SYN2354"/>
    <n v="41"/>
    <x v="0"/>
    <n v="26"/>
    <n v="66"/>
    <n v="1.1730000000000001E-2"/>
    <n v="0"/>
    <x v="0"/>
    <x v="1"/>
    <n v="1.1730000000000001E-2"/>
  </r>
  <r>
    <s v="SYN2355"/>
    <n v="47"/>
    <x v="1"/>
    <n v="25"/>
    <n v="71"/>
    <n v="1.553E-2"/>
    <n v="0"/>
    <x v="5"/>
    <x v="1"/>
    <n v="1.553E-2"/>
  </r>
  <r>
    <s v="SYN2356"/>
    <n v="48"/>
    <x v="1"/>
    <n v="15"/>
    <n v="62"/>
    <n v="5.6600000000000001E-3"/>
    <n v="0"/>
    <x v="0"/>
    <x v="2"/>
    <n v="5.6600000000000001E-3"/>
  </r>
  <r>
    <s v="SYN2357"/>
    <n v="28"/>
    <x v="1"/>
    <n v="19"/>
    <n v="46"/>
    <n v="1.41E-3"/>
    <n v="0"/>
    <x v="3"/>
    <x v="2"/>
    <n v="1.41E-3"/>
  </r>
  <r>
    <s v="SYN2358"/>
    <n v="20"/>
    <x v="1"/>
    <n v="16"/>
    <n v="35"/>
    <n v="6.6E-4"/>
    <n v="0"/>
    <x v="1"/>
    <x v="2"/>
    <n v="6.6E-4"/>
  </r>
  <r>
    <s v="SYN2359"/>
    <n v="41"/>
    <x v="0"/>
    <n v="8"/>
    <n v="48"/>
    <n v="1.58E-3"/>
    <n v="0"/>
    <x v="3"/>
    <x v="0"/>
    <n v="1.58E-3"/>
  </r>
  <r>
    <s v="SYN2360"/>
    <n v="45"/>
    <x v="1"/>
    <n v="25"/>
    <n v="69"/>
    <n v="1.2659999999999999E-2"/>
    <n v="0"/>
    <x v="0"/>
    <x v="1"/>
    <n v="1.2659999999999999E-2"/>
  </r>
  <r>
    <s v="SYN2361"/>
    <n v="40"/>
    <x v="0"/>
    <n v="19"/>
    <n v="58"/>
    <n v="5.2100000000000002E-3"/>
    <n v="0"/>
    <x v="2"/>
    <x v="2"/>
    <n v="5.2100000000000002E-3"/>
  </r>
  <r>
    <s v="SYN2362"/>
    <n v="28"/>
    <x v="1"/>
    <n v="5"/>
    <n v="32"/>
    <n v="2.5999999999999998E-4"/>
    <n v="0"/>
    <x v="1"/>
    <x v="0"/>
    <n v="2.5999999999999998E-4"/>
  </r>
  <r>
    <s v="SYN2363"/>
    <n v="56"/>
    <x v="1"/>
    <n v="21"/>
    <n v="76"/>
    <n v="2.58E-2"/>
    <n v="0"/>
    <x v="5"/>
    <x v="1"/>
    <n v="2.58E-2"/>
  </r>
  <r>
    <s v="SYN2364"/>
    <n v="56"/>
    <x v="0"/>
    <n v="28"/>
    <n v="83"/>
    <n v="5.6829999999999999E-2"/>
    <n v="0"/>
    <x v="4"/>
    <x v="1"/>
    <n v="5.6829999999999999E-2"/>
  </r>
  <r>
    <s v="SYN2365"/>
    <n v="45"/>
    <x v="1"/>
    <n v="3"/>
    <n v="47"/>
    <n v="6.8000000000000005E-4"/>
    <n v="0"/>
    <x v="3"/>
    <x v="0"/>
    <n v="6.8000000000000005E-4"/>
  </r>
  <r>
    <s v="SYN2366"/>
    <n v="26"/>
    <x v="1"/>
    <n v="11"/>
    <n v="36"/>
    <n v="5.5999999999999995E-4"/>
    <n v="0"/>
    <x v="1"/>
    <x v="2"/>
    <n v="5.5999999999999995E-4"/>
  </r>
  <r>
    <s v="SYN2367"/>
    <n v="39"/>
    <x v="0"/>
    <n v="3"/>
    <n v="41"/>
    <n v="6.8999999999999997E-4"/>
    <n v="0"/>
    <x v="3"/>
    <x v="0"/>
    <n v="6.8999999999999997E-4"/>
  </r>
  <r>
    <s v="SYN2368"/>
    <n v="31"/>
    <x v="1"/>
    <n v="2"/>
    <n v="32"/>
    <n v="1.9000000000000001E-4"/>
    <n v="0"/>
    <x v="1"/>
    <x v="0"/>
    <n v="1.9000000000000001E-4"/>
  </r>
  <r>
    <s v="SYN2369"/>
    <n v="21"/>
    <x v="0"/>
    <n v="6"/>
    <n v="26"/>
    <n v="6.8000000000000005E-4"/>
    <n v="0"/>
    <x v="6"/>
    <x v="0"/>
    <n v="6.8000000000000005E-4"/>
  </r>
  <r>
    <s v="SYN2370"/>
    <n v="44"/>
    <x v="0"/>
    <n v="10"/>
    <n v="53"/>
    <n v="2.7200000000000002E-3"/>
    <n v="0"/>
    <x v="2"/>
    <x v="2"/>
    <n v="2.7200000000000002E-3"/>
  </r>
  <r>
    <s v="SYN2371"/>
    <n v="53"/>
    <x v="0"/>
    <n v="3"/>
    <n v="55"/>
    <n v="2.4099999999999998E-3"/>
    <n v="0"/>
    <x v="2"/>
    <x v="0"/>
    <n v="2.4099999999999998E-3"/>
  </r>
  <r>
    <s v="SYN2372"/>
    <n v="20"/>
    <x v="0"/>
    <n v="6"/>
    <n v="25"/>
    <n v="7.7999999999999999E-4"/>
    <n v="0"/>
    <x v="6"/>
    <x v="0"/>
    <n v="7.7999999999999999E-4"/>
  </r>
  <r>
    <s v="SYN2373"/>
    <n v="45"/>
    <x v="1"/>
    <n v="6"/>
    <n v="50"/>
    <n v="1.2800000000000001E-3"/>
    <n v="0"/>
    <x v="2"/>
    <x v="0"/>
    <n v="1.2800000000000001E-3"/>
  </r>
  <r>
    <s v="SYN2374"/>
    <n v="46"/>
    <x v="1"/>
    <n v="16"/>
    <n v="61"/>
    <n v="5.13E-3"/>
    <n v="0"/>
    <x v="0"/>
    <x v="2"/>
    <n v="5.13E-3"/>
  </r>
  <r>
    <s v="SYN2375"/>
    <n v="33"/>
    <x v="1"/>
    <n v="5"/>
    <n v="37"/>
    <n v="4.2000000000000002E-4"/>
    <n v="0"/>
    <x v="1"/>
    <x v="0"/>
    <n v="4.2000000000000002E-4"/>
  </r>
  <r>
    <s v="SYN2376"/>
    <n v="65"/>
    <x v="0"/>
    <n v="22"/>
    <n v="86"/>
    <n v="0.10324"/>
    <n v="0"/>
    <x v="4"/>
    <x v="1"/>
    <n v="0.10324"/>
  </r>
  <r>
    <s v="SYN2377"/>
    <n v="39"/>
    <x v="0"/>
    <n v="19"/>
    <n v="57"/>
    <n v="4.6699999999999997E-3"/>
    <n v="0"/>
    <x v="2"/>
    <x v="2"/>
    <n v="4.6699999999999997E-3"/>
  </r>
  <r>
    <s v="SYN2378"/>
    <n v="49"/>
    <x v="0"/>
    <n v="9"/>
    <n v="57"/>
    <n v="3.9300000000000003E-3"/>
    <n v="0"/>
    <x v="2"/>
    <x v="0"/>
    <n v="3.9300000000000003E-3"/>
  </r>
  <r>
    <s v="SYN2379"/>
    <n v="48"/>
    <x v="1"/>
    <n v="3"/>
    <n v="50"/>
    <n v="9.7999999999999997E-4"/>
    <n v="0"/>
    <x v="2"/>
    <x v="0"/>
    <n v="9.7999999999999997E-4"/>
  </r>
  <r>
    <s v="SYN2380"/>
    <n v="35"/>
    <x v="0"/>
    <n v="17"/>
    <n v="51"/>
    <n v="2.65E-3"/>
    <n v="0"/>
    <x v="2"/>
    <x v="2"/>
    <n v="2.65E-3"/>
  </r>
  <r>
    <s v="SYN2381"/>
    <n v="51"/>
    <x v="0"/>
    <n v="15"/>
    <n v="65"/>
    <n v="1.005E-2"/>
    <n v="0"/>
    <x v="0"/>
    <x v="2"/>
    <n v="1.005E-2"/>
  </r>
  <r>
    <s v="SYN2382"/>
    <n v="25"/>
    <x v="1"/>
    <n v="10"/>
    <n v="34"/>
    <n v="4.6000000000000001E-4"/>
    <n v="0"/>
    <x v="1"/>
    <x v="2"/>
    <n v="4.6000000000000001E-4"/>
  </r>
  <r>
    <s v="SYN2383"/>
    <n v="42"/>
    <x v="1"/>
    <n v="23"/>
    <n v="64"/>
    <n v="7.4700000000000001E-3"/>
    <n v="0"/>
    <x v="0"/>
    <x v="1"/>
    <n v="7.4700000000000001E-3"/>
  </r>
  <r>
    <s v="SYN2384"/>
    <n v="45"/>
    <x v="1"/>
    <n v="20"/>
    <n v="64"/>
    <n v="7.4000000000000003E-3"/>
    <n v="0"/>
    <x v="0"/>
    <x v="1"/>
    <n v="7.4000000000000003E-3"/>
  </r>
  <r>
    <s v="SYN2385"/>
    <n v="46"/>
    <x v="0"/>
    <n v="8"/>
    <n v="53"/>
    <n v="2.5600000000000002E-3"/>
    <n v="0"/>
    <x v="2"/>
    <x v="0"/>
    <n v="2.5600000000000002E-3"/>
  </r>
  <r>
    <s v="SYN2386"/>
    <n v="47"/>
    <x v="0"/>
    <n v="15"/>
    <n v="61"/>
    <n v="6.7799999999999996E-3"/>
    <n v="0"/>
    <x v="0"/>
    <x v="2"/>
    <n v="6.7799999999999996E-3"/>
  </r>
  <r>
    <s v="SYN2387"/>
    <n v="64"/>
    <x v="0"/>
    <n v="19"/>
    <n v="82"/>
    <n v="6.2700000000000006E-2"/>
    <n v="0"/>
    <x v="4"/>
    <x v="2"/>
    <n v="6.2700000000000006E-2"/>
  </r>
  <r>
    <s v="SYN2388"/>
    <n v="22"/>
    <x v="1"/>
    <n v="8"/>
    <n v="29"/>
    <n v="3.3E-4"/>
    <n v="0"/>
    <x v="6"/>
    <x v="0"/>
    <n v="3.3E-4"/>
  </r>
  <r>
    <s v="SYN2389"/>
    <n v="60"/>
    <x v="0"/>
    <n v="18"/>
    <n v="77"/>
    <n v="3.6549999999999999E-2"/>
    <n v="0"/>
    <x v="5"/>
    <x v="2"/>
    <n v="3.6549999999999999E-2"/>
  </r>
  <r>
    <s v="SYN2390"/>
    <n v="64"/>
    <x v="1"/>
    <n v="24"/>
    <n v="87"/>
    <n v="9.3240000000000003E-2"/>
    <n v="0"/>
    <x v="4"/>
    <x v="1"/>
    <n v="9.3240000000000003E-2"/>
  </r>
  <r>
    <s v="SYN2391"/>
    <n v="51"/>
    <x v="1"/>
    <n v="14"/>
    <n v="64"/>
    <n v="6.6100000000000004E-3"/>
    <n v="0"/>
    <x v="0"/>
    <x v="2"/>
    <n v="6.6100000000000004E-3"/>
  </r>
  <r>
    <s v="SYN2392"/>
    <n v="43"/>
    <x v="1"/>
    <n v="3"/>
    <n v="45"/>
    <n v="5.6999999999999998E-4"/>
    <n v="0"/>
    <x v="3"/>
    <x v="0"/>
    <n v="5.6999999999999998E-4"/>
  </r>
  <r>
    <s v="SYN2393"/>
    <n v="40"/>
    <x v="0"/>
    <n v="14"/>
    <n v="53"/>
    <n v="2.9499999999999999E-3"/>
    <n v="0"/>
    <x v="2"/>
    <x v="2"/>
    <n v="2.9499999999999999E-3"/>
  </r>
  <r>
    <s v="SYN2394"/>
    <n v="52"/>
    <x v="0"/>
    <n v="2"/>
    <n v="53"/>
    <n v="1.5E-3"/>
    <n v="0"/>
    <x v="2"/>
    <x v="0"/>
    <n v="1.5E-3"/>
  </r>
  <r>
    <s v="SYN2395"/>
    <n v="64"/>
    <x v="1"/>
    <n v="22"/>
    <n v="85"/>
    <n v="7.2980000000000003E-2"/>
    <n v="0"/>
    <x v="4"/>
    <x v="1"/>
    <n v="7.2980000000000003E-2"/>
  </r>
  <r>
    <s v="SYN2396"/>
    <n v="45"/>
    <x v="0"/>
    <n v="28"/>
    <n v="72"/>
    <n v="1.7160000000000002E-2"/>
    <n v="0"/>
    <x v="5"/>
    <x v="1"/>
    <n v="1.7160000000000002E-2"/>
  </r>
  <r>
    <s v="SYN2397"/>
    <n v="36"/>
    <x v="1"/>
    <n v="4"/>
    <n v="39"/>
    <n v="4.8999999999999998E-4"/>
    <n v="0"/>
    <x v="1"/>
    <x v="0"/>
    <n v="4.8999999999999998E-4"/>
  </r>
  <r>
    <s v="SYN2398"/>
    <n v="62"/>
    <x v="0"/>
    <n v="24"/>
    <n v="85"/>
    <n v="9.1270000000000004E-2"/>
    <n v="0"/>
    <x v="4"/>
    <x v="1"/>
    <n v="9.1270000000000004E-2"/>
  </r>
  <r>
    <s v="SYN2399"/>
    <n v="25"/>
    <x v="1"/>
    <n v="18"/>
    <n v="42"/>
    <n v="1.1199999999999999E-3"/>
    <n v="0"/>
    <x v="3"/>
    <x v="2"/>
    <n v="1.1199999999999999E-3"/>
  </r>
  <r>
    <s v="SYN2400"/>
    <n v="48"/>
    <x v="0"/>
    <n v="5"/>
    <n v="52"/>
    <n v="2.0600000000000002E-3"/>
    <n v="0"/>
    <x v="2"/>
    <x v="0"/>
    <n v="2.0600000000000002E-3"/>
  </r>
  <r>
    <s v="SYN2401"/>
    <n v="30"/>
    <x v="1"/>
    <n v="6"/>
    <n v="35"/>
    <n v="3.5E-4"/>
    <n v="0"/>
    <x v="1"/>
    <x v="0"/>
    <n v="3.5E-4"/>
  </r>
  <r>
    <s v="SYN2402"/>
    <n v="31"/>
    <x v="0"/>
    <n v="10"/>
    <n v="40"/>
    <n v="9.6000000000000002E-4"/>
    <n v="0"/>
    <x v="3"/>
    <x v="2"/>
    <n v="9.6000000000000002E-4"/>
  </r>
  <r>
    <s v="SYN2403"/>
    <n v="30"/>
    <x v="1"/>
    <n v="3"/>
    <n v="32"/>
    <n v="2.2000000000000001E-4"/>
    <n v="0"/>
    <x v="1"/>
    <x v="0"/>
    <n v="2.2000000000000001E-4"/>
  </r>
  <r>
    <s v="SYN2404"/>
    <n v="37"/>
    <x v="0"/>
    <n v="5"/>
    <n v="41"/>
    <n v="8.0000000000000004E-4"/>
    <n v="0"/>
    <x v="3"/>
    <x v="0"/>
    <n v="8.0000000000000004E-4"/>
  </r>
  <r>
    <s v="SYN2405"/>
    <n v="65"/>
    <x v="1"/>
    <n v="2"/>
    <n v="66"/>
    <n v="2.8999999999999998E-3"/>
    <n v="0"/>
    <x v="0"/>
    <x v="0"/>
    <n v="2.8999999999999998E-3"/>
  </r>
  <r>
    <s v="SYN2406"/>
    <n v="48"/>
    <x v="0"/>
    <n v="23"/>
    <n v="70"/>
    <n v="1.7160000000000002E-2"/>
    <n v="0"/>
    <x v="5"/>
    <x v="1"/>
    <n v="1.7160000000000002E-2"/>
  </r>
  <r>
    <s v="SYN2407"/>
    <n v="53"/>
    <x v="1"/>
    <n v="21"/>
    <n v="73"/>
    <n v="1.8970000000000001E-2"/>
    <n v="0"/>
    <x v="5"/>
    <x v="1"/>
    <n v="1.8970000000000001E-2"/>
  </r>
  <r>
    <s v="SYN2408"/>
    <n v="26"/>
    <x v="1"/>
    <n v="13"/>
    <n v="38"/>
    <n v="7.6000000000000004E-4"/>
    <n v="0"/>
    <x v="1"/>
    <x v="2"/>
    <n v="7.6000000000000004E-4"/>
  </r>
  <r>
    <s v="SYN2409"/>
    <n v="58"/>
    <x v="0"/>
    <n v="1"/>
    <n v="58"/>
    <n v="1.56E-3"/>
    <n v="0"/>
    <x v="2"/>
    <x v="0"/>
    <n v="1.56E-3"/>
  </r>
  <r>
    <s v="SYN2410"/>
    <n v="32"/>
    <x v="0"/>
    <n v="30"/>
    <n v="61"/>
    <n v="4.7800000000000004E-3"/>
    <n v="0"/>
    <x v="0"/>
    <x v="3"/>
    <n v="4.7800000000000004E-3"/>
  </r>
  <r>
    <s v="SYN2411"/>
    <n v="32"/>
    <x v="0"/>
    <n v="3"/>
    <n v="34"/>
    <n v="4.0999999999999999E-4"/>
    <n v="0"/>
    <x v="1"/>
    <x v="0"/>
    <n v="4.0999999999999999E-4"/>
  </r>
  <r>
    <s v="SYN2412"/>
    <n v="20"/>
    <x v="1"/>
    <n v="11"/>
    <n v="30"/>
    <n v="4.0000000000000002E-4"/>
    <n v="0"/>
    <x v="1"/>
    <x v="2"/>
    <n v="4.0000000000000002E-4"/>
  </r>
  <r>
    <s v="SYN2413"/>
    <n v="24"/>
    <x v="1"/>
    <n v="8"/>
    <n v="31"/>
    <n v="3.5E-4"/>
    <n v="0"/>
    <x v="1"/>
    <x v="0"/>
    <n v="3.5E-4"/>
  </r>
  <r>
    <s v="SYN2414"/>
    <n v="62"/>
    <x v="1"/>
    <n v="6"/>
    <n v="67"/>
    <n v="6.43E-3"/>
    <n v="0"/>
    <x v="0"/>
    <x v="0"/>
    <n v="6.43E-3"/>
  </r>
  <r>
    <s v="SYN2415"/>
    <n v="52"/>
    <x v="1"/>
    <n v="4"/>
    <n v="55"/>
    <n v="1.8699999999999999E-3"/>
    <n v="0"/>
    <x v="2"/>
    <x v="0"/>
    <n v="1.8699999999999999E-3"/>
  </r>
  <r>
    <s v="SYN2416"/>
    <n v="60"/>
    <x v="1"/>
    <n v="7"/>
    <n v="66"/>
    <n v="6.2199999999999998E-3"/>
    <n v="0"/>
    <x v="0"/>
    <x v="0"/>
    <n v="6.2199999999999998E-3"/>
  </r>
  <r>
    <s v="SYN2417"/>
    <n v="45"/>
    <x v="0"/>
    <n v="14"/>
    <n v="58"/>
    <n v="4.8900000000000002E-3"/>
    <n v="0"/>
    <x v="2"/>
    <x v="2"/>
    <n v="4.8900000000000002E-3"/>
  </r>
  <r>
    <s v="SYN2418"/>
    <n v="42"/>
    <x v="0"/>
    <n v="11"/>
    <n v="52"/>
    <n v="2.5400000000000002E-3"/>
    <n v="0"/>
    <x v="2"/>
    <x v="2"/>
    <n v="2.5400000000000002E-3"/>
  </r>
  <r>
    <s v="SYN2419"/>
    <n v="40"/>
    <x v="0"/>
    <n v="1"/>
    <n v="40"/>
    <n v="3.1E-4"/>
    <n v="0"/>
    <x v="3"/>
    <x v="0"/>
    <n v="3.1E-4"/>
  </r>
  <r>
    <s v="SYN2420"/>
    <n v="24"/>
    <x v="1"/>
    <n v="22"/>
    <n v="45"/>
    <n v="1.3799999999999999E-3"/>
    <n v="0"/>
    <x v="3"/>
    <x v="1"/>
    <n v="1.3799999999999999E-3"/>
  </r>
  <r>
    <s v="SYN2421"/>
    <n v="43"/>
    <x v="0"/>
    <n v="2"/>
    <n v="44"/>
    <n v="7.2000000000000005E-4"/>
    <n v="0"/>
    <x v="3"/>
    <x v="0"/>
    <n v="7.2000000000000005E-4"/>
  </r>
  <r>
    <s v="SYN2422"/>
    <n v="39"/>
    <x v="1"/>
    <n v="25"/>
    <n v="63"/>
    <n v="6.7200000000000003E-3"/>
    <n v="0"/>
    <x v="0"/>
    <x v="1"/>
    <n v="6.7200000000000003E-3"/>
  </r>
  <r>
    <s v="SYN2423"/>
    <n v="26"/>
    <x v="1"/>
    <n v="23"/>
    <n v="48"/>
    <n v="1.73E-3"/>
    <n v="0"/>
    <x v="3"/>
    <x v="1"/>
    <n v="1.73E-3"/>
  </r>
  <r>
    <s v="SYN2424"/>
    <n v="56"/>
    <x v="0"/>
    <n v="6"/>
    <n v="61"/>
    <n v="5.5900000000000004E-3"/>
    <n v="0"/>
    <x v="0"/>
    <x v="0"/>
    <n v="5.5900000000000004E-3"/>
  </r>
  <r>
    <s v="SYN2425"/>
    <n v="40"/>
    <x v="1"/>
    <n v="21"/>
    <n v="60"/>
    <n v="4.9300000000000004E-3"/>
    <n v="0"/>
    <x v="0"/>
    <x v="1"/>
    <n v="4.9300000000000004E-3"/>
  </r>
  <r>
    <s v="SYN2426"/>
    <n v="64"/>
    <x v="0"/>
    <n v="5"/>
    <n v="68"/>
    <n v="9.1599999999999997E-3"/>
    <n v="0"/>
    <x v="0"/>
    <x v="0"/>
    <n v="9.1599999999999997E-3"/>
  </r>
  <r>
    <s v="SYN2427"/>
    <n v="64"/>
    <x v="1"/>
    <n v="11"/>
    <n v="74"/>
    <n v="1.443E-2"/>
    <n v="0"/>
    <x v="5"/>
    <x v="2"/>
    <n v="1.443E-2"/>
  </r>
  <r>
    <s v="SYN2428"/>
    <n v="24"/>
    <x v="0"/>
    <n v="11"/>
    <n v="34"/>
    <n v="7.1000000000000002E-4"/>
    <n v="0"/>
    <x v="1"/>
    <x v="2"/>
    <n v="7.1000000000000002E-4"/>
  </r>
  <r>
    <s v="SYN2429"/>
    <n v="48"/>
    <x v="1"/>
    <n v="13"/>
    <n v="60"/>
    <n v="4.45E-3"/>
    <n v="0"/>
    <x v="0"/>
    <x v="2"/>
    <n v="4.45E-3"/>
  </r>
  <r>
    <s v="SYN2430"/>
    <n v="52"/>
    <x v="1"/>
    <n v="19"/>
    <n v="70"/>
    <n v="1.328E-2"/>
    <n v="0"/>
    <x v="5"/>
    <x v="2"/>
    <n v="1.328E-2"/>
  </r>
  <r>
    <s v="SYN2431"/>
    <n v="21"/>
    <x v="1"/>
    <n v="20"/>
    <n v="40"/>
    <n v="1.14E-3"/>
    <n v="0"/>
    <x v="3"/>
    <x v="1"/>
    <n v="1.14E-3"/>
  </r>
  <r>
    <s v="SYN2432"/>
    <n v="35"/>
    <x v="0"/>
    <n v="24"/>
    <n v="58"/>
    <n v="5.2199999999999998E-3"/>
    <n v="0"/>
    <x v="2"/>
    <x v="1"/>
    <n v="5.2199999999999998E-3"/>
  </r>
  <r>
    <s v="SYN2433"/>
    <n v="25"/>
    <x v="0"/>
    <n v="2"/>
    <n v="26"/>
    <n v="4.2000000000000002E-4"/>
    <n v="0"/>
    <x v="6"/>
    <x v="0"/>
    <n v="4.2000000000000002E-4"/>
  </r>
  <r>
    <s v="SYN2434"/>
    <n v="32"/>
    <x v="0"/>
    <n v="5"/>
    <n v="36"/>
    <n v="5.4000000000000001E-4"/>
    <n v="0"/>
    <x v="1"/>
    <x v="0"/>
    <n v="5.4000000000000001E-4"/>
  </r>
  <r>
    <s v="SYN2435"/>
    <n v="35"/>
    <x v="1"/>
    <n v="30"/>
    <n v="64"/>
    <n v="4.9300000000000004E-3"/>
    <n v="0"/>
    <x v="0"/>
    <x v="3"/>
    <n v="4.9300000000000004E-3"/>
  </r>
  <r>
    <s v="SYN2436"/>
    <n v="48"/>
    <x v="1"/>
    <n v="24"/>
    <n v="71"/>
    <n v="1.553E-2"/>
    <n v="0"/>
    <x v="5"/>
    <x v="1"/>
    <n v="1.553E-2"/>
  </r>
  <r>
    <s v="SYN2437"/>
    <n v="40"/>
    <x v="1"/>
    <n v="21"/>
    <n v="60"/>
    <n v="4.9300000000000004E-3"/>
    <n v="0"/>
    <x v="0"/>
    <x v="1"/>
    <n v="4.9300000000000004E-3"/>
  </r>
  <r>
    <s v="SYN2438"/>
    <n v="46"/>
    <x v="1"/>
    <n v="21"/>
    <n v="66"/>
    <n v="9.2399999999999999E-3"/>
    <n v="0"/>
    <x v="0"/>
    <x v="1"/>
    <n v="9.2399999999999999E-3"/>
  </r>
  <r>
    <s v="SYN2439"/>
    <n v="34"/>
    <x v="1"/>
    <n v="28"/>
    <n v="61"/>
    <n v="4.4600000000000004E-3"/>
    <n v="0"/>
    <x v="0"/>
    <x v="1"/>
    <n v="4.4600000000000004E-3"/>
  </r>
  <r>
    <s v="SYN2440"/>
    <n v="33"/>
    <x v="0"/>
    <n v="18"/>
    <n v="50"/>
    <n v="2.48E-3"/>
    <n v="0"/>
    <x v="2"/>
    <x v="2"/>
    <n v="2.48E-3"/>
  </r>
  <r>
    <s v="SYN2441"/>
    <n v="35"/>
    <x v="1"/>
    <n v="26"/>
    <n v="60"/>
    <n v="4.9300000000000004E-3"/>
    <n v="0"/>
    <x v="0"/>
    <x v="1"/>
    <n v="4.9300000000000004E-3"/>
  </r>
  <r>
    <s v="SYN2442"/>
    <n v="58"/>
    <x v="0"/>
    <n v="28"/>
    <n v="85"/>
    <n v="7.1389999999999995E-2"/>
    <n v="0"/>
    <x v="4"/>
    <x v="1"/>
    <n v="7.1389999999999995E-2"/>
  </r>
  <r>
    <s v="SYN2443"/>
    <n v="48"/>
    <x v="0"/>
    <n v="21"/>
    <n v="68"/>
    <n v="1.3950000000000001E-2"/>
    <n v="0"/>
    <x v="0"/>
    <x v="1"/>
    <n v="1.3950000000000001E-2"/>
  </r>
  <r>
    <s v="SYN2444"/>
    <n v="24"/>
    <x v="0"/>
    <n v="7"/>
    <n v="30"/>
    <n v="4.8999999999999998E-4"/>
    <n v="0"/>
    <x v="1"/>
    <x v="0"/>
    <n v="4.8999999999999998E-4"/>
  </r>
  <r>
    <s v="SYN2445"/>
    <n v="33"/>
    <x v="0"/>
    <n v="5"/>
    <n v="37"/>
    <n v="5.8E-4"/>
    <n v="0"/>
    <x v="1"/>
    <x v="0"/>
    <n v="5.8E-4"/>
  </r>
  <r>
    <s v="SYN2446"/>
    <n v="33"/>
    <x v="1"/>
    <n v="8"/>
    <n v="40"/>
    <n v="6.6E-4"/>
    <n v="0"/>
    <x v="3"/>
    <x v="0"/>
    <n v="6.6E-4"/>
  </r>
  <r>
    <s v="SYN2447"/>
    <n v="49"/>
    <x v="0"/>
    <n v="10"/>
    <n v="58"/>
    <n v="4.7200000000000002E-3"/>
    <n v="0"/>
    <x v="2"/>
    <x v="2"/>
    <n v="4.7200000000000002E-3"/>
  </r>
  <r>
    <s v="SYN2448"/>
    <n v="47"/>
    <x v="1"/>
    <n v="6"/>
    <n v="52"/>
    <n v="1.5399999999999999E-3"/>
    <n v="0"/>
    <x v="2"/>
    <x v="0"/>
    <n v="1.5399999999999999E-3"/>
  </r>
  <r>
    <s v="SYN2449"/>
    <n v="56"/>
    <x v="1"/>
    <n v="15"/>
    <n v="70"/>
    <n v="1.2070000000000001E-2"/>
    <n v="0"/>
    <x v="5"/>
    <x v="2"/>
    <n v="1.2070000000000001E-2"/>
  </r>
  <r>
    <s v="SYN2450"/>
    <n v="50"/>
    <x v="1"/>
    <n v="3"/>
    <n v="52"/>
    <n v="1.2800000000000001E-3"/>
    <n v="0"/>
    <x v="2"/>
    <x v="0"/>
    <n v="1.2800000000000001E-3"/>
  </r>
  <r>
    <s v="SYN2451"/>
    <n v="44"/>
    <x v="0"/>
    <n v="6"/>
    <n v="49"/>
    <n v="1.5900000000000001E-3"/>
    <n v="0"/>
    <x v="3"/>
    <x v="0"/>
    <n v="1.5900000000000001E-3"/>
  </r>
  <r>
    <s v="SYN2452"/>
    <n v="59"/>
    <x v="0"/>
    <n v="24"/>
    <n v="82"/>
    <n v="6.3329999999999997E-2"/>
    <n v="0"/>
    <x v="4"/>
    <x v="1"/>
    <n v="6.3329999999999997E-2"/>
  </r>
  <r>
    <s v="SYN2453"/>
    <n v="50"/>
    <x v="1"/>
    <n v="1"/>
    <n v="50"/>
    <n v="4.2000000000000002E-4"/>
    <n v="0"/>
    <x v="2"/>
    <x v="0"/>
    <n v="4.2000000000000002E-4"/>
  </r>
  <r>
    <s v="SYN2454"/>
    <n v="25"/>
    <x v="1"/>
    <n v="25"/>
    <n v="49"/>
    <n v="1.8699999999999999E-3"/>
    <n v="0"/>
    <x v="3"/>
    <x v="1"/>
    <n v="1.8699999999999999E-3"/>
  </r>
  <r>
    <s v="SYN2455"/>
    <n v="54"/>
    <x v="1"/>
    <n v="5"/>
    <n v="58"/>
    <n v="2.63E-3"/>
    <n v="0"/>
    <x v="2"/>
    <x v="0"/>
    <n v="2.63E-3"/>
  </r>
  <r>
    <s v="SYN2456"/>
    <n v="44"/>
    <x v="0"/>
    <n v="15"/>
    <n v="58"/>
    <n v="4.9399999999999999E-3"/>
    <n v="0"/>
    <x v="2"/>
    <x v="2"/>
    <n v="4.9399999999999999E-3"/>
  </r>
  <r>
    <s v="SYN2457"/>
    <n v="55"/>
    <x v="0"/>
    <n v="20"/>
    <n v="74"/>
    <n v="2.6550000000000001E-2"/>
    <n v="0"/>
    <x v="5"/>
    <x v="1"/>
    <n v="2.6550000000000001E-2"/>
  </r>
  <r>
    <s v="SYN2458"/>
    <n v="65"/>
    <x v="0"/>
    <n v="16"/>
    <n v="80"/>
    <n v="4.65E-2"/>
    <n v="0"/>
    <x v="4"/>
    <x v="2"/>
    <n v="4.65E-2"/>
  </r>
  <r>
    <s v="SYN2459"/>
    <n v="20"/>
    <x v="1"/>
    <n v="1"/>
    <n v="20"/>
    <n v="2.9E-4"/>
    <n v="0"/>
    <x v="6"/>
    <x v="0"/>
    <n v="2.9E-4"/>
  </r>
  <r>
    <s v="SYN2460"/>
    <n v="43"/>
    <x v="0"/>
    <n v="16"/>
    <n v="58"/>
    <n v="5.0299999999999997E-3"/>
    <n v="0"/>
    <x v="2"/>
    <x v="2"/>
    <n v="5.0299999999999997E-3"/>
  </r>
  <r>
    <s v="SYN2461"/>
    <n v="45"/>
    <x v="0"/>
    <n v="24"/>
    <n v="68"/>
    <n v="1.405E-2"/>
    <n v="0"/>
    <x v="0"/>
    <x v="1"/>
    <n v="1.405E-2"/>
  </r>
  <r>
    <s v="SYN2462"/>
    <n v="61"/>
    <x v="0"/>
    <n v="19"/>
    <n v="79"/>
    <n v="4.5609999999999998E-2"/>
    <n v="0"/>
    <x v="5"/>
    <x v="2"/>
    <n v="4.5609999999999998E-2"/>
  </r>
  <r>
    <s v="SYN2463"/>
    <n v="27"/>
    <x v="1"/>
    <n v="13"/>
    <n v="39"/>
    <n v="8.3000000000000001E-4"/>
    <n v="0"/>
    <x v="1"/>
    <x v="2"/>
    <n v="8.3000000000000001E-4"/>
  </r>
  <r>
    <s v="SYN2464"/>
    <n v="47"/>
    <x v="1"/>
    <n v="9"/>
    <n v="55"/>
    <n v="2.32E-3"/>
    <n v="0"/>
    <x v="2"/>
    <x v="0"/>
    <n v="2.32E-3"/>
  </r>
  <r>
    <s v="SYN2465"/>
    <n v="42"/>
    <x v="1"/>
    <n v="17"/>
    <n v="58"/>
    <n v="3.81E-3"/>
    <n v="0"/>
    <x v="2"/>
    <x v="2"/>
    <n v="3.81E-3"/>
  </r>
  <r>
    <s v="SYN2466"/>
    <n v="43"/>
    <x v="0"/>
    <n v="23"/>
    <n v="65"/>
    <n v="1.0359999999999999E-2"/>
    <n v="0"/>
    <x v="0"/>
    <x v="1"/>
    <n v="1.0359999999999999E-2"/>
  </r>
  <r>
    <s v="SYN2467"/>
    <n v="47"/>
    <x v="0"/>
    <n v="24"/>
    <n v="70"/>
    <n v="1.7160000000000002E-2"/>
    <n v="0"/>
    <x v="5"/>
    <x v="1"/>
    <n v="1.7160000000000002E-2"/>
  </r>
  <r>
    <s v="SYN2468"/>
    <n v="43"/>
    <x v="1"/>
    <n v="21"/>
    <n v="63"/>
    <n v="6.7200000000000003E-3"/>
    <n v="0"/>
    <x v="0"/>
    <x v="1"/>
    <n v="6.7200000000000003E-3"/>
  </r>
  <r>
    <s v="SYN2469"/>
    <n v="62"/>
    <x v="0"/>
    <n v="21"/>
    <n v="82"/>
    <n v="6.3329999999999997E-2"/>
    <n v="0"/>
    <x v="4"/>
    <x v="1"/>
    <n v="6.3329999999999997E-2"/>
  </r>
  <r>
    <s v="SYN2470"/>
    <n v="63"/>
    <x v="0"/>
    <n v="5"/>
    <n v="67"/>
    <n v="8.5199999999999998E-3"/>
    <n v="0"/>
    <x v="0"/>
    <x v="0"/>
    <n v="8.5199999999999998E-3"/>
  </r>
  <r>
    <s v="SYN2471"/>
    <n v="62"/>
    <x v="0"/>
    <n v="27"/>
    <n v="88"/>
    <n v="0.11724"/>
    <n v="1"/>
    <x v="4"/>
    <x v="1"/>
    <n v="0.11724"/>
  </r>
  <r>
    <s v="SYN2472"/>
    <n v="25"/>
    <x v="1"/>
    <n v="21"/>
    <n v="45"/>
    <n v="1.3799999999999999E-3"/>
    <n v="0"/>
    <x v="3"/>
    <x v="1"/>
    <n v="1.3799999999999999E-3"/>
  </r>
  <r>
    <s v="SYN2473"/>
    <n v="65"/>
    <x v="1"/>
    <n v="19"/>
    <n v="83"/>
    <n v="5.5640000000000002E-2"/>
    <n v="0"/>
    <x v="4"/>
    <x v="2"/>
    <n v="5.5640000000000002E-2"/>
  </r>
  <r>
    <s v="SYN2474"/>
    <n v="32"/>
    <x v="0"/>
    <n v="29"/>
    <n v="60"/>
    <n v="4.7800000000000004E-3"/>
    <n v="0"/>
    <x v="0"/>
    <x v="1"/>
    <n v="4.7800000000000004E-3"/>
  </r>
  <r>
    <s v="SYN2475"/>
    <n v="36"/>
    <x v="0"/>
    <n v="23"/>
    <n v="58"/>
    <n v="5.2199999999999998E-3"/>
    <n v="0"/>
    <x v="2"/>
    <x v="1"/>
    <n v="5.2199999999999998E-3"/>
  </r>
  <r>
    <s v="SYN2476"/>
    <n v="62"/>
    <x v="0"/>
    <n v="29"/>
    <n v="90"/>
    <n v="0.11724"/>
    <n v="0"/>
    <x v="7"/>
    <x v="1"/>
    <n v="0.11724"/>
  </r>
  <r>
    <s v="SYN2477"/>
    <n v="46"/>
    <x v="1"/>
    <n v="25"/>
    <n v="70"/>
    <n v="1.404E-2"/>
    <n v="0"/>
    <x v="5"/>
    <x v="1"/>
    <n v="1.404E-2"/>
  </r>
  <r>
    <s v="SYN2478"/>
    <n v="25"/>
    <x v="1"/>
    <n v="4"/>
    <n v="28"/>
    <n v="2.2000000000000001E-4"/>
    <n v="0"/>
    <x v="6"/>
    <x v="0"/>
    <n v="2.2000000000000001E-4"/>
  </r>
  <r>
    <s v="SYN2479"/>
    <n v="42"/>
    <x v="0"/>
    <n v="27"/>
    <n v="68"/>
    <n v="1.2880000000000001E-2"/>
    <n v="0"/>
    <x v="0"/>
    <x v="1"/>
    <n v="1.2880000000000001E-2"/>
  </r>
  <r>
    <s v="SYN2480"/>
    <n v="45"/>
    <x v="0"/>
    <n v="23"/>
    <n v="67"/>
    <n v="1.273E-2"/>
    <n v="0"/>
    <x v="0"/>
    <x v="1"/>
    <n v="1.273E-2"/>
  </r>
  <r>
    <s v="SYN2481"/>
    <n v="51"/>
    <x v="0"/>
    <n v="1"/>
    <n v="51"/>
    <n v="8.5999999999999998E-4"/>
    <n v="0"/>
    <x v="2"/>
    <x v="0"/>
    <n v="8.5999999999999998E-4"/>
  </r>
  <r>
    <s v="SYN2482"/>
    <n v="46"/>
    <x v="0"/>
    <n v="17"/>
    <n v="62"/>
    <n v="7.7400000000000004E-3"/>
    <n v="0"/>
    <x v="0"/>
    <x v="2"/>
    <n v="7.7400000000000004E-3"/>
  </r>
  <r>
    <s v="SYN2483"/>
    <n v="47"/>
    <x v="0"/>
    <n v="6"/>
    <n v="52"/>
    <n v="2.16E-3"/>
    <n v="0"/>
    <x v="2"/>
    <x v="0"/>
    <n v="2.16E-3"/>
  </r>
  <r>
    <s v="SYN2484"/>
    <n v="28"/>
    <x v="0"/>
    <n v="7"/>
    <n v="34"/>
    <n v="5.1999999999999995E-4"/>
    <n v="0"/>
    <x v="1"/>
    <x v="0"/>
    <n v="5.1999999999999995E-4"/>
  </r>
  <r>
    <s v="SYN2485"/>
    <n v="27"/>
    <x v="1"/>
    <n v="15"/>
    <n v="41"/>
    <n v="9.8999999999999999E-4"/>
    <n v="0"/>
    <x v="3"/>
    <x v="2"/>
    <n v="9.8999999999999999E-4"/>
  </r>
  <r>
    <s v="SYN2486"/>
    <n v="32"/>
    <x v="1"/>
    <n v="2"/>
    <n v="33"/>
    <n v="2.0000000000000001E-4"/>
    <n v="0"/>
    <x v="1"/>
    <x v="0"/>
    <n v="2.0000000000000001E-4"/>
  </r>
  <r>
    <s v="SYN2487"/>
    <n v="32"/>
    <x v="1"/>
    <n v="9"/>
    <n v="40"/>
    <n v="6.9999999999999999E-4"/>
    <n v="0"/>
    <x v="3"/>
    <x v="0"/>
    <n v="6.9999999999999999E-4"/>
  </r>
  <r>
    <s v="SYN2488"/>
    <n v="48"/>
    <x v="1"/>
    <n v="21"/>
    <n v="68"/>
    <n v="1.141E-2"/>
    <n v="0"/>
    <x v="0"/>
    <x v="1"/>
    <n v="1.141E-2"/>
  </r>
  <r>
    <s v="SYN2489"/>
    <n v="60"/>
    <x v="0"/>
    <n v="6"/>
    <n v="65"/>
    <n v="8.1399999999999997E-3"/>
    <n v="0"/>
    <x v="0"/>
    <x v="0"/>
    <n v="8.1399999999999997E-3"/>
  </r>
  <r>
    <s v="SYN2490"/>
    <n v="27"/>
    <x v="0"/>
    <n v="9"/>
    <n v="35"/>
    <n v="6.2E-4"/>
    <n v="0"/>
    <x v="1"/>
    <x v="0"/>
    <n v="6.2E-4"/>
  </r>
  <r>
    <s v="SYN2491"/>
    <n v="35"/>
    <x v="0"/>
    <n v="16"/>
    <n v="50"/>
    <n v="2.3900000000000002E-3"/>
    <n v="0"/>
    <x v="2"/>
    <x v="2"/>
    <n v="2.3900000000000002E-3"/>
  </r>
  <r>
    <s v="SYN2492"/>
    <n v="20"/>
    <x v="0"/>
    <n v="2"/>
    <n v="21"/>
    <n v="7.2000000000000005E-4"/>
    <n v="0"/>
    <x v="6"/>
    <x v="0"/>
    <n v="7.2000000000000005E-4"/>
  </r>
  <r>
    <s v="SYN2493"/>
    <n v="62"/>
    <x v="1"/>
    <n v="19"/>
    <n v="80"/>
    <n v="3.8629999999999998E-2"/>
    <n v="0"/>
    <x v="4"/>
    <x v="2"/>
    <n v="3.8629999999999998E-2"/>
  </r>
  <r>
    <s v="SYN2494"/>
    <n v="33"/>
    <x v="1"/>
    <n v="17"/>
    <n v="49"/>
    <n v="1.6900000000000001E-3"/>
    <n v="0"/>
    <x v="3"/>
    <x v="2"/>
    <n v="1.6900000000000001E-3"/>
  </r>
  <r>
    <s v="SYN2495"/>
    <n v="53"/>
    <x v="0"/>
    <n v="25"/>
    <n v="77"/>
    <n v="3.7039999999999997E-2"/>
    <n v="0"/>
    <x v="5"/>
    <x v="1"/>
    <n v="3.7039999999999997E-2"/>
  </r>
  <r>
    <s v="SYN2496"/>
    <n v="41"/>
    <x v="0"/>
    <n v="20"/>
    <n v="60"/>
    <n v="6.3299999999999997E-3"/>
    <n v="0"/>
    <x v="0"/>
    <x v="1"/>
    <n v="6.3299999999999997E-3"/>
  </r>
  <r>
    <s v="SYN2497"/>
    <n v="41"/>
    <x v="1"/>
    <n v="11"/>
    <n v="51"/>
    <n v="1.8E-3"/>
    <n v="0"/>
    <x v="2"/>
    <x v="2"/>
    <n v="1.8E-3"/>
  </r>
  <r>
    <s v="SYN2498"/>
    <n v="62"/>
    <x v="0"/>
    <n v="13"/>
    <n v="74"/>
    <n v="2.409E-2"/>
    <n v="0"/>
    <x v="5"/>
    <x v="2"/>
    <n v="2.409E-2"/>
  </r>
  <r>
    <s v="SYN2499"/>
    <n v="42"/>
    <x v="0"/>
    <n v="28"/>
    <n v="69"/>
    <n v="1.2880000000000001E-2"/>
    <n v="0"/>
    <x v="0"/>
    <x v="1"/>
    <n v="1.2880000000000001E-2"/>
  </r>
  <r>
    <s v="SYN2500"/>
    <n v="49"/>
    <x v="1"/>
    <n v="28"/>
    <n v="76"/>
    <n v="2.0979999999999999E-2"/>
    <n v="0"/>
    <x v="5"/>
    <x v="1"/>
    <n v="2.0979999999999999E-2"/>
  </r>
  <r>
    <s v="SYN2501"/>
    <n v="28"/>
    <x v="1"/>
    <n v="1"/>
    <n v="28"/>
    <n v="1.1E-4"/>
    <n v="0"/>
    <x v="6"/>
    <x v="0"/>
    <n v="1.1E-4"/>
  </r>
  <r>
    <s v="SYN2502"/>
    <n v="37"/>
    <x v="1"/>
    <n v="23"/>
    <n v="59"/>
    <n v="4.4600000000000004E-3"/>
    <n v="0"/>
    <x v="2"/>
    <x v="1"/>
    <n v="4.4600000000000004E-3"/>
  </r>
  <r>
    <s v="SYN2503"/>
    <n v="48"/>
    <x v="1"/>
    <n v="20"/>
    <n v="67"/>
    <n v="1.0149999999999999E-2"/>
    <n v="0"/>
    <x v="0"/>
    <x v="1"/>
    <n v="1.0149999999999999E-2"/>
  </r>
  <r>
    <s v="SYN2504"/>
    <n v="52"/>
    <x v="1"/>
    <n v="14"/>
    <n v="65"/>
    <n v="7.2399999999999999E-3"/>
    <n v="1"/>
    <x v="0"/>
    <x v="2"/>
    <n v="7.2399999999999999E-3"/>
  </r>
  <r>
    <s v="SYN2505"/>
    <n v="60"/>
    <x v="0"/>
    <n v="27"/>
    <n v="86"/>
    <n v="9.1270000000000004E-2"/>
    <n v="0"/>
    <x v="4"/>
    <x v="1"/>
    <n v="9.1270000000000004E-2"/>
  </r>
  <r>
    <s v="SYN2506"/>
    <n v="22"/>
    <x v="1"/>
    <n v="26"/>
    <n v="47"/>
    <n v="1.6000000000000001E-3"/>
    <n v="0"/>
    <x v="3"/>
    <x v="1"/>
    <n v="1.6000000000000001E-3"/>
  </r>
  <r>
    <s v="SYN2507"/>
    <n v="34"/>
    <x v="0"/>
    <n v="20"/>
    <n v="53"/>
    <n v="3.2599999999999999E-3"/>
    <n v="0"/>
    <x v="2"/>
    <x v="1"/>
    <n v="3.2599999999999999E-3"/>
  </r>
  <r>
    <s v="SYN2508"/>
    <n v="25"/>
    <x v="0"/>
    <n v="12"/>
    <n v="36"/>
    <n v="8.0999999999999996E-4"/>
    <n v="0"/>
    <x v="1"/>
    <x v="2"/>
    <n v="8.0999999999999996E-4"/>
  </r>
  <r>
    <s v="SYN2509"/>
    <n v="50"/>
    <x v="1"/>
    <n v="22"/>
    <n v="71"/>
    <n v="1.553E-2"/>
    <n v="0"/>
    <x v="5"/>
    <x v="1"/>
    <n v="1.553E-2"/>
  </r>
  <r>
    <s v="SYN2510"/>
    <n v="44"/>
    <x v="1"/>
    <n v="10"/>
    <n v="53"/>
    <n v="2.0600000000000002E-3"/>
    <n v="0"/>
    <x v="2"/>
    <x v="2"/>
    <n v="2.0600000000000002E-3"/>
  </r>
  <r>
    <s v="SYN2511"/>
    <n v="53"/>
    <x v="1"/>
    <n v="29"/>
    <n v="81"/>
    <n v="3.1989999999999998E-2"/>
    <n v="0"/>
    <x v="4"/>
    <x v="1"/>
    <n v="3.1989999999999998E-2"/>
  </r>
  <r>
    <s v="SYN2512"/>
    <n v="52"/>
    <x v="0"/>
    <n v="2"/>
    <n v="53"/>
    <n v="1.5E-3"/>
    <n v="0"/>
    <x v="2"/>
    <x v="0"/>
    <n v="1.5E-3"/>
  </r>
  <r>
    <s v="SYN2513"/>
    <n v="39"/>
    <x v="1"/>
    <n v="27"/>
    <n v="65"/>
    <n v="7.4700000000000001E-3"/>
    <n v="0"/>
    <x v="0"/>
    <x v="1"/>
    <n v="7.4700000000000001E-3"/>
  </r>
  <r>
    <s v="SYN2514"/>
    <n v="49"/>
    <x v="1"/>
    <n v="6"/>
    <n v="54"/>
    <n v="1.8600000000000001E-3"/>
    <n v="0"/>
    <x v="2"/>
    <x v="0"/>
    <n v="1.8600000000000001E-3"/>
  </r>
  <r>
    <s v="SYN2515"/>
    <n v="50"/>
    <x v="1"/>
    <n v="22"/>
    <n v="71"/>
    <n v="1.553E-2"/>
    <n v="0"/>
    <x v="5"/>
    <x v="1"/>
    <n v="1.553E-2"/>
  </r>
  <r>
    <s v="SYN2516"/>
    <n v="30"/>
    <x v="1"/>
    <n v="25"/>
    <n v="54"/>
    <n v="2.82E-3"/>
    <n v="0"/>
    <x v="2"/>
    <x v="1"/>
    <n v="2.82E-3"/>
  </r>
  <r>
    <s v="SYN2517"/>
    <n v="26"/>
    <x v="1"/>
    <n v="14"/>
    <n v="39"/>
    <n v="8.5999999999999998E-4"/>
    <n v="0"/>
    <x v="1"/>
    <x v="2"/>
    <n v="8.5999999999999998E-4"/>
  </r>
  <r>
    <s v="SYN2518"/>
    <n v="40"/>
    <x v="0"/>
    <n v="29"/>
    <n v="68"/>
    <n v="1.064E-2"/>
    <n v="0"/>
    <x v="0"/>
    <x v="1"/>
    <n v="1.064E-2"/>
  </r>
  <r>
    <s v="SYN2519"/>
    <n v="36"/>
    <x v="0"/>
    <n v="22"/>
    <n v="57"/>
    <n v="4.7800000000000004E-3"/>
    <n v="0"/>
    <x v="2"/>
    <x v="1"/>
    <n v="4.7800000000000004E-3"/>
  </r>
  <r>
    <s v="SYN2520"/>
    <n v="27"/>
    <x v="0"/>
    <n v="22"/>
    <n v="48"/>
    <n v="2.2699999999999999E-3"/>
    <n v="0"/>
    <x v="3"/>
    <x v="1"/>
    <n v="2.2699999999999999E-3"/>
  </r>
  <r>
    <s v="SYN2521"/>
    <n v="51"/>
    <x v="1"/>
    <n v="3"/>
    <n v="53"/>
    <n v="1.4300000000000001E-3"/>
    <n v="0"/>
    <x v="2"/>
    <x v="0"/>
    <n v="1.4300000000000001E-3"/>
  </r>
  <r>
    <s v="SYN2522"/>
    <n v="34"/>
    <x v="1"/>
    <n v="30"/>
    <n v="63"/>
    <n v="4.4600000000000004E-3"/>
    <n v="0"/>
    <x v="0"/>
    <x v="3"/>
    <n v="4.4600000000000004E-3"/>
  </r>
  <r>
    <s v="SYN2523"/>
    <n v="24"/>
    <x v="0"/>
    <n v="21"/>
    <n v="44"/>
    <n v="1.9599999999999999E-3"/>
    <n v="0"/>
    <x v="3"/>
    <x v="1"/>
    <n v="1.9599999999999999E-3"/>
  </r>
  <r>
    <s v="SYN2524"/>
    <n v="44"/>
    <x v="1"/>
    <n v="21"/>
    <n v="64"/>
    <n v="7.4700000000000001E-3"/>
    <n v="0"/>
    <x v="0"/>
    <x v="1"/>
    <n v="7.4700000000000001E-3"/>
  </r>
  <r>
    <s v="SYN2525"/>
    <n v="47"/>
    <x v="0"/>
    <n v="26"/>
    <n v="72"/>
    <n v="2.1340000000000001E-2"/>
    <n v="0"/>
    <x v="5"/>
    <x v="1"/>
    <n v="2.1340000000000001E-2"/>
  </r>
  <r>
    <s v="SYN2526"/>
    <n v="38"/>
    <x v="0"/>
    <n v="3"/>
    <n v="40"/>
    <n v="6.3000000000000003E-4"/>
    <n v="0"/>
    <x v="3"/>
    <x v="0"/>
    <n v="6.3000000000000003E-4"/>
  </r>
  <r>
    <s v="SYN2527"/>
    <n v="57"/>
    <x v="0"/>
    <n v="30"/>
    <n v="86"/>
    <n v="6.3329999999999997E-2"/>
    <n v="0"/>
    <x v="4"/>
    <x v="3"/>
    <n v="6.3329999999999997E-2"/>
  </r>
  <r>
    <s v="SYN2528"/>
    <n v="56"/>
    <x v="0"/>
    <n v="12"/>
    <n v="67"/>
    <n v="1.227E-2"/>
    <n v="0"/>
    <x v="0"/>
    <x v="2"/>
    <n v="1.227E-2"/>
  </r>
  <r>
    <s v="SYN2529"/>
    <n v="44"/>
    <x v="1"/>
    <n v="19"/>
    <n v="62"/>
    <n v="5.8700000000000002E-3"/>
    <n v="0"/>
    <x v="0"/>
    <x v="2"/>
    <n v="5.8700000000000002E-3"/>
  </r>
  <r>
    <s v="SYN2530"/>
    <n v="57"/>
    <x v="0"/>
    <n v="18"/>
    <n v="74"/>
    <n v="2.6550000000000001E-2"/>
    <n v="0"/>
    <x v="5"/>
    <x v="2"/>
    <n v="2.6550000000000001E-2"/>
  </r>
  <r>
    <s v="SYN2531"/>
    <n v="47"/>
    <x v="1"/>
    <n v="11"/>
    <n v="57"/>
    <n v="2.98E-3"/>
    <n v="0"/>
    <x v="2"/>
    <x v="2"/>
    <n v="2.98E-3"/>
  </r>
  <r>
    <s v="SYN2532"/>
    <n v="28"/>
    <x v="1"/>
    <n v="17"/>
    <n v="44"/>
    <n v="1.1800000000000001E-3"/>
    <n v="0"/>
    <x v="3"/>
    <x v="2"/>
    <n v="1.1800000000000001E-3"/>
  </r>
  <r>
    <s v="SYN2533"/>
    <n v="26"/>
    <x v="0"/>
    <n v="13"/>
    <n v="38"/>
    <n v="9.6000000000000002E-4"/>
    <n v="0"/>
    <x v="1"/>
    <x v="2"/>
    <n v="9.6000000000000002E-4"/>
  </r>
  <r>
    <s v="SYN2534"/>
    <n v="40"/>
    <x v="1"/>
    <n v="5"/>
    <n v="44"/>
    <n v="7.6000000000000004E-4"/>
    <n v="0"/>
    <x v="3"/>
    <x v="0"/>
    <n v="7.6000000000000004E-4"/>
  </r>
  <r>
    <s v="SYN2535"/>
    <n v="34"/>
    <x v="1"/>
    <n v="16"/>
    <n v="49"/>
    <n v="1.64E-3"/>
    <n v="0"/>
    <x v="3"/>
    <x v="2"/>
    <n v="1.64E-3"/>
  </r>
  <r>
    <s v="SYN2536"/>
    <n v="38"/>
    <x v="1"/>
    <n v="5"/>
    <n v="42"/>
    <n v="6.7000000000000002E-4"/>
    <n v="0"/>
    <x v="3"/>
    <x v="0"/>
    <n v="6.7000000000000002E-4"/>
  </r>
  <r>
    <s v="SYN2537"/>
    <n v="64"/>
    <x v="1"/>
    <n v="2"/>
    <n v="65"/>
    <n v="2.4599999999999999E-3"/>
    <n v="0"/>
    <x v="0"/>
    <x v="0"/>
    <n v="2.4599999999999999E-3"/>
  </r>
  <r>
    <s v="SYN2538"/>
    <n v="64"/>
    <x v="0"/>
    <n v="4"/>
    <n v="67"/>
    <n v="7.5599999999999999E-3"/>
    <n v="0"/>
    <x v="0"/>
    <x v="0"/>
    <n v="7.5599999999999999E-3"/>
  </r>
  <r>
    <s v="SYN2539"/>
    <n v="56"/>
    <x v="1"/>
    <n v="16"/>
    <n v="71"/>
    <n v="1.376E-2"/>
    <n v="0"/>
    <x v="5"/>
    <x v="2"/>
    <n v="1.376E-2"/>
  </r>
  <r>
    <s v="SYN2540"/>
    <n v="38"/>
    <x v="1"/>
    <n v="23"/>
    <n v="60"/>
    <n v="4.9300000000000004E-3"/>
    <n v="0"/>
    <x v="0"/>
    <x v="1"/>
    <n v="4.9300000000000004E-3"/>
  </r>
  <r>
    <s v="SYN2541"/>
    <n v="41"/>
    <x v="1"/>
    <n v="5"/>
    <n v="45"/>
    <n v="8.0000000000000004E-4"/>
    <n v="0"/>
    <x v="3"/>
    <x v="0"/>
    <n v="8.0000000000000004E-4"/>
  </r>
  <r>
    <s v="SYN2542"/>
    <n v="34"/>
    <x v="1"/>
    <n v="23"/>
    <n v="56"/>
    <n v="3.3700000000000002E-3"/>
    <n v="0"/>
    <x v="2"/>
    <x v="1"/>
    <n v="3.3700000000000002E-3"/>
  </r>
  <r>
    <s v="SYN2543"/>
    <n v="31"/>
    <x v="0"/>
    <n v="28"/>
    <n v="58"/>
    <n v="4.3899999999999998E-3"/>
    <n v="0"/>
    <x v="2"/>
    <x v="1"/>
    <n v="4.3899999999999998E-3"/>
  </r>
  <r>
    <s v="SYN2544"/>
    <n v="62"/>
    <x v="1"/>
    <n v="30"/>
    <n v="91"/>
    <n v="9.3240000000000003E-2"/>
    <n v="0"/>
    <x v="7"/>
    <x v="3"/>
    <n v="9.3240000000000003E-2"/>
  </r>
  <r>
    <s v="SYN2545"/>
    <n v="55"/>
    <x v="0"/>
    <n v="13"/>
    <n v="67"/>
    <n v="1.2460000000000001E-2"/>
    <n v="0"/>
    <x v="0"/>
    <x v="2"/>
    <n v="1.2460000000000001E-2"/>
  </r>
  <r>
    <s v="SYN2546"/>
    <n v="42"/>
    <x v="0"/>
    <n v="25"/>
    <n v="66"/>
    <n v="1.162E-2"/>
    <n v="0"/>
    <x v="0"/>
    <x v="1"/>
    <n v="1.162E-2"/>
  </r>
  <r>
    <s v="SYN2547"/>
    <n v="38"/>
    <x v="1"/>
    <n v="10"/>
    <n v="47"/>
    <n v="1.16E-3"/>
    <n v="0"/>
    <x v="3"/>
    <x v="2"/>
    <n v="1.16E-3"/>
  </r>
  <r>
    <s v="SYN2548"/>
    <n v="55"/>
    <x v="0"/>
    <n v="13"/>
    <n v="67"/>
    <n v="1.2460000000000001E-2"/>
    <n v="0"/>
    <x v="0"/>
    <x v="2"/>
    <n v="1.2460000000000001E-2"/>
  </r>
  <r>
    <s v="SYN2549"/>
    <n v="57"/>
    <x v="1"/>
    <n v="28"/>
    <n v="84"/>
    <n v="5.0599999999999999E-2"/>
    <n v="0"/>
    <x v="4"/>
    <x v="1"/>
    <n v="5.0599999999999999E-2"/>
  </r>
  <r>
    <s v="SYN2550"/>
    <n v="65"/>
    <x v="0"/>
    <n v="10"/>
    <n v="74"/>
    <n v="1.9689999999999999E-2"/>
    <n v="0"/>
    <x v="5"/>
    <x v="2"/>
    <n v="1.9689999999999999E-2"/>
  </r>
  <r>
    <s v="SYN2551"/>
    <n v="28"/>
    <x v="1"/>
    <n v="15"/>
    <n v="42"/>
    <n v="1.0200000000000001E-3"/>
    <n v="0"/>
    <x v="3"/>
    <x v="2"/>
    <n v="1.0200000000000001E-3"/>
  </r>
  <r>
    <s v="SYN2552"/>
    <n v="29"/>
    <x v="0"/>
    <n v="7"/>
    <n v="35"/>
    <n v="5.5999999999999995E-4"/>
    <n v="0"/>
    <x v="1"/>
    <x v="0"/>
    <n v="5.5999999999999995E-4"/>
  </r>
  <r>
    <s v="SYN2553"/>
    <n v="61"/>
    <x v="0"/>
    <n v="1"/>
    <n v="61"/>
    <n v="2.2599999999999999E-3"/>
    <n v="0"/>
    <x v="0"/>
    <x v="0"/>
    <n v="2.2599999999999999E-3"/>
  </r>
  <r>
    <s v="SYN2554"/>
    <n v="26"/>
    <x v="1"/>
    <n v="22"/>
    <n v="47"/>
    <n v="1.6000000000000001E-3"/>
    <n v="0"/>
    <x v="3"/>
    <x v="1"/>
    <n v="1.6000000000000001E-3"/>
  </r>
  <r>
    <s v="SYN2555"/>
    <n v="44"/>
    <x v="1"/>
    <n v="14"/>
    <n v="57"/>
    <n v="3.32E-3"/>
    <n v="0"/>
    <x v="2"/>
    <x v="2"/>
    <n v="3.32E-3"/>
  </r>
  <r>
    <s v="SYN2556"/>
    <n v="23"/>
    <x v="0"/>
    <n v="4"/>
    <n v="26"/>
    <n v="5.1000000000000004E-4"/>
    <n v="0"/>
    <x v="6"/>
    <x v="0"/>
    <n v="5.1000000000000004E-4"/>
  </r>
  <r>
    <s v="SYN2557"/>
    <n v="23"/>
    <x v="1"/>
    <n v="4"/>
    <n v="26"/>
    <n v="2.4000000000000001E-4"/>
    <n v="0"/>
    <x v="6"/>
    <x v="0"/>
    <n v="2.4000000000000001E-4"/>
  </r>
  <r>
    <s v="SYN2558"/>
    <n v="57"/>
    <x v="1"/>
    <n v="14"/>
    <n v="70"/>
    <n v="1.1520000000000001E-2"/>
    <n v="0"/>
    <x v="5"/>
    <x v="2"/>
    <n v="1.1520000000000001E-2"/>
  </r>
  <r>
    <s v="SYN2559"/>
    <n v="45"/>
    <x v="0"/>
    <n v="8"/>
    <n v="52"/>
    <n v="2.32E-3"/>
    <n v="0"/>
    <x v="2"/>
    <x v="0"/>
    <n v="2.32E-3"/>
  </r>
  <r>
    <s v="SYN2560"/>
    <n v="51"/>
    <x v="1"/>
    <n v="10"/>
    <n v="60"/>
    <n v="3.8300000000000001E-3"/>
    <n v="0"/>
    <x v="0"/>
    <x v="2"/>
    <n v="3.8300000000000001E-3"/>
  </r>
  <r>
    <s v="SYN2561"/>
    <n v="61"/>
    <x v="0"/>
    <n v="24"/>
    <n v="84"/>
    <n v="8.0629999999999993E-2"/>
    <n v="0"/>
    <x v="4"/>
    <x v="1"/>
    <n v="8.0629999999999993E-2"/>
  </r>
  <r>
    <s v="SYN2562"/>
    <n v="62"/>
    <x v="0"/>
    <n v="22"/>
    <n v="83"/>
    <n v="7.1389999999999995E-2"/>
    <n v="0"/>
    <x v="4"/>
    <x v="1"/>
    <n v="7.1389999999999995E-2"/>
  </r>
  <r>
    <s v="SYN2563"/>
    <n v="61"/>
    <x v="0"/>
    <n v="13"/>
    <n v="73"/>
    <n v="2.2499999999999999E-2"/>
    <n v="0"/>
    <x v="5"/>
    <x v="2"/>
    <n v="2.2499999999999999E-2"/>
  </r>
  <r>
    <s v="SYN2564"/>
    <n v="43"/>
    <x v="0"/>
    <n v="1"/>
    <n v="43"/>
    <n v="4.4000000000000002E-4"/>
    <n v="0"/>
    <x v="3"/>
    <x v="0"/>
    <n v="4.4000000000000002E-4"/>
  </r>
  <r>
    <s v="SYN2565"/>
    <n v="51"/>
    <x v="1"/>
    <n v="21"/>
    <n v="71"/>
    <n v="1.553E-2"/>
    <n v="0"/>
    <x v="5"/>
    <x v="1"/>
    <n v="1.553E-2"/>
  </r>
  <r>
    <s v="SYN2566"/>
    <n v="21"/>
    <x v="1"/>
    <n v="19"/>
    <n v="39"/>
    <n v="1.06E-3"/>
    <n v="0"/>
    <x v="1"/>
    <x v="2"/>
    <n v="1.06E-3"/>
  </r>
  <r>
    <s v="SYN2567"/>
    <n v="37"/>
    <x v="1"/>
    <n v="23"/>
    <n v="59"/>
    <n v="4.4600000000000004E-3"/>
    <n v="0"/>
    <x v="2"/>
    <x v="1"/>
    <n v="4.4600000000000004E-3"/>
  </r>
  <r>
    <s v="SYN2568"/>
    <n v="31"/>
    <x v="0"/>
    <n v="13"/>
    <n v="43"/>
    <n v="1.31E-3"/>
    <n v="0"/>
    <x v="3"/>
    <x v="2"/>
    <n v="1.31E-3"/>
  </r>
  <r>
    <s v="SYN2569"/>
    <n v="47"/>
    <x v="1"/>
    <n v="10"/>
    <n v="56"/>
    <n v="2.6199999999999999E-3"/>
    <n v="0"/>
    <x v="2"/>
    <x v="2"/>
    <n v="2.6199999999999999E-3"/>
  </r>
  <r>
    <s v="SYN2570"/>
    <n v="24"/>
    <x v="1"/>
    <n v="23"/>
    <n v="46"/>
    <n v="1.49E-3"/>
    <n v="0"/>
    <x v="3"/>
    <x v="1"/>
    <n v="1.49E-3"/>
  </r>
  <r>
    <s v="SYN2571"/>
    <n v="31"/>
    <x v="1"/>
    <n v="13"/>
    <n v="43"/>
    <n v="1.01E-3"/>
    <n v="0"/>
    <x v="3"/>
    <x v="2"/>
    <n v="1.01E-3"/>
  </r>
  <r>
    <s v="SYN2572"/>
    <n v="55"/>
    <x v="1"/>
    <n v="27"/>
    <n v="81"/>
    <n v="3.986E-2"/>
    <n v="0"/>
    <x v="4"/>
    <x v="1"/>
    <n v="3.986E-2"/>
  </r>
  <r>
    <s v="SYN2573"/>
    <n v="51"/>
    <x v="1"/>
    <n v="3"/>
    <n v="53"/>
    <n v="1.4300000000000001E-3"/>
    <n v="0"/>
    <x v="2"/>
    <x v="0"/>
    <n v="1.4300000000000001E-3"/>
  </r>
  <r>
    <s v="SYN2574"/>
    <n v="65"/>
    <x v="1"/>
    <n v="27"/>
    <n v="91"/>
    <n v="0.13125000000000001"/>
    <n v="1"/>
    <x v="7"/>
    <x v="1"/>
    <n v="0.13125000000000001"/>
  </r>
  <r>
    <s v="SYN2575"/>
    <n v="33"/>
    <x v="1"/>
    <n v="22"/>
    <n v="54"/>
    <n v="2.82E-3"/>
    <n v="0"/>
    <x v="2"/>
    <x v="1"/>
    <n v="2.82E-3"/>
  </r>
  <r>
    <s v="SYN2576"/>
    <n v="58"/>
    <x v="0"/>
    <n v="23"/>
    <n v="80"/>
    <n v="5.0909999999999997E-2"/>
    <n v="0"/>
    <x v="4"/>
    <x v="1"/>
    <n v="5.0909999999999997E-2"/>
  </r>
  <r>
    <s v="SYN2577"/>
    <n v="40"/>
    <x v="0"/>
    <n v="4"/>
    <n v="43"/>
    <n v="8.8000000000000003E-4"/>
    <n v="0"/>
    <x v="3"/>
    <x v="0"/>
    <n v="8.8000000000000003E-4"/>
  </r>
  <r>
    <s v="SYN2578"/>
    <n v="61"/>
    <x v="0"/>
    <n v="6"/>
    <n v="66"/>
    <n v="8.7799999999999996E-3"/>
    <n v="0"/>
    <x v="0"/>
    <x v="0"/>
    <n v="8.7799999999999996E-3"/>
  </r>
  <r>
    <s v="SYN2579"/>
    <n v="22"/>
    <x v="1"/>
    <n v="3"/>
    <n v="24"/>
    <n v="2.7E-4"/>
    <n v="0"/>
    <x v="6"/>
    <x v="0"/>
    <n v="2.7E-4"/>
  </r>
  <r>
    <s v="SYN2580"/>
    <n v="43"/>
    <x v="0"/>
    <n v="18"/>
    <n v="60"/>
    <n v="6.3299999999999997E-3"/>
    <n v="0"/>
    <x v="0"/>
    <x v="2"/>
    <n v="6.3299999999999997E-3"/>
  </r>
  <r>
    <s v="SYN2581"/>
    <n v="62"/>
    <x v="0"/>
    <n v="1"/>
    <n v="62"/>
    <n v="2.4099999999999998E-3"/>
    <n v="0"/>
    <x v="0"/>
    <x v="0"/>
    <n v="2.4099999999999998E-3"/>
  </r>
  <r>
    <s v="SYN2582"/>
    <n v="53"/>
    <x v="1"/>
    <n v="29"/>
    <n v="81"/>
    <n v="3.1989999999999998E-2"/>
    <n v="0"/>
    <x v="4"/>
    <x v="1"/>
    <n v="3.1989999999999998E-2"/>
  </r>
  <r>
    <s v="SYN2583"/>
    <n v="48"/>
    <x v="1"/>
    <n v="5"/>
    <n v="52"/>
    <n v="1.47E-3"/>
    <n v="0"/>
    <x v="2"/>
    <x v="0"/>
    <n v="1.47E-3"/>
  </r>
  <r>
    <s v="SYN2584"/>
    <n v="53"/>
    <x v="1"/>
    <n v="30"/>
    <n v="82"/>
    <n v="3.1989999999999998E-2"/>
    <n v="0"/>
    <x v="4"/>
    <x v="3"/>
    <n v="3.1989999999999998E-2"/>
  </r>
  <r>
    <s v="SYN2585"/>
    <n v="54"/>
    <x v="0"/>
    <n v="17"/>
    <n v="70"/>
    <n v="1.6750000000000001E-2"/>
    <n v="0"/>
    <x v="5"/>
    <x v="2"/>
    <n v="1.6750000000000001E-2"/>
  </r>
  <r>
    <s v="SYN2586"/>
    <n v="22"/>
    <x v="0"/>
    <n v="8"/>
    <n v="29"/>
    <n v="5.9000000000000003E-4"/>
    <n v="0"/>
    <x v="6"/>
    <x v="0"/>
    <n v="5.9000000000000003E-4"/>
  </r>
  <r>
    <s v="SYN2587"/>
    <n v="33"/>
    <x v="1"/>
    <n v="5"/>
    <n v="37"/>
    <n v="4.2000000000000002E-4"/>
    <n v="0"/>
    <x v="1"/>
    <x v="0"/>
    <n v="4.2000000000000002E-4"/>
  </r>
  <r>
    <s v="SYN2588"/>
    <n v="42"/>
    <x v="0"/>
    <n v="9"/>
    <n v="50"/>
    <n v="2E-3"/>
    <n v="0"/>
    <x v="2"/>
    <x v="0"/>
    <n v="2E-3"/>
  </r>
  <r>
    <s v="SYN2589"/>
    <n v="24"/>
    <x v="0"/>
    <n v="18"/>
    <n v="41"/>
    <n v="1.5499999999999999E-3"/>
    <n v="0"/>
    <x v="3"/>
    <x v="2"/>
    <n v="1.5499999999999999E-3"/>
  </r>
  <r>
    <s v="SYN2590"/>
    <n v="30"/>
    <x v="0"/>
    <n v="13"/>
    <n v="42"/>
    <n v="1.24E-3"/>
    <n v="0"/>
    <x v="3"/>
    <x v="2"/>
    <n v="1.24E-3"/>
  </r>
  <r>
    <s v="SYN2591"/>
    <n v="63"/>
    <x v="1"/>
    <n v="14"/>
    <n v="76"/>
    <n v="2.12E-2"/>
    <n v="0"/>
    <x v="5"/>
    <x v="2"/>
    <n v="2.12E-2"/>
  </r>
  <r>
    <s v="SYN2592"/>
    <n v="33"/>
    <x v="1"/>
    <n v="3"/>
    <n v="35"/>
    <n v="2.7999999999999998E-4"/>
    <n v="0"/>
    <x v="1"/>
    <x v="0"/>
    <n v="2.7999999999999998E-4"/>
  </r>
  <r>
    <s v="SYN2593"/>
    <n v="60"/>
    <x v="1"/>
    <n v="23"/>
    <n v="82"/>
    <n v="5.0599999999999999E-2"/>
    <n v="0"/>
    <x v="4"/>
    <x v="1"/>
    <n v="5.0599999999999999E-2"/>
  </r>
  <r>
    <s v="SYN2594"/>
    <n v="56"/>
    <x v="1"/>
    <n v="22"/>
    <n v="77"/>
    <n v="2.8719999999999999E-2"/>
    <n v="0"/>
    <x v="5"/>
    <x v="1"/>
    <n v="2.8719999999999999E-2"/>
  </r>
  <r>
    <s v="SYN2595"/>
    <n v="30"/>
    <x v="1"/>
    <n v="14"/>
    <n v="43"/>
    <n v="1.0399999999999999E-3"/>
    <n v="0"/>
    <x v="3"/>
    <x v="2"/>
    <n v="1.0399999999999999E-3"/>
  </r>
  <r>
    <s v="SYN2596"/>
    <n v="47"/>
    <x v="0"/>
    <n v="13"/>
    <n v="59"/>
    <n v="5.3800000000000002E-3"/>
    <n v="0"/>
    <x v="2"/>
    <x v="2"/>
    <n v="5.3800000000000002E-3"/>
  </r>
  <r>
    <s v="SYN2597"/>
    <n v="24"/>
    <x v="0"/>
    <n v="9"/>
    <n v="32"/>
    <n v="5.6999999999999998E-4"/>
    <n v="0"/>
    <x v="1"/>
    <x v="0"/>
    <n v="5.6999999999999998E-4"/>
  </r>
  <r>
    <s v="SYN2598"/>
    <n v="55"/>
    <x v="0"/>
    <n v="14"/>
    <n v="68"/>
    <n v="1.3690000000000001E-2"/>
    <n v="0"/>
    <x v="0"/>
    <x v="2"/>
    <n v="1.3690000000000001E-2"/>
  </r>
  <r>
    <s v="SYN2599"/>
    <n v="43"/>
    <x v="0"/>
    <n v="30"/>
    <n v="72"/>
    <n v="1.413E-2"/>
    <n v="0"/>
    <x v="5"/>
    <x v="3"/>
    <n v="1.413E-2"/>
  </r>
  <r>
    <s v="SYN2600"/>
    <n v="34"/>
    <x v="0"/>
    <n v="9"/>
    <n v="42"/>
    <n v="1.08E-3"/>
    <n v="0"/>
    <x v="3"/>
    <x v="0"/>
    <n v="1.08E-3"/>
  </r>
  <r>
    <s v="SYN2601"/>
    <n v="34"/>
    <x v="1"/>
    <n v="13"/>
    <n v="46"/>
    <n v="1.1999999999999999E-3"/>
    <n v="0"/>
    <x v="3"/>
    <x v="2"/>
    <n v="1.1999999999999999E-3"/>
  </r>
  <r>
    <s v="SYN2602"/>
    <n v="27"/>
    <x v="1"/>
    <n v="6"/>
    <n v="32"/>
    <n v="2.9E-4"/>
    <n v="0"/>
    <x v="1"/>
    <x v="0"/>
    <n v="2.9E-4"/>
  </r>
  <r>
    <s v="SYN2603"/>
    <n v="57"/>
    <x v="1"/>
    <n v="27"/>
    <n v="83"/>
    <n v="5.0599999999999999E-2"/>
    <n v="0"/>
    <x v="4"/>
    <x v="1"/>
    <n v="5.0599999999999999E-2"/>
  </r>
  <r>
    <s v="SYN2604"/>
    <n v="42"/>
    <x v="1"/>
    <n v="23"/>
    <n v="64"/>
    <n v="7.4700000000000001E-3"/>
    <n v="0"/>
    <x v="0"/>
    <x v="1"/>
    <n v="7.4700000000000001E-3"/>
  </r>
  <r>
    <s v="SYN2605"/>
    <n v="37"/>
    <x v="0"/>
    <n v="20"/>
    <n v="56"/>
    <n v="4.28E-3"/>
    <n v="0"/>
    <x v="2"/>
    <x v="1"/>
    <n v="4.28E-3"/>
  </r>
  <r>
    <s v="SYN2606"/>
    <n v="40"/>
    <x v="0"/>
    <n v="25"/>
    <n v="64"/>
    <n v="9.5899999999999996E-3"/>
    <n v="0"/>
    <x v="0"/>
    <x v="1"/>
    <n v="9.5899999999999996E-3"/>
  </r>
  <r>
    <s v="SYN2607"/>
    <n v="63"/>
    <x v="1"/>
    <n v="26"/>
    <n v="88"/>
    <n v="0.10484"/>
    <n v="0"/>
    <x v="4"/>
    <x v="1"/>
    <n v="0.10484"/>
  </r>
  <r>
    <s v="SYN2608"/>
    <n v="45"/>
    <x v="1"/>
    <n v="16"/>
    <n v="60"/>
    <n v="4.62E-3"/>
    <n v="0"/>
    <x v="0"/>
    <x v="2"/>
    <n v="4.62E-3"/>
  </r>
  <r>
    <s v="SYN2609"/>
    <n v="63"/>
    <x v="1"/>
    <n v="17"/>
    <n v="79"/>
    <n v="3.2660000000000002E-2"/>
    <n v="0"/>
    <x v="5"/>
    <x v="2"/>
    <n v="3.2660000000000002E-2"/>
  </r>
  <r>
    <s v="SYN2610"/>
    <n v="29"/>
    <x v="1"/>
    <n v="13"/>
    <n v="41"/>
    <n v="9.3000000000000005E-4"/>
    <n v="0"/>
    <x v="3"/>
    <x v="2"/>
    <n v="9.3000000000000005E-4"/>
  </r>
  <r>
    <s v="SYN2611"/>
    <n v="60"/>
    <x v="1"/>
    <n v="12"/>
    <n v="71"/>
    <n v="1.11E-2"/>
    <n v="0"/>
    <x v="5"/>
    <x v="2"/>
    <n v="1.11E-2"/>
  </r>
  <r>
    <s v="SYN2612"/>
    <n v="58"/>
    <x v="1"/>
    <n v="14"/>
    <n v="71"/>
    <n v="1.2619999999999999E-2"/>
    <n v="0"/>
    <x v="5"/>
    <x v="2"/>
    <n v="1.2619999999999999E-2"/>
  </r>
  <r>
    <s v="SYN2613"/>
    <n v="42"/>
    <x v="0"/>
    <n v="26"/>
    <n v="67"/>
    <n v="1.2880000000000001E-2"/>
    <n v="0"/>
    <x v="0"/>
    <x v="1"/>
    <n v="1.2880000000000001E-2"/>
  </r>
  <r>
    <s v="SYN2614"/>
    <n v="47"/>
    <x v="1"/>
    <n v="17"/>
    <n v="63"/>
    <n v="6.45E-3"/>
    <n v="0"/>
    <x v="0"/>
    <x v="2"/>
    <n v="6.45E-3"/>
  </r>
  <r>
    <s v="SYN2615"/>
    <n v="34"/>
    <x v="1"/>
    <n v="10"/>
    <n v="43"/>
    <n v="8.4000000000000003E-4"/>
    <n v="0"/>
    <x v="3"/>
    <x v="2"/>
    <n v="8.4000000000000003E-4"/>
  </r>
  <r>
    <s v="SYN2616"/>
    <n v="39"/>
    <x v="1"/>
    <n v="14"/>
    <n v="52"/>
    <n v="2.0899999999999998E-3"/>
    <n v="0"/>
    <x v="2"/>
    <x v="2"/>
    <n v="2.0899999999999998E-3"/>
  </r>
  <r>
    <s v="SYN2617"/>
    <n v="60"/>
    <x v="0"/>
    <n v="3"/>
    <n v="62"/>
    <n v="4.6499999999999996E-3"/>
    <n v="0"/>
    <x v="0"/>
    <x v="0"/>
    <n v="4.6499999999999996E-3"/>
  </r>
  <r>
    <s v="SYN2618"/>
    <n v="25"/>
    <x v="1"/>
    <n v="6"/>
    <n v="30"/>
    <n v="2.7999999999999998E-4"/>
    <n v="0"/>
    <x v="1"/>
    <x v="0"/>
    <n v="2.7999999999999998E-4"/>
  </r>
  <r>
    <s v="SYN2619"/>
    <n v="38"/>
    <x v="1"/>
    <n v="18"/>
    <n v="55"/>
    <n v="2.8900000000000002E-3"/>
    <n v="0"/>
    <x v="2"/>
    <x v="2"/>
    <n v="2.8900000000000002E-3"/>
  </r>
  <r>
    <s v="SYN2620"/>
    <n v="20"/>
    <x v="1"/>
    <n v="14"/>
    <n v="33"/>
    <n v="4.8000000000000001E-4"/>
    <n v="0"/>
    <x v="1"/>
    <x v="2"/>
    <n v="4.8000000000000001E-4"/>
  </r>
  <r>
    <s v="SYN2621"/>
    <n v="28"/>
    <x v="0"/>
    <n v="16"/>
    <n v="43"/>
    <n v="1.5399999999999999E-3"/>
    <n v="0"/>
    <x v="3"/>
    <x v="2"/>
    <n v="1.5399999999999999E-3"/>
  </r>
  <r>
    <s v="SYN2622"/>
    <n v="63"/>
    <x v="1"/>
    <n v="29"/>
    <n v="91"/>
    <n v="0.10484"/>
    <n v="0"/>
    <x v="7"/>
    <x v="1"/>
    <n v="0.10484"/>
  </r>
  <r>
    <s v="SYN2623"/>
    <n v="20"/>
    <x v="0"/>
    <n v="20"/>
    <n v="39"/>
    <n v="1.58E-3"/>
    <n v="0"/>
    <x v="1"/>
    <x v="1"/>
    <n v="1.58E-3"/>
  </r>
  <r>
    <s v="SYN2624"/>
    <n v="20"/>
    <x v="0"/>
    <n v="23"/>
    <n v="42"/>
    <n v="2.0899999999999998E-3"/>
    <n v="0"/>
    <x v="3"/>
    <x v="1"/>
    <n v="2.0899999999999998E-3"/>
  </r>
  <r>
    <s v="SYN2625"/>
    <n v="42"/>
    <x v="1"/>
    <n v="8"/>
    <n v="49"/>
    <n v="1.2800000000000001E-3"/>
    <n v="0"/>
    <x v="3"/>
    <x v="0"/>
    <n v="1.2800000000000001E-3"/>
  </r>
  <r>
    <s v="SYN2626"/>
    <n v="53"/>
    <x v="1"/>
    <n v="22"/>
    <n v="74"/>
    <n v="2.0979999999999999E-2"/>
    <n v="0"/>
    <x v="5"/>
    <x v="1"/>
    <n v="2.0979999999999999E-2"/>
  </r>
  <r>
    <s v="SYN2627"/>
    <n v="30"/>
    <x v="1"/>
    <n v="22"/>
    <n v="51"/>
    <n v="2.1900000000000001E-3"/>
    <n v="0"/>
    <x v="2"/>
    <x v="1"/>
    <n v="2.1900000000000001E-3"/>
  </r>
  <r>
    <s v="SYN2628"/>
    <n v="34"/>
    <x v="0"/>
    <n v="6"/>
    <n v="39"/>
    <n v="6.9999999999999999E-4"/>
    <n v="0"/>
    <x v="1"/>
    <x v="0"/>
    <n v="6.9999999999999999E-4"/>
  </r>
  <r>
    <s v="SYN2629"/>
    <n v="52"/>
    <x v="1"/>
    <n v="12"/>
    <n v="63"/>
    <n v="5.5599999999999998E-3"/>
    <n v="0"/>
    <x v="0"/>
    <x v="2"/>
    <n v="5.5599999999999998E-3"/>
  </r>
  <r>
    <s v="SYN2630"/>
    <n v="44"/>
    <x v="0"/>
    <n v="6"/>
    <n v="49"/>
    <n v="1.5900000000000001E-3"/>
    <n v="0"/>
    <x v="3"/>
    <x v="0"/>
    <n v="1.5900000000000001E-3"/>
  </r>
  <r>
    <s v="SYN2631"/>
    <n v="63"/>
    <x v="1"/>
    <n v="8"/>
    <n v="70"/>
    <n v="8.4200000000000004E-3"/>
    <n v="0"/>
    <x v="5"/>
    <x v="0"/>
    <n v="8.4200000000000004E-3"/>
  </r>
  <r>
    <s v="SYN2632"/>
    <n v="27"/>
    <x v="0"/>
    <n v="10"/>
    <n v="36"/>
    <n v="7.2999999999999996E-4"/>
    <n v="0"/>
    <x v="1"/>
    <x v="2"/>
    <n v="7.2999999999999996E-4"/>
  </r>
  <r>
    <s v="SYN2633"/>
    <n v="33"/>
    <x v="1"/>
    <n v="1"/>
    <n v="33"/>
    <n v="1.2999999999999999E-4"/>
    <n v="0"/>
    <x v="1"/>
    <x v="0"/>
    <n v="1.2999999999999999E-4"/>
  </r>
  <r>
    <s v="SYN2634"/>
    <n v="33"/>
    <x v="0"/>
    <n v="30"/>
    <n v="62"/>
    <n v="5.2199999999999998E-3"/>
    <n v="0"/>
    <x v="0"/>
    <x v="3"/>
    <n v="5.2199999999999998E-3"/>
  </r>
  <r>
    <s v="SYN2635"/>
    <n v="61"/>
    <x v="1"/>
    <n v="17"/>
    <n v="77"/>
    <n v="2.581E-2"/>
    <n v="0"/>
    <x v="5"/>
    <x v="2"/>
    <n v="2.581E-2"/>
  </r>
  <r>
    <s v="SYN2636"/>
    <n v="49"/>
    <x v="1"/>
    <n v="29"/>
    <n v="77"/>
    <n v="2.0979999999999999E-2"/>
    <n v="0"/>
    <x v="5"/>
    <x v="1"/>
    <n v="2.0979999999999999E-2"/>
  </r>
  <r>
    <s v="SYN2637"/>
    <n v="42"/>
    <x v="1"/>
    <n v="1"/>
    <n v="42"/>
    <n v="2.5000000000000001E-4"/>
    <n v="0"/>
    <x v="3"/>
    <x v="0"/>
    <n v="2.5000000000000001E-4"/>
  </r>
  <r>
    <s v="SYN2638"/>
    <n v="42"/>
    <x v="0"/>
    <n v="4"/>
    <n v="45"/>
    <n v="1.01E-3"/>
    <n v="0"/>
    <x v="3"/>
    <x v="0"/>
    <n v="1.01E-3"/>
  </r>
  <r>
    <s v="SYN2639"/>
    <n v="31"/>
    <x v="0"/>
    <n v="13"/>
    <n v="43"/>
    <n v="1.31E-3"/>
    <n v="0"/>
    <x v="3"/>
    <x v="2"/>
    <n v="1.31E-3"/>
  </r>
  <r>
    <s v="SYN2640"/>
    <n v="51"/>
    <x v="0"/>
    <n v="7"/>
    <n v="57"/>
    <n v="3.6900000000000001E-3"/>
    <n v="0"/>
    <x v="2"/>
    <x v="0"/>
    <n v="3.6900000000000001E-3"/>
  </r>
  <r>
    <s v="SYN2641"/>
    <n v="29"/>
    <x v="0"/>
    <n v="14"/>
    <n v="42"/>
    <n v="1.3500000000000001E-3"/>
    <n v="0"/>
    <x v="3"/>
    <x v="2"/>
    <n v="1.3500000000000001E-3"/>
  </r>
  <r>
    <s v="SYN2642"/>
    <n v="29"/>
    <x v="1"/>
    <n v="25"/>
    <n v="53"/>
    <n v="2.5899999999999999E-3"/>
    <n v="0"/>
    <x v="2"/>
    <x v="1"/>
    <n v="2.5899999999999999E-3"/>
  </r>
  <r>
    <s v="SYN2643"/>
    <n v="45"/>
    <x v="0"/>
    <n v="12"/>
    <n v="56"/>
    <n v="3.8300000000000001E-3"/>
    <n v="0"/>
    <x v="2"/>
    <x v="2"/>
    <n v="3.8300000000000001E-3"/>
  </r>
  <r>
    <s v="SYN2644"/>
    <n v="31"/>
    <x v="1"/>
    <n v="18"/>
    <n v="48"/>
    <n v="1.6100000000000001E-3"/>
    <n v="0"/>
    <x v="3"/>
    <x v="2"/>
    <n v="1.6100000000000001E-3"/>
  </r>
  <r>
    <s v="SYN2645"/>
    <n v="48"/>
    <x v="1"/>
    <n v="22"/>
    <n v="69"/>
    <n v="1.2659999999999999E-2"/>
    <n v="0"/>
    <x v="0"/>
    <x v="1"/>
    <n v="1.2659999999999999E-2"/>
  </r>
  <r>
    <s v="SYN2646"/>
    <n v="42"/>
    <x v="0"/>
    <n v="24"/>
    <n v="65"/>
    <n v="1.0449999999999999E-2"/>
    <n v="0"/>
    <x v="0"/>
    <x v="1"/>
    <n v="1.0449999999999999E-2"/>
  </r>
  <r>
    <s v="SYN2647"/>
    <n v="65"/>
    <x v="0"/>
    <n v="7"/>
    <n v="71"/>
    <n v="1.257E-2"/>
    <n v="0"/>
    <x v="5"/>
    <x v="0"/>
    <n v="1.257E-2"/>
  </r>
  <r>
    <s v="SYN2648"/>
    <n v="28"/>
    <x v="0"/>
    <n v="13"/>
    <n v="40"/>
    <n v="1.1100000000000001E-3"/>
    <n v="0"/>
    <x v="3"/>
    <x v="2"/>
    <n v="1.1100000000000001E-3"/>
  </r>
  <r>
    <s v="SYN2649"/>
    <n v="22"/>
    <x v="1"/>
    <n v="6"/>
    <n v="27"/>
    <n v="2.7E-4"/>
    <n v="0"/>
    <x v="6"/>
    <x v="0"/>
    <n v="2.7E-4"/>
  </r>
  <r>
    <s v="SYN2650"/>
    <n v="62"/>
    <x v="0"/>
    <n v="9"/>
    <n v="70"/>
    <n v="1.3729999999999999E-2"/>
    <n v="0"/>
    <x v="5"/>
    <x v="0"/>
    <n v="1.3729999999999999E-2"/>
  </r>
  <r>
    <s v="SYN2651"/>
    <n v="51"/>
    <x v="1"/>
    <n v="26"/>
    <n v="76"/>
    <n v="2.58E-2"/>
    <n v="0"/>
    <x v="5"/>
    <x v="1"/>
    <n v="2.58E-2"/>
  </r>
  <r>
    <s v="SYN2652"/>
    <n v="45"/>
    <x v="1"/>
    <n v="17"/>
    <n v="61"/>
    <n v="5.1700000000000001E-3"/>
    <n v="0"/>
    <x v="0"/>
    <x v="2"/>
    <n v="5.1700000000000001E-3"/>
  </r>
  <r>
    <s v="SYN2653"/>
    <n v="44"/>
    <x v="0"/>
    <n v="5"/>
    <n v="48"/>
    <n v="1.39E-3"/>
    <n v="0"/>
    <x v="3"/>
    <x v="0"/>
    <n v="1.39E-3"/>
  </r>
  <r>
    <s v="SYN2654"/>
    <n v="21"/>
    <x v="0"/>
    <n v="5"/>
    <n v="25"/>
    <n v="6.7000000000000002E-4"/>
    <n v="0"/>
    <x v="6"/>
    <x v="0"/>
    <n v="6.7000000000000002E-4"/>
  </r>
  <r>
    <s v="SYN2655"/>
    <n v="63"/>
    <x v="0"/>
    <n v="8"/>
    <n v="70"/>
    <n v="1.2489999999999999E-2"/>
    <n v="0"/>
    <x v="5"/>
    <x v="0"/>
    <n v="1.2489999999999999E-2"/>
  </r>
  <r>
    <s v="SYN2656"/>
    <n v="47"/>
    <x v="1"/>
    <n v="20"/>
    <n v="66"/>
    <n v="9.1199999999999996E-3"/>
    <n v="0"/>
    <x v="0"/>
    <x v="1"/>
    <n v="9.1199999999999996E-3"/>
  </r>
  <r>
    <s v="SYN2657"/>
    <n v="38"/>
    <x v="0"/>
    <n v="10"/>
    <n v="47"/>
    <n v="1.56E-3"/>
    <n v="0"/>
    <x v="3"/>
    <x v="2"/>
    <n v="1.56E-3"/>
  </r>
  <r>
    <s v="SYN2658"/>
    <n v="35"/>
    <x v="0"/>
    <n v="20"/>
    <n v="54"/>
    <n v="3.5599999999999998E-3"/>
    <n v="0"/>
    <x v="2"/>
    <x v="1"/>
    <n v="3.5599999999999998E-3"/>
  </r>
  <r>
    <s v="SYN2659"/>
    <n v="35"/>
    <x v="1"/>
    <n v="9"/>
    <n v="43"/>
    <n v="8.0000000000000004E-4"/>
    <n v="0"/>
    <x v="3"/>
    <x v="0"/>
    <n v="8.0000000000000004E-4"/>
  </r>
  <r>
    <s v="SYN2660"/>
    <n v="64"/>
    <x v="1"/>
    <n v="8"/>
    <n v="71"/>
    <n v="9.3399999999999993E-3"/>
    <n v="0"/>
    <x v="5"/>
    <x v="0"/>
    <n v="9.3399999999999993E-3"/>
  </r>
  <r>
    <s v="SYN2661"/>
    <n v="50"/>
    <x v="1"/>
    <n v="23"/>
    <n v="72"/>
    <n v="1.7170000000000001E-2"/>
    <n v="0"/>
    <x v="5"/>
    <x v="1"/>
    <n v="1.7170000000000001E-2"/>
  </r>
  <r>
    <s v="SYN2662"/>
    <n v="52"/>
    <x v="0"/>
    <n v="20"/>
    <n v="71"/>
    <n v="1.8890000000000001E-2"/>
    <n v="0"/>
    <x v="5"/>
    <x v="1"/>
    <n v="1.8890000000000001E-2"/>
  </r>
  <r>
    <s v="SYN2663"/>
    <n v="57"/>
    <x v="1"/>
    <n v="21"/>
    <n v="77"/>
    <n v="2.8719999999999999E-2"/>
    <n v="0"/>
    <x v="5"/>
    <x v="1"/>
    <n v="2.8719999999999999E-2"/>
  </r>
  <r>
    <s v="SYN2664"/>
    <n v="28"/>
    <x v="0"/>
    <n v="13"/>
    <n v="40"/>
    <n v="1.1100000000000001E-3"/>
    <n v="0"/>
    <x v="3"/>
    <x v="2"/>
    <n v="1.1100000000000001E-3"/>
  </r>
  <r>
    <s v="SYN2665"/>
    <n v="29"/>
    <x v="0"/>
    <n v="14"/>
    <n v="42"/>
    <n v="1.3500000000000001E-3"/>
    <n v="0"/>
    <x v="3"/>
    <x v="2"/>
    <n v="1.3500000000000001E-3"/>
  </r>
  <r>
    <s v="SYN2666"/>
    <n v="23"/>
    <x v="0"/>
    <n v="13"/>
    <n v="35"/>
    <n v="8.0999999999999996E-4"/>
    <n v="0"/>
    <x v="1"/>
    <x v="2"/>
    <n v="8.0999999999999996E-4"/>
  </r>
  <r>
    <s v="SYN2667"/>
    <n v="60"/>
    <x v="0"/>
    <n v="8"/>
    <n v="67"/>
    <n v="1.074E-2"/>
    <n v="0"/>
    <x v="0"/>
    <x v="0"/>
    <n v="1.074E-2"/>
  </r>
  <r>
    <s v="SYN2668"/>
    <n v="23"/>
    <x v="0"/>
    <n v="17"/>
    <n v="39"/>
    <n v="1.2800000000000001E-3"/>
    <n v="0"/>
    <x v="1"/>
    <x v="2"/>
    <n v="1.2800000000000001E-3"/>
  </r>
  <r>
    <s v="SYN2669"/>
    <n v="27"/>
    <x v="0"/>
    <n v="9"/>
    <n v="35"/>
    <n v="6.2E-4"/>
    <n v="0"/>
    <x v="1"/>
    <x v="0"/>
    <n v="6.2E-4"/>
  </r>
  <r>
    <s v="SYN2670"/>
    <n v="65"/>
    <x v="0"/>
    <n v="14"/>
    <n v="78"/>
    <n v="3.4540000000000001E-2"/>
    <n v="0"/>
    <x v="5"/>
    <x v="2"/>
    <n v="3.4540000000000001E-2"/>
  </r>
  <r>
    <s v="SYN2671"/>
    <n v="31"/>
    <x v="0"/>
    <n v="2"/>
    <n v="32"/>
    <n v="2.9E-4"/>
    <n v="0"/>
    <x v="1"/>
    <x v="0"/>
    <n v="2.9E-4"/>
  </r>
  <r>
    <s v="SYN2672"/>
    <n v="40"/>
    <x v="0"/>
    <n v="7"/>
    <n v="46"/>
    <n v="1.2700000000000001E-3"/>
    <n v="0"/>
    <x v="3"/>
    <x v="0"/>
    <n v="1.2700000000000001E-3"/>
  </r>
  <r>
    <s v="SYN2673"/>
    <n v="58"/>
    <x v="0"/>
    <n v="4"/>
    <n v="61"/>
    <n v="5.11E-3"/>
    <n v="0"/>
    <x v="0"/>
    <x v="0"/>
    <n v="5.11E-3"/>
  </r>
  <r>
    <s v="SYN2674"/>
    <n v="51"/>
    <x v="0"/>
    <n v="12"/>
    <n v="62"/>
    <n v="7.2700000000000004E-3"/>
    <n v="0"/>
    <x v="0"/>
    <x v="2"/>
    <n v="7.2700000000000004E-3"/>
  </r>
  <r>
    <s v="SYN2675"/>
    <n v="62"/>
    <x v="1"/>
    <n v="1"/>
    <n v="62"/>
    <n v="9.6000000000000002E-4"/>
    <n v="0"/>
    <x v="0"/>
    <x v="0"/>
    <n v="9.6000000000000002E-4"/>
  </r>
  <r>
    <s v="SYN2676"/>
    <n v="28"/>
    <x v="0"/>
    <n v="11"/>
    <n v="38"/>
    <n v="8.7000000000000001E-4"/>
    <n v="0"/>
    <x v="1"/>
    <x v="2"/>
    <n v="8.7000000000000001E-4"/>
  </r>
  <r>
    <s v="SYN2677"/>
    <n v="57"/>
    <x v="1"/>
    <n v="17"/>
    <n v="73"/>
    <n v="1.7350000000000001E-2"/>
    <n v="0"/>
    <x v="5"/>
    <x v="2"/>
    <n v="1.7350000000000001E-2"/>
  </r>
  <r>
    <s v="SYN2678"/>
    <n v="37"/>
    <x v="1"/>
    <n v="7"/>
    <n v="43"/>
    <n v="7.6000000000000004E-4"/>
    <n v="0"/>
    <x v="3"/>
    <x v="0"/>
    <n v="7.6000000000000004E-4"/>
  </r>
  <r>
    <s v="SYN2679"/>
    <n v="26"/>
    <x v="1"/>
    <n v="5"/>
    <n v="30"/>
    <n v="2.5000000000000001E-4"/>
    <n v="0"/>
    <x v="1"/>
    <x v="0"/>
    <n v="2.5000000000000001E-4"/>
  </r>
  <r>
    <s v="SYN2680"/>
    <n v="22"/>
    <x v="1"/>
    <n v="19"/>
    <n v="40"/>
    <n v="1.1000000000000001E-3"/>
    <n v="0"/>
    <x v="3"/>
    <x v="2"/>
    <n v="1.1000000000000001E-3"/>
  </r>
  <r>
    <s v="SYN2681"/>
    <n v="32"/>
    <x v="1"/>
    <n v="7"/>
    <n v="38"/>
    <n v="5.2999999999999998E-4"/>
    <n v="0"/>
    <x v="1"/>
    <x v="0"/>
    <n v="5.2999999999999998E-4"/>
  </r>
  <r>
    <s v="SYN2682"/>
    <n v="24"/>
    <x v="1"/>
    <n v="18"/>
    <n v="41"/>
    <n v="1.08E-3"/>
    <n v="0"/>
    <x v="3"/>
    <x v="2"/>
    <n v="1.08E-3"/>
  </r>
  <r>
    <s v="SYN2683"/>
    <n v="50"/>
    <x v="0"/>
    <n v="25"/>
    <n v="74"/>
    <n v="2.6859999999999998E-2"/>
    <n v="0"/>
    <x v="5"/>
    <x v="1"/>
    <n v="2.6859999999999998E-2"/>
  </r>
  <r>
    <s v="SYN2684"/>
    <n v="22"/>
    <x v="0"/>
    <n v="5"/>
    <n v="26"/>
    <n v="5.9000000000000003E-4"/>
    <n v="0"/>
    <x v="6"/>
    <x v="0"/>
    <n v="5.9000000000000003E-4"/>
  </r>
  <r>
    <s v="SYN2685"/>
    <n v="36"/>
    <x v="1"/>
    <n v="29"/>
    <n v="64"/>
    <n v="5.4599999999999996E-3"/>
    <n v="0"/>
    <x v="0"/>
    <x v="1"/>
    <n v="5.4599999999999996E-3"/>
  </r>
  <r>
    <s v="SYN2686"/>
    <n v="55"/>
    <x v="1"/>
    <n v="12"/>
    <n v="66"/>
    <n v="7.2700000000000004E-3"/>
    <n v="0"/>
    <x v="0"/>
    <x v="2"/>
    <n v="7.2700000000000004E-3"/>
  </r>
  <r>
    <s v="SYN2687"/>
    <n v="65"/>
    <x v="1"/>
    <n v="4"/>
    <n v="68"/>
    <n v="5.7999999999999996E-3"/>
    <n v="0"/>
    <x v="0"/>
    <x v="0"/>
    <n v="5.7999999999999996E-3"/>
  </r>
  <r>
    <s v="SYN2688"/>
    <n v="46"/>
    <x v="1"/>
    <n v="17"/>
    <n v="62"/>
    <n v="5.77E-3"/>
    <n v="0"/>
    <x v="0"/>
    <x v="2"/>
    <n v="5.77E-3"/>
  </r>
  <r>
    <s v="SYN2689"/>
    <n v="21"/>
    <x v="1"/>
    <n v="6"/>
    <n v="26"/>
    <n v="2.9E-4"/>
    <n v="0"/>
    <x v="6"/>
    <x v="0"/>
    <n v="2.9E-4"/>
  </r>
  <r>
    <s v="SYN2690"/>
    <n v="28"/>
    <x v="0"/>
    <n v="10"/>
    <n v="37"/>
    <n v="7.6999999999999996E-4"/>
    <n v="0"/>
    <x v="1"/>
    <x v="2"/>
    <n v="7.6999999999999996E-4"/>
  </r>
  <r>
    <s v="SYN2691"/>
    <n v="64"/>
    <x v="1"/>
    <n v="7"/>
    <n v="70"/>
    <n v="8.2500000000000004E-3"/>
    <n v="0"/>
    <x v="5"/>
    <x v="0"/>
    <n v="8.2500000000000004E-3"/>
  </r>
  <r>
    <s v="SYN2692"/>
    <n v="63"/>
    <x v="1"/>
    <n v="18"/>
    <n v="80"/>
    <n v="3.7789999999999997E-2"/>
    <n v="0"/>
    <x v="4"/>
    <x v="2"/>
    <n v="3.7789999999999997E-2"/>
  </r>
  <r>
    <s v="SYN2693"/>
    <n v="30"/>
    <x v="1"/>
    <n v="15"/>
    <n v="44"/>
    <n v="1.1100000000000001E-3"/>
    <n v="0"/>
    <x v="3"/>
    <x v="2"/>
    <n v="1.1100000000000001E-3"/>
  </r>
  <r>
    <s v="SYN2694"/>
    <n v="44"/>
    <x v="1"/>
    <n v="13"/>
    <n v="56"/>
    <n v="2.9399999999999999E-3"/>
    <n v="0"/>
    <x v="2"/>
    <x v="2"/>
    <n v="2.9399999999999999E-3"/>
  </r>
  <r>
    <s v="SYN2695"/>
    <n v="20"/>
    <x v="1"/>
    <n v="6"/>
    <n v="25"/>
    <n v="3.2000000000000003E-4"/>
    <n v="0"/>
    <x v="6"/>
    <x v="0"/>
    <n v="3.2000000000000003E-4"/>
  </r>
  <r>
    <s v="SYN2696"/>
    <n v="20"/>
    <x v="1"/>
    <n v="29"/>
    <n v="48"/>
    <n v="1.3799999999999999E-3"/>
    <n v="0"/>
    <x v="3"/>
    <x v="1"/>
    <n v="1.3799999999999999E-3"/>
  </r>
  <r>
    <s v="SYN2697"/>
    <n v="52"/>
    <x v="1"/>
    <n v="23"/>
    <n v="74"/>
    <n v="2.0979999999999999E-2"/>
    <n v="0"/>
    <x v="5"/>
    <x v="1"/>
    <n v="2.0979999999999999E-2"/>
  </r>
  <r>
    <s v="SYN2698"/>
    <n v="34"/>
    <x v="1"/>
    <n v="10"/>
    <n v="43"/>
    <n v="8.4000000000000003E-4"/>
    <n v="0"/>
    <x v="3"/>
    <x v="2"/>
    <n v="8.4000000000000003E-4"/>
  </r>
  <r>
    <s v="SYN2699"/>
    <n v="30"/>
    <x v="0"/>
    <n v="8"/>
    <n v="37"/>
    <n v="6.6E-4"/>
    <n v="0"/>
    <x v="1"/>
    <x v="0"/>
    <n v="6.6E-4"/>
  </r>
  <r>
    <s v="SYN2700"/>
    <n v="22"/>
    <x v="0"/>
    <n v="21"/>
    <n v="42"/>
    <n v="1.91E-3"/>
    <n v="0"/>
    <x v="3"/>
    <x v="1"/>
    <n v="1.91E-3"/>
  </r>
  <r>
    <s v="SYN2701"/>
    <n v="28"/>
    <x v="1"/>
    <n v="9"/>
    <n v="36"/>
    <n v="5.0000000000000001E-4"/>
    <n v="0"/>
    <x v="1"/>
    <x v="0"/>
    <n v="5.0000000000000001E-4"/>
  </r>
  <r>
    <s v="SYN2702"/>
    <n v="35"/>
    <x v="0"/>
    <n v="27"/>
    <n v="61"/>
    <n v="6.3299999999999997E-3"/>
    <n v="0"/>
    <x v="0"/>
    <x v="1"/>
    <n v="6.3299999999999997E-3"/>
  </r>
  <r>
    <s v="SYN2703"/>
    <n v="61"/>
    <x v="1"/>
    <n v="12"/>
    <n v="72"/>
    <n v="1.226E-2"/>
    <n v="0"/>
    <x v="5"/>
    <x v="2"/>
    <n v="1.226E-2"/>
  </r>
  <r>
    <s v="SYN2704"/>
    <n v="40"/>
    <x v="1"/>
    <n v="3"/>
    <n v="42"/>
    <n v="5.0000000000000001E-4"/>
    <n v="0"/>
    <x v="3"/>
    <x v="0"/>
    <n v="5.0000000000000001E-4"/>
  </r>
  <r>
    <s v="SYN2705"/>
    <n v="36"/>
    <x v="0"/>
    <n v="24"/>
    <n v="59"/>
    <n v="5.7400000000000003E-3"/>
    <n v="0"/>
    <x v="2"/>
    <x v="1"/>
    <n v="5.7400000000000003E-3"/>
  </r>
  <r>
    <s v="SYN2706"/>
    <n v="38"/>
    <x v="1"/>
    <n v="11"/>
    <n v="48"/>
    <n v="1.3500000000000001E-3"/>
    <n v="0"/>
    <x v="3"/>
    <x v="2"/>
    <n v="1.3500000000000001E-3"/>
  </r>
  <r>
    <s v="SYN2707"/>
    <n v="20"/>
    <x v="0"/>
    <n v="27"/>
    <n v="46"/>
    <n v="2.5400000000000002E-3"/>
    <n v="0"/>
    <x v="3"/>
    <x v="1"/>
    <n v="2.5400000000000002E-3"/>
  </r>
  <r>
    <s v="SYN2708"/>
    <n v="37"/>
    <x v="0"/>
    <n v="6"/>
    <n v="42"/>
    <n v="8.9999999999999998E-4"/>
    <n v="0"/>
    <x v="3"/>
    <x v="0"/>
    <n v="8.9999999999999998E-4"/>
  </r>
  <r>
    <s v="SYN2709"/>
    <n v="62"/>
    <x v="1"/>
    <n v="28"/>
    <n v="89"/>
    <n v="9.3240000000000003E-2"/>
    <n v="0"/>
    <x v="4"/>
    <x v="1"/>
    <n v="9.3240000000000003E-2"/>
  </r>
  <r>
    <s v="SYN2710"/>
    <n v="26"/>
    <x v="1"/>
    <n v="24"/>
    <n v="49"/>
    <n v="1.8699999999999999E-3"/>
    <n v="0"/>
    <x v="3"/>
    <x v="1"/>
    <n v="1.8699999999999999E-3"/>
  </r>
  <r>
    <s v="SYN2711"/>
    <n v="61"/>
    <x v="1"/>
    <n v="9"/>
    <n v="69"/>
    <n v="8.0199999999999994E-3"/>
    <n v="0"/>
    <x v="0"/>
    <x v="0"/>
    <n v="8.0199999999999994E-3"/>
  </r>
  <r>
    <s v="SYN2712"/>
    <n v="55"/>
    <x v="1"/>
    <n v="7"/>
    <n v="61"/>
    <n v="3.8899999999999998E-3"/>
    <n v="0"/>
    <x v="0"/>
    <x v="0"/>
    <n v="3.8899999999999998E-3"/>
  </r>
  <r>
    <s v="SYN2713"/>
    <n v="37"/>
    <x v="1"/>
    <n v="7"/>
    <n v="43"/>
    <n v="7.6000000000000004E-4"/>
    <n v="0"/>
    <x v="3"/>
    <x v="0"/>
    <n v="7.6000000000000004E-4"/>
  </r>
  <r>
    <s v="SYN2714"/>
    <n v="45"/>
    <x v="0"/>
    <n v="5"/>
    <n v="49"/>
    <n v="1.5200000000000001E-3"/>
    <n v="0"/>
    <x v="3"/>
    <x v="0"/>
    <n v="1.5200000000000001E-3"/>
  </r>
  <r>
    <s v="SYN2715"/>
    <n v="47"/>
    <x v="0"/>
    <n v="12"/>
    <n v="58"/>
    <n v="4.79E-3"/>
    <n v="0"/>
    <x v="2"/>
    <x v="2"/>
    <n v="4.79E-3"/>
  </r>
  <r>
    <s v="SYN2716"/>
    <n v="51"/>
    <x v="0"/>
    <n v="6"/>
    <n v="56"/>
    <n v="3.2699999999999999E-3"/>
    <n v="0"/>
    <x v="2"/>
    <x v="0"/>
    <n v="3.2699999999999999E-3"/>
  </r>
  <r>
    <s v="SYN2717"/>
    <n v="31"/>
    <x v="1"/>
    <n v="7"/>
    <n v="37"/>
    <n v="4.8000000000000001E-4"/>
    <n v="0"/>
    <x v="1"/>
    <x v="0"/>
    <n v="4.8000000000000001E-4"/>
  </r>
  <r>
    <s v="SYN2718"/>
    <n v="31"/>
    <x v="0"/>
    <n v="21"/>
    <n v="51"/>
    <n v="2.7399999999999998E-3"/>
    <n v="0"/>
    <x v="2"/>
    <x v="1"/>
    <n v="2.7399999999999998E-3"/>
  </r>
  <r>
    <s v="SYN2719"/>
    <n v="31"/>
    <x v="0"/>
    <n v="27"/>
    <n v="57"/>
    <n v="4.3899999999999998E-3"/>
    <n v="0"/>
    <x v="2"/>
    <x v="1"/>
    <n v="4.3899999999999998E-3"/>
  </r>
  <r>
    <s v="SYN2720"/>
    <n v="24"/>
    <x v="0"/>
    <n v="5"/>
    <n v="28"/>
    <n v="4.6999999999999999E-4"/>
    <n v="0"/>
    <x v="6"/>
    <x v="0"/>
    <n v="4.6999999999999999E-4"/>
  </r>
  <r>
    <s v="SYN2721"/>
    <n v="61"/>
    <x v="0"/>
    <n v="13"/>
    <n v="73"/>
    <n v="2.2499999999999999E-2"/>
    <n v="0"/>
    <x v="5"/>
    <x v="2"/>
    <n v="2.2499999999999999E-2"/>
  </r>
  <r>
    <s v="SYN2722"/>
    <n v="20"/>
    <x v="0"/>
    <n v="20"/>
    <n v="39"/>
    <n v="1.58E-3"/>
    <n v="0"/>
    <x v="1"/>
    <x v="1"/>
    <n v="1.58E-3"/>
  </r>
  <r>
    <s v="SYN2723"/>
    <n v="27"/>
    <x v="0"/>
    <n v="27"/>
    <n v="53"/>
    <n v="3.2799999999999999E-3"/>
    <n v="0"/>
    <x v="2"/>
    <x v="1"/>
    <n v="3.2799999999999999E-3"/>
  </r>
  <r>
    <s v="SYN2724"/>
    <n v="22"/>
    <x v="0"/>
    <n v="5"/>
    <n v="26"/>
    <n v="5.9000000000000003E-4"/>
    <n v="0"/>
    <x v="6"/>
    <x v="0"/>
    <n v="5.9000000000000003E-4"/>
  </r>
  <r>
    <s v="SYN2725"/>
    <n v="29"/>
    <x v="1"/>
    <n v="21"/>
    <n v="49"/>
    <n v="1.8699999999999999E-3"/>
    <n v="0"/>
    <x v="3"/>
    <x v="1"/>
    <n v="1.8699999999999999E-3"/>
  </r>
  <r>
    <s v="SYN2726"/>
    <n v="20"/>
    <x v="0"/>
    <n v="26"/>
    <n v="45"/>
    <n v="2.5400000000000002E-3"/>
    <n v="0"/>
    <x v="3"/>
    <x v="1"/>
    <n v="2.5400000000000002E-3"/>
  </r>
  <r>
    <s v="SYN2727"/>
    <n v="41"/>
    <x v="1"/>
    <n v="28"/>
    <n v="68"/>
    <n v="9.2399999999999999E-3"/>
    <n v="0"/>
    <x v="0"/>
    <x v="1"/>
    <n v="9.2399999999999999E-3"/>
  </r>
  <r>
    <s v="SYN2728"/>
    <n v="50"/>
    <x v="1"/>
    <n v="25"/>
    <n v="74"/>
    <n v="2.0979999999999999E-2"/>
    <n v="0"/>
    <x v="5"/>
    <x v="1"/>
    <n v="2.0979999999999999E-2"/>
  </r>
  <r>
    <s v="SYN2729"/>
    <n v="30"/>
    <x v="0"/>
    <n v="10"/>
    <n v="39"/>
    <n v="8.8999999999999995E-4"/>
    <n v="0"/>
    <x v="1"/>
    <x v="2"/>
    <n v="8.8999999999999995E-4"/>
  </r>
  <r>
    <s v="SYN2730"/>
    <n v="23"/>
    <x v="1"/>
    <n v="18"/>
    <n v="40"/>
    <n v="1.0499999999999999E-3"/>
    <n v="0"/>
    <x v="3"/>
    <x v="2"/>
    <n v="1.0499999999999999E-3"/>
  </r>
  <r>
    <s v="SYN2731"/>
    <n v="27"/>
    <x v="1"/>
    <n v="1"/>
    <n v="27"/>
    <n v="1.2E-4"/>
    <n v="0"/>
    <x v="6"/>
    <x v="0"/>
    <n v="1.2E-4"/>
  </r>
  <r>
    <s v="SYN2732"/>
    <n v="38"/>
    <x v="1"/>
    <n v="4"/>
    <n v="41"/>
    <n v="5.9000000000000003E-4"/>
    <n v="0"/>
    <x v="3"/>
    <x v="0"/>
    <n v="5.9000000000000003E-4"/>
  </r>
  <r>
    <s v="SYN2733"/>
    <n v="29"/>
    <x v="1"/>
    <n v="1"/>
    <n v="29"/>
    <n v="1.1E-4"/>
    <n v="0"/>
    <x v="6"/>
    <x v="0"/>
    <n v="1.1E-4"/>
  </r>
  <r>
    <s v="SYN2734"/>
    <n v="47"/>
    <x v="0"/>
    <n v="13"/>
    <n v="59"/>
    <n v="5.3800000000000002E-3"/>
    <n v="0"/>
    <x v="2"/>
    <x v="2"/>
    <n v="5.3800000000000002E-3"/>
  </r>
  <r>
    <s v="SYN2735"/>
    <n v="34"/>
    <x v="1"/>
    <n v="30"/>
    <n v="63"/>
    <n v="4.4600000000000004E-3"/>
    <n v="0"/>
    <x v="0"/>
    <x v="3"/>
    <n v="4.4600000000000004E-3"/>
  </r>
  <r>
    <s v="SYN2736"/>
    <n v="65"/>
    <x v="1"/>
    <n v="27"/>
    <n v="91"/>
    <n v="0.13125000000000001"/>
    <n v="0"/>
    <x v="7"/>
    <x v="1"/>
    <n v="0.13125000000000001"/>
  </r>
  <r>
    <s v="SYN2737"/>
    <n v="27"/>
    <x v="0"/>
    <n v="8"/>
    <n v="34"/>
    <n v="5.5999999999999995E-4"/>
    <n v="0"/>
    <x v="1"/>
    <x v="0"/>
    <n v="5.5999999999999995E-4"/>
  </r>
  <r>
    <s v="SYN2738"/>
    <n v="42"/>
    <x v="1"/>
    <n v="3"/>
    <n v="44"/>
    <n v="5.4000000000000001E-4"/>
    <n v="0"/>
    <x v="3"/>
    <x v="0"/>
    <n v="5.4000000000000001E-4"/>
  </r>
  <r>
    <s v="SYN2739"/>
    <n v="25"/>
    <x v="0"/>
    <n v="29"/>
    <n v="53"/>
    <n v="2.9299999999999999E-3"/>
    <n v="0"/>
    <x v="2"/>
    <x v="1"/>
    <n v="2.9299999999999999E-3"/>
  </r>
  <r>
    <s v="SYN2740"/>
    <n v="47"/>
    <x v="0"/>
    <n v="17"/>
    <n v="63"/>
    <n v="8.4899999999999993E-3"/>
    <n v="0"/>
    <x v="0"/>
    <x v="2"/>
    <n v="8.4899999999999993E-3"/>
  </r>
  <r>
    <s v="SYN2741"/>
    <n v="47"/>
    <x v="1"/>
    <n v="5"/>
    <n v="51"/>
    <n v="1.33E-3"/>
    <n v="0"/>
    <x v="2"/>
    <x v="0"/>
    <n v="1.33E-3"/>
  </r>
  <r>
    <s v="SYN2742"/>
    <n v="59"/>
    <x v="0"/>
    <n v="27"/>
    <n v="85"/>
    <n v="8.0629999999999993E-2"/>
    <n v="0"/>
    <x v="4"/>
    <x v="1"/>
    <n v="8.0629999999999993E-2"/>
  </r>
  <r>
    <s v="SYN2743"/>
    <n v="37"/>
    <x v="0"/>
    <n v="30"/>
    <n v="66"/>
    <n v="7.79E-3"/>
    <n v="0"/>
    <x v="0"/>
    <x v="3"/>
    <n v="7.79E-3"/>
  </r>
  <r>
    <s v="SYN2744"/>
    <n v="36"/>
    <x v="1"/>
    <n v="26"/>
    <n v="61"/>
    <n v="5.4599999999999996E-3"/>
    <n v="0"/>
    <x v="0"/>
    <x v="1"/>
    <n v="5.4599999999999996E-3"/>
  </r>
  <r>
    <s v="SYN2745"/>
    <n v="20"/>
    <x v="1"/>
    <n v="28"/>
    <n v="47"/>
    <n v="1.3799999999999999E-3"/>
    <n v="0"/>
    <x v="3"/>
    <x v="1"/>
    <n v="1.3799999999999999E-3"/>
  </r>
  <r>
    <s v="SYN2746"/>
    <n v="61"/>
    <x v="0"/>
    <n v="5"/>
    <n v="65"/>
    <n v="7.3899999999999999E-3"/>
    <n v="0"/>
    <x v="0"/>
    <x v="0"/>
    <n v="7.3899999999999999E-3"/>
  </r>
  <r>
    <s v="SYN2747"/>
    <n v="50"/>
    <x v="0"/>
    <n v="27"/>
    <n v="76"/>
    <n v="3.006E-2"/>
    <n v="0"/>
    <x v="5"/>
    <x v="1"/>
    <n v="3.006E-2"/>
  </r>
  <r>
    <s v="SYN2748"/>
    <n v="37"/>
    <x v="0"/>
    <n v="5"/>
    <n v="41"/>
    <n v="8.0000000000000004E-4"/>
    <n v="0"/>
    <x v="3"/>
    <x v="0"/>
    <n v="8.0000000000000004E-4"/>
  </r>
  <r>
    <s v="SYN2749"/>
    <n v="31"/>
    <x v="0"/>
    <n v="25"/>
    <n v="55"/>
    <n v="4.0499999999999998E-3"/>
    <n v="0"/>
    <x v="2"/>
    <x v="1"/>
    <n v="4.0499999999999998E-3"/>
  </r>
  <r>
    <s v="SYN2750"/>
    <n v="47"/>
    <x v="1"/>
    <n v="16"/>
    <n v="62"/>
    <n v="5.7299999999999999E-3"/>
    <n v="0"/>
    <x v="0"/>
    <x v="2"/>
    <n v="5.7299999999999999E-3"/>
  </r>
  <r>
    <s v="SYN2751"/>
    <n v="60"/>
    <x v="0"/>
    <n v="11"/>
    <n v="70"/>
    <n v="1.5789999999999998E-2"/>
    <n v="0"/>
    <x v="5"/>
    <x v="2"/>
    <n v="1.5789999999999998E-2"/>
  </r>
  <r>
    <s v="SYN2752"/>
    <n v="35"/>
    <x v="0"/>
    <n v="13"/>
    <n v="47"/>
    <n v="1.6900000000000001E-3"/>
    <n v="0"/>
    <x v="3"/>
    <x v="2"/>
    <n v="1.6900000000000001E-3"/>
  </r>
  <r>
    <s v="SYN2753"/>
    <n v="54"/>
    <x v="1"/>
    <n v="16"/>
    <n v="69"/>
    <n v="1.1350000000000001E-2"/>
    <n v="0"/>
    <x v="0"/>
    <x v="2"/>
    <n v="1.1350000000000001E-2"/>
  </r>
  <r>
    <s v="SYN2754"/>
    <n v="44"/>
    <x v="1"/>
    <n v="3"/>
    <n v="46"/>
    <n v="6.2E-4"/>
    <n v="0"/>
    <x v="3"/>
    <x v="0"/>
    <n v="6.2E-4"/>
  </r>
  <r>
    <s v="SYN2755"/>
    <n v="56"/>
    <x v="1"/>
    <n v="25"/>
    <n v="80"/>
    <n v="3.986E-2"/>
    <n v="0"/>
    <x v="4"/>
    <x v="1"/>
    <n v="3.986E-2"/>
  </r>
  <r>
    <s v="SYN2756"/>
    <n v="64"/>
    <x v="0"/>
    <n v="3"/>
    <n v="66"/>
    <n v="5.8999999999999999E-3"/>
    <n v="1"/>
    <x v="0"/>
    <x v="0"/>
    <n v="5.8999999999999999E-3"/>
  </r>
  <r>
    <s v="SYN2757"/>
    <n v="21"/>
    <x v="1"/>
    <n v="12"/>
    <n v="32"/>
    <n v="4.2999999999999999E-4"/>
    <n v="0"/>
    <x v="1"/>
    <x v="2"/>
    <n v="4.2999999999999999E-4"/>
  </r>
  <r>
    <s v="SYN2758"/>
    <n v="27"/>
    <x v="1"/>
    <n v="2"/>
    <n v="28"/>
    <n v="1.7000000000000001E-4"/>
    <n v="0"/>
    <x v="6"/>
    <x v="0"/>
    <n v="1.7000000000000001E-4"/>
  </r>
  <r>
    <s v="SYN2759"/>
    <n v="28"/>
    <x v="0"/>
    <n v="10"/>
    <n v="37"/>
    <n v="7.6999999999999996E-4"/>
    <n v="0"/>
    <x v="1"/>
    <x v="2"/>
    <n v="7.6999999999999996E-4"/>
  </r>
  <r>
    <s v="SYN2760"/>
    <n v="55"/>
    <x v="1"/>
    <n v="30"/>
    <n v="84"/>
    <n v="3.986E-2"/>
    <n v="0"/>
    <x v="4"/>
    <x v="3"/>
    <n v="3.986E-2"/>
  </r>
  <r>
    <s v="SYN2761"/>
    <n v="34"/>
    <x v="1"/>
    <n v="2"/>
    <n v="35"/>
    <n v="2.3000000000000001E-4"/>
    <n v="0"/>
    <x v="1"/>
    <x v="0"/>
    <n v="2.3000000000000001E-4"/>
  </r>
  <r>
    <s v="SYN2762"/>
    <n v="64"/>
    <x v="0"/>
    <n v="23"/>
    <n v="86"/>
    <n v="0.10346"/>
    <n v="0"/>
    <x v="4"/>
    <x v="1"/>
    <n v="0.10346"/>
  </r>
  <r>
    <s v="SYN2763"/>
    <n v="64"/>
    <x v="0"/>
    <n v="14"/>
    <n v="77"/>
    <n v="3.1980000000000001E-2"/>
    <n v="0"/>
    <x v="5"/>
    <x v="2"/>
    <n v="3.1980000000000001E-2"/>
  </r>
  <r>
    <s v="SYN2764"/>
    <n v="62"/>
    <x v="0"/>
    <n v="19"/>
    <n v="80"/>
    <n v="5.0849999999999999E-2"/>
    <n v="0"/>
    <x v="4"/>
    <x v="2"/>
    <n v="5.0849999999999999E-2"/>
  </r>
  <r>
    <s v="SYN2765"/>
    <n v="30"/>
    <x v="0"/>
    <n v="1"/>
    <n v="30"/>
    <n v="2.5000000000000001E-4"/>
    <n v="0"/>
    <x v="1"/>
    <x v="0"/>
    <n v="2.5000000000000001E-4"/>
  </r>
  <r>
    <s v="SYN2766"/>
    <n v="35"/>
    <x v="0"/>
    <n v="3"/>
    <n v="37"/>
    <n v="5.0000000000000001E-4"/>
    <n v="0"/>
    <x v="1"/>
    <x v="0"/>
    <n v="5.0000000000000001E-4"/>
  </r>
  <r>
    <s v="SYN2767"/>
    <n v="46"/>
    <x v="1"/>
    <n v="5"/>
    <n v="50"/>
    <n v="1.2199999999999999E-3"/>
    <n v="0"/>
    <x v="2"/>
    <x v="0"/>
    <n v="1.2199999999999999E-3"/>
  </r>
  <r>
    <s v="SYN2768"/>
    <n v="28"/>
    <x v="1"/>
    <n v="24"/>
    <n v="51"/>
    <n v="2.1900000000000001E-3"/>
    <n v="0"/>
    <x v="2"/>
    <x v="1"/>
    <n v="2.1900000000000001E-3"/>
  </r>
  <r>
    <s v="SYN2769"/>
    <n v="50"/>
    <x v="1"/>
    <n v="14"/>
    <n v="63"/>
    <n v="6.0699999999999999E-3"/>
    <n v="0"/>
    <x v="0"/>
    <x v="2"/>
    <n v="6.0699999999999999E-3"/>
  </r>
  <r>
    <s v="SYN2770"/>
    <n v="61"/>
    <x v="0"/>
    <n v="23"/>
    <n v="83"/>
    <n v="7.1389999999999995E-2"/>
    <n v="0"/>
    <x v="4"/>
    <x v="1"/>
    <n v="7.1389999999999995E-2"/>
  </r>
  <r>
    <s v="SYN2771"/>
    <n v="23"/>
    <x v="1"/>
    <n v="29"/>
    <n v="51"/>
    <n v="1.73E-3"/>
    <n v="0"/>
    <x v="2"/>
    <x v="1"/>
    <n v="1.73E-3"/>
  </r>
  <r>
    <s v="SYN2772"/>
    <n v="31"/>
    <x v="0"/>
    <n v="17"/>
    <n v="47"/>
    <n v="1.97E-3"/>
    <n v="0"/>
    <x v="3"/>
    <x v="2"/>
    <n v="1.97E-3"/>
  </r>
  <r>
    <s v="SYN2773"/>
    <n v="47"/>
    <x v="1"/>
    <n v="22"/>
    <n v="68"/>
    <n v="1.141E-2"/>
    <n v="0"/>
    <x v="0"/>
    <x v="1"/>
    <n v="1.141E-2"/>
  </r>
  <r>
    <s v="SYN2774"/>
    <n v="65"/>
    <x v="0"/>
    <n v="27"/>
    <n v="91"/>
    <n v="0.16611999999999999"/>
    <n v="0"/>
    <x v="7"/>
    <x v="1"/>
    <n v="0.16611999999999999"/>
  </r>
  <r>
    <s v="SYN2775"/>
    <n v="39"/>
    <x v="0"/>
    <n v="23"/>
    <n v="61"/>
    <n v="7.0200000000000002E-3"/>
    <n v="0"/>
    <x v="0"/>
    <x v="1"/>
    <n v="7.0200000000000002E-3"/>
  </r>
  <r>
    <s v="SYN2776"/>
    <n v="37"/>
    <x v="1"/>
    <n v="3"/>
    <n v="39"/>
    <n v="4.2999999999999999E-4"/>
    <n v="0"/>
    <x v="1"/>
    <x v="0"/>
    <n v="4.2999999999999999E-4"/>
  </r>
  <r>
    <s v="SYN2777"/>
    <n v="28"/>
    <x v="0"/>
    <n v="24"/>
    <n v="51"/>
    <n v="2.8900000000000002E-3"/>
    <n v="0"/>
    <x v="2"/>
    <x v="1"/>
    <n v="2.8900000000000002E-3"/>
  </r>
  <r>
    <s v="SYN2778"/>
    <n v="34"/>
    <x v="0"/>
    <n v="13"/>
    <n v="46"/>
    <n v="1.56E-3"/>
    <n v="0"/>
    <x v="3"/>
    <x v="2"/>
    <n v="1.56E-3"/>
  </r>
  <r>
    <s v="SYN2779"/>
    <n v="55"/>
    <x v="1"/>
    <n v="20"/>
    <n v="74"/>
    <n v="2.0740000000000001E-2"/>
    <n v="0"/>
    <x v="5"/>
    <x v="1"/>
    <n v="2.0740000000000001E-2"/>
  </r>
  <r>
    <s v="SYN2780"/>
    <n v="49"/>
    <x v="0"/>
    <n v="16"/>
    <n v="64"/>
    <n v="9.2800000000000001E-3"/>
    <n v="0"/>
    <x v="0"/>
    <x v="2"/>
    <n v="9.2800000000000001E-3"/>
  </r>
  <r>
    <s v="SYN2781"/>
    <n v="44"/>
    <x v="0"/>
    <n v="6"/>
    <n v="49"/>
    <n v="1.5900000000000001E-3"/>
    <n v="0"/>
    <x v="3"/>
    <x v="0"/>
    <n v="1.5900000000000001E-3"/>
  </r>
  <r>
    <s v="SYN2782"/>
    <n v="47"/>
    <x v="0"/>
    <n v="7"/>
    <n v="53"/>
    <n v="2.5000000000000001E-3"/>
    <n v="0"/>
    <x v="2"/>
    <x v="0"/>
    <n v="2.5000000000000001E-3"/>
  </r>
  <r>
    <s v="SYN2783"/>
    <n v="43"/>
    <x v="1"/>
    <n v="20"/>
    <n v="62"/>
    <n v="5.9800000000000001E-3"/>
    <n v="0"/>
    <x v="0"/>
    <x v="1"/>
    <n v="5.9800000000000001E-3"/>
  </r>
  <r>
    <s v="SYN2784"/>
    <n v="35"/>
    <x v="0"/>
    <n v="10"/>
    <n v="44"/>
    <n v="1.2600000000000001E-3"/>
    <n v="0"/>
    <x v="3"/>
    <x v="2"/>
    <n v="1.2600000000000001E-3"/>
  </r>
  <r>
    <s v="SYN2785"/>
    <n v="33"/>
    <x v="0"/>
    <n v="20"/>
    <n v="52"/>
    <n v="2.97E-3"/>
    <n v="0"/>
    <x v="2"/>
    <x v="1"/>
    <n v="2.97E-3"/>
  </r>
  <r>
    <s v="SYN2786"/>
    <n v="32"/>
    <x v="0"/>
    <n v="18"/>
    <n v="49"/>
    <n v="2.3E-3"/>
    <n v="0"/>
    <x v="3"/>
    <x v="2"/>
    <n v="2.3E-3"/>
  </r>
  <r>
    <s v="SYN2787"/>
    <n v="35"/>
    <x v="0"/>
    <n v="9"/>
    <n v="43"/>
    <n v="1.16E-3"/>
    <n v="0"/>
    <x v="3"/>
    <x v="0"/>
    <n v="1.16E-3"/>
  </r>
  <r>
    <s v="SYN2788"/>
    <n v="22"/>
    <x v="1"/>
    <n v="19"/>
    <n v="40"/>
    <n v="1.1000000000000001E-3"/>
    <n v="0"/>
    <x v="3"/>
    <x v="2"/>
    <n v="1.1000000000000001E-3"/>
  </r>
  <r>
    <s v="SYN2789"/>
    <n v="23"/>
    <x v="0"/>
    <n v="11"/>
    <n v="33"/>
    <n v="6.8999999999999997E-4"/>
    <n v="0"/>
    <x v="1"/>
    <x v="2"/>
    <n v="6.8999999999999997E-4"/>
  </r>
  <r>
    <s v="SYN2790"/>
    <n v="42"/>
    <x v="0"/>
    <n v="25"/>
    <n v="66"/>
    <n v="1.162E-2"/>
    <n v="0"/>
    <x v="0"/>
    <x v="1"/>
    <n v="1.162E-2"/>
  </r>
  <r>
    <s v="SYN2791"/>
    <n v="32"/>
    <x v="1"/>
    <n v="11"/>
    <n v="42"/>
    <n v="8.5999999999999998E-4"/>
    <n v="0"/>
    <x v="3"/>
    <x v="2"/>
    <n v="8.5999999999999998E-4"/>
  </r>
  <r>
    <s v="SYN2792"/>
    <n v="28"/>
    <x v="1"/>
    <n v="23"/>
    <n v="50"/>
    <n v="2.0200000000000001E-3"/>
    <n v="0"/>
    <x v="2"/>
    <x v="1"/>
    <n v="2.0200000000000001E-3"/>
  </r>
  <r>
    <s v="SYN2793"/>
    <n v="52"/>
    <x v="1"/>
    <n v="4"/>
    <n v="55"/>
    <n v="1.8699999999999999E-3"/>
    <n v="0"/>
    <x v="2"/>
    <x v="0"/>
    <n v="1.8699999999999999E-3"/>
  </r>
  <r>
    <s v="SYN2794"/>
    <n v="21"/>
    <x v="1"/>
    <n v="19"/>
    <n v="39"/>
    <n v="1.06E-3"/>
    <n v="0"/>
    <x v="1"/>
    <x v="2"/>
    <n v="1.06E-3"/>
  </r>
  <r>
    <s v="SYN2795"/>
    <n v="22"/>
    <x v="0"/>
    <n v="10"/>
    <n v="31"/>
    <n v="6.4000000000000005E-4"/>
    <n v="0"/>
    <x v="1"/>
    <x v="2"/>
    <n v="6.4000000000000005E-4"/>
  </r>
  <r>
    <s v="SYN2796"/>
    <n v="25"/>
    <x v="1"/>
    <n v="29"/>
    <n v="53"/>
    <n v="2.0200000000000001E-3"/>
    <n v="0"/>
    <x v="2"/>
    <x v="1"/>
    <n v="2.0200000000000001E-3"/>
  </r>
  <r>
    <s v="SYN2797"/>
    <n v="34"/>
    <x v="0"/>
    <n v="29"/>
    <n v="62"/>
    <n v="5.7400000000000003E-3"/>
    <n v="0"/>
    <x v="0"/>
    <x v="1"/>
    <n v="5.7400000000000003E-3"/>
  </r>
  <r>
    <s v="SYN2798"/>
    <n v="29"/>
    <x v="1"/>
    <n v="25"/>
    <n v="53"/>
    <n v="2.5899999999999999E-3"/>
    <n v="0"/>
    <x v="2"/>
    <x v="1"/>
    <n v="2.5899999999999999E-3"/>
  </r>
  <r>
    <s v="SYN2799"/>
    <n v="52"/>
    <x v="1"/>
    <n v="17"/>
    <n v="68"/>
    <n v="1.056E-2"/>
    <n v="0"/>
    <x v="0"/>
    <x v="2"/>
    <n v="1.056E-2"/>
  </r>
  <r>
    <s v="SYN2800"/>
    <n v="53"/>
    <x v="1"/>
    <n v="30"/>
    <n v="82"/>
    <n v="3.1989999999999998E-2"/>
    <n v="0"/>
    <x v="4"/>
    <x v="3"/>
    <n v="3.1989999999999998E-2"/>
  </r>
  <r>
    <s v="SYN2801"/>
    <n v="28"/>
    <x v="0"/>
    <n v="11"/>
    <n v="38"/>
    <n v="8.7000000000000001E-4"/>
    <n v="0"/>
    <x v="1"/>
    <x v="2"/>
    <n v="8.7000000000000001E-4"/>
  </r>
  <r>
    <s v="SYN2802"/>
    <n v="47"/>
    <x v="1"/>
    <n v="2"/>
    <n v="48"/>
    <n v="4.8999999999999998E-4"/>
    <n v="0"/>
    <x v="3"/>
    <x v="0"/>
    <n v="4.8999999999999998E-4"/>
  </r>
  <r>
    <s v="SYN2803"/>
    <n v="44"/>
    <x v="0"/>
    <n v="8"/>
    <n v="51"/>
    <n v="2.1099999999999999E-3"/>
    <n v="0"/>
    <x v="2"/>
    <x v="0"/>
    <n v="2.1099999999999999E-3"/>
  </r>
  <r>
    <s v="SYN2804"/>
    <n v="24"/>
    <x v="1"/>
    <n v="5"/>
    <n v="28"/>
    <n v="2.4000000000000001E-4"/>
    <n v="0"/>
    <x v="6"/>
    <x v="0"/>
    <n v="2.4000000000000001E-4"/>
  </r>
  <r>
    <s v="SYN2805"/>
    <n v="26"/>
    <x v="0"/>
    <n v="26"/>
    <n v="51"/>
    <n v="3.0899999999999999E-3"/>
    <n v="0"/>
    <x v="2"/>
    <x v="1"/>
    <n v="3.0899999999999999E-3"/>
  </r>
  <r>
    <s v="SYN2806"/>
    <n v="39"/>
    <x v="1"/>
    <n v="18"/>
    <n v="56"/>
    <n v="3.1800000000000001E-3"/>
    <n v="0"/>
    <x v="2"/>
    <x v="2"/>
    <n v="3.1800000000000001E-3"/>
  </r>
  <r>
    <s v="SYN2807"/>
    <n v="25"/>
    <x v="0"/>
    <n v="16"/>
    <n v="40"/>
    <n v="1.2800000000000001E-3"/>
    <n v="0"/>
    <x v="3"/>
    <x v="2"/>
    <n v="1.2800000000000001E-3"/>
  </r>
  <r>
    <s v="SYN2808"/>
    <n v="38"/>
    <x v="0"/>
    <n v="6"/>
    <n v="43"/>
    <n v="9.8999999999999999E-4"/>
    <n v="0"/>
    <x v="3"/>
    <x v="0"/>
    <n v="9.8999999999999999E-4"/>
  </r>
  <r>
    <s v="SYN2809"/>
    <n v="42"/>
    <x v="0"/>
    <n v="3"/>
    <n v="44"/>
    <n v="8.7000000000000001E-4"/>
    <n v="0"/>
    <x v="3"/>
    <x v="0"/>
    <n v="8.7000000000000001E-4"/>
  </r>
  <r>
    <s v="SYN2810"/>
    <n v="49"/>
    <x v="1"/>
    <n v="9"/>
    <n v="57"/>
    <n v="2.7499999999999998E-3"/>
    <n v="0"/>
    <x v="2"/>
    <x v="0"/>
    <n v="2.7499999999999998E-3"/>
  </r>
  <r>
    <s v="SYN2811"/>
    <n v="48"/>
    <x v="1"/>
    <n v="21"/>
    <n v="68"/>
    <n v="1.141E-2"/>
    <n v="0"/>
    <x v="0"/>
    <x v="1"/>
    <n v="1.141E-2"/>
  </r>
  <r>
    <s v="SYN2812"/>
    <n v="56"/>
    <x v="0"/>
    <n v="16"/>
    <n v="71"/>
    <n v="1.8769999999999998E-2"/>
    <n v="0"/>
    <x v="5"/>
    <x v="2"/>
    <n v="1.8769999999999998E-2"/>
  </r>
  <r>
    <s v="SYN2813"/>
    <n v="45"/>
    <x v="1"/>
    <n v="14"/>
    <n v="58"/>
    <n v="3.6800000000000001E-3"/>
    <n v="0"/>
    <x v="2"/>
    <x v="2"/>
    <n v="3.6800000000000001E-3"/>
  </r>
  <r>
    <s v="SYN2814"/>
    <n v="28"/>
    <x v="0"/>
    <n v="15"/>
    <n v="42"/>
    <n v="1.41E-3"/>
    <n v="0"/>
    <x v="3"/>
    <x v="2"/>
    <n v="1.41E-3"/>
  </r>
  <r>
    <s v="SYN2815"/>
    <n v="40"/>
    <x v="0"/>
    <n v="12"/>
    <n v="51"/>
    <n v="2.3400000000000001E-3"/>
    <n v="0"/>
    <x v="2"/>
    <x v="2"/>
    <n v="2.3400000000000001E-3"/>
  </r>
  <r>
    <s v="SYN2816"/>
    <n v="48"/>
    <x v="1"/>
    <n v="9"/>
    <n v="56"/>
    <n v="2.5100000000000001E-3"/>
    <n v="0"/>
    <x v="2"/>
    <x v="0"/>
    <n v="2.5100000000000001E-3"/>
  </r>
  <r>
    <s v="SYN2817"/>
    <n v="22"/>
    <x v="1"/>
    <n v="20"/>
    <n v="41"/>
    <n v="1.1900000000000001E-3"/>
    <n v="0"/>
    <x v="3"/>
    <x v="1"/>
    <n v="1.1900000000000001E-3"/>
  </r>
  <r>
    <s v="SYN2818"/>
    <n v="35"/>
    <x v="1"/>
    <n v="23"/>
    <n v="57"/>
    <n v="3.6900000000000001E-3"/>
    <n v="0"/>
    <x v="2"/>
    <x v="1"/>
    <n v="3.6900000000000001E-3"/>
  </r>
  <r>
    <s v="SYN2819"/>
    <n v="26"/>
    <x v="0"/>
    <n v="10"/>
    <n v="35"/>
    <n v="6.8999999999999997E-4"/>
    <n v="0"/>
    <x v="1"/>
    <x v="2"/>
    <n v="6.8999999999999997E-4"/>
  </r>
  <r>
    <s v="SYN2820"/>
    <n v="24"/>
    <x v="0"/>
    <n v="8"/>
    <n v="31"/>
    <n v="5.2999999999999998E-4"/>
    <n v="0"/>
    <x v="1"/>
    <x v="0"/>
    <n v="5.2999999999999998E-4"/>
  </r>
  <r>
    <s v="SYN2821"/>
    <n v="25"/>
    <x v="0"/>
    <n v="12"/>
    <n v="36"/>
    <n v="8.0999999999999996E-4"/>
    <n v="0"/>
    <x v="1"/>
    <x v="2"/>
    <n v="8.0999999999999996E-4"/>
  </r>
  <r>
    <s v="SYN2822"/>
    <n v="49"/>
    <x v="0"/>
    <n v="4"/>
    <n v="52"/>
    <n v="1.9400000000000001E-3"/>
    <n v="0"/>
    <x v="2"/>
    <x v="0"/>
    <n v="1.9400000000000001E-3"/>
  </r>
  <r>
    <s v="SYN2823"/>
    <n v="45"/>
    <x v="0"/>
    <n v="25"/>
    <n v="69"/>
    <n v="1.5509999999999999E-2"/>
    <n v="0"/>
    <x v="0"/>
    <x v="1"/>
    <n v="1.5509999999999999E-2"/>
  </r>
  <r>
    <s v="SYN2824"/>
    <n v="24"/>
    <x v="0"/>
    <n v="11"/>
    <n v="34"/>
    <n v="7.1000000000000002E-4"/>
    <n v="0"/>
    <x v="1"/>
    <x v="2"/>
    <n v="7.1000000000000002E-4"/>
  </r>
  <r>
    <s v="SYN2825"/>
    <n v="33"/>
    <x v="1"/>
    <n v="23"/>
    <n v="55"/>
    <n v="3.0799999999999998E-3"/>
    <n v="0"/>
    <x v="2"/>
    <x v="1"/>
    <n v="3.0799999999999998E-3"/>
  </r>
  <r>
    <s v="SYN2826"/>
    <n v="49"/>
    <x v="1"/>
    <n v="2"/>
    <n v="50"/>
    <n v="5.9999999999999995E-4"/>
    <n v="0"/>
    <x v="2"/>
    <x v="0"/>
    <n v="5.9999999999999995E-4"/>
  </r>
  <r>
    <s v="SYN2827"/>
    <n v="29"/>
    <x v="0"/>
    <n v="21"/>
    <n v="49"/>
    <n v="2.33E-3"/>
    <n v="0"/>
    <x v="3"/>
    <x v="1"/>
    <n v="2.33E-3"/>
  </r>
  <r>
    <s v="SYN2828"/>
    <n v="58"/>
    <x v="0"/>
    <n v="25"/>
    <n v="82"/>
    <n v="6.3329999999999997E-2"/>
    <n v="0"/>
    <x v="4"/>
    <x v="1"/>
    <n v="6.3329999999999997E-2"/>
  </r>
  <r>
    <s v="SYN2829"/>
    <n v="43"/>
    <x v="0"/>
    <n v="26"/>
    <n v="68"/>
    <n v="1.413E-2"/>
    <n v="0"/>
    <x v="0"/>
    <x v="1"/>
    <n v="1.413E-2"/>
  </r>
  <r>
    <s v="SYN2830"/>
    <n v="23"/>
    <x v="1"/>
    <n v="7"/>
    <n v="29"/>
    <n v="2.9999999999999997E-4"/>
    <n v="0"/>
    <x v="6"/>
    <x v="0"/>
    <n v="2.9999999999999997E-4"/>
  </r>
  <r>
    <s v="SYN2831"/>
    <n v="63"/>
    <x v="0"/>
    <n v="14"/>
    <n v="76"/>
    <n v="2.9659999999999999E-2"/>
    <n v="0"/>
    <x v="5"/>
    <x v="2"/>
    <n v="2.9659999999999999E-2"/>
  </r>
  <r>
    <s v="SYN2832"/>
    <n v="25"/>
    <x v="0"/>
    <n v="5"/>
    <n v="29"/>
    <n v="4.2999999999999999E-4"/>
    <n v="0"/>
    <x v="6"/>
    <x v="0"/>
    <n v="4.2999999999999999E-4"/>
  </r>
  <r>
    <s v="SYN2833"/>
    <n v="39"/>
    <x v="1"/>
    <n v="28"/>
    <n v="66"/>
    <n v="7.4700000000000001E-3"/>
    <n v="0"/>
    <x v="0"/>
    <x v="1"/>
    <n v="7.4700000000000001E-3"/>
  </r>
  <r>
    <s v="SYN2834"/>
    <n v="53"/>
    <x v="1"/>
    <n v="7"/>
    <n v="59"/>
    <n v="3.13E-3"/>
    <n v="0"/>
    <x v="2"/>
    <x v="0"/>
    <n v="3.13E-3"/>
  </r>
  <r>
    <s v="SYN2835"/>
    <n v="23"/>
    <x v="1"/>
    <n v="3"/>
    <n v="25"/>
    <n v="2.5000000000000001E-4"/>
    <n v="0"/>
    <x v="6"/>
    <x v="0"/>
    <n v="2.5000000000000001E-4"/>
  </r>
  <r>
    <s v="SYN2836"/>
    <n v="39"/>
    <x v="0"/>
    <n v="6"/>
    <n v="44"/>
    <n v="1.06E-3"/>
    <n v="0"/>
    <x v="3"/>
    <x v="0"/>
    <n v="1.06E-3"/>
  </r>
  <r>
    <s v="SYN2837"/>
    <n v="50"/>
    <x v="1"/>
    <n v="16"/>
    <n v="65"/>
    <n v="7.7999999999999996E-3"/>
    <n v="0"/>
    <x v="0"/>
    <x v="2"/>
    <n v="7.7999999999999996E-3"/>
  </r>
  <r>
    <s v="SYN2838"/>
    <n v="64"/>
    <x v="0"/>
    <n v="14"/>
    <n v="77"/>
    <n v="3.1980000000000001E-2"/>
    <n v="0"/>
    <x v="5"/>
    <x v="2"/>
    <n v="3.1980000000000001E-2"/>
  </r>
  <r>
    <s v="SYN2839"/>
    <n v="44"/>
    <x v="0"/>
    <n v="27"/>
    <n v="70"/>
    <n v="1.553E-2"/>
    <n v="0"/>
    <x v="5"/>
    <x v="1"/>
    <n v="1.553E-2"/>
  </r>
  <r>
    <s v="SYN2840"/>
    <n v="58"/>
    <x v="0"/>
    <n v="7"/>
    <n v="64"/>
    <n v="8.0099999999999998E-3"/>
    <n v="0"/>
    <x v="0"/>
    <x v="0"/>
    <n v="8.0099999999999998E-3"/>
  </r>
  <r>
    <s v="SYN2841"/>
    <n v="59"/>
    <x v="0"/>
    <n v="5"/>
    <n v="63"/>
    <n v="6.3200000000000001E-3"/>
    <n v="0"/>
    <x v="0"/>
    <x v="0"/>
    <n v="6.3200000000000001E-3"/>
  </r>
  <r>
    <s v="SYN2842"/>
    <n v="40"/>
    <x v="0"/>
    <n v="1"/>
    <n v="40"/>
    <n v="3.1E-4"/>
    <n v="0"/>
    <x v="3"/>
    <x v="0"/>
    <n v="3.1E-4"/>
  </r>
  <r>
    <s v="SYN2843"/>
    <n v="29"/>
    <x v="1"/>
    <n v="16"/>
    <n v="44"/>
    <n v="1.15E-3"/>
    <n v="0"/>
    <x v="3"/>
    <x v="2"/>
    <n v="1.15E-3"/>
  </r>
  <r>
    <s v="SYN2844"/>
    <n v="63"/>
    <x v="0"/>
    <n v="14"/>
    <n v="76"/>
    <n v="2.9659999999999999E-2"/>
    <n v="0"/>
    <x v="5"/>
    <x v="2"/>
    <n v="2.9659999999999999E-2"/>
  </r>
  <r>
    <s v="SYN2845"/>
    <n v="48"/>
    <x v="1"/>
    <n v="27"/>
    <n v="74"/>
    <n v="1.8970000000000001E-2"/>
    <n v="0"/>
    <x v="5"/>
    <x v="1"/>
    <n v="1.8970000000000001E-2"/>
  </r>
  <r>
    <s v="SYN2846"/>
    <n v="60"/>
    <x v="0"/>
    <n v="19"/>
    <n v="78"/>
    <n v="4.0669999999999998E-2"/>
    <n v="0"/>
    <x v="5"/>
    <x v="2"/>
    <n v="4.0669999999999998E-2"/>
  </r>
  <r>
    <s v="SYN2847"/>
    <n v="32"/>
    <x v="1"/>
    <n v="14"/>
    <n v="45"/>
    <n v="1.15E-3"/>
    <n v="0"/>
    <x v="3"/>
    <x v="2"/>
    <n v="1.15E-3"/>
  </r>
  <r>
    <s v="SYN2848"/>
    <n v="58"/>
    <x v="0"/>
    <n v="13"/>
    <n v="70"/>
    <n v="1.6709999999999999E-2"/>
    <n v="0"/>
    <x v="5"/>
    <x v="2"/>
    <n v="1.6709999999999999E-2"/>
  </r>
  <r>
    <s v="SYN2849"/>
    <n v="32"/>
    <x v="1"/>
    <n v="22"/>
    <n v="53"/>
    <n v="2.5899999999999999E-3"/>
    <n v="0"/>
    <x v="2"/>
    <x v="1"/>
    <n v="2.5899999999999999E-3"/>
  </r>
  <r>
    <s v="SYN2850"/>
    <n v="43"/>
    <x v="0"/>
    <n v="1"/>
    <n v="43"/>
    <n v="4.4000000000000002E-4"/>
    <n v="0"/>
    <x v="3"/>
    <x v="0"/>
    <n v="4.4000000000000002E-4"/>
  </r>
  <r>
    <s v="SYN2851"/>
    <n v="27"/>
    <x v="0"/>
    <n v="23"/>
    <n v="49"/>
    <n v="2.49E-3"/>
    <n v="0"/>
    <x v="3"/>
    <x v="1"/>
    <n v="2.49E-3"/>
  </r>
  <r>
    <s v="SYN2852"/>
    <n v="46"/>
    <x v="0"/>
    <n v="14"/>
    <n v="59"/>
    <n v="5.4299999999999999E-3"/>
    <n v="0"/>
    <x v="2"/>
    <x v="2"/>
    <n v="5.4299999999999999E-3"/>
  </r>
  <r>
    <s v="SYN2853"/>
    <n v="47"/>
    <x v="1"/>
    <n v="17"/>
    <n v="63"/>
    <n v="6.45E-3"/>
    <n v="0"/>
    <x v="0"/>
    <x v="2"/>
    <n v="6.45E-3"/>
  </r>
  <r>
    <s v="SYN2854"/>
    <n v="31"/>
    <x v="0"/>
    <n v="15"/>
    <n v="45"/>
    <n v="1.58E-3"/>
    <n v="0"/>
    <x v="3"/>
    <x v="2"/>
    <n v="1.58E-3"/>
  </r>
  <r>
    <s v="SYN2855"/>
    <n v="58"/>
    <x v="1"/>
    <n v="6"/>
    <n v="63"/>
    <n v="4.6699999999999997E-3"/>
    <n v="0"/>
    <x v="0"/>
    <x v="0"/>
    <n v="4.6699999999999997E-3"/>
  </r>
  <r>
    <s v="SYN2856"/>
    <n v="62"/>
    <x v="1"/>
    <n v="23"/>
    <n v="84"/>
    <n v="6.4490000000000006E-2"/>
    <n v="0"/>
    <x v="4"/>
    <x v="1"/>
    <n v="6.4490000000000006E-2"/>
  </r>
  <r>
    <s v="SYN2857"/>
    <n v="64"/>
    <x v="1"/>
    <n v="20"/>
    <n v="83"/>
    <n v="5.6770000000000001E-2"/>
    <n v="0"/>
    <x v="4"/>
    <x v="1"/>
    <n v="5.6770000000000001E-2"/>
  </r>
  <r>
    <s v="SYN2858"/>
    <n v="26"/>
    <x v="1"/>
    <n v="3"/>
    <n v="28"/>
    <n v="1.9000000000000001E-4"/>
    <n v="0"/>
    <x v="6"/>
    <x v="0"/>
    <n v="1.9000000000000001E-4"/>
  </r>
  <r>
    <s v="SYN2859"/>
    <n v="61"/>
    <x v="1"/>
    <n v="1"/>
    <n v="61"/>
    <n v="8.3000000000000001E-4"/>
    <n v="0"/>
    <x v="0"/>
    <x v="0"/>
    <n v="8.3000000000000001E-4"/>
  </r>
  <r>
    <s v="SYN2860"/>
    <n v="51"/>
    <x v="1"/>
    <n v="24"/>
    <n v="74"/>
    <n v="2.0979999999999999E-2"/>
    <n v="0"/>
    <x v="5"/>
    <x v="1"/>
    <n v="2.0979999999999999E-2"/>
  </r>
  <r>
    <s v="SYN2861"/>
    <n v="26"/>
    <x v="0"/>
    <n v="21"/>
    <n v="46"/>
    <n v="2.0100000000000001E-3"/>
    <n v="0"/>
    <x v="3"/>
    <x v="1"/>
    <n v="2.0100000000000001E-3"/>
  </r>
  <r>
    <s v="SYN2862"/>
    <n v="22"/>
    <x v="0"/>
    <n v="22"/>
    <n v="43"/>
    <n v="2.0400000000000001E-3"/>
    <n v="0"/>
    <x v="3"/>
    <x v="1"/>
    <n v="2.0400000000000001E-3"/>
  </r>
  <r>
    <s v="SYN2863"/>
    <n v="34"/>
    <x v="0"/>
    <n v="25"/>
    <n v="58"/>
    <n v="5.2199999999999998E-3"/>
    <n v="0"/>
    <x v="2"/>
    <x v="1"/>
    <n v="5.2199999999999998E-3"/>
  </r>
  <r>
    <s v="SYN2864"/>
    <n v="32"/>
    <x v="0"/>
    <n v="28"/>
    <n v="59"/>
    <n v="4.7800000000000004E-3"/>
    <n v="0"/>
    <x v="2"/>
    <x v="1"/>
    <n v="4.7800000000000004E-3"/>
  </r>
  <r>
    <s v="SYN2865"/>
    <n v="49"/>
    <x v="1"/>
    <n v="14"/>
    <n v="62"/>
    <n v="5.5599999999999998E-3"/>
    <n v="0"/>
    <x v="0"/>
    <x v="2"/>
    <n v="5.5599999999999998E-3"/>
  </r>
  <r>
    <s v="SYN2866"/>
    <n v="45"/>
    <x v="1"/>
    <n v="1"/>
    <n v="45"/>
    <n v="3.1E-4"/>
    <n v="0"/>
    <x v="3"/>
    <x v="0"/>
    <n v="3.1E-4"/>
  </r>
  <r>
    <s v="SYN2867"/>
    <n v="52"/>
    <x v="0"/>
    <n v="10"/>
    <n v="61"/>
    <n v="6.5500000000000003E-3"/>
    <n v="0"/>
    <x v="0"/>
    <x v="2"/>
    <n v="6.5500000000000003E-3"/>
  </r>
  <r>
    <s v="SYN2868"/>
    <n v="39"/>
    <x v="1"/>
    <n v="27"/>
    <n v="65"/>
    <n v="7.4700000000000001E-3"/>
    <n v="0"/>
    <x v="0"/>
    <x v="1"/>
    <n v="7.4700000000000001E-3"/>
  </r>
  <r>
    <s v="SYN2869"/>
    <n v="63"/>
    <x v="0"/>
    <n v="8"/>
    <n v="70"/>
    <n v="1.2489999999999999E-2"/>
    <n v="0"/>
    <x v="5"/>
    <x v="0"/>
    <n v="1.2489999999999999E-2"/>
  </r>
  <r>
    <s v="SYN2870"/>
    <n v="22"/>
    <x v="0"/>
    <n v="1"/>
    <n v="22"/>
    <n v="5.8E-4"/>
    <n v="0"/>
    <x v="6"/>
    <x v="0"/>
    <n v="5.8E-4"/>
  </r>
  <r>
    <s v="SYN2871"/>
    <n v="53"/>
    <x v="1"/>
    <n v="27"/>
    <n v="79"/>
    <n v="3.1989999999999998E-2"/>
    <n v="0"/>
    <x v="5"/>
    <x v="1"/>
    <n v="3.1989999999999998E-2"/>
  </r>
  <r>
    <s v="SYN2872"/>
    <n v="30"/>
    <x v="1"/>
    <n v="19"/>
    <n v="48"/>
    <n v="1.64E-3"/>
    <n v="0"/>
    <x v="3"/>
    <x v="2"/>
    <n v="1.64E-3"/>
  </r>
  <r>
    <s v="SYN2873"/>
    <n v="45"/>
    <x v="1"/>
    <n v="7"/>
    <n v="51"/>
    <n v="1.4499999999999999E-3"/>
    <n v="0"/>
    <x v="2"/>
    <x v="0"/>
    <n v="1.4499999999999999E-3"/>
  </r>
  <r>
    <s v="SYN2874"/>
    <n v="23"/>
    <x v="1"/>
    <n v="26"/>
    <n v="48"/>
    <n v="1.73E-3"/>
    <n v="0"/>
    <x v="3"/>
    <x v="1"/>
    <n v="1.73E-3"/>
  </r>
  <r>
    <s v="SYN2875"/>
    <n v="60"/>
    <x v="1"/>
    <n v="13"/>
    <n v="72"/>
    <n v="1.3100000000000001E-2"/>
    <n v="0"/>
    <x v="5"/>
    <x v="2"/>
    <n v="1.3100000000000001E-2"/>
  </r>
  <r>
    <s v="SYN2876"/>
    <n v="40"/>
    <x v="0"/>
    <n v="17"/>
    <n v="56"/>
    <n v="4.0800000000000003E-3"/>
    <n v="0"/>
    <x v="2"/>
    <x v="2"/>
    <n v="4.0800000000000003E-3"/>
  </r>
  <r>
    <s v="SYN2877"/>
    <n v="65"/>
    <x v="0"/>
    <n v="26"/>
    <n v="90"/>
    <n v="0.16611999999999999"/>
    <n v="1"/>
    <x v="7"/>
    <x v="1"/>
    <n v="0.16611999999999999"/>
  </r>
  <r>
    <s v="SYN2878"/>
    <n v="56"/>
    <x v="0"/>
    <n v="26"/>
    <n v="81"/>
    <n v="5.6829999999999999E-2"/>
    <n v="0"/>
    <x v="4"/>
    <x v="1"/>
    <n v="5.6829999999999999E-2"/>
  </r>
  <r>
    <s v="SYN2879"/>
    <n v="36"/>
    <x v="1"/>
    <n v="27"/>
    <n v="62"/>
    <n v="5.4599999999999996E-3"/>
    <n v="0"/>
    <x v="0"/>
    <x v="1"/>
    <n v="5.4599999999999996E-3"/>
  </r>
  <r>
    <s v="SYN2880"/>
    <n v="33"/>
    <x v="0"/>
    <n v="3"/>
    <n v="35"/>
    <n v="4.4000000000000002E-4"/>
    <n v="0"/>
    <x v="1"/>
    <x v="0"/>
    <n v="4.4000000000000002E-4"/>
  </r>
  <r>
    <s v="SYN2881"/>
    <n v="60"/>
    <x v="1"/>
    <n v="25"/>
    <n v="84"/>
    <n v="6.4490000000000006E-2"/>
    <n v="1"/>
    <x v="4"/>
    <x v="1"/>
    <n v="6.4490000000000006E-2"/>
  </r>
  <r>
    <s v="SYN2882"/>
    <n v="65"/>
    <x v="1"/>
    <n v="18"/>
    <n v="82"/>
    <n v="4.897E-2"/>
    <n v="0"/>
    <x v="4"/>
    <x v="2"/>
    <n v="4.897E-2"/>
  </r>
  <r>
    <s v="SYN2883"/>
    <n v="44"/>
    <x v="1"/>
    <n v="1"/>
    <n v="44"/>
    <n v="2.7999999999999998E-4"/>
    <n v="0"/>
    <x v="3"/>
    <x v="0"/>
    <n v="2.7999999999999998E-4"/>
  </r>
  <r>
    <s v="SYN2884"/>
    <n v="49"/>
    <x v="1"/>
    <n v="21"/>
    <n v="69"/>
    <n v="1.2659999999999999E-2"/>
    <n v="0"/>
    <x v="0"/>
    <x v="1"/>
    <n v="1.2659999999999999E-2"/>
  </r>
  <r>
    <s v="SYN2885"/>
    <n v="35"/>
    <x v="1"/>
    <n v="21"/>
    <n v="55"/>
    <n v="3.0799999999999998E-3"/>
    <n v="0"/>
    <x v="2"/>
    <x v="1"/>
    <n v="3.0799999999999998E-3"/>
  </r>
  <r>
    <s v="SYN2886"/>
    <n v="54"/>
    <x v="0"/>
    <n v="27"/>
    <n v="80"/>
    <n v="4.5769999999999998E-2"/>
    <n v="0"/>
    <x v="4"/>
    <x v="1"/>
    <n v="4.5769999999999998E-2"/>
  </r>
  <r>
    <s v="SYN2887"/>
    <n v="44"/>
    <x v="0"/>
    <n v="25"/>
    <n v="68"/>
    <n v="1.405E-2"/>
    <n v="0"/>
    <x v="0"/>
    <x v="1"/>
    <n v="1.405E-2"/>
  </r>
  <r>
    <s v="SYN2888"/>
    <n v="25"/>
    <x v="0"/>
    <n v="30"/>
    <n v="54"/>
    <n v="2.9299999999999999E-3"/>
    <n v="0"/>
    <x v="2"/>
    <x v="3"/>
    <n v="2.9299999999999999E-3"/>
  </r>
  <r>
    <s v="SYN2889"/>
    <n v="57"/>
    <x v="0"/>
    <n v="28"/>
    <n v="84"/>
    <n v="6.3329999999999997E-2"/>
    <n v="0"/>
    <x v="4"/>
    <x v="1"/>
    <n v="6.3329999999999997E-2"/>
  </r>
  <r>
    <s v="SYN2890"/>
    <n v="58"/>
    <x v="0"/>
    <n v="4"/>
    <n v="61"/>
    <n v="5.11E-3"/>
    <n v="0"/>
    <x v="0"/>
    <x v="0"/>
    <n v="5.11E-3"/>
  </r>
  <r>
    <s v="SYN2891"/>
    <n v="31"/>
    <x v="0"/>
    <n v="3"/>
    <n v="33"/>
    <n v="3.8999999999999999E-4"/>
    <n v="0"/>
    <x v="1"/>
    <x v="0"/>
    <n v="3.8999999999999999E-4"/>
  </r>
  <r>
    <s v="SYN2892"/>
    <n v="33"/>
    <x v="0"/>
    <n v="13"/>
    <n v="45"/>
    <n v="1.4499999999999999E-3"/>
    <n v="0"/>
    <x v="3"/>
    <x v="2"/>
    <n v="1.4499999999999999E-3"/>
  </r>
  <r>
    <s v="SYN2893"/>
    <n v="46"/>
    <x v="0"/>
    <n v="3"/>
    <n v="48"/>
    <n v="1.17E-3"/>
    <n v="0"/>
    <x v="3"/>
    <x v="0"/>
    <n v="1.17E-3"/>
  </r>
  <r>
    <s v="SYN2894"/>
    <n v="33"/>
    <x v="0"/>
    <n v="22"/>
    <n v="54"/>
    <n v="3.65E-3"/>
    <n v="0"/>
    <x v="2"/>
    <x v="1"/>
    <n v="3.65E-3"/>
  </r>
  <r>
    <s v="SYN2895"/>
    <n v="60"/>
    <x v="0"/>
    <n v="30"/>
    <n v="89"/>
    <n v="9.1270000000000004E-2"/>
    <n v="0"/>
    <x v="4"/>
    <x v="3"/>
    <n v="9.1270000000000004E-2"/>
  </r>
  <r>
    <s v="SYN2896"/>
    <n v="39"/>
    <x v="1"/>
    <n v="1"/>
    <n v="39"/>
    <n v="2.2000000000000001E-4"/>
    <n v="0"/>
    <x v="1"/>
    <x v="0"/>
    <n v="2.2000000000000001E-4"/>
  </r>
  <r>
    <s v="SYN2897"/>
    <n v="60"/>
    <x v="1"/>
    <n v="20"/>
    <n v="79"/>
    <n v="3.4779999999999998E-2"/>
    <n v="0"/>
    <x v="5"/>
    <x v="1"/>
    <n v="3.4779999999999998E-2"/>
  </r>
  <r>
    <s v="SYN2898"/>
    <n v="41"/>
    <x v="0"/>
    <n v="12"/>
    <n v="52"/>
    <n v="2.5799999999999998E-3"/>
    <n v="0"/>
    <x v="2"/>
    <x v="2"/>
    <n v="2.5799999999999998E-3"/>
  </r>
  <r>
    <s v="SYN2899"/>
    <n v="54"/>
    <x v="0"/>
    <n v="1"/>
    <n v="54"/>
    <n v="1.01E-3"/>
    <n v="0"/>
    <x v="2"/>
    <x v="0"/>
    <n v="1.01E-3"/>
  </r>
  <r>
    <s v="SYN2900"/>
    <n v="27"/>
    <x v="1"/>
    <n v="7"/>
    <n v="33"/>
    <n v="3.4000000000000002E-4"/>
    <n v="0"/>
    <x v="1"/>
    <x v="0"/>
    <n v="3.4000000000000002E-4"/>
  </r>
  <r>
    <s v="SYN2901"/>
    <n v="53"/>
    <x v="1"/>
    <n v="17"/>
    <n v="69"/>
    <n v="1.159E-2"/>
    <n v="0"/>
    <x v="0"/>
    <x v="2"/>
    <n v="1.159E-2"/>
  </r>
  <r>
    <s v="SYN2902"/>
    <n v="43"/>
    <x v="1"/>
    <n v="4"/>
    <n v="46"/>
    <n v="7.9000000000000001E-4"/>
    <n v="0"/>
    <x v="3"/>
    <x v="0"/>
    <n v="7.9000000000000001E-4"/>
  </r>
  <r>
    <s v="SYN2903"/>
    <n v="28"/>
    <x v="0"/>
    <n v="8"/>
    <n v="35"/>
    <n v="5.9000000000000003E-4"/>
    <n v="0"/>
    <x v="1"/>
    <x v="0"/>
    <n v="5.9000000000000003E-4"/>
  </r>
  <r>
    <s v="SYN2904"/>
    <n v="28"/>
    <x v="0"/>
    <n v="9"/>
    <n v="36"/>
    <n v="6.4999999999999997E-4"/>
    <n v="0"/>
    <x v="1"/>
    <x v="0"/>
    <n v="6.4999999999999997E-4"/>
  </r>
  <r>
    <s v="SYN2905"/>
    <n v="25"/>
    <x v="1"/>
    <n v="12"/>
    <n v="36"/>
    <n v="5.9000000000000003E-4"/>
    <n v="0"/>
    <x v="1"/>
    <x v="2"/>
    <n v="5.9000000000000003E-4"/>
  </r>
  <r>
    <s v="SYN2906"/>
    <n v="49"/>
    <x v="1"/>
    <n v="24"/>
    <n v="72"/>
    <n v="1.7170000000000001E-2"/>
    <n v="0"/>
    <x v="5"/>
    <x v="1"/>
    <n v="1.7170000000000001E-2"/>
  </r>
  <r>
    <s v="SYN2907"/>
    <n v="45"/>
    <x v="0"/>
    <n v="30"/>
    <n v="74"/>
    <n v="1.7160000000000002E-2"/>
    <n v="0"/>
    <x v="5"/>
    <x v="3"/>
    <n v="1.7160000000000002E-2"/>
  </r>
  <r>
    <s v="SYN2908"/>
    <n v="63"/>
    <x v="1"/>
    <n v="28"/>
    <n v="90"/>
    <n v="0.10484"/>
    <n v="0"/>
    <x v="7"/>
    <x v="1"/>
    <n v="0.10484"/>
  </r>
  <r>
    <s v="SYN2909"/>
    <n v="45"/>
    <x v="1"/>
    <n v="4"/>
    <n v="48"/>
    <n v="9.7999999999999997E-4"/>
    <n v="0"/>
    <x v="3"/>
    <x v="0"/>
    <n v="9.7999999999999997E-4"/>
  </r>
  <r>
    <s v="SYN2910"/>
    <n v="39"/>
    <x v="1"/>
    <n v="6"/>
    <n v="44"/>
    <n v="7.9000000000000001E-4"/>
    <n v="0"/>
    <x v="3"/>
    <x v="0"/>
    <n v="7.9000000000000001E-4"/>
  </r>
  <r>
    <s v="SYN2911"/>
    <n v="51"/>
    <x v="1"/>
    <n v="14"/>
    <n v="64"/>
    <n v="6.6100000000000004E-3"/>
    <n v="0"/>
    <x v="0"/>
    <x v="2"/>
    <n v="6.6100000000000004E-3"/>
  </r>
  <r>
    <s v="SYN2912"/>
    <n v="37"/>
    <x v="0"/>
    <n v="27"/>
    <n v="63"/>
    <n v="7.79E-3"/>
    <n v="0"/>
    <x v="0"/>
    <x v="1"/>
    <n v="7.79E-3"/>
  </r>
  <r>
    <s v="SYN2913"/>
    <n v="44"/>
    <x v="0"/>
    <n v="14"/>
    <n v="57"/>
    <n v="4.4000000000000003E-3"/>
    <n v="0"/>
    <x v="2"/>
    <x v="2"/>
    <n v="4.4000000000000003E-3"/>
  </r>
  <r>
    <s v="SYN2914"/>
    <n v="60"/>
    <x v="0"/>
    <n v="27"/>
    <n v="86"/>
    <n v="9.1270000000000004E-2"/>
    <n v="0"/>
    <x v="4"/>
    <x v="1"/>
    <n v="9.1270000000000004E-2"/>
  </r>
  <r>
    <s v="SYN2915"/>
    <n v="22"/>
    <x v="0"/>
    <n v="17"/>
    <n v="38"/>
    <n v="1.2099999999999999E-3"/>
    <n v="0"/>
    <x v="1"/>
    <x v="2"/>
    <n v="1.2099999999999999E-3"/>
  </r>
  <r>
    <s v="SYN2916"/>
    <n v="58"/>
    <x v="1"/>
    <n v="27"/>
    <n v="84"/>
    <n v="5.704E-2"/>
    <n v="0"/>
    <x v="4"/>
    <x v="1"/>
    <n v="5.704E-2"/>
  </r>
  <r>
    <s v="SYN2917"/>
    <n v="53"/>
    <x v="0"/>
    <n v="12"/>
    <n v="64"/>
    <n v="8.8699999999999994E-3"/>
    <n v="0"/>
    <x v="0"/>
    <x v="2"/>
    <n v="8.8699999999999994E-3"/>
  </r>
  <r>
    <s v="SYN2918"/>
    <n v="40"/>
    <x v="1"/>
    <n v="14"/>
    <n v="53"/>
    <n v="2.2799999999999999E-3"/>
    <n v="0"/>
    <x v="2"/>
    <x v="2"/>
    <n v="2.2799999999999999E-3"/>
  </r>
  <r>
    <s v="SYN2919"/>
    <n v="24"/>
    <x v="1"/>
    <n v="7"/>
    <n v="30"/>
    <n v="3.1E-4"/>
    <n v="0"/>
    <x v="1"/>
    <x v="0"/>
    <n v="3.1E-4"/>
  </r>
  <r>
    <s v="SYN2920"/>
    <n v="40"/>
    <x v="0"/>
    <n v="4"/>
    <n v="43"/>
    <n v="8.8000000000000003E-4"/>
    <n v="0"/>
    <x v="3"/>
    <x v="0"/>
    <n v="8.8000000000000003E-4"/>
  </r>
  <r>
    <s v="SYN2921"/>
    <n v="65"/>
    <x v="0"/>
    <n v="11"/>
    <n v="75"/>
    <n v="2.2440000000000002E-2"/>
    <n v="0"/>
    <x v="5"/>
    <x v="2"/>
    <n v="2.2440000000000002E-2"/>
  </r>
  <r>
    <s v="SYN2922"/>
    <n v="40"/>
    <x v="0"/>
    <n v="29"/>
    <n v="68"/>
    <n v="1.064E-2"/>
    <n v="0"/>
    <x v="0"/>
    <x v="1"/>
    <n v="1.064E-2"/>
  </r>
  <r>
    <s v="SYN2923"/>
    <n v="38"/>
    <x v="0"/>
    <n v="20"/>
    <n v="57"/>
    <n v="4.7299999999999998E-3"/>
    <n v="0"/>
    <x v="2"/>
    <x v="1"/>
    <n v="4.7299999999999998E-3"/>
  </r>
  <r>
    <s v="SYN2924"/>
    <n v="55"/>
    <x v="1"/>
    <n v="9"/>
    <n v="63"/>
    <n v="5.11E-3"/>
    <n v="0"/>
    <x v="0"/>
    <x v="0"/>
    <n v="5.11E-3"/>
  </r>
  <r>
    <s v="SYN2925"/>
    <n v="62"/>
    <x v="1"/>
    <n v="3"/>
    <n v="64"/>
    <n v="3.3300000000000001E-3"/>
    <n v="0"/>
    <x v="0"/>
    <x v="0"/>
    <n v="3.3300000000000001E-3"/>
  </r>
  <r>
    <s v="SYN2926"/>
    <n v="63"/>
    <x v="0"/>
    <n v="25"/>
    <n v="87"/>
    <n v="0.11724"/>
    <n v="0"/>
    <x v="4"/>
    <x v="1"/>
    <n v="0.11724"/>
  </r>
  <r>
    <s v="SYN2927"/>
    <n v="32"/>
    <x v="0"/>
    <n v="7"/>
    <n v="38"/>
    <n v="6.6E-4"/>
    <n v="0"/>
    <x v="1"/>
    <x v="0"/>
    <n v="6.6E-4"/>
  </r>
  <r>
    <s v="SYN2928"/>
    <n v="22"/>
    <x v="0"/>
    <n v="9"/>
    <n v="30"/>
    <n v="5.9000000000000003E-4"/>
    <n v="0"/>
    <x v="1"/>
    <x v="0"/>
    <n v="5.9000000000000003E-4"/>
  </r>
  <r>
    <s v="SYN2929"/>
    <n v="30"/>
    <x v="0"/>
    <n v="20"/>
    <n v="49"/>
    <n v="2.3E-3"/>
    <n v="0"/>
    <x v="3"/>
    <x v="1"/>
    <n v="2.3E-3"/>
  </r>
  <r>
    <s v="SYN2930"/>
    <n v="56"/>
    <x v="0"/>
    <n v="1"/>
    <n v="56"/>
    <n v="1.1900000000000001E-3"/>
    <n v="0"/>
    <x v="2"/>
    <x v="0"/>
    <n v="1.1900000000000001E-3"/>
  </r>
  <r>
    <s v="SYN2931"/>
    <n v="56"/>
    <x v="1"/>
    <n v="1"/>
    <n v="56"/>
    <n v="5.5999999999999995E-4"/>
    <n v="0"/>
    <x v="2"/>
    <x v="0"/>
    <n v="5.5999999999999995E-4"/>
  </r>
  <r>
    <s v="SYN2932"/>
    <n v="45"/>
    <x v="1"/>
    <n v="2"/>
    <n v="46"/>
    <n v="4.4000000000000002E-4"/>
    <n v="0"/>
    <x v="3"/>
    <x v="0"/>
    <n v="4.4000000000000002E-4"/>
  </r>
  <r>
    <s v="SYN2933"/>
    <n v="22"/>
    <x v="1"/>
    <n v="11"/>
    <n v="32"/>
    <n v="4.2000000000000002E-4"/>
    <n v="0"/>
    <x v="1"/>
    <x v="2"/>
    <n v="4.2000000000000002E-4"/>
  </r>
  <r>
    <s v="SYN2934"/>
    <n v="26"/>
    <x v="1"/>
    <n v="27"/>
    <n v="52"/>
    <n v="2.1900000000000001E-3"/>
    <n v="0"/>
    <x v="2"/>
    <x v="1"/>
    <n v="2.1900000000000001E-3"/>
  </r>
  <r>
    <s v="SYN2935"/>
    <n v="37"/>
    <x v="1"/>
    <n v="11"/>
    <n v="47"/>
    <n v="1.2199999999999999E-3"/>
    <n v="0"/>
    <x v="3"/>
    <x v="2"/>
    <n v="1.2199999999999999E-3"/>
  </r>
  <r>
    <s v="SYN2936"/>
    <n v="55"/>
    <x v="0"/>
    <n v="25"/>
    <n v="79"/>
    <n v="4.5769999999999998E-2"/>
    <n v="0"/>
    <x v="5"/>
    <x v="1"/>
    <n v="4.5769999999999998E-2"/>
  </r>
  <r>
    <s v="SYN2937"/>
    <n v="45"/>
    <x v="1"/>
    <n v="10"/>
    <n v="54"/>
    <n v="2.2300000000000002E-3"/>
    <n v="0"/>
    <x v="2"/>
    <x v="2"/>
    <n v="2.2300000000000002E-3"/>
  </r>
  <r>
    <s v="SYN2938"/>
    <n v="61"/>
    <x v="0"/>
    <n v="30"/>
    <n v="90"/>
    <n v="0.10347000000000001"/>
    <n v="0"/>
    <x v="7"/>
    <x v="3"/>
    <n v="0.10347000000000001"/>
  </r>
  <r>
    <s v="SYN2939"/>
    <n v="59"/>
    <x v="0"/>
    <n v="4"/>
    <n v="62"/>
    <n v="5.5500000000000002E-3"/>
    <n v="0"/>
    <x v="0"/>
    <x v="0"/>
    <n v="5.5500000000000002E-3"/>
  </r>
  <r>
    <s v="SYN2940"/>
    <n v="20"/>
    <x v="0"/>
    <n v="5"/>
    <n v="24"/>
    <n v="7.6999999999999996E-4"/>
    <n v="0"/>
    <x v="6"/>
    <x v="0"/>
    <n v="7.6999999999999996E-4"/>
  </r>
  <r>
    <s v="SYN2941"/>
    <n v="64"/>
    <x v="0"/>
    <n v="24"/>
    <n v="87"/>
    <n v="0.11718000000000001"/>
    <n v="0"/>
    <x v="4"/>
    <x v="1"/>
    <n v="0.11718000000000001"/>
  </r>
  <r>
    <s v="SYN2942"/>
    <n v="32"/>
    <x v="1"/>
    <n v="24"/>
    <n v="55"/>
    <n v="3.0799999999999998E-3"/>
    <n v="0"/>
    <x v="2"/>
    <x v="1"/>
    <n v="3.0799999999999998E-3"/>
  </r>
  <r>
    <s v="SYN2943"/>
    <n v="54"/>
    <x v="1"/>
    <n v="1"/>
    <n v="54"/>
    <n v="5.1000000000000004E-4"/>
    <n v="0"/>
    <x v="2"/>
    <x v="0"/>
    <n v="5.1000000000000004E-4"/>
  </r>
  <r>
    <s v="SYN2944"/>
    <n v="36"/>
    <x v="1"/>
    <n v="29"/>
    <n v="64"/>
    <n v="5.4599999999999996E-3"/>
    <n v="0"/>
    <x v="0"/>
    <x v="1"/>
    <n v="5.4599999999999996E-3"/>
  </r>
  <r>
    <s v="SYN2945"/>
    <n v="39"/>
    <x v="0"/>
    <n v="3"/>
    <n v="41"/>
    <n v="6.8999999999999997E-4"/>
    <n v="0"/>
    <x v="3"/>
    <x v="0"/>
    <n v="6.8999999999999997E-4"/>
  </r>
  <r>
    <s v="SYN2946"/>
    <n v="44"/>
    <x v="1"/>
    <n v="9"/>
    <n v="52"/>
    <n v="1.7899999999999999E-3"/>
    <n v="0"/>
    <x v="2"/>
    <x v="0"/>
    <n v="1.7899999999999999E-3"/>
  </r>
  <r>
    <s v="SYN2947"/>
    <n v="57"/>
    <x v="0"/>
    <n v="15"/>
    <n v="71"/>
    <n v="1.8769999999999998E-2"/>
    <n v="0"/>
    <x v="5"/>
    <x v="2"/>
    <n v="1.8769999999999998E-2"/>
  </r>
  <r>
    <s v="SYN2948"/>
    <n v="29"/>
    <x v="1"/>
    <n v="25"/>
    <n v="53"/>
    <n v="2.5899999999999999E-3"/>
    <n v="0"/>
    <x v="2"/>
    <x v="1"/>
    <n v="2.5899999999999999E-3"/>
  </r>
  <r>
    <s v="SYN2949"/>
    <n v="46"/>
    <x v="0"/>
    <n v="21"/>
    <n v="66"/>
    <n v="1.132E-2"/>
    <n v="0"/>
    <x v="0"/>
    <x v="1"/>
    <n v="1.132E-2"/>
  </r>
  <r>
    <s v="SYN2950"/>
    <n v="53"/>
    <x v="1"/>
    <n v="8"/>
    <n v="60"/>
    <n v="3.5699999999999998E-3"/>
    <n v="0"/>
    <x v="0"/>
    <x v="0"/>
    <n v="3.5699999999999998E-3"/>
  </r>
  <r>
    <s v="SYN2951"/>
    <n v="37"/>
    <x v="1"/>
    <n v="11"/>
    <n v="47"/>
    <n v="1.2199999999999999E-3"/>
    <n v="0"/>
    <x v="3"/>
    <x v="2"/>
    <n v="1.2199999999999999E-3"/>
  </r>
  <r>
    <s v="SYN2952"/>
    <n v="25"/>
    <x v="1"/>
    <n v="9"/>
    <n v="33"/>
    <n v="4.0000000000000002E-4"/>
    <n v="0"/>
    <x v="1"/>
    <x v="0"/>
    <n v="4.0000000000000002E-4"/>
  </r>
  <r>
    <s v="SYN2953"/>
    <n v="42"/>
    <x v="1"/>
    <n v="18"/>
    <n v="59"/>
    <n v="4.2500000000000003E-3"/>
    <n v="0"/>
    <x v="2"/>
    <x v="2"/>
    <n v="4.2500000000000003E-3"/>
  </r>
  <r>
    <s v="SYN2954"/>
    <n v="61"/>
    <x v="1"/>
    <n v="24"/>
    <n v="84"/>
    <n v="6.4490000000000006E-2"/>
    <n v="0"/>
    <x v="4"/>
    <x v="1"/>
    <n v="6.4490000000000006E-2"/>
  </r>
  <r>
    <s v="SYN2955"/>
    <n v="24"/>
    <x v="0"/>
    <n v="16"/>
    <n v="39"/>
    <n v="1.1999999999999999E-3"/>
    <n v="0"/>
    <x v="1"/>
    <x v="2"/>
    <n v="1.1999999999999999E-3"/>
  </r>
  <r>
    <s v="SYN2956"/>
    <n v="33"/>
    <x v="1"/>
    <n v="15"/>
    <n v="47"/>
    <n v="1.3600000000000001E-3"/>
    <n v="0"/>
    <x v="3"/>
    <x v="2"/>
    <n v="1.3600000000000001E-3"/>
  </r>
  <r>
    <s v="SYN2957"/>
    <n v="26"/>
    <x v="0"/>
    <n v="11"/>
    <n v="36"/>
    <n v="7.6999999999999996E-4"/>
    <n v="0"/>
    <x v="1"/>
    <x v="2"/>
    <n v="7.6999999999999996E-4"/>
  </r>
  <r>
    <s v="SYN2958"/>
    <n v="53"/>
    <x v="1"/>
    <n v="17"/>
    <n v="69"/>
    <n v="1.159E-2"/>
    <n v="0"/>
    <x v="0"/>
    <x v="2"/>
    <n v="1.159E-2"/>
  </r>
  <r>
    <s v="SYN2959"/>
    <n v="39"/>
    <x v="0"/>
    <n v="23"/>
    <n v="61"/>
    <n v="7.0200000000000002E-3"/>
    <n v="0"/>
    <x v="0"/>
    <x v="1"/>
    <n v="7.0200000000000002E-3"/>
  </r>
  <r>
    <s v="SYN2960"/>
    <n v="52"/>
    <x v="1"/>
    <n v="4"/>
    <n v="55"/>
    <n v="1.8699999999999999E-3"/>
    <n v="0"/>
    <x v="2"/>
    <x v="0"/>
    <n v="1.8699999999999999E-3"/>
  </r>
  <r>
    <s v="SYN2961"/>
    <n v="43"/>
    <x v="1"/>
    <n v="13"/>
    <n v="55"/>
    <n v="2.6800000000000001E-3"/>
    <n v="0"/>
    <x v="2"/>
    <x v="2"/>
    <n v="2.6800000000000001E-3"/>
  </r>
  <r>
    <s v="SYN2962"/>
    <n v="52"/>
    <x v="1"/>
    <n v="7"/>
    <n v="58"/>
    <n v="2.8400000000000001E-3"/>
    <n v="0"/>
    <x v="2"/>
    <x v="0"/>
    <n v="2.8400000000000001E-3"/>
  </r>
  <r>
    <s v="SYN2963"/>
    <n v="37"/>
    <x v="0"/>
    <n v="14"/>
    <n v="50"/>
    <n v="2.2399999999999998E-3"/>
    <n v="0"/>
    <x v="2"/>
    <x v="2"/>
    <n v="2.2399999999999998E-3"/>
  </r>
  <r>
    <s v="SYN2964"/>
    <n v="56"/>
    <x v="0"/>
    <n v="21"/>
    <n v="76"/>
    <n v="3.32E-2"/>
    <n v="0"/>
    <x v="5"/>
    <x v="1"/>
    <n v="3.32E-2"/>
  </r>
  <r>
    <s v="SYN2965"/>
    <n v="26"/>
    <x v="0"/>
    <n v="24"/>
    <n v="49"/>
    <n v="2.5999999999999999E-3"/>
    <n v="0"/>
    <x v="3"/>
    <x v="1"/>
    <n v="2.5999999999999999E-3"/>
  </r>
  <r>
    <s v="SYN2966"/>
    <n v="49"/>
    <x v="0"/>
    <n v="6"/>
    <n v="54"/>
    <n v="2.7000000000000001E-3"/>
    <n v="0"/>
    <x v="2"/>
    <x v="0"/>
    <n v="2.7000000000000001E-3"/>
  </r>
  <r>
    <s v="SYN2967"/>
    <n v="53"/>
    <x v="0"/>
    <n v="15"/>
    <n v="67"/>
    <n v="1.2460000000000001E-2"/>
    <n v="0"/>
    <x v="0"/>
    <x v="2"/>
    <n v="1.2460000000000001E-2"/>
  </r>
  <r>
    <s v="SYN2968"/>
    <n v="55"/>
    <x v="0"/>
    <n v="3"/>
    <n v="57"/>
    <n v="3.0699999999999998E-3"/>
    <n v="0"/>
    <x v="2"/>
    <x v="0"/>
    <n v="3.0699999999999998E-3"/>
  </r>
  <r>
    <s v="SYN2969"/>
    <n v="45"/>
    <x v="0"/>
    <n v="17"/>
    <n v="61"/>
    <n v="7.0200000000000002E-3"/>
    <n v="0"/>
    <x v="0"/>
    <x v="2"/>
    <n v="7.0200000000000002E-3"/>
  </r>
  <r>
    <s v="SYN2970"/>
    <n v="48"/>
    <x v="0"/>
    <n v="9"/>
    <n v="56"/>
    <n v="3.5300000000000002E-3"/>
    <n v="0"/>
    <x v="2"/>
    <x v="0"/>
    <n v="3.5300000000000002E-3"/>
  </r>
  <r>
    <s v="SYN2971"/>
    <n v="44"/>
    <x v="1"/>
    <n v="24"/>
    <n v="67"/>
    <n v="1.027E-2"/>
    <n v="0"/>
    <x v="0"/>
    <x v="1"/>
    <n v="1.027E-2"/>
  </r>
  <r>
    <s v="SYN2972"/>
    <n v="32"/>
    <x v="0"/>
    <n v="13"/>
    <n v="44"/>
    <n v="1.39E-3"/>
    <n v="0"/>
    <x v="3"/>
    <x v="2"/>
    <n v="1.39E-3"/>
  </r>
  <r>
    <s v="SYN2973"/>
    <n v="58"/>
    <x v="1"/>
    <n v="16"/>
    <n v="73"/>
    <n v="1.6809999999999999E-2"/>
    <n v="0"/>
    <x v="5"/>
    <x v="2"/>
    <n v="1.6809999999999999E-2"/>
  </r>
  <r>
    <s v="SYN2974"/>
    <n v="23"/>
    <x v="0"/>
    <n v="21"/>
    <n v="43"/>
    <n v="1.9499999999999999E-3"/>
    <n v="0"/>
    <x v="3"/>
    <x v="1"/>
    <n v="1.9499999999999999E-3"/>
  </r>
  <r>
    <s v="SYN2975"/>
    <n v="27"/>
    <x v="1"/>
    <n v="2"/>
    <n v="28"/>
    <n v="1.7000000000000001E-4"/>
    <n v="0"/>
    <x v="6"/>
    <x v="0"/>
    <n v="1.7000000000000001E-4"/>
  </r>
  <r>
    <s v="SYN2976"/>
    <n v="35"/>
    <x v="1"/>
    <n v="3"/>
    <n v="37"/>
    <n v="3.5E-4"/>
    <n v="0"/>
    <x v="1"/>
    <x v="0"/>
    <n v="3.5E-4"/>
  </r>
  <r>
    <s v="SYN2977"/>
    <n v="59"/>
    <x v="1"/>
    <n v="23"/>
    <n v="81"/>
    <n v="4.4880000000000003E-2"/>
    <n v="0"/>
    <x v="4"/>
    <x v="1"/>
    <n v="4.4880000000000003E-2"/>
  </r>
  <r>
    <s v="SYN2978"/>
    <n v="26"/>
    <x v="1"/>
    <n v="8"/>
    <n v="33"/>
    <n v="3.8000000000000002E-4"/>
    <n v="0"/>
    <x v="1"/>
    <x v="0"/>
    <n v="3.8000000000000002E-4"/>
  </r>
  <r>
    <s v="SYN2979"/>
    <n v="37"/>
    <x v="0"/>
    <n v="16"/>
    <n v="52"/>
    <n v="2.7799999999999999E-3"/>
    <n v="0"/>
    <x v="2"/>
    <x v="2"/>
    <n v="2.7799999999999999E-3"/>
  </r>
  <r>
    <s v="SYN2980"/>
    <n v="42"/>
    <x v="0"/>
    <n v="21"/>
    <n v="62"/>
    <n v="7.7400000000000004E-3"/>
    <n v="0"/>
    <x v="0"/>
    <x v="1"/>
    <n v="7.7400000000000004E-3"/>
  </r>
  <r>
    <s v="SYN2981"/>
    <n v="20"/>
    <x v="0"/>
    <n v="4"/>
    <n v="23"/>
    <n v="7.7999999999999999E-4"/>
    <n v="0"/>
    <x v="6"/>
    <x v="0"/>
    <n v="7.7999999999999999E-4"/>
  </r>
  <r>
    <s v="SYN2982"/>
    <n v="59"/>
    <x v="1"/>
    <n v="16"/>
    <n v="74"/>
    <n v="1.865E-2"/>
    <n v="0"/>
    <x v="5"/>
    <x v="2"/>
    <n v="1.865E-2"/>
  </r>
  <r>
    <s v="SYN2983"/>
    <n v="64"/>
    <x v="0"/>
    <n v="8"/>
    <n v="71"/>
    <n v="1.3429999999999999E-2"/>
    <n v="0"/>
    <x v="5"/>
    <x v="0"/>
    <n v="1.3429999999999999E-2"/>
  </r>
  <r>
    <s v="SYN2984"/>
    <n v="30"/>
    <x v="0"/>
    <n v="6"/>
    <n v="35"/>
    <n v="5.2999999999999998E-4"/>
    <n v="0"/>
    <x v="1"/>
    <x v="0"/>
    <n v="5.2999999999999998E-4"/>
  </r>
  <r>
    <s v="SYN2985"/>
    <n v="20"/>
    <x v="0"/>
    <n v="22"/>
    <n v="41"/>
    <n v="1.92E-3"/>
    <n v="0"/>
    <x v="3"/>
    <x v="1"/>
    <n v="1.92E-3"/>
  </r>
  <r>
    <s v="SYN2986"/>
    <n v="31"/>
    <x v="1"/>
    <n v="9"/>
    <n v="39"/>
    <n v="6.6E-4"/>
    <n v="0"/>
    <x v="1"/>
    <x v="0"/>
    <n v="6.6E-4"/>
  </r>
  <r>
    <s v="SYN2987"/>
    <n v="20"/>
    <x v="0"/>
    <n v="20"/>
    <n v="39"/>
    <n v="1.58E-3"/>
    <n v="0"/>
    <x v="1"/>
    <x v="1"/>
    <n v="1.58E-3"/>
  </r>
  <r>
    <s v="SYN2988"/>
    <n v="20"/>
    <x v="1"/>
    <n v="16"/>
    <n v="35"/>
    <n v="6.6E-4"/>
    <n v="0"/>
    <x v="1"/>
    <x v="2"/>
    <n v="6.6E-4"/>
  </r>
  <r>
    <s v="SYN2989"/>
    <n v="22"/>
    <x v="0"/>
    <n v="27"/>
    <n v="48"/>
    <n v="2.6700000000000001E-3"/>
    <n v="0"/>
    <x v="3"/>
    <x v="1"/>
    <n v="2.6700000000000001E-3"/>
  </r>
  <r>
    <s v="SYN2990"/>
    <n v="38"/>
    <x v="0"/>
    <n v="27"/>
    <n v="64"/>
    <n v="8.6599999999999993E-3"/>
    <n v="0"/>
    <x v="0"/>
    <x v="1"/>
    <n v="8.6599999999999993E-3"/>
  </r>
  <r>
    <s v="SYN2991"/>
    <n v="29"/>
    <x v="0"/>
    <n v="25"/>
    <n v="53"/>
    <n v="3.4199999999999999E-3"/>
    <n v="0"/>
    <x v="2"/>
    <x v="1"/>
    <n v="3.4199999999999999E-3"/>
  </r>
  <r>
    <s v="SYN2992"/>
    <n v="41"/>
    <x v="0"/>
    <n v="15"/>
    <n v="55"/>
    <n v="3.6099999999999999E-3"/>
    <n v="0"/>
    <x v="2"/>
    <x v="2"/>
    <n v="3.6099999999999999E-3"/>
  </r>
  <r>
    <s v="SYN2993"/>
    <n v="54"/>
    <x v="1"/>
    <n v="9"/>
    <n v="62"/>
    <n v="4.5900000000000003E-3"/>
    <n v="0"/>
    <x v="0"/>
    <x v="0"/>
    <n v="4.5900000000000003E-3"/>
  </r>
  <r>
    <s v="SYN2994"/>
    <n v="49"/>
    <x v="1"/>
    <n v="1"/>
    <n v="49"/>
    <n v="4.0000000000000002E-4"/>
    <n v="0"/>
    <x v="3"/>
    <x v="0"/>
    <n v="4.0000000000000002E-4"/>
  </r>
  <r>
    <s v="SYN2995"/>
    <n v="41"/>
    <x v="1"/>
    <n v="29"/>
    <n v="69"/>
    <n v="9.2399999999999999E-3"/>
    <n v="0"/>
    <x v="0"/>
    <x v="1"/>
    <n v="9.2399999999999999E-3"/>
  </r>
  <r>
    <s v="SYN2996"/>
    <n v="58"/>
    <x v="0"/>
    <n v="16"/>
    <n v="73"/>
    <n v="2.367E-2"/>
    <n v="0"/>
    <x v="5"/>
    <x v="2"/>
    <n v="2.367E-2"/>
  </r>
  <r>
    <s v="SYN2997"/>
    <n v="60"/>
    <x v="0"/>
    <n v="1"/>
    <n v="60"/>
    <n v="2.0500000000000002E-3"/>
    <n v="0"/>
    <x v="0"/>
    <x v="0"/>
    <n v="2.0500000000000002E-3"/>
  </r>
  <r>
    <s v="SYN2998"/>
    <n v="34"/>
    <x v="1"/>
    <n v="22"/>
    <n v="55"/>
    <n v="3.0799999999999998E-3"/>
    <n v="0"/>
    <x v="2"/>
    <x v="1"/>
    <n v="3.0799999999999998E-3"/>
  </r>
  <r>
    <s v="SYN2999"/>
    <n v="21"/>
    <x v="1"/>
    <n v="8"/>
    <n v="28"/>
    <n v="3.2000000000000003E-4"/>
    <n v="0"/>
    <x v="6"/>
    <x v="0"/>
    <n v="3.2000000000000003E-4"/>
  </r>
  <r>
    <s v="SYN3000"/>
    <n v="47"/>
    <x v="0"/>
    <n v="12"/>
    <n v="58"/>
    <n v="4.79E-3"/>
    <n v="0"/>
    <x v="2"/>
    <x v="2"/>
    <n v="4.79E-3"/>
  </r>
  <r>
    <s v="SYN3001"/>
    <n v="44"/>
    <x v="0"/>
    <n v="21"/>
    <n v="64"/>
    <n v="9.2899999999999996E-3"/>
    <n v="0"/>
    <x v="0"/>
    <x v="1"/>
    <n v="9.2899999999999996E-3"/>
  </r>
  <r>
    <s v="SYN3002"/>
    <n v="60"/>
    <x v="1"/>
    <n v="22"/>
    <n v="81"/>
    <n v="4.4880000000000003E-2"/>
    <n v="0"/>
    <x v="4"/>
    <x v="1"/>
    <n v="4.4880000000000003E-2"/>
  </r>
  <r>
    <s v="SYN3003"/>
    <n v="53"/>
    <x v="0"/>
    <n v="6"/>
    <n v="58"/>
    <n v="4.1399999999999996E-3"/>
    <n v="0"/>
    <x v="2"/>
    <x v="0"/>
    <n v="4.1399999999999996E-3"/>
  </r>
  <r>
    <s v="SYN3004"/>
    <n v="41"/>
    <x v="1"/>
    <n v="13"/>
    <n v="53"/>
    <n v="2.2499999999999998E-3"/>
    <n v="0"/>
    <x v="2"/>
    <x v="2"/>
    <n v="2.2499999999999998E-3"/>
  </r>
  <r>
    <s v="SYN3005"/>
    <n v="37"/>
    <x v="0"/>
    <n v="10"/>
    <n v="46"/>
    <n v="1.42E-3"/>
    <n v="0"/>
    <x v="3"/>
    <x v="2"/>
    <n v="1.42E-3"/>
  </r>
  <r>
    <s v="SYN3006"/>
    <n v="64"/>
    <x v="1"/>
    <n v="11"/>
    <n v="74"/>
    <n v="1.443E-2"/>
    <n v="0"/>
    <x v="5"/>
    <x v="2"/>
    <n v="1.443E-2"/>
  </r>
  <r>
    <s v="SYN3007"/>
    <n v="49"/>
    <x v="1"/>
    <n v="19"/>
    <n v="67"/>
    <n v="1.001E-2"/>
    <n v="0"/>
    <x v="0"/>
    <x v="2"/>
    <n v="1.001E-2"/>
  </r>
  <r>
    <s v="SYN3008"/>
    <n v="38"/>
    <x v="1"/>
    <n v="4"/>
    <n v="41"/>
    <n v="5.9000000000000003E-4"/>
    <n v="0"/>
    <x v="3"/>
    <x v="0"/>
    <n v="5.9000000000000003E-4"/>
  </r>
  <r>
    <s v="SYN3009"/>
    <n v="63"/>
    <x v="0"/>
    <n v="5"/>
    <n v="67"/>
    <n v="8.5199999999999998E-3"/>
    <n v="0"/>
    <x v="0"/>
    <x v="0"/>
    <n v="8.5199999999999998E-3"/>
  </r>
  <r>
    <s v="SYN3010"/>
    <n v="38"/>
    <x v="1"/>
    <n v="20"/>
    <n v="57"/>
    <n v="3.65E-3"/>
    <n v="0"/>
    <x v="2"/>
    <x v="1"/>
    <n v="3.65E-3"/>
  </r>
  <r>
    <s v="SYN3011"/>
    <n v="51"/>
    <x v="0"/>
    <n v="10"/>
    <n v="60"/>
    <n v="5.8999999999999999E-3"/>
    <n v="0"/>
    <x v="0"/>
    <x v="2"/>
    <n v="5.8999999999999999E-3"/>
  </r>
  <r>
    <s v="SYN3012"/>
    <n v="49"/>
    <x v="0"/>
    <n v="2"/>
    <n v="50"/>
    <n v="1.09E-3"/>
    <n v="0"/>
    <x v="2"/>
    <x v="0"/>
    <n v="1.09E-3"/>
  </r>
  <r>
    <s v="SYN3013"/>
    <n v="27"/>
    <x v="0"/>
    <n v="2"/>
    <n v="28"/>
    <n v="3.4000000000000002E-4"/>
    <n v="0"/>
    <x v="6"/>
    <x v="0"/>
    <n v="3.4000000000000002E-4"/>
  </r>
  <r>
    <s v="SYN3014"/>
    <n v="42"/>
    <x v="1"/>
    <n v="22"/>
    <n v="63"/>
    <n v="6.7200000000000003E-3"/>
    <n v="0"/>
    <x v="0"/>
    <x v="1"/>
    <n v="6.7200000000000003E-3"/>
  </r>
  <r>
    <s v="SYN3015"/>
    <n v="28"/>
    <x v="1"/>
    <n v="12"/>
    <n v="39"/>
    <n v="7.7999999999999999E-4"/>
    <n v="0"/>
    <x v="1"/>
    <x v="2"/>
    <n v="7.7999999999999999E-4"/>
  </r>
  <r>
    <s v="SYN3016"/>
    <n v="52"/>
    <x v="1"/>
    <n v="22"/>
    <n v="73"/>
    <n v="1.8970000000000001E-2"/>
    <n v="0"/>
    <x v="5"/>
    <x v="1"/>
    <n v="1.8970000000000001E-2"/>
  </r>
  <r>
    <s v="SYN3017"/>
    <n v="25"/>
    <x v="0"/>
    <n v="23"/>
    <n v="47"/>
    <n v="2.2599999999999999E-3"/>
    <n v="0"/>
    <x v="3"/>
    <x v="1"/>
    <n v="2.2599999999999999E-3"/>
  </r>
  <r>
    <s v="SYN3018"/>
    <n v="32"/>
    <x v="1"/>
    <n v="14"/>
    <n v="45"/>
    <n v="1.15E-3"/>
    <n v="0"/>
    <x v="3"/>
    <x v="2"/>
    <n v="1.15E-3"/>
  </r>
  <r>
    <s v="SYN3019"/>
    <n v="34"/>
    <x v="0"/>
    <n v="2"/>
    <n v="35"/>
    <n v="3.3E-4"/>
    <n v="0"/>
    <x v="1"/>
    <x v="0"/>
    <n v="3.3E-4"/>
  </r>
  <r>
    <s v="SYN3020"/>
    <n v="63"/>
    <x v="0"/>
    <n v="21"/>
    <n v="83"/>
    <n v="7.1389999999999995E-2"/>
    <n v="0"/>
    <x v="4"/>
    <x v="1"/>
    <n v="7.1389999999999995E-2"/>
  </r>
  <r>
    <s v="SYN3021"/>
    <n v="26"/>
    <x v="0"/>
    <n v="29"/>
    <n v="54"/>
    <n v="3.0899999999999999E-3"/>
    <n v="0"/>
    <x v="2"/>
    <x v="1"/>
    <n v="3.0899999999999999E-3"/>
  </r>
  <r>
    <s v="SYN3022"/>
    <n v="39"/>
    <x v="1"/>
    <n v="6"/>
    <n v="44"/>
    <n v="7.9000000000000001E-4"/>
    <n v="0"/>
    <x v="3"/>
    <x v="0"/>
    <n v="7.9000000000000001E-4"/>
  </r>
  <r>
    <s v="SYN3023"/>
    <n v="40"/>
    <x v="1"/>
    <n v="26"/>
    <n v="65"/>
    <n v="8.3099999999999997E-3"/>
    <n v="0"/>
    <x v="0"/>
    <x v="1"/>
    <n v="8.3099999999999997E-3"/>
  </r>
  <r>
    <s v="SYN3024"/>
    <n v="32"/>
    <x v="0"/>
    <n v="9"/>
    <n v="40"/>
    <n v="9.1E-4"/>
    <n v="0"/>
    <x v="3"/>
    <x v="0"/>
    <n v="9.1E-4"/>
  </r>
  <r>
    <s v="SYN3025"/>
    <n v="39"/>
    <x v="0"/>
    <n v="10"/>
    <n v="48"/>
    <n v="1.7099999999999999E-3"/>
    <n v="0"/>
    <x v="3"/>
    <x v="2"/>
    <n v="1.7099999999999999E-3"/>
  </r>
  <r>
    <s v="SYN3026"/>
    <n v="60"/>
    <x v="1"/>
    <n v="15"/>
    <n v="74"/>
    <n v="1.7819999999999999E-2"/>
    <n v="0"/>
    <x v="5"/>
    <x v="2"/>
    <n v="1.7819999999999999E-2"/>
  </r>
  <r>
    <s v="SYN3027"/>
    <n v="47"/>
    <x v="0"/>
    <n v="4"/>
    <n v="50"/>
    <n v="1.5900000000000001E-3"/>
    <n v="0"/>
    <x v="2"/>
    <x v="0"/>
    <n v="1.5900000000000001E-3"/>
  </r>
  <r>
    <s v="SYN3028"/>
    <n v="40"/>
    <x v="1"/>
    <n v="17"/>
    <n v="56"/>
    <n v="3.13E-3"/>
    <n v="0"/>
    <x v="2"/>
    <x v="2"/>
    <n v="3.13E-3"/>
  </r>
  <r>
    <s v="SYN3029"/>
    <n v="49"/>
    <x v="0"/>
    <n v="12"/>
    <n v="60"/>
    <n v="5.9199999999999999E-3"/>
    <n v="0"/>
    <x v="0"/>
    <x v="2"/>
    <n v="5.9199999999999999E-3"/>
  </r>
  <r>
    <s v="SYN3030"/>
    <n v="46"/>
    <x v="0"/>
    <n v="15"/>
    <n v="60"/>
    <n v="6.11E-3"/>
    <n v="0"/>
    <x v="0"/>
    <x v="2"/>
    <n v="6.11E-3"/>
  </r>
  <r>
    <s v="SYN3031"/>
    <n v="46"/>
    <x v="1"/>
    <n v="3"/>
    <n v="48"/>
    <n v="7.5000000000000002E-4"/>
    <n v="0"/>
    <x v="3"/>
    <x v="0"/>
    <n v="7.5000000000000002E-4"/>
  </r>
  <r>
    <s v="SYN3032"/>
    <n v="39"/>
    <x v="0"/>
    <n v="26"/>
    <n v="64"/>
    <n v="9.6200000000000001E-3"/>
    <n v="0"/>
    <x v="0"/>
    <x v="1"/>
    <n v="9.6200000000000001E-3"/>
  </r>
  <r>
    <s v="SYN3033"/>
    <n v="28"/>
    <x v="1"/>
    <n v="20"/>
    <n v="47"/>
    <n v="1.57E-3"/>
    <n v="0"/>
    <x v="3"/>
    <x v="1"/>
    <n v="1.57E-3"/>
  </r>
  <r>
    <s v="SYN3034"/>
    <n v="38"/>
    <x v="1"/>
    <n v="2"/>
    <n v="39"/>
    <n v="3.1E-4"/>
    <n v="0"/>
    <x v="1"/>
    <x v="0"/>
    <n v="3.1E-4"/>
  </r>
  <r>
    <s v="SYN3035"/>
    <n v="45"/>
    <x v="0"/>
    <n v="22"/>
    <n v="66"/>
    <n v="1.1440000000000001E-2"/>
    <n v="0"/>
    <x v="0"/>
    <x v="1"/>
    <n v="1.1440000000000001E-2"/>
  </r>
  <r>
    <s v="SYN3036"/>
    <n v="53"/>
    <x v="1"/>
    <n v="15"/>
    <n v="67"/>
    <n v="9.0500000000000008E-3"/>
    <n v="0"/>
    <x v="0"/>
    <x v="2"/>
    <n v="9.0500000000000008E-3"/>
  </r>
  <r>
    <s v="SYN3037"/>
    <n v="37"/>
    <x v="1"/>
    <n v="27"/>
    <n v="63"/>
    <n v="6.0499999999999998E-3"/>
    <n v="0"/>
    <x v="0"/>
    <x v="1"/>
    <n v="6.0499999999999998E-3"/>
  </r>
  <r>
    <s v="SYN3038"/>
    <n v="58"/>
    <x v="1"/>
    <n v="4"/>
    <n v="61"/>
    <n v="3.0599999999999998E-3"/>
    <n v="0"/>
    <x v="0"/>
    <x v="0"/>
    <n v="3.0599999999999998E-3"/>
  </r>
  <r>
    <s v="SYN3039"/>
    <n v="64"/>
    <x v="1"/>
    <n v="11"/>
    <n v="74"/>
    <n v="1.443E-2"/>
    <n v="0"/>
    <x v="5"/>
    <x v="2"/>
    <n v="1.443E-2"/>
  </r>
  <r>
    <s v="SYN3040"/>
    <n v="57"/>
    <x v="1"/>
    <n v="22"/>
    <n v="78"/>
    <n v="3.1989999999999998E-2"/>
    <n v="0"/>
    <x v="5"/>
    <x v="1"/>
    <n v="3.1989999999999998E-2"/>
  </r>
  <r>
    <s v="SYN3041"/>
    <n v="64"/>
    <x v="1"/>
    <n v="7"/>
    <n v="70"/>
    <n v="8.2500000000000004E-3"/>
    <n v="0"/>
    <x v="5"/>
    <x v="0"/>
    <n v="8.2500000000000004E-3"/>
  </r>
  <r>
    <s v="SYN3042"/>
    <n v="51"/>
    <x v="0"/>
    <n v="5"/>
    <n v="55"/>
    <n v="2.8900000000000002E-3"/>
    <n v="0"/>
    <x v="2"/>
    <x v="0"/>
    <n v="2.8900000000000002E-3"/>
  </r>
  <r>
    <s v="SYN3043"/>
    <n v="29"/>
    <x v="1"/>
    <n v="10"/>
    <n v="38"/>
    <n v="6.4000000000000005E-4"/>
    <n v="0"/>
    <x v="1"/>
    <x v="2"/>
    <n v="6.4000000000000005E-4"/>
  </r>
  <r>
    <s v="SYN3044"/>
    <n v="20"/>
    <x v="0"/>
    <n v="26"/>
    <n v="45"/>
    <n v="2.5400000000000002E-3"/>
    <n v="0"/>
    <x v="3"/>
    <x v="1"/>
    <n v="2.5400000000000002E-3"/>
  </r>
  <r>
    <s v="SYN3045"/>
    <n v="27"/>
    <x v="0"/>
    <n v="3"/>
    <n v="29"/>
    <n v="3.5E-4"/>
    <n v="0"/>
    <x v="6"/>
    <x v="0"/>
    <n v="3.5E-4"/>
  </r>
  <r>
    <s v="SYN3046"/>
    <n v="27"/>
    <x v="0"/>
    <n v="17"/>
    <n v="43"/>
    <n v="1.6299999999999999E-3"/>
    <n v="0"/>
    <x v="3"/>
    <x v="2"/>
    <n v="1.6299999999999999E-3"/>
  </r>
  <r>
    <s v="SYN3047"/>
    <n v="50"/>
    <x v="1"/>
    <n v="1"/>
    <n v="50"/>
    <n v="4.2000000000000002E-4"/>
    <n v="0"/>
    <x v="2"/>
    <x v="0"/>
    <n v="4.2000000000000002E-4"/>
  </r>
  <r>
    <s v="SYN3048"/>
    <n v="23"/>
    <x v="0"/>
    <n v="30"/>
    <n v="52"/>
    <n v="2.7399999999999998E-3"/>
    <n v="0"/>
    <x v="2"/>
    <x v="3"/>
    <n v="2.7399999999999998E-3"/>
  </r>
  <r>
    <s v="SYN3049"/>
    <n v="31"/>
    <x v="0"/>
    <n v="27"/>
    <n v="57"/>
    <n v="4.3899999999999998E-3"/>
    <n v="0"/>
    <x v="2"/>
    <x v="1"/>
    <n v="4.3899999999999998E-3"/>
  </r>
  <r>
    <s v="SYN3050"/>
    <n v="36"/>
    <x v="1"/>
    <n v="27"/>
    <n v="62"/>
    <n v="5.4599999999999996E-3"/>
    <n v="0"/>
    <x v="0"/>
    <x v="1"/>
    <n v="5.4599999999999996E-3"/>
  </r>
  <r>
    <s v="SYN3051"/>
    <n v="62"/>
    <x v="0"/>
    <n v="20"/>
    <n v="81"/>
    <n v="5.6829999999999999E-2"/>
    <n v="0"/>
    <x v="4"/>
    <x v="1"/>
    <n v="5.6829999999999999E-2"/>
  </r>
  <r>
    <s v="SYN3052"/>
    <n v="21"/>
    <x v="0"/>
    <n v="6"/>
    <n v="26"/>
    <n v="6.8000000000000005E-4"/>
    <n v="0"/>
    <x v="6"/>
    <x v="0"/>
    <n v="6.8000000000000005E-4"/>
  </r>
  <r>
    <s v="SYN3053"/>
    <n v="35"/>
    <x v="1"/>
    <n v="6"/>
    <n v="40"/>
    <n v="5.9000000000000003E-4"/>
    <n v="0"/>
    <x v="3"/>
    <x v="0"/>
    <n v="5.9000000000000003E-4"/>
  </r>
  <r>
    <s v="SYN3054"/>
    <n v="32"/>
    <x v="0"/>
    <n v="16"/>
    <n v="47"/>
    <n v="1.91E-3"/>
    <n v="0"/>
    <x v="3"/>
    <x v="2"/>
    <n v="1.91E-3"/>
  </r>
  <r>
    <s v="SYN3055"/>
    <n v="26"/>
    <x v="0"/>
    <n v="19"/>
    <n v="44"/>
    <n v="1.82E-3"/>
    <n v="0"/>
    <x v="3"/>
    <x v="2"/>
    <n v="1.82E-3"/>
  </r>
  <r>
    <s v="SYN3056"/>
    <n v="45"/>
    <x v="1"/>
    <n v="13"/>
    <n v="57"/>
    <n v="3.2399999999999998E-3"/>
    <n v="0"/>
    <x v="2"/>
    <x v="2"/>
    <n v="3.2399999999999998E-3"/>
  </r>
  <r>
    <s v="SYN3057"/>
    <n v="46"/>
    <x v="0"/>
    <n v="27"/>
    <n v="72"/>
    <n v="1.9089999999999999E-2"/>
    <n v="0"/>
    <x v="5"/>
    <x v="1"/>
    <n v="1.9089999999999999E-2"/>
  </r>
  <r>
    <s v="SYN3058"/>
    <n v="49"/>
    <x v="1"/>
    <n v="4"/>
    <n v="52"/>
    <n v="1.4E-3"/>
    <n v="0"/>
    <x v="2"/>
    <x v="0"/>
    <n v="1.4E-3"/>
  </r>
  <r>
    <s v="SYN3059"/>
    <n v="39"/>
    <x v="1"/>
    <n v="2"/>
    <n v="40"/>
    <n v="3.3E-4"/>
    <n v="0"/>
    <x v="3"/>
    <x v="0"/>
    <n v="3.3E-4"/>
  </r>
  <r>
    <s v="SYN3060"/>
    <n v="59"/>
    <x v="0"/>
    <n v="15"/>
    <n v="73"/>
    <n v="2.3400000000000001E-2"/>
    <n v="0"/>
    <x v="5"/>
    <x v="2"/>
    <n v="2.3400000000000001E-2"/>
  </r>
  <r>
    <s v="SYN3061"/>
    <n v="28"/>
    <x v="1"/>
    <n v="15"/>
    <n v="42"/>
    <n v="1.0200000000000001E-3"/>
    <n v="0"/>
    <x v="3"/>
    <x v="2"/>
    <n v="1.0200000000000001E-3"/>
  </r>
  <r>
    <s v="SYN3062"/>
    <n v="20"/>
    <x v="0"/>
    <n v="6"/>
    <n v="25"/>
    <n v="7.7999999999999999E-4"/>
    <n v="0"/>
    <x v="6"/>
    <x v="0"/>
    <n v="7.7999999999999999E-4"/>
  </r>
  <r>
    <s v="SYN3063"/>
    <n v="52"/>
    <x v="0"/>
    <n v="7"/>
    <n v="58"/>
    <n v="4.2599999999999999E-3"/>
    <n v="0"/>
    <x v="2"/>
    <x v="0"/>
    <n v="4.2599999999999999E-3"/>
  </r>
  <r>
    <s v="SYN3064"/>
    <n v="44"/>
    <x v="0"/>
    <n v="17"/>
    <n v="60"/>
    <n v="6.3299999999999997E-3"/>
    <n v="0"/>
    <x v="0"/>
    <x v="2"/>
    <n v="6.3299999999999997E-3"/>
  </r>
  <r>
    <s v="SYN3065"/>
    <n v="42"/>
    <x v="1"/>
    <n v="21"/>
    <n v="62"/>
    <n v="6.0499999999999998E-3"/>
    <n v="0"/>
    <x v="0"/>
    <x v="1"/>
    <n v="6.0499999999999998E-3"/>
  </r>
  <r>
    <s v="SYN3066"/>
    <n v="65"/>
    <x v="1"/>
    <n v="28"/>
    <n v="92"/>
    <n v="0.13125000000000001"/>
    <n v="0"/>
    <x v="7"/>
    <x v="1"/>
    <n v="0.13125000000000001"/>
  </r>
  <r>
    <s v="SYN3067"/>
    <n v="62"/>
    <x v="1"/>
    <n v="10"/>
    <n v="71"/>
    <n v="9.9100000000000004E-3"/>
    <n v="0"/>
    <x v="5"/>
    <x v="2"/>
    <n v="9.9100000000000004E-3"/>
  </r>
  <r>
    <s v="SYN3068"/>
    <n v="61"/>
    <x v="0"/>
    <n v="16"/>
    <n v="76"/>
    <n v="3.1919999999999997E-2"/>
    <n v="0"/>
    <x v="5"/>
    <x v="2"/>
    <n v="3.1919999999999997E-2"/>
  </r>
  <r>
    <s v="SYN3069"/>
    <n v="62"/>
    <x v="1"/>
    <n v="6"/>
    <n v="67"/>
    <n v="6.43E-3"/>
    <n v="0"/>
    <x v="0"/>
    <x v="0"/>
    <n v="6.43E-3"/>
  </r>
  <r>
    <s v="SYN3070"/>
    <n v="62"/>
    <x v="0"/>
    <n v="17"/>
    <n v="78"/>
    <n v="3.943E-2"/>
    <n v="0"/>
    <x v="5"/>
    <x v="2"/>
    <n v="3.943E-2"/>
  </r>
  <r>
    <s v="SYN3071"/>
    <n v="57"/>
    <x v="0"/>
    <n v="19"/>
    <n v="75"/>
    <n v="2.9780000000000001E-2"/>
    <n v="0"/>
    <x v="5"/>
    <x v="2"/>
    <n v="2.9780000000000001E-2"/>
  </r>
  <r>
    <s v="SYN3072"/>
    <n v="45"/>
    <x v="0"/>
    <n v="3"/>
    <n v="47"/>
    <n v="1.08E-3"/>
    <n v="0"/>
    <x v="3"/>
    <x v="0"/>
    <n v="1.08E-3"/>
  </r>
  <r>
    <s v="SYN3073"/>
    <n v="30"/>
    <x v="0"/>
    <n v="8"/>
    <n v="37"/>
    <n v="6.6E-4"/>
    <n v="0"/>
    <x v="1"/>
    <x v="0"/>
    <n v="6.6E-4"/>
  </r>
  <r>
    <s v="SYN3074"/>
    <n v="63"/>
    <x v="0"/>
    <n v="16"/>
    <n v="78"/>
    <n v="3.8120000000000001E-2"/>
    <n v="0"/>
    <x v="5"/>
    <x v="2"/>
    <n v="3.8120000000000001E-2"/>
  </r>
  <r>
    <s v="SYN3075"/>
    <n v="35"/>
    <x v="1"/>
    <n v="4"/>
    <n v="38"/>
    <n v="4.4000000000000002E-4"/>
    <n v="0"/>
    <x v="1"/>
    <x v="0"/>
    <n v="4.4000000000000002E-4"/>
  </r>
  <r>
    <s v="SYN3076"/>
    <n v="44"/>
    <x v="1"/>
    <n v="25"/>
    <n v="68"/>
    <n v="1.141E-2"/>
    <n v="0"/>
    <x v="0"/>
    <x v="1"/>
    <n v="1.141E-2"/>
  </r>
  <r>
    <s v="SYN3077"/>
    <n v="23"/>
    <x v="0"/>
    <n v="20"/>
    <n v="42"/>
    <n v="1.82E-3"/>
    <n v="0"/>
    <x v="3"/>
    <x v="1"/>
    <n v="1.82E-3"/>
  </r>
  <r>
    <s v="SYN3078"/>
    <n v="24"/>
    <x v="1"/>
    <n v="15"/>
    <n v="38"/>
    <n v="8.3000000000000001E-4"/>
    <n v="0"/>
    <x v="1"/>
    <x v="2"/>
    <n v="8.3000000000000001E-4"/>
  </r>
  <r>
    <s v="SYN3079"/>
    <n v="21"/>
    <x v="0"/>
    <n v="30"/>
    <n v="50"/>
    <n v="2.6099999999999999E-3"/>
    <n v="0"/>
    <x v="2"/>
    <x v="3"/>
    <n v="2.6099999999999999E-3"/>
  </r>
  <r>
    <s v="SYN3080"/>
    <n v="48"/>
    <x v="0"/>
    <n v="13"/>
    <n v="60"/>
    <n v="5.9699999999999996E-3"/>
    <n v="0"/>
    <x v="0"/>
    <x v="2"/>
    <n v="5.9699999999999996E-3"/>
  </r>
  <r>
    <s v="SYN3081"/>
    <n v="55"/>
    <x v="0"/>
    <n v="7"/>
    <n v="61"/>
    <n v="5.8900000000000003E-3"/>
    <n v="0"/>
    <x v="0"/>
    <x v="0"/>
    <n v="5.8900000000000003E-3"/>
  </r>
  <r>
    <s v="SYN3082"/>
    <n v="63"/>
    <x v="0"/>
    <n v="10"/>
    <n v="72"/>
    <n v="1.6930000000000001E-2"/>
    <n v="0"/>
    <x v="5"/>
    <x v="2"/>
    <n v="1.6930000000000001E-2"/>
  </r>
  <r>
    <s v="SYN3083"/>
    <n v="47"/>
    <x v="1"/>
    <n v="27"/>
    <n v="73"/>
    <n v="1.7170000000000001E-2"/>
    <n v="0"/>
    <x v="5"/>
    <x v="1"/>
    <n v="1.7170000000000001E-2"/>
  </r>
  <r>
    <s v="SYN3084"/>
    <n v="25"/>
    <x v="0"/>
    <n v="19"/>
    <n v="43"/>
    <n v="1.7799999999999999E-3"/>
    <n v="0"/>
    <x v="3"/>
    <x v="2"/>
    <n v="1.7799999999999999E-3"/>
  </r>
  <r>
    <s v="SYN3085"/>
    <n v="26"/>
    <x v="0"/>
    <n v="7"/>
    <n v="32"/>
    <n v="4.8000000000000001E-4"/>
    <n v="0"/>
    <x v="1"/>
    <x v="0"/>
    <n v="4.8000000000000001E-4"/>
  </r>
  <r>
    <s v="SYN3086"/>
    <n v="20"/>
    <x v="1"/>
    <n v="12"/>
    <n v="31"/>
    <n v="4.2000000000000002E-4"/>
    <n v="0"/>
    <x v="1"/>
    <x v="2"/>
    <n v="4.2000000000000002E-4"/>
  </r>
  <r>
    <s v="SYN3087"/>
    <n v="24"/>
    <x v="0"/>
    <n v="11"/>
    <n v="34"/>
    <n v="7.1000000000000002E-4"/>
    <n v="0"/>
    <x v="1"/>
    <x v="2"/>
    <n v="7.1000000000000002E-4"/>
  </r>
  <r>
    <s v="SYN3088"/>
    <n v="61"/>
    <x v="0"/>
    <n v="17"/>
    <n v="77"/>
    <n v="3.5990000000000001E-2"/>
    <n v="0"/>
    <x v="5"/>
    <x v="2"/>
    <n v="3.5990000000000001E-2"/>
  </r>
  <r>
    <s v="SYN3089"/>
    <n v="56"/>
    <x v="0"/>
    <n v="27"/>
    <n v="82"/>
    <n v="5.6829999999999999E-2"/>
    <n v="0"/>
    <x v="4"/>
    <x v="1"/>
    <n v="5.6829999999999999E-2"/>
  </r>
  <r>
    <s v="SYN3090"/>
    <n v="59"/>
    <x v="1"/>
    <n v="29"/>
    <n v="87"/>
    <n v="6.4490000000000006E-2"/>
    <n v="0"/>
    <x v="4"/>
    <x v="1"/>
    <n v="6.4490000000000006E-2"/>
  </r>
  <r>
    <s v="SYN3091"/>
    <n v="24"/>
    <x v="0"/>
    <n v="15"/>
    <n v="38"/>
    <n v="1.09E-3"/>
    <n v="0"/>
    <x v="1"/>
    <x v="2"/>
    <n v="1.09E-3"/>
  </r>
  <r>
    <s v="SYN3092"/>
    <n v="24"/>
    <x v="0"/>
    <n v="19"/>
    <n v="42"/>
    <n v="1.72E-3"/>
    <n v="0"/>
    <x v="3"/>
    <x v="2"/>
    <n v="1.72E-3"/>
  </r>
  <r>
    <s v="SYN3093"/>
    <n v="39"/>
    <x v="0"/>
    <n v="4"/>
    <n v="42"/>
    <n v="8.0999999999999996E-4"/>
    <n v="0"/>
    <x v="3"/>
    <x v="0"/>
    <n v="8.0999999999999996E-4"/>
  </r>
  <r>
    <s v="SYN3094"/>
    <n v="58"/>
    <x v="0"/>
    <n v="18"/>
    <n v="75"/>
    <n v="2.9780000000000001E-2"/>
    <n v="0"/>
    <x v="5"/>
    <x v="2"/>
    <n v="2.9780000000000001E-2"/>
  </r>
  <r>
    <s v="SYN3095"/>
    <n v="38"/>
    <x v="1"/>
    <n v="30"/>
    <n v="67"/>
    <n v="6.7200000000000003E-3"/>
    <n v="0"/>
    <x v="0"/>
    <x v="3"/>
    <n v="6.7200000000000003E-3"/>
  </r>
  <r>
    <s v="SYN3096"/>
    <n v="42"/>
    <x v="1"/>
    <n v="3"/>
    <n v="44"/>
    <n v="5.4000000000000001E-4"/>
    <n v="0"/>
    <x v="3"/>
    <x v="0"/>
    <n v="5.4000000000000001E-4"/>
  </r>
  <r>
    <s v="SYN3097"/>
    <n v="38"/>
    <x v="1"/>
    <n v="3"/>
    <n v="40"/>
    <n v="4.6000000000000001E-4"/>
    <n v="0"/>
    <x v="3"/>
    <x v="0"/>
    <n v="4.6000000000000001E-4"/>
  </r>
  <r>
    <s v="SYN3098"/>
    <n v="53"/>
    <x v="1"/>
    <n v="30"/>
    <n v="82"/>
    <n v="3.1989999999999998E-2"/>
    <n v="0"/>
    <x v="4"/>
    <x v="3"/>
    <n v="3.1989999999999998E-2"/>
  </r>
  <r>
    <s v="SYN3099"/>
    <n v="59"/>
    <x v="1"/>
    <n v="2"/>
    <n v="60"/>
    <n v="1.5E-3"/>
    <n v="0"/>
    <x v="0"/>
    <x v="0"/>
    <n v="1.5E-3"/>
  </r>
  <r>
    <s v="SYN3100"/>
    <n v="57"/>
    <x v="1"/>
    <n v="16"/>
    <n v="72"/>
    <n v="1.5219999999999999E-2"/>
    <n v="0"/>
    <x v="5"/>
    <x v="2"/>
    <n v="1.5219999999999999E-2"/>
  </r>
  <r>
    <s v="SYN3101"/>
    <n v="61"/>
    <x v="0"/>
    <n v="1"/>
    <n v="61"/>
    <n v="2.2599999999999999E-3"/>
    <n v="0"/>
    <x v="0"/>
    <x v="0"/>
    <n v="2.2599999999999999E-3"/>
  </r>
  <r>
    <s v="SYN3102"/>
    <n v="32"/>
    <x v="1"/>
    <n v="11"/>
    <n v="42"/>
    <n v="8.5999999999999998E-4"/>
    <n v="0"/>
    <x v="3"/>
    <x v="2"/>
    <n v="8.5999999999999998E-4"/>
  </r>
  <r>
    <s v="SYN3103"/>
    <n v="33"/>
    <x v="1"/>
    <n v="18"/>
    <n v="50"/>
    <n v="1.8600000000000001E-3"/>
    <n v="0"/>
    <x v="2"/>
    <x v="2"/>
    <n v="1.8600000000000001E-3"/>
  </r>
  <r>
    <s v="SYN3104"/>
    <n v="62"/>
    <x v="1"/>
    <n v="30"/>
    <n v="91"/>
    <n v="9.3240000000000003E-2"/>
    <n v="0"/>
    <x v="7"/>
    <x v="3"/>
    <n v="9.3240000000000003E-2"/>
  </r>
  <r>
    <s v="SYN3105"/>
    <n v="24"/>
    <x v="1"/>
    <n v="26"/>
    <n v="49"/>
    <n v="1.8699999999999999E-3"/>
    <n v="0"/>
    <x v="3"/>
    <x v="1"/>
    <n v="1.8699999999999999E-3"/>
  </r>
  <r>
    <s v="SYN3106"/>
    <n v="64"/>
    <x v="1"/>
    <n v="27"/>
    <n v="90"/>
    <n v="0.11754000000000001"/>
    <n v="1"/>
    <x v="7"/>
    <x v="1"/>
    <n v="0.11754000000000001"/>
  </r>
  <r>
    <s v="SYN3107"/>
    <n v="24"/>
    <x v="1"/>
    <n v="14"/>
    <n v="37"/>
    <n v="7.2000000000000005E-4"/>
    <n v="0"/>
    <x v="1"/>
    <x v="2"/>
    <n v="7.2000000000000005E-4"/>
  </r>
  <r>
    <s v="SYN3108"/>
    <n v="25"/>
    <x v="1"/>
    <n v="29"/>
    <n v="53"/>
    <n v="2.0200000000000001E-3"/>
    <n v="0"/>
    <x v="2"/>
    <x v="1"/>
    <n v="2.0200000000000001E-3"/>
  </r>
  <r>
    <s v="SYN3109"/>
    <n v="37"/>
    <x v="0"/>
    <n v="24"/>
    <n v="60"/>
    <n v="6.3299999999999997E-3"/>
    <n v="0"/>
    <x v="0"/>
    <x v="1"/>
    <n v="6.3299999999999997E-3"/>
  </r>
  <r>
    <s v="SYN3110"/>
    <n v="52"/>
    <x v="1"/>
    <n v="8"/>
    <n v="59"/>
    <n v="3.2200000000000002E-3"/>
    <n v="0"/>
    <x v="2"/>
    <x v="0"/>
    <n v="3.2200000000000002E-3"/>
  </r>
  <r>
    <s v="SYN3111"/>
    <n v="39"/>
    <x v="1"/>
    <n v="26"/>
    <n v="64"/>
    <n v="7.4700000000000001E-3"/>
    <n v="0"/>
    <x v="0"/>
    <x v="1"/>
    <n v="7.4700000000000001E-3"/>
  </r>
  <r>
    <s v="SYN3112"/>
    <n v="21"/>
    <x v="0"/>
    <n v="30"/>
    <n v="50"/>
    <n v="2.6099999999999999E-3"/>
    <n v="0"/>
    <x v="2"/>
    <x v="3"/>
    <n v="2.6099999999999999E-3"/>
  </r>
  <r>
    <s v="SYN3113"/>
    <n v="32"/>
    <x v="1"/>
    <n v="18"/>
    <n v="49"/>
    <n v="1.73E-3"/>
    <n v="0"/>
    <x v="3"/>
    <x v="2"/>
    <n v="1.73E-3"/>
  </r>
  <r>
    <s v="SYN3114"/>
    <n v="63"/>
    <x v="0"/>
    <n v="24"/>
    <n v="86"/>
    <n v="0.10347000000000001"/>
    <n v="0"/>
    <x v="4"/>
    <x v="1"/>
    <n v="0.10347000000000001"/>
  </r>
  <r>
    <s v="SYN3115"/>
    <n v="44"/>
    <x v="0"/>
    <n v="25"/>
    <n v="68"/>
    <n v="1.405E-2"/>
    <n v="0"/>
    <x v="0"/>
    <x v="1"/>
    <n v="1.405E-2"/>
  </r>
  <r>
    <s v="SYN3116"/>
    <n v="64"/>
    <x v="1"/>
    <n v="14"/>
    <n v="77"/>
    <n v="2.3390000000000001E-2"/>
    <n v="0"/>
    <x v="5"/>
    <x v="2"/>
    <n v="2.3390000000000001E-2"/>
  </r>
  <r>
    <s v="SYN3117"/>
    <n v="27"/>
    <x v="1"/>
    <n v="29"/>
    <n v="55"/>
    <n v="2.3800000000000002E-3"/>
    <n v="0"/>
    <x v="2"/>
    <x v="1"/>
    <n v="2.3800000000000002E-3"/>
  </r>
  <r>
    <s v="SYN3118"/>
    <n v="42"/>
    <x v="0"/>
    <n v="7"/>
    <n v="48"/>
    <n v="1.5200000000000001E-3"/>
    <n v="0"/>
    <x v="3"/>
    <x v="0"/>
    <n v="1.5200000000000001E-3"/>
  </r>
  <r>
    <s v="SYN3119"/>
    <n v="35"/>
    <x v="0"/>
    <n v="8"/>
    <n v="42"/>
    <n v="1.0200000000000001E-3"/>
    <n v="0"/>
    <x v="3"/>
    <x v="0"/>
    <n v="1.0200000000000001E-3"/>
  </r>
  <r>
    <s v="SYN3120"/>
    <n v="46"/>
    <x v="1"/>
    <n v="24"/>
    <n v="69"/>
    <n v="1.2659999999999999E-2"/>
    <n v="0"/>
    <x v="0"/>
    <x v="1"/>
    <n v="1.2659999999999999E-2"/>
  </r>
  <r>
    <s v="SYN3121"/>
    <n v="54"/>
    <x v="0"/>
    <n v="19"/>
    <n v="72"/>
    <n v="2.1139999999999999E-2"/>
    <n v="0"/>
    <x v="5"/>
    <x v="2"/>
    <n v="2.1139999999999999E-2"/>
  </r>
  <r>
    <s v="SYN3122"/>
    <n v="35"/>
    <x v="0"/>
    <n v="27"/>
    <n v="61"/>
    <n v="6.3299999999999997E-3"/>
    <n v="0"/>
    <x v="0"/>
    <x v="1"/>
    <n v="6.3299999999999997E-3"/>
  </r>
  <r>
    <s v="SYN3123"/>
    <n v="48"/>
    <x v="0"/>
    <n v="6"/>
    <n v="53"/>
    <n v="2.4199999999999998E-3"/>
    <n v="0"/>
    <x v="2"/>
    <x v="0"/>
    <n v="2.4199999999999998E-3"/>
  </r>
  <r>
    <s v="SYN3124"/>
    <n v="58"/>
    <x v="1"/>
    <n v="21"/>
    <n v="78"/>
    <n v="3.1989999999999998E-2"/>
    <n v="0"/>
    <x v="5"/>
    <x v="1"/>
    <n v="3.1989999999999998E-2"/>
  </r>
  <r>
    <s v="SYN3125"/>
    <n v="28"/>
    <x v="0"/>
    <n v="20"/>
    <n v="47"/>
    <n v="2.0300000000000001E-3"/>
    <n v="0"/>
    <x v="3"/>
    <x v="1"/>
    <n v="2.0300000000000001E-3"/>
  </r>
  <r>
    <s v="SYN3126"/>
    <n v="62"/>
    <x v="0"/>
    <n v="3"/>
    <n v="64"/>
    <n v="5.1900000000000002E-3"/>
    <n v="0"/>
    <x v="0"/>
    <x v="0"/>
    <n v="5.1900000000000002E-3"/>
  </r>
  <r>
    <s v="SYN3127"/>
    <n v="33"/>
    <x v="1"/>
    <n v="16"/>
    <n v="48"/>
    <n v="1.5100000000000001E-3"/>
    <n v="0"/>
    <x v="3"/>
    <x v="2"/>
    <n v="1.5100000000000001E-3"/>
  </r>
  <r>
    <s v="SYN3128"/>
    <n v="34"/>
    <x v="1"/>
    <n v="15"/>
    <n v="48"/>
    <n v="1.48E-3"/>
    <n v="0"/>
    <x v="3"/>
    <x v="2"/>
    <n v="1.48E-3"/>
  </r>
  <r>
    <s v="SYN3129"/>
    <n v="55"/>
    <x v="1"/>
    <n v="10"/>
    <n v="64"/>
    <n v="5.7999999999999996E-3"/>
    <n v="0"/>
    <x v="0"/>
    <x v="2"/>
    <n v="5.7999999999999996E-3"/>
  </r>
  <r>
    <s v="SYN3130"/>
    <n v="37"/>
    <x v="1"/>
    <n v="11"/>
    <n v="47"/>
    <n v="1.2199999999999999E-3"/>
    <n v="0"/>
    <x v="3"/>
    <x v="2"/>
    <n v="1.2199999999999999E-3"/>
  </r>
  <r>
    <s v="SYN3131"/>
    <n v="23"/>
    <x v="1"/>
    <n v="12"/>
    <n v="34"/>
    <n v="5.0000000000000001E-4"/>
    <n v="0"/>
    <x v="1"/>
    <x v="2"/>
    <n v="5.0000000000000001E-4"/>
  </r>
  <r>
    <s v="SYN3132"/>
    <n v="59"/>
    <x v="0"/>
    <n v="16"/>
    <n v="74"/>
    <n v="2.6040000000000001E-2"/>
    <n v="0"/>
    <x v="5"/>
    <x v="2"/>
    <n v="2.6040000000000001E-2"/>
  </r>
  <r>
    <s v="SYN3133"/>
    <n v="28"/>
    <x v="1"/>
    <n v="27"/>
    <n v="54"/>
    <n v="2.5899999999999999E-3"/>
    <n v="0"/>
    <x v="2"/>
    <x v="1"/>
    <n v="2.5899999999999999E-3"/>
  </r>
  <r>
    <s v="SYN3134"/>
    <n v="55"/>
    <x v="0"/>
    <n v="7"/>
    <n v="61"/>
    <n v="5.8900000000000003E-3"/>
    <n v="0"/>
    <x v="0"/>
    <x v="0"/>
    <n v="5.8900000000000003E-3"/>
  </r>
  <r>
    <s v="SYN3135"/>
    <n v="29"/>
    <x v="1"/>
    <n v="2"/>
    <n v="30"/>
    <n v="1.7000000000000001E-4"/>
    <n v="0"/>
    <x v="1"/>
    <x v="0"/>
    <n v="1.7000000000000001E-4"/>
  </r>
  <r>
    <s v="SYN3136"/>
    <n v="61"/>
    <x v="0"/>
    <n v="25"/>
    <n v="85"/>
    <n v="9.1270000000000004E-2"/>
    <n v="0"/>
    <x v="4"/>
    <x v="1"/>
    <n v="9.1270000000000004E-2"/>
  </r>
  <r>
    <s v="SYN3137"/>
    <n v="51"/>
    <x v="0"/>
    <n v="27"/>
    <n v="77"/>
    <n v="3.3509999999999998E-2"/>
    <n v="0"/>
    <x v="5"/>
    <x v="1"/>
    <n v="3.3509999999999998E-2"/>
  </r>
  <r>
    <s v="SYN3138"/>
    <n v="44"/>
    <x v="1"/>
    <n v="10"/>
    <n v="53"/>
    <n v="2.0600000000000002E-3"/>
    <n v="0"/>
    <x v="2"/>
    <x v="2"/>
    <n v="2.0600000000000002E-3"/>
  </r>
  <r>
    <s v="SYN3139"/>
    <n v="37"/>
    <x v="1"/>
    <n v="28"/>
    <n v="64"/>
    <n v="6.0499999999999998E-3"/>
    <n v="0"/>
    <x v="0"/>
    <x v="1"/>
    <n v="6.0499999999999998E-3"/>
  </r>
  <r>
    <s v="SYN3140"/>
    <n v="44"/>
    <x v="0"/>
    <n v="13"/>
    <n v="56"/>
    <n v="3.9300000000000003E-3"/>
    <n v="0"/>
    <x v="2"/>
    <x v="2"/>
    <n v="3.9300000000000003E-3"/>
  </r>
  <r>
    <s v="SYN3141"/>
    <n v="44"/>
    <x v="1"/>
    <n v="6"/>
    <n v="49"/>
    <n v="1.1800000000000001E-3"/>
    <n v="0"/>
    <x v="3"/>
    <x v="0"/>
    <n v="1.1800000000000001E-3"/>
  </r>
  <r>
    <s v="SYN3142"/>
    <n v="62"/>
    <x v="0"/>
    <n v="10"/>
    <n v="71"/>
    <n v="1.5980000000000001E-2"/>
    <n v="0"/>
    <x v="5"/>
    <x v="2"/>
    <n v="1.5980000000000001E-2"/>
  </r>
  <r>
    <s v="SYN3143"/>
    <n v="21"/>
    <x v="1"/>
    <n v="30"/>
    <n v="50"/>
    <n v="1.49E-3"/>
    <n v="0"/>
    <x v="2"/>
    <x v="3"/>
    <n v="1.49E-3"/>
  </r>
  <r>
    <s v="SYN3144"/>
    <n v="36"/>
    <x v="1"/>
    <n v="26"/>
    <n v="61"/>
    <n v="5.4599999999999996E-3"/>
    <n v="0"/>
    <x v="0"/>
    <x v="1"/>
    <n v="5.4599999999999996E-3"/>
  </r>
  <r>
    <s v="SYN3145"/>
    <n v="21"/>
    <x v="1"/>
    <n v="11"/>
    <n v="31"/>
    <n v="4.0999999999999999E-4"/>
    <n v="0"/>
    <x v="1"/>
    <x v="2"/>
    <n v="4.0999999999999999E-4"/>
  </r>
  <r>
    <s v="SYN3146"/>
    <n v="47"/>
    <x v="1"/>
    <n v="26"/>
    <n v="72"/>
    <n v="1.7170000000000001E-2"/>
    <n v="0"/>
    <x v="5"/>
    <x v="1"/>
    <n v="1.7170000000000001E-2"/>
  </r>
  <r>
    <s v="SYN3147"/>
    <n v="23"/>
    <x v="0"/>
    <n v="26"/>
    <n v="48"/>
    <n v="2.7399999999999998E-3"/>
    <n v="0"/>
    <x v="3"/>
    <x v="1"/>
    <n v="2.7399999999999998E-3"/>
  </r>
  <r>
    <s v="SYN3148"/>
    <n v="63"/>
    <x v="1"/>
    <n v="10"/>
    <n v="72"/>
    <n v="1.095E-2"/>
    <n v="0"/>
    <x v="5"/>
    <x v="2"/>
    <n v="1.095E-2"/>
  </r>
  <r>
    <s v="SYN3149"/>
    <n v="49"/>
    <x v="1"/>
    <n v="14"/>
    <n v="62"/>
    <n v="5.5599999999999998E-3"/>
    <n v="0"/>
    <x v="0"/>
    <x v="2"/>
    <n v="5.5599999999999998E-3"/>
  </r>
  <r>
    <s v="SYN3150"/>
    <n v="53"/>
    <x v="0"/>
    <n v="9"/>
    <n v="61"/>
    <n v="6.4200000000000004E-3"/>
    <n v="0"/>
    <x v="0"/>
    <x v="0"/>
    <n v="6.4200000000000004E-3"/>
  </r>
  <r>
    <s v="SYN3151"/>
    <n v="35"/>
    <x v="1"/>
    <n v="5"/>
    <n v="39"/>
    <n v="5.1999999999999995E-4"/>
    <n v="0"/>
    <x v="1"/>
    <x v="0"/>
    <n v="5.1999999999999995E-4"/>
  </r>
  <r>
    <s v="SYN3152"/>
    <n v="63"/>
    <x v="0"/>
    <n v="9"/>
    <n v="71"/>
    <n v="1.451E-2"/>
    <n v="0"/>
    <x v="5"/>
    <x v="0"/>
    <n v="1.451E-2"/>
  </r>
  <r>
    <s v="SYN3153"/>
    <n v="54"/>
    <x v="0"/>
    <n v="10"/>
    <n v="63"/>
    <n v="8.0300000000000007E-3"/>
    <n v="0"/>
    <x v="0"/>
    <x v="2"/>
    <n v="8.0300000000000007E-3"/>
  </r>
  <r>
    <s v="SYN3154"/>
    <n v="59"/>
    <x v="0"/>
    <n v="9"/>
    <n v="67"/>
    <n v="1.128E-2"/>
    <n v="0"/>
    <x v="0"/>
    <x v="0"/>
    <n v="1.128E-2"/>
  </r>
  <r>
    <s v="SYN3155"/>
    <n v="61"/>
    <x v="1"/>
    <n v="26"/>
    <n v="86"/>
    <n v="8.2710000000000006E-2"/>
    <n v="1"/>
    <x v="4"/>
    <x v="1"/>
    <n v="8.2710000000000006E-2"/>
  </r>
  <r>
    <s v="SYN3156"/>
    <n v="39"/>
    <x v="1"/>
    <n v="19"/>
    <n v="57"/>
    <n v="3.5799999999999998E-3"/>
    <n v="0"/>
    <x v="2"/>
    <x v="2"/>
    <n v="3.5799999999999998E-3"/>
  </r>
  <r>
    <s v="SYN3157"/>
    <n v="31"/>
    <x v="0"/>
    <n v="15"/>
    <n v="45"/>
    <n v="1.58E-3"/>
    <n v="0"/>
    <x v="3"/>
    <x v="2"/>
    <n v="1.58E-3"/>
  </r>
  <r>
    <s v="SYN3158"/>
    <n v="49"/>
    <x v="1"/>
    <n v="2"/>
    <n v="50"/>
    <n v="5.9999999999999995E-4"/>
    <n v="0"/>
    <x v="2"/>
    <x v="0"/>
    <n v="5.9999999999999995E-4"/>
  </r>
  <r>
    <s v="SYN3159"/>
    <n v="55"/>
    <x v="0"/>
    <n v="7"/>
    <n v="61"/>
    <n v="5.8900000000000003E-3"/>
    <n v="0"/>
    <x v="0"/>
    <x v="0"/>
    <n v="5.8900000000000003E-3"/>
  </r>
  <r>
    <s v="SYN3160"/>
    <n v="25"/>
    <x v="1"/>
    <n v="9"/>
    <n v="33"/>
    <n v="4.0000000000000002E-4"/>
    <n v="0"/>
    <x v="1"/>
    <x v="0"/>
    <n v="4.0000000000000002E-4"/>
  </r>
  <r>
    <s v="SYN3161"/>
    <n v="24"/>
    <x v="0"/>
    <n v="15"/>
    <n v="38"/>
    <n v="1.09E-3"/>
    <n v="0"/>
    <x v="1"/>
    <x v="2"/>
    <n v="1.09E-3"/>
  </r>
  <r>
    <s v="SYN3162"/>
    <n v="37"/>
    <x v="1"/>
    <n v="9"/>
    <n v="45"/>
    <n v="8.8000000000000003E-4"/>
    <n v="0"/>
    <x v="3"/>
    <x v="0"/>
    <n v="8.8000000000000003E-4"/>
  </r>
  <r>
    <s v="SYN3163"/>
    <n v="60"/>
    <x v="0"/>
    <n v="6"/>
    <n v="65"/>
    <n v="8.1399999999999997E-3"/>
    <n v="0"/>
    <x v="0"/>
    <x v="0"/>
    <n v="8.1399999999999997E-3"/>
  </r>
  <r>
    <s v="SYN3164"/>
    <n v="23"/>
    <x v="0"/>
    <n v="8"/>
    <n v="30"/>
    <n v="5.5000000000000003E-4"/>
    <n v="0"/>
    <x v="1"/>
    <x v="0"/>
    <n v="5.5000000000000003E-4"/>
  </r>
  <r>
    <s v="SYN3165"/>
    <n v="63"/>
    <x v="1"/>
    <n v="17"/>
    <n v="79"/>
    <n v="3.2660000000000002E-2"/>
    <n v="0"/>
    <x v="5"/>
    <x v="2"/>
    <n v="3.2660000000000002E-2"/>
  </r>
  <r>
    <s v="SYN3166"/>
    <n v="22"/>
    <x v="1"/>
    <n v="18"/>
    <n v="39"/>
    <n v="1E-3"/>
    <n v="0"/>
    <x v="1"/>
    <x v="2"/>
    <n v="1E-3"/>
  </r>
  <r>
    <s v="SYN3167"/>
    <n v="65"/>
    <x v="1"/>
    <n v="9"/>
    <n v="73"/>
    <n v="1.1780000000000001E-2"/>
    <n v="0"/>
    <x v="5"/>
    <x v="0"/>
    <n v="1.1780000000000001E-2"/>
  </r>
  <r>
    <s v="SYN3168"/>
    <n v="42"/>
    <x v="1"/>
    <n v="18"/>
    <n v="59"/>
    <n v="4.2500000000000003E-3"/>
    <n v="0"/>
    <x v="2"/>
    <x v="2"/>
    <n v="4.2500000000000003E-3"/>
  </r>
  <r>
    <s v="SYN3169"/>
    <n v="42"/>
    <x v="0"/>
    <n v="4"/>
    <n v="45"/>
    <n v="1.01E-3"/>
    <n v="0"/>
    <x v="3"/>
    <x v="0"/>
    <n v="1.01E-3"/>
  </r>
  <r>
    <s v="SYN3170"/>
    <n v="52"/>
    <x v="0"/>
    <n v="3"/>
    <n v="54"/>
    <n v="2.15E-3"/>
    <n v="0"/>
    <x v="2"/>
    <x v="0"/>
    <n v="2.15E-3"/>
  </r>
  <r>
    <s v="SYN3171"/>
    <n v="43"/>
    <x v="1"/>
    <n v="27"/>
    <n v="69"/>
    <n v="1.141E-2"/>
    <n v="0"/>
    <x v="0"/>
    <x v="1"/>
    <n v="1.141E-2"/>
  </r>
  <r>
    <s v="SYN3172"/>
    <n v="61"/>
    <x v="1"/>
    <n v="14"/>
    <n v="74"/>
    <n v="1.704E-2"/>
    <n v="0"/>
    <x v="5"/>
    <x v="2"/>
    <n v="1.704E-2"/>
  </r>
  <r>
    <s v="SYN3173"/>
    <n v="40"/>
    <x v="1"/>
    <n v="20"/>
    <n v="59"/>
    <n v="4.4200000000000003E-3"/>
    <n v="0"/>
    <x v="2"/>
    <x v="1"/>
    <n v="4.4200000000000003E-3"/>
  </r>
  <r>
    <s v="SYN3174"/>
    <n v="46"/>
    <x v="1"/>
    <n v="29"/>
    <n v="74"/>
    <n v="1.553E-2"/>
    <n v="0"/>
    <x v="5"/>
    <x v="1"/>
    <n v="1.553E-2"/>
  </r>
  <r>
    <s v="SYN3175"/>
    <n v="38"/>
    <x v="0"/>
    <n v="20"/>
    <n v="57"/>
    <n v="4.7299999999999998E-3"/>
    <n v="0"/>
    <x v="2"/>
    <x v="1"/>
    <n v="4.7299999999999998E-3"/>
  </r>
  <r>
    <s v="SYN3176"/>
    <n v="38"/>
    <x v="0"/>
    <n v="30"/>
    <n v="67"/>
    <n v="8.6599999999999993E-3"/>
    <n v="0"/>
    <x v="0"/>
    <x v="3"/>
    <n v="8.6599999999999993E-3"/>
  </r>
  <r>
    <s v="SYN3177"/>
    <n v="26"/>
    <x v="0"/>
    <n v="20"/>
    <n v="45"/>
    <n v="1.89E-3"/>
    <n v="0"/>
    <x v="3"/>
    <x v="1"/>
    <n v="1.89E-3"/>
  </r>
  <r>
    <s v="SYN3178"/>
    <n v="65"/>
    <x v="1"/>
    <n v="25"/>
    <n v="89"/>
    <n v="0.11754000000000001"/>
    <n v="0"/>
    <x v="4"/>
    <x v="1"/>
    <n v="0.11754000000000001"/>
  </r>
  <r>
    <s v="SYN3179"/>
    <n v="65"/>
    <x v="1"/>
    <n v="12"/>
    <n v="76"/>
    <n v="1.9199999999999998E-2"/>
    <n v="0"/>
    <x v="5"/>
    <x v="2"/>
    <n v="1.9199999999999998E-2"/>
  </r>
  <r>
    <s v="SYN3180"/>
    <n v="57"/>
    <x v="1"/>
    <n v="2"/>
    <n v="58"/>
    <n v="1.3699999999999999E-3"/>
    <n v="0"/>
    <x v="2"/>
    <x v="0"/>
    <n v="1.3699999999999999E-3"/>
  </r>
  <r>
    <s v="SYN3181"/>
    <n v="61"/>
    <x v="1"/>
    <n v="3"/>
    <n v="63"/>
    <n v="2.8900000000000002E-3"/>
    <n v="0"/>
    <x v="0"/>
    <x v="0"/>
    <n v="2.8900000000000002E-3"/>
  </r>
  <r>
    <s v="SYN3182"/>
    <n v="34"/>
    <x v="1"/>
    <n v="19"/>
    <n v="52"/>
    <n v="2.2300000000000002E-3"/>
    <n v="0"/>
    <x v="2"/>
    <x v="2"/>
    <n v="2.2300000000000002E-3"/>
  </r>
  <r>
    <s v="SYN3183"/>
    <n v="55"/>
    <x v="0"/>
    <n v="24"/>
    <n v="78"/>
    <n v="4.1189999999999997E-2"/>
    <n v="0"/>
    <x v="5"/>
    <x v="1"/>
    <n v="4.1189999999999997E-2"/>
  </r>
  <r>
    <s v="SYN3184"/>
    <n v="53"/>
    <x v="0"/>
    <n v="26"/>
    <n v="78"/>
    <n v="4.1250000000000002E-2"/>
    <n v="0"/>
    <x v="5"/>
    <x v="1"/>
    <n v="4.1250000000000002E-2"/>
  </r>
  <r>
    <s v="SYN3185"/>
    <n v="53"/>
    <x v="0"/>
    <n v="17"/>
    <n v="69"/>
    <n v="1.5049999999999999E-2"/>
    <n v="0"/>
    <x v="0"/>
    <x v="2"/>
    <n v="1.5049999999999999E-2"/>
  </r>
  <r>
    <s v="SYN3186"/>
    <n v="56"/>
    <x v="1"/>
    <n v="10"/>
    <n v="65"/>
    <n v="6.3E-3"/>
    <n v="0"/>
    <x v="0"/>
    <x v="2"/>
    <n v="6.3E-3"/>
  </r>
  <r>
    <s v="SYN3187"/>
    <n v="43"/>
    <x v="0"/>
    <n v="8"/>
    <n v="50"/>
    <n v="1.91E-3"/>
    <n v="0"/>
    <x v="2"/>
    <x v="0"/>
    <n v="1.91E-3"/>
  </r>
  <r>
    <s v="SYN3188"/>
    <n v="27"/>
    <x v="0"/>
    <n v="23"/>
    <n v="49"/>
    <n v="2.49E-3"/>
    <n v="0"/>
    <x v="3"/>
    <x v="1"/>
    <n v="2.49E-3"/>
  </r>
  <r>
    <s v="SYN3189"/>
    <n v="46"/>
    <x v="0"/>
    <n v="12"/>
    <n v="57"/>
    <n v="4.2700000000000004E-3"/>
    <n v="0"/>
    <x v="2"/>
    <x v="2"/>
    <n v="4.2700000000000004E-3"/>
  </r>
  <r>
    <s v="SYN3190"/>
    <n v="24"/>
    <x v="0"/>
    <n v="30"/>
    <n v="53"/>
    <n v="2.81E-3"/>
    <n v="0"/>
    <x v="2"/>
    <x v="3"/>
    <n v="2.81E-3"/>
  </r>
  <r>
    <s v="SYN3191"/>
    <n v="34"/>
    <x v="1"/>
    <n v="15"/>
    <n v="48"/>
    <n v="1.48E-3"/>
    <n v="0"/>
    <x v="3"/>
    <x v="2"/>
    <n v="1.48E-3"/>
  </r>
  <r>
    <s v="SYN3192"/>
    <n v="28"/>
    <x v="1"/>
    <n v="30"/>
    <n v="57"/>
    <n v="2.5899999999999999E-3"/>
    <n v="0"/>
    <x v="2"/>
    <x v="3"/>
    <n v="2.5899999999999999E-3"/>
  </r>
  <r>
    <s v="SYN3193"/>
    <n v="46"/>
    <x v="1"/>
    <n v="22"/>
    <n v="67"/>
    <n v="1.027E-2"/>
    <n v="0"/>
    <x v="0"/>
    <x v="1"/>
    <n v="1.027E-2"/>
  </r>
  <r>
    <s v="SYN3194"/>
    <n v="36"/>
    <x v="0"/>
    <n v="26"/>
    <n v="61"/>
    <n v="7.0200000000000002E-3"/>
    <n v="0"/>
    <x v="0"/>
    <x v="1"/>
    <n v="7.0200000000000002E-3"/>
  </r>
  <r>
    <s v="SYN3195"/>
    <n v="25"/>
    <x v="0"/>
    <n v="14"/>
    <n v="38"/>
    <n v="1.0300000000000001E-3"/>
    <n v="0"/>
    <x v="1"/>
    <x v="2"/>
    <n v="1.0300000000000001E-3"/>
  </r>
  <r>
    <s v="SYN3196"/>
    <n v="56"/>
    <x v="1"/>
    <n v="16"/>
    <n v="71"/>
    <n v="1.376E-2"/>
    <n v="0"/>
    <x v="5"/>
    <x v="2"/>
    <n v="1.376E-2"/>
  </r>
  <r>
    <s v="SYN3197"/>
    <n v="31"/>
    <x v="0"/>
    <n v="29"/>
    <n v="59"/>
    <n v="4.3899999999999998E-3"/>
    <n v="0"/>
    <x v="2"/>
    <x v="1"/>
    <n v="4.3899999999999998E-3"/>
  </r>
  <r>
    <s v="SYN3198"/>
    <n v="46"/>
    <x v="1"/>
    <n v="9"/>
    <n v="54"/>
    <n v="2.1299999999999999E-3"/>
    <n v="0"/>
    <x v="2"/>
    <x v="0"/>
    <n v="2.1299999999999999E-3"/>
  </r>
  <r>
    <s v="SYN3199"/>
    <n v="50"/>
    <x v="0"/>
    <n v="24"/>
    <n v="73"/>
    <n v="2.3939999999999999E-2"/>
    <n v="0"/>
    <x v="5"/>
    <x v="1"/>
    <n v="2.3939999999999999E-2"/>
  </r>
  <r>
    <s v="SYN3200"/>
    <n v="47"/>
    <x v="1"/>
    <n v="1"/>
    <n v="47"/>
    <n v="3.6000000000000002E-4"/>
    <n v="0"/>
    <x v="3"/>
    <x v="0"/>
    <n v="3.6000000000000002E-4"/>
  </r>
  <r>
    <s v="SYN3201"/>
    <n v="28"/>
    <x v="1"/>
    <n v="17"/>
    <n v="44"/>
    <n v="1.1800000000000001E-3"/>
    <n v="0"/>
    <x v="3"/>
    <x v="2"/>
    <n v="1.1800000000000001E-3"/>
  </r>
  <r>
    <s v="SYN3202"/>
    <n v="47"/>
    <x v="0"/>
    <n v="12"/>
    <n v="58"/>
    <n v="4.79E-3"/>
    <n v="0"/>
    <x v="2"/>
    <x v="2"/>
    <n v="4.79E-3"/>
  </r>
  <r>
    <s v="SYN3203"/>
    <n v="35"/>
    <x v="0"/>
    <n v="23"/>
    <n v="57"/>
    <n v="4.7800000000000004E-3"/>
    <n v="0"/>
    <x v="2"/>
    <x v="1"/>
    <n v="4.7800000000000004E-3"/>
  </r>
  <r>
    <s v="SYN3204"/>
    <n v="41"/>
    <x v="1"/>
    <n v="19"/>
    <n v="59"/>
    <n v="4.3299999999999996E-3"/>
    <n v="0"/>
    <x v="2"/>
    <x v="2"/>
    <n v="4.3299999999999996E-3"/>
  </r>
  <r>
    <s v="SYN3205"/>
    <n v="22"/>
    <x v="1"/>
    <n v="3"/>
    <n v="24"/>
    <n v="2.7E-4"/>
    <n v="0"/>
    <x v="6"/>
    <x v="0"/>
    <n v="2.7E-4"/>
  </r>
  <r>
    <s v="SYN3206"/>
    <n v="48"/>
    <x v="0"/>
    <n v="30"/>
    <n v="77"/>
    <n v="2.3939999999999999E-2"/>
    <n v="0"/>
    <x v="5"/>
    <x v="3"/>
    <n v="2.3939999999999999E-2"/>
  </r>
  <r>
    <s v="SYN3207"/>
    <n v="47"/>
    <x v="1"/>
    <n v="10"/>
    <n v="56"/>
    <n v="2.6199999999999999E-3"/>
    <n v="0"/>
    <x v="2"/>
    <x v="2"/>
    <n v="2.6199999999999999E-3"/>
  </r>
  <r>
    <s v="SYN3208"/>
    <n v="31"/>
    <x v="1"/>
    <n v="24"/>
    <n v="54"/>
    <n v="2.82E-3"/>
    <n v="0"/>
    <x v="2"/>
    <x v="1"/>
    <n v="2.82E-3"/>
  </r>
  <r>
    <s v="SYN3209"/>
    <n v="52"/>
    <x v="0"/>
    <n v="3"/>
    <n v="54"/>
    <n v="2.15E-3"/>
    <n v="0"/>
    <x v="2"/>
    <x v="0"/>
    <n v="2.15E-3"/>
  </r>
  <r>
    <s v="SYN3210"/>
    <n v="57"/>
    <x v="1"/>
    <n v="12"/>
    <n v="68"/>
    <n v="8.5400000000000007E-3"/>
    <n v="0"/>
    <x v="0"/>
    <x v="2"/>
    <n v="8.5400000000000007E-3"/>
  </r>
  <r>
    <s v="SYN3211"/>
    <n v="40"/>
    <x v="0"/>
    <n v="15"/>
    <n v="54"/>
    <n v="3.2699999999999999E-3"/>
    <n v="0"/>
    <x v="2"/>
    <x v="2"/>
    <n v="3.2699999999999999E-3"/>
  </r>
  <r>
    <s v="SYN3212"/>
    <n v="37"/>
    <x v="0"/>
    <n v="25"/>
    <n v="61"/>
    <n v="7.0200000000000002E-3"/>
    <n v="0"/>
    <x v="0"/>
    <x v="1"/>
    <n v="7.0200000000000002E-3"/>
  </r>
  <r>
    <s v="SYN3213"/>
    <n v="41"/>
    <x v="1"/>
    <n v="2"/>
    <n v="42"/>
    <n v="3.6000000000000002E-4"/>
    <n v="0"/>
    <x v="3"/>
    <x v="0"/>
    <n v="3.6000000000000002E-4"/>
  </r>
  <r>
    <s v="SYN3214"/>
    <n v="57"/>
    <x v="1"/>
    <n v="17"/>
    <n v="73"/>
    <n v="1.7350000000000001E-2"/>
    <n v="0"/>
    <x v="5"/>
    <x v="2"/>
    <n v="1.7350000000000001E-2"/>
  </r>
  <r>
    <s v="SYN3215"/>
    <n v="40"/>
    <x v="0"/>
    <n v="13"/>
    <n v="52"/>
    <n v="2.64E-3"/>
    <n v="0"/>
    <x v="2"/>
    <x v="2"/>
    <n v="2.64E-3"/>
  </r>
  <r>
    <s v="SYN3216"/>
    <n v="29"/>
    <x v="1"/>
    <n v="2"/>
    <n v="30"/>
    <n v="1.7000000000000001E-4"/>
    <n v="0"/>
    <x v="1"/>
    <x v="0"/>
    <n v="1.7000000000000001E-4"/>
  </r>
  <r>
    <s v="SYN3217"/>
    <n v="33"/>
    <x v="1"/>
    <n v="14"/>
    <n v="46"/>
    <n v="1.24E-3"/>
    <n v="0"/>
    <x v="3"/>
    <x v="2"/>
    <n v="1.24E-3"/>
  </r>
  <r>
    <s v="SYN3218"/>
    <n v="59"/>
    <x v="0"/>
    <n v="11"/>
    <n v="69"/>
    <n v="1.426E-2"/>
    <n v="0"/>
    <x v="0"/>
    <x v="2"/>
    <n v="1.426E-2"/>
  </r>
  <r>
    <s v="SYN3219"/>
    <n v="27"/>
    <x v="0"/>
    <n v="10"/>
    <n v="36"/>
    <n v="7.2999999999999996E-4"/>
    <n v="0"/>
    <x v="1"/>
    <x v="2"/>
    <n v="7.2999999999999996E-4"/>
  </r>
  <r>
    <s v="SYN3220"/>
    <n v="30"/>
    <x v="1"/>
    <n v="10"/>
    <n v="39"/>
    <n v="6.9999999999999999E-4"/>
    <n v="0"/>
    <x v="1"/>
    <x v="2"/>
    <n v="6.9999999999999999E-4"/>
  </r>
  <r>
    <s v="SYN3221"/>
    <n v="58"/>
    <x v="0"/>
    <n v="25"/>
    <n v="82"/>
    <n v="6.3329999999999997E-2"/>
    <n v="0"/>
    <x v="4"/>
    <x v="1"/>
    <n v="6.3329999999999997E-2"/>
  </r>
  <r>
    <s v="SYN3222"/>
    <n v="37"/>
    <x v="0"/>
    <n v="5"/>
    <n v="41"/>
    <n v="8.0000000000000004E-4"/>
    <n v="0"/>
    <x v="3"/>
    <x v="0"/>
    <n v="8.0000000000000004E-4"/>
  </r>
  <r>
    <s v="SYN3223"/>
    <n v="52"/>
    <x v="0"/>
    <n v="25"/>
    <n v="76"/>
    <n v="3.3419999999999998E-2"/>
    <n v="0"/>
    <x v="5"/>
    <x v="1"/>
    <n v="3.3419999999999998E-2"/>
  </r>
  <r>
    <s v="SYN3224"/>
    <n v="22"/>
    <x v="1"/>
    <n v="29"/>
    <n v="50"/>
    <n v="1.6000000000000001E-3"/>
    <n v="0"/>
    <x v="2"/>
    <x v="1"/>
    <n v="1.6000000000000001E-3"/>
  </r>
  <r>
    <s v="SYN3225"/>
    <n v="20"/>
    <x v="1"/>
    <n v="16"/>
    <n v="35"/>
    <n v="6.6E-4"/>
    <n v="0"/>
    <x v="1"/>
    <x v="2"/>
    <n v="6.6E-4"/>
  </r>
  <r>
    <s v="SYN3226"/>
    <n v="33"/>
    <x v="1"/>
    <n v="10"/>
    <n v="42"/>
    <n v="8.0999999999999996E-4"/>
    <n v="0"/>
    <x v="3"/>
    <x v="2"/>
    <n v="8.0999999999999996E-4"/>
  </r>
  <r>
    <s v="SYN3227"/>
    <n v="48"/>
    <x v="0"/>
    <n v="17"/>
    <n v="64"/>
    <n v="9.2899999999999996E-3"/>
    <n v="0"/>
    <x v="0"/>
    <x v="2"/>
    <n v="9.2899999999999996E-3"/>
  </r>
  <r>
    <s v="SYN3228"/>
    <n v="27"/>
    <x v="1"/>
    <n v="23"/>
    <n v="49"/>
    <n v="1.8699999999999999E-3"/>
    <n v="0"/>
    <x v="3"/>
    <x v="1"/>
    <n v="1.8699999999999999E-3"/>
  </r>
  <r>
    <s v="SYN3229"/>
    <n v="48"/>
    <x v="0"/>
    <n v="29"/>
    <n v="76"/>
    <n v="2.3939999999999999E-2"/>
    <n v="0"/>
    <x v="5"/>
    <x v="1"/>
    <n v="2.3939999999999999E-2"/>
  </r>
  <r>
    <s v="SYN3230"/>
    <n v="28"/>
    <x v="1"/>
    <n v="9"/>
    <n v="36"/>
    <n v="5.0000000000000001E-4"/>
    <n v="0"/>
    <x v="1"/>
    <x v="0"/>
    <n v="5.0000000000000001E-4"/>
  </r>
  <r>
    <s v="SYN3231"/>
    <n v="42"/>
    <x v="0"/>
    <n v="26"/>
    <n v="67"/>
    <n v="1.2880000000000001E-2"/>
    <n v="0"/>
    <x v="0"/>
    <x v="1"/>
    <n v="1.2880000000000001E-2"/>
  </r>
  <r>
    <s v="SYN3232"/>
    <n v="24"/>
    <x v="0"/>
    <n v="11"/>
    <n v="34"/>
    <n v="7.1000000000000002E-4"/>
    <n v="0"/>
    <x v="1"/>
    <x v="2"/>
    <n v="7.1000000000000002E-4"/>
  </r>
  <r>
    <s v="SYN3233"/>
    <n v="49"/>
    <x v="1"/>
    <n v="21"/>
    <n v="69"/>
    <n v="1.2659999999999999E-2"/>
    <n v="0"/>
    <x v="0"/>
    <x v="1"/>
    <n v="1.2659999999999999E-2"/>
  </r>
  <r>
    <s v="SYN3234"/>
    <n v="24"/>
    <x v="1"/>
    <n v="23"/>
    <n v="46"/>
    <n v="1.49E-3"/>
    <n v="0"/>
    <x v="3"/>
    <x v="1"/>
    <n v="1.49E-3"/>
  </r>
  <r>
    <s v="SYN3235"/>
    <n v="22"/>
    <x v="0"/>
    <n v="14"/>
    <n v="35"/>
    <n v="8.7000000000000001E-4"/>
    <n v="0"/>
    <x v="1"/>
    <x v="2"/>
    <n v="8.7000000000000001E-4"/>
  </r>
  <r>
    <s v="SYN3236"/>
    <n v="53"/>
    <x v="0"/>
    <n v="11"/>
    <n v="63"/>
    <n v="8.0300000000000007E-3"/>
    <n v="0"/>
    <x v="0"/>
    <x v="2"/>
    <n v="8.0300000000000007E-3"/>
  </r>
  <r>
    <s v="SYN3237"/>
    <n v="60"/>
    <x v="1"/>
    <n v="2"/>
    <n v="61"/>
    <n v="1.58E-3"/>
    <n v="0"/>
    <x v="0"/>
    <x v="0"/>
    <n v="1.58E-3"/>
  </r>
  <r>
    <s v="SYN3238"/>
    <n v="35"/>
    <x v="1"/>
    <n v="5"/>
    <n v="39"/>
    <n v="5.1999999999999995E-4"/>
    <n v="0"/>
    <x v="1"/>
    <x v="0"/>
    <n v="5.1999999999999995E-4"/>
  </r>
  <r>
    <s v="SYN3239"/>
    <n v="34"/>
    <x v="0"/>
    <n v="22"/>
    <n v="55"/>
    <n v="4.0200000000000001E-3"/>
    <n v="0"/>
    <x v="2"/>
    <x v="1"/>
    <n v="4.0200000000000001E-3"/>
  </r>
  <r>
    <s v="SYN3240"/>
    <n v="51"/>
    <x v="0"/>
    <n v="27"/>
    <n v="77"/>
    <n v="3.3509999999999998E-2"/>
    <n v="0"/>
    <x v="5"/>
    <x v="1"/>
    <n v="3.3509999999999998E-2"/>
  </r>
  <r>
    <s v="SYN3241"/>
    <n v="28"/>
    <x v="1"/>
    <n v="7"/>
    <n v="34"/>
    <n v="3.6000000000000002E-4"/>
    <n v="0"/>
    <x v="1"/>
    <x v="0"/>
    <n v="3.6000000000000002E-4"/>
  </r>
  <r>
    <s v="SYN3242"/>
    <n v="53"/>
    <x v="1"/>
    <n v="28"/>
    <n v="80"/>
    <n v="3.1989999999999998E-2"/>
    <n v="0"/>
    <x v="4"/>
    <x v="1"/>
    <n v="3.1989999999999998E-2"/>
  </r>
  <r>
    <s v="SYN3243"/>
    <n v="47"/>
    <x v="0"/>
    <n v="3"/>
    <n v="49"/>
    <n v="1.2800000000000001E-3"/>
    <n v="0"/>
    <x v="3"/>
    <x v="0"/>
    <n v="1.2800000000000001E-3"/>
  </r>
  <r>
    <s v="SYN3244"/>
    <n v="65"/>
    <x v="0"/>
    <n v="6"/>
    <n v="70"/>
    <n v="1.106E-2"/>
    <n v="0"/>
    <x v="5"/>
    <x v="0"/>
    <n v="1.106E-2"/>
  </r>
  <r>
    <s v="SYN3245"/>
    <n v="59"/>
    <x v="1"/>
    <n v="13"/>
    <n v="71"/>
    <n v="1.193E-2"/>
    <n v="0"/>
    <x v="5"/>
    <x v="2"/>
    <n v="1.193E-2"/>
  </r>
  <r>
    <s v="SYN3246"/>
    <n v="42"/>
    <x v="1"/>
    <n v="16"/>
    <n v="57"/>
    <n v="3.4099999999999998E-3"/>
    <n v="0"/>
    <x v="2"/>
    <x v="2"/>
    <n v="3.4099999999999998E-3"/>
  </r>
  <r>
    <s v="SYN3247"/>
    <n v="39"/>
    <x v="0"/>
    <n v="27"/>
    <n v="65"/>
    <n v="9.6200000000000001E-3"/>
    <n v="0"/>
    <x v="0"/>
    <x v="1"/>
    <n v="9.6200000000000001E-3"/>
  </r>
  <r>
    <s v="SYN3248"/>
    <n v="51"/>
    <x v="1"/>
    <n v="16"/>
    <n v="66"/>
    <n v="8.5400000000000007E-3"/>
    <n v="0"/>
    <x v="0"/>
    <x v="2"/>
    <n v="8.5400000000000007E-3"/>
  </r>
  <r>
    <s v="SYN3249"/>
    <n v="42"/>
    <x v="0"/>
    <n v="18"/>
    <n v="59"/>
    <n v="5.7400000000000003E-3"/>
    <n v="0"/>
    <x v="2"/>
    <x v="2"/>
    <n v="5.7400000000000003E-3"/>
  </r>
  <r>
    <s v="SYN3250"/>
    <n v="27"/>
    <x v="1"/>
    <n v="29"/>
    <n v="55"/>
    <n v="2.3800000000000002E-3"/>
    <n v="0"/>
    <x v="2"/>
    <x v="1"/>
    <n v="2.3800000000000002E-3"/>
  </r>
  <r>
    <s v="SYN3251"/>
    <n v="46"/>
    <x v="0"/>
    <n v="15"/>
    <n v="60"/>
    <n v="6.11E-3"/>
    <n v="0"/>
    <x v="0"/>
    <x v="2"/>
    <n v="6.11E-3"/>
  </r>
  <r>
    <s v="SYN3252"/>
    <n v="27"/>
    <x v="0"/>
    <n v="6"/>
    <n v="32"/>
    <n v="4.4000000000000002E-4"/>
    <n v="0"/>
    <x v="1"/>
    <x v="0"/>
    <n v="4.4000000000000002E-4"/>
  </r>
  <r>
    <s v="SYN3253"/>
    <n v="27"/>
    <x v="1"/>
    <n v="12"/>
    <n v="38"/>
    <n v="7.2000000000000005E-4"/>
    <n v="0"/>
    <x v="1"/>
    <x v="2"/>
    <n v="7.2000000000000005E-4"/>
  </r>
  <r>
    <s v="SYN3254"/>
    <n v="50"/>
    <x v="1"/>
    <n v="27"/>
    <n v="76"/>
    <n v="2.325E-2"/>
    <n v="0"/>
    <x v="5"/>
    <x v="1"/>
    <n v="2.325E-2"/>
  </r>
  <r>
    <s v="SYN3255"/>
    <n v="46"/>
    <x v="0"/>
    <n v="22"/>
    <n v="67"/>
    <n v="1.2710000000000001E-2"/>
    <n v="0"/>
    <x v="0"/>
    <x v="1"/>
    <n v="1.2710000000000001E-2"/>
  </r>
  <r>
    <s v="SYN3256"/>
    <n v="52"/>
    <x v="1"/>
    <n v="7"/>
    <n v="58"/>
    <n v="2.8400000000000001E-3"/>
    <n v="0"/>
    <x v="2"/>
    <x v="0"/>
    <n v="2.8400000000000001E-3"/>
  </r>
  <r>
    <s v="SYN3257"/>
    <n v="23"/>
    <x v="1"/>
    <n v="18"/>
    <n v="40"/>
    <n v="1.0499999999999999E-3"/>
    <n v="0"/>
    <x v="3"/>
    <x v="2"/>
    <n v="1.0499999999999999E-3"/>
  </r>
  <r>
    <s v="SYN3258"/>
    <n v="40"/>
    <x v="0"/>
    <n v="14"/>
    <n v="53"/>
    <n v="2.9499999999999999E-3"/>
    <n v="0"/>
    <x v="2"/>
    <x v="2"/>
    <n v="2.9499999999999999E-3"/>
  </r>
  <r>
    <s v="SYN3259"/>
    <n v="45"/>
    <x v="1"/>
    <n v="9"/>
    <n v="53"/>
    <n v="1.9499999999999999E-3"/>
    <n v="0"/>
    <x v="2"/>
    <x v="0"/>
    <n v="1.9499999999999999E-3"/>
  </r>
  <r>
    <s v="SYN3260"/>
    <n v="34"/>
    <x v="1"/>
    <n v="11"/>
    <n v="44"/>
    <n v="9.3000000000000005E-4"/>
    <n v="0"/>
    <x v="3"/>
    <x v="2"/>
    <n v="9.3000000000000005E-4"/>
  </r>
  <r>
    <s v="SYN3261"/>
    <n v="48"/>
    <x v="0"/>
    <n v="14"/>
    <n v="61"/>
    <n v="6.6699999999999997E-3"/>
    <n v="0"/>
    <x v="0"/>
    <x v="2"/>
    <n v="6.6699999999999997E-3"/>
  </r>
  <r>
    <s v="SYN3262"/>
    <n v="54"/>
    <x v="1"/>
    <n v="7"/>
    <n v="60"/>
    <n v="3.48E-3"/>
    <n v="0"/>
    <x v="0"/>
    <x v="0"/>
    <n v="3.48E-3"/>
  </r>
  <r>
    <s v="SYN3263"/>
    <n v="59"/>
    <x v="0"/>
    <n v="20"/>
    <n v="78"/>
    <n v="4.079E-2"/>
    <n v="0"/>
    <x v="5"/>
    <x v="1"/>
    <n v="4.079E-2"/>
  </r>
  <r>
    <s v="SYN3264"/>
    <n v="21"/>
    <x v="0"/>
    <n v="24"/>
    <n v="44"/>
    <n v="2.2899999999999999E-3"/>
    <n v="0"/>
    <x v="3"/>
    <x v="1"/>
    <n v="2.2899999999999999E-3"/>
  </r>
  <r>
    <s v="SYN3265"/>
    <n v="65"/>
    <x v="1"/>
    <n v="11"/>
    <n v="75"/>
    <n v="1.635E-2"/>
    <n v="0"/>
    <x v="5"/>
    <x v="2"/>
    <n v="1.635E-2"/>
  </r>
  <r>
    <s v="SYN3266"/>
    <n v="55"/>
    <x v="1"/>
    <n v="3"/>
    <n v="57"/>
    <n v="1.8500000000000001E-3"/>
    <n v="0"/>
    <x v="2"/>
    <x v="0"/>
    <n v="1.8500000000000001E-3"/>
  </r>
  <r>
    <s v="SYN3267"/>
    <n v="43"/>
    <x v="0"/>
    <n v="18"/>
    <n v="60"/>
    <n v="6.3299999999999997E-3"/>
    <n v="0"/>
    <x v="0"/>
    <x v="2"/>
    <n v="6.3299999999999997E-3"/>
  </r>
  <r>
    <s v="SYN3268"/>
    <n v="54"/>
    <x v="1"/>
    <n v="13"/>
    <n v="66"/>
    <n v="7.6E-3"/>
    <n v="0"/>
    <x v="0"/>
    <x v="2"/>
    <n v="7.6E-3"/>
  </r>
  <r>
    <s v="SYN3269"/>
    <n v="30"/>
    <x v="0"/>
    <n v="30"/>
    <n v="59"/>
    <n v="4.0499999999999998E-3"/>
    <n v="0"/>
    <x v="2"/>
    <x v="3"/>
    <n v="4.0499999999999998E-3"/>
  </r>
  <r>
    <s v="SYN3270"/>
    <n v="55"/>
    <x v="0"/>
    <n v="24"/>
    <n v="78"/>
    <n v="4.1189999999999997E-2"/>
    <n v="1"/>
    <x v="5"/>
    <x v="1"/>
    <n v="4.1189999999999997E-2"/>
  </r>
  <r>
    <s v="SYN3271"/>
    <n v="21"/>
    <x v="1"/>
    <n v="25"/>
    <n v="45"/>
    <n v="1.3799999999999999E-3"/>
    <n v="0"/>
    <x v="3"/>
    <x v="1"/>
    <n v="1.3799999999999999E-3"/>
  </r>
  <r>
    <s v="SYN3272"/>
    <n v="45"/>
    <x v="0"/>
    <n v="26"/>
    <n v="70"/>
    <n v="1.7160000000000002E-2"/>
    <n v="0"/>
    <x v="5"/>
    <x v="1"/>
    <n v="1.7160000000000002E-2"/>
  </r>
  <r>
    <s v="SYN3273"/>
    <n v="39"/>
    <x v="0"/>
    <n v="1"/>
    <n v="39"/>
    <n v="2.9E-4"/>
    <n v="0"/>
    <x v="1"/>
    <x v="0"/>
    <n v="2.9E-4"/>
  </r>
  <r>
    <s v="SYN3274"/>
    <n v="35"/>
    <x v="0"/>
    <n v="2"/>
    <n v="36"/>
    <n v="3.4000000000000002E-4"/>
    <n v="0"/>
    <x v="1"/>
    <x v="0"/>
    <n v="3.4000000000000002E-4"/>
  </r>
  <r>
    <s v="SYN3275"/>
    <n v="44"/>
    <x v="0"/>
    <n v="21"/>
    <n v="64"/>
    <n v="9.2899999999999996E-3"/>
    <n v="0"/>
    <x v="0"/>
    <x v="1"/>
    <n v="9.2899999999999996E-3"/>
  </r>
  <r>
    <s v="SYN3276"/>
    <n v="37"/>
    <x v="0"/>
    <n v="28"/>
    <n v="64"/>
    <n v="7.79E-3"/>
    <n v="0"/>
    <x v="0"/>
    <x v="1"/>
    <n v="7.79E-3"/>
  </r>
  <r>
    <s v="SYN3277"/>
    <n v="65"/>
    <x v="1"/>
    <n v="25"/>
    <n v="89"/>
    <n v="0.11754000000000001"/>
    <n v="1"/>
    <x v="4"/>
    <x v="1"/>
    <n v="0.11754000000000001"/>
  </r>
  <r>
    <s v="SYN3278"/>
    <n v="54"/>
    <x v="1"/>
    <n v="20"/>
    <n v="73"/>
    <n v="1.8509999999999999E-2"/>
    <n v="0"/>
    <x v="5"/>
    <x v="1"/>
    <n v="1.8509999999999999E-2"/>
  </r>
  <r>
    <s v="SYN3279"/>
    <n v="57"/>
    <x v="0"/>
    <n v="26"/>
    <n v="82"/>
    <n v="6.3329999999999997E-2"/>
    <n v="0"/>
    <x v="4"/>
    <x v="1"/>
    <n v="6.3329999999999997E-2"/>
  </r>
  <r>
    <s v="SYN3280"/>
    <n v="39"/>
    <x v="0"/>
    <n v="26"/>
    <n v="64"/>
    <n v="9.6200000000000001E-3"/>
    <n v="0"/>
    <x v="0"/>
    <x v="1"/>
    <n v="9.6200000000000001E-3"/>
  </r>
  <r>
    <s v="SYN3281"/>
    <n v="21"/>
    <x v="0"/>
    <n v="10"/>
    <n v="30"/>
    <n v="6.6E-4"/>
    <n v="0"/>
    <x v="1"/>
    <x v="2"/>
    <n v="6.6E-4"/>
  </r>
  <r>
    <s v="SYN3282"/>
    <n v="36"/>
    <x v="1"/>
    <n v="21"/>
    <n v="56"/>
    <n v="3.3700000000000002E-3"/>
    <n v="0"/>
    <x v="2"/>
    <x v="1"/>
    <n v="3.3700000000000002E-3"/>
  </r>
  <r>
    <s v="SYN3283"/>
    <n v="47"/>
    <x v="0"/>
    <n v="3"/>
    <n v="49"/>
    <n v="1.2800000000000001E-3"/>
    <n v="0"/>
    <x v="3"/>
    <x v="0"/>
    <n v="1.2800000000000001E-3"/>
  </r>
  <r>
    <s v="SYN3284"/>
    <n v="37"/>
    <x v="0"/>
    <n v="16"/>
    <n v="52"/>
    <n v="2.7799999999999999E-3"/>
    <n v="0"/>
    <x v="2"/>
    <x v="2"/>
    <n v="2.7799999999999999E-3"/>
  </r>
  <r>
    <s v="SYN3285"/>
    <n v="52"/>
    <x v="0"/>
    <n v="8"/>
    <n v="59"/>
    <n v="4.9300000000000004E-3"/>
    <n v="0"/>
    <x v="2"/>
    <x v="0"/>
    <n v="4.9300000000000004E-3"/>
  </r>
  <r>
    <s v="SYN3286"/>
    <n v="45"/>
    <x v="1"/>
    <n v="12"/>
    <n v="56"/>
    <n v="2.82E-3"/>
    <n v="0"/>
    <x v="2"/>
    <x v="2"/>
    <n v="2.82E-3"/>
  </r>
  <r>
    <s v="SYN3287"/>
    <n v="48"/>
    <x v="1"/>
    <n v="8"/>
    <n v="55"/>
    <n v="2.2300000000000002E-3"/>
    <n v="0"/>
    <x v="2"/>
    <x v="0"/>
    <n v="2.2300000000000002E-3"/>
  </r>
  <r>
    <s v="SYN3288"/>
    <n v="34"/>
    <x v="0"/>
    <n v="15"/>
    <n v="48"/>
    <n v="1.97E-3"/>
    <n v="0"/>
    <x v="3"/>
    <x v="2"/>
    <n v="1.97E-3"/>
  </r>
  <r>
    <s v="SYN3289"/>
    <n v="61"/>
    <x v="0"/>
    <n v="10"/>
    <n v="70"/>
    <n v="1.4999999999999999E-2"/>
    <n v="0"/>
    <x v="5"/>
    <x v="2"/>
    <n v="1.4999999999999999E-2"/>
  </r>
  <r>
    <s v="SYN3290"/>
    <n v="25"/>
    <x v="1"/>
    <n v="4"/>
    <n v="28"/>
    <n v="2.2000000000000001E-4"/>
    <n v="0"/>
    <x v="6"/>
    <x v="0"/>
    <n v="2.2000000000000001E-4"/>
  </r>
  <r>
    <s v="SYN3291"/>
    <n v="51"/>
    <x v="0"/>
    <n v="19"/>
    <n v="69"/>
    <n v="1.511E-2"/>
    <n v="0"/>
    <x v="0"/>
    <x v="2"/>
    <n v="1.511E-2"/>
  </r>
  <r>
    <s v="SYN3292"/>
    <n v="59"/>
    <x v="0"/>
    <n v="27"/>
    <n v="85"/>
    <n v="8.0629999999999993E-2"/>
    <n v="0"/>
    <x v="4"/>
    <x v="1"/>
    <n v="8.0629999999999993E-2"/>
  </r>
  <r>
    <s v="SYN3293"/>
    <n v="56"/>
    <x v="0"/>
    <n v="25"/>
    <n v="80"/>
    <n v="5.0909999999999997E-2"/>
    <n v="0"/>
    <x v="4"/>
    <x v="1"/>
    <n v="5.0909999999999997E-2"/>
  </r>
  <r>
    <s v="SYN3294"/>
    <n v="36"/>
    <x v="0"/>
    <n v="14"/>
    <n v="49"/>
    <n v="2.0699999999999998E-3"/>
    <n v="0"/>
    <x v="3"/>
    <x v="2"/>
    <n v="2.0699999999999998E-3"/>
  </r>
  <r>
    <s v="SYN3295"/>
    <n v="29"/>
    <x v="0"/>
    <n v="2"/>
    <n v="30"/>
    <n v="3.1E-4"/>
    <n v="0"/>
    <x v="1"/>
    <x v="0"/>
    <n v="3.1E-4"/>
  </r>
  <r>
    <s v="SYN3296"/>
    <n v="46"/>
    <x v="0"/>
    <n v="28"/>
    <n v="73"/>
    <n v="1.9089999999999999E-2"/>
    <n v="0"/>
    <x v="5"/>
    <x v="1"/>
    <n v="1.9089999999999999E-2"/>
  </r>
  <r>
    <s v="SYN3297"/>
    <n v="55"/>
    <x v="0"/>
    <n v="26"/>
    <n v="80"/>
    <n v="5.0909999999999997E-2"/>
    <n v="0"/>
    <x v="4"/>
    <x v="1"/>
    <n v="5.0909999999999997E-2"/>
  </r>
  <r>
    <s v="SYN3298"/>
    <n v="61"/>
    <x v="0"/>
    <n v="8"/>
    <n v="68"/>
    <n v="1.136E-2"/>
    <n v="0"/>
    <x v="0"/>
    <x v="0"/>
    <n v="1.136E-2"/>
  </r>
  <r>
    <s v="SYN3299"/>
    <n v="52"/>
    <x v="1"/>
    <n v="18"/>
    <n v="69"/>
    <n v="1.18E-2"/>
    <n v="0"/>
    <x v="0"/>
    <x v="2"/>
    <n v="1.18E-2"/>
  </r>
  <r>
    <s v="SYN3300"/>
    <n v="25"/>
    <x v="0"/>
    <n v="30"/>
    <n v="54"/>
    <n v="2.9299999999999999E-3"/>
    <n v="0"/>
    <x v="2"/>
    <x v="3"/>
    <n v="2.9299999999999999E-3"/>
  </r>
  <r>
    <s v="SYN3301"/>
    <n v="44"/>
    <x v="1"/>
    <n v="5"/>
    <n v="48"/>
    <n v="1.0300000000000001E-3"/>
    <n v="0"/>
    <x v="3"/>
    <x v="0"/>
    <n v="1.0300000000000001E-3"/>
  </r>
  <r>
    <s v="SYN3302"/>
    <n v="27"/>
    <x v="0"/>
    <n v="6"/>
    <n v="32"/>
    <n v="4.4000000000000002E-4"/>
    <n v="0"/>
    <x v="1"/>
    <x v="0"/>
    <n v="4.4000000000000002E-4"/>
  </r>
  <r>
    <s v="SYN3303"/>
    <n v="27"/>
    <x v="1"/>
    <n v="2"/>
    <n v="28"/>
    <n v="1.7000000000000001E-4"/>
    <n v="0"/>
    <x v="6"/>
    <x v="0"/>
    <n v="1.7000000000000001E-4"/>
  </r>
  <r>
    <s v="SYN3304"/>
    <n v="60"/>
    <x v="1"/>
    <n v="26"/>
    <n v="85"/>
    <n v="7.2980000000000003E-2"/>
    <n v="0"/>
    <x v="4"/>
    <x v="1"/>
    <n v="7.2980000000000003E-2"/>
  </r>
  <r>
    <s v="SYN3305"/>
    <n v="55"/>
    <x v="0"/>
    <n v="14"/>
    <n v="68"/>
    <n v="1.3690000000000001E-2"/>
    <n v="0"/>
    <x v="0"/>
    <x v="2"/>
    <n v="1.3690000000000001E-2"/>
  </r>
  <r>
    <s v="SYN3306"/>
    <n v="47"/>
    <x v="1"/>
    <n v="10"/>
    <n v="56"/>
    <n v="2.6199999999999999E-3"/>
    <n v="0"/>
    <x v="2"/>
    <x v="2"/>
    <n v="2.6199999999999999E-3"/>
  </r>
  <r>
    <s v="SYN3307"/>
    <n v="37"/>
    <x v="0"/>
    <n v="17"/>
    <n v="53"/>
    <n v="3.0999999999999999E-3"/>
    <n v="0"/>
    <x v="2"/>
    <x v="2"/>
    <n v="3.0999999999999999E-3"/>
  </r>
  <r>
    <s v="SYN3308"/>
    <n v="56"/>
    <x v="0"/>
    <n v="21"/>
    <n v="76"/>
    <n v="3.32E-2"/>
    <n v="0"/>
    <x v="5"/>
    <x v="1"/>
    <n v="3.32E-2"/>
  </r>
  <r>
    <s v="SYN3309"/>
    <n v="63"/>
    <x v="1"/>
    <n v="7"/>
    <n v="69"/>
    <n v="7.5300000000000002E-3"/>
    <n v="0"/>
    <x v="0"/>
    <x v="0"/>
    <n v="7.5300000000000002E-3"/>
  </r>
  <r>
    <s v="SYN3310"/>
    <n v="43"/>
    <x v="1"/>
    <n v="17"/>
    <n v="59"/>
    <n v="4.2199999999999998E-3"/>
    <n v="0"/>
    <x v="2"/>
    <x v="2"/>
    <n v="4.2199999999999998E-3"/>
  </r>
  <r>
    <s v="SYN3311"/>
    <n v="33"/>
    <x v="0"/>
    <n v="30"/>
    <n v="62"/>
    <n v="5.2199999999999998E-3"/>
    <n v="0"/>
    <x v="0"/>
    <x v="3"/>
    <n v="5.2199999999999998E-3"/>
  </r>
  <r>
    <s v="SYN3312"/>
    <n v="28"/>
    <x v="1"/>
    <n v="6"/>
    <n v="33"/>
    <n v="2.9999999999999997E-4"/>
    <n v="0"/>
    <x v="1"/>
    <x v="0"/>
    <n v="2.9999999999999997E-4"/>
  </r>
  <r>
    <s v="SYN3313"/>
    <n v="20"/>
    <x v="0"/>
    <n v="11"/>
    <n v="30"/>
    <n v="7.1000000000000002E-4"/>
    <n v="0"/>
    <x v="1"/>
    <x v="2"/>
    <n v="7.1000000000000002E-4"/>
  </r>
  <r>
    <s v="SYN3314"/>
    <n v="24"/>
    <x v="0"/>
    <n v="1"/>
    <n v="24"/>
    <n v="4.4000000000000002E-4"/>
    <n v="0"/>
    <x v="6"/>
    <x v="0"/>
    <n v="4.4000000000000002E-4"/>
  </r>
  <r>
    <s v="SYN3315"/>
    <n v="64"/>
    <x v="1"/>
    <n v="4"/>
    <n v="67"/>
    <n v="5.47E-3"/>
    <n v="0"/>
    <x v="0"/>
    <x v="0"/>
    <n v="5.47E-3"/>
  </r>
  <r>
    <s v="SYN3316"/>
    <n v="23"/>
    <x v="0"/>
    <n v="20"/>
    <n v="42"/>
    <n v="1.82E-3"/>
    <n v="0"/>
    <x v="3"/>
    <x v="1"/>
    <n v="1.82E-3"/>
  </r>
  <r>
    <s v="SYN3317"/>
    <n v="42"/>
    <x v="1"/>
    <n v="21"/>
    <n v="62"/>
    <n v="6.0499999999999998E-3"/>
    <n v="0"/>
    <x v="0"/>
    <x v="1"/>
    <n v="6.0499999999999998E-3"/>
  </r>
  <r>
    <s v="SYN3318"/>
    <n v="60"/>
    <x v="1"/>
    <n v="1"/>
    <n v="60"/>
    <n v="7.2999999999999996E-4"/>
    <n v="0"/>
    <x v="0"/>
    <x v="0"/>
    <n v="7.2999999999999996E-4"/>
  </r>
  <r>
    <s v="SYN3319"/>
    <n v="47"/>
    <x v="1"/>
    <n v="19"/>
    <n v="65"/>
    <n v="8.1200000000000005E-3"/>
    <n v="0"/>
    <x v="0"/>
    <x v="2"/>
    <n v="8.1200000000000005E-3"/>
  </r>
  <r>
    <s v="SYN3320"/>
    <n v="45"/>
    <x v="0"/>
    <n v="30"/>
    <n v="74"/>
    <n v="1.7160000000000002E-2"/>
    <n v="0"/>
    <x v="5"/>
    <x v="3"/>
    <n v="1.7160000000000002E-2"/>
  </r>
  <r>
    <s v="SYN3321"/>
    <n v="62"/>
    <x v="0"/>
    <n v="7"/>
    <n v="68"/>
    <n v="1.0489999999999999E-2"/>
    <n v="0"/>
    <x v="0"/>
    <x v="0"/>
    <n v="1.0489999999999999E-2"/>
  </r>
  <r>
    <s v="SYN3322"/>
    <n v="33"/>
    <x v="0"/>
    <n v="9"/>
    <n v="41"/>
    <n v="1E-3"/>
    <n v="0"/>
    <x v="3"/>
    <x v="0"/>
    <n v="1E-3"/>
  </r>
  <r>
    <s v="SYN3323"/>
    <n v="28"/>
    <x v="1"/>
    <n v="26"/>
    <n v="53"/>
    <n v="2.5899999999999999E-3"/>
    <n v="0"/>
    <x v="2"/>
    <x v="1"/>
    <n v="2.5899999999999999E-3"/>
  </r>
  <r>
    <s v="SYN3324"/>
    <n v="44"/>
    <x v="1"/>
    <n v="11"/>
    <n v="54"/>
    <n v="2.3E-3"/>
    <n v="0"/>
    <x v="2"/>
    <x v="2"/>
    <n v="2.3E-3"/>
  </r>
  <r>
    <s v="SYN3325"/>
    <n v="58"/>
    <x v="1"/>
    <n v="9"/>
    <n v="66"/>
    <n v="6.5799999999999999E-3"/>
    <n v="0"/>
    <x v="0"/>
    <x v="0"/>
    <n v="6.5799999999999999E-3"/>
  </r>
  <r>
    <s v="SYN3326"/>
    <n v="59"/>
    <x v="1"/>
    <n v="22"/>
    <n v="80"/>
    <n v="3.986E-2"/>
    <n v="0"/>
    <x v="4"/>
    <x v="1"/>
    <n v="3.986E-2"/>
  </r>
  <r>
    <s v="SYN3327"/>
    <n v="20"/>
    <x v="0"/>
    <n v="26"/>
    <n v="45"/>
    <n v="2.5400000000000002E-3"/>
    <n v="0"/>
    <x v="3"/>
    <x v="1"/>
    <n v="2.5400000000000002E-3"/>
  </r>
  <r>
    <s v="SYN3328"/>
    <n v="59"/>
    <x v="0"/>
    <n v="5"/>
    <n v="63"/>
    <n v="6.3200000000000001E-3"/>
    <n v="0"/>
    <x v="0"/>
    <x v="0"/>
    <n v="6.3200000000000001E-3"/>
  </r>
  <r>
    <s v="SYN3329"/>
    <n v="20"/>
    <x v="0"/>
    <n v="11"/>
    <n v="30"/>
    <n v="7.1000000000000002E-4"/>
    <n v="0"/>
    <x v="1"/>
    <x v="2"/>
    <n v="7.1000000000000002E-4"/>
  </r>
  <r>
    <s v="SYN3330"/>
    <n v="28"/>
    <x v="1"/>
    <n v="17"/>
    <n v="44"/>
    <n v="1.1800000000000001E-3"/>
    <n v="0"/>
    <x v="3"/>
    <x v="2"/>
    <n v="1.1800000000000001E-3"/>
  </r>
  <r>
    <s v="SYN3331"/>
    <n v="50"/>
    <x v="0"/>
    <n v="11"/>
    <n v="60"/>
    <n v="5.9199999999999999E-3"/>
    <n v="0"/>
    <x v="0"/>
    <x v="2"/>
    <n v="5.9199999999999999E-3"/>
  </r>
  <r>
    <s v="SYN3332"/>
    <n v="35"/>
    <x v="0"/>
    <n v="18"/>
    <n v="52"/>
    <n v="2.9099999999999998E-3"/>
    <n v="0"/>
    <x v="2"/>
    <x v="2"/>
    <n v="2.9099999999999998E-3"/>
  </r>
  <r>
    <s v="SYN3333"/>
    <n v="65"/>
    <x v="0"/>
    <n v="16"/>
    <n v="80"/>
    <n v="4.65E-2"/>
    <n v="0"/>
    <x v="4"/>
    <x v="2"/>
    <n v="4.65E-2"/>
  </r>
  <r>
    <s v="SYN3334"/>
    <n v="40"/>
    <x v="0"/>
    <n v="17"/>
    <n v="56"/>
    <n v="4.0800000000000003E-3"/>
    <n v="0"/>
    <x v="2"/>
    <x v="2"/>
    <n v="4.0800000000000003E-3"/>
  </r>
  <r>
    <s v="SYN3335"/>
    <n v="33"/>
    <x v="1"/>
    <n v="6"/>
    <n v="38"/>
    <n v="5.0000000000000001E-4"/>
    <n v="0"/>
    <x v="1"/>
    <x v="0"/>
    <n v="5.0000000000000001E-4"/>
  </r>
  <r>
    <s v="SYN3336"/>
    <n v="65"/>
    <x v="1"/>
    <n v="5"/>
    <n v="69"/>
    <n v="6.9199999999999999E-3"/>
    <n v="0"/>
    <x v="0"/>
    <x v="0"/>
    <n v="6.9199999999999999E-3"/>
  </r>
  <r>
    <s v="SYN3337"/>
    <n v="51"/>
    <x v="1"/>
    <n v="23"/>
    <n v="73"/>
    <n v="1.8970000000000001E-2"/>
    <n v="0"/>
    <x v="5"/>
    <x v="1"/>
    <n v="1.8970000000000001E-2"/>
  </r>
  <r>
    <s v="SYN3338"/>
    <n v="55"/>
    <x v="0"/>
    <n v="29"/>
    <n v="83"/>
    <n v="5.0909999999999997E-2"/>
    <n v="0"/>
    <x v="4"/>
    <x v="1"/>
    <n v="5.0909999999999997E-2"/>
  </r>
  <r>
    <s v="SYN3339"/>
    <n v="21"/>
    <x v="0"/>
    <n v="28"/>
    <n v="48"/>
    <n v="2.6099999999999999E-3"/>
    <n v="0"/>
    <x v="3"/>
    <x v="1"/>
    <n v="2.6099999999999999E-3"/>
  </r>
  <r>
    <s v="SYN3340"/>
    <n v="62"/>
    <x v="1"/>
    <n v="12"/>
    <n v="73"/>
    <n v="1.3679999999999999E-2"/>
    <n v="0"/>
    <x v="5"/>
    <x v="2"/>
    <n v="1.3679999999999999E-2"/>
  </r>
  <r>
    <s v="SYN3341"/>
    <n v="55"/>
    <x v="1"/>
    <n v="29"/>
    <n v="83"/>
    <n v="3.986E-2"/>
    <n v="0"/>
    <x v="4"/>
    <x v="1"/>
    <n v="3.986E-2"/>
  </r>
  <r>
    <s v="SYN3342"/>
    <n v="44"/>
    <x v="0"/>
    <n v="12"/>
    <n v="55"/>
    <n v="3.4499999999999999E-3"/>
    <n v="0"/>
    <x v="2"/>
    <x v="2"/>
    <n v="3.4499999999999999E-3"/>
  </r>
  <r>
    <s v="SYN3343"/>
    <n v="20"/>
    <x v="0"/>
    <n v="7"/>
    <n v="26"/>
    <n v="7.6999999999999996E-4"/>
    <n v="0"/>
    <x v="6"/>
    <x v="0"/>
    <n v="7.6999999999999996E-4"/>
  </r>
  <r>
    <s v="SYN3344"/>
    <n v="20"/>
    <x v="0"/>
    <n v="19"/>
    <n v="38"/>
    <n v="1.4E-3"/>
    <n v="0"/>
    <x v="1"/>
    <x v="2"/>
    <n v="1.4E-3"/>
  </r>
  <r>
    <s v="SYN3345"/>
    <n v="43"/>
    <x v="0"/>
    <n v="30"/>
    <n v="72"/>
    <n v="1.413E-2"/>
    <n v="0"/>
    <x v="5"/>
    <x v="3"/>
    <n v="1.413E-2"/>
  </r>
  <r>
    <s v="SYN3346"/>
    <n v="58"/>
    <x v="0"/>
    <n v="9"/>
    <n v="66"/>
    <n v="1.0449999999999999E-2"/>
    <n v="0"/>
    <x v="0"/>
    <x v="0"/>
    <n v="1.0449999999999999E-2"/>
  </r>
  <r>
    <s v="SYN3347"/>
    <n v="50"/>
    <x v="0"/>
    <n v="13"/>
    <n v="62"/>
    <n v="7.2700000000000004E-3"/>
    <n v="0"/>
    <x v="0"/>
    <x v="2"/>
    <n v="7.2700000000000004E-3"/>
  </r>
  <r>
    <s v="SYN3348"/>
    <n v="36"/>
    <x v="1"/>
    <n v="9"/>
    <n v="44"/>
    <n v="8.4000000000000003E-4"/>
    <n v="0"/>
    <x v="3"/>
    <x v="0"/>
    <n v="8.4000000000000003E-4"/>
  </r>
  <r>
    <s v="SYN3349"/>
    <n v="21"/>
    <x v="1"/>
    <n v="28"/>
    <n v="48"/>
    <n v="1.49E-3"/>
    <n v="0"/>
    <x v="3"/>
    <x v="1"/>
    <n v="1.49E-3"/>
  </r>
  <r>
    <s v="SYN3350"/>
    <n v="58"/>
    <x v="0"/>
    <n v="21"/>
    <n v="78"/>
    <n v="4.1189999999999997E-2"/>
    <n v="0"/>
    <x v="5"/>
    <x v="1"/>
    <n v="4.1189999999999997E-2"/>
  </r>
  <r>
    <s v="SYN3351"/>
    <n v="61"/>
    <x v="1"/>
    <n v="25"/>
    <n v="85"/>
    <n v="7.2980000000000003E-2"/>
    <n v="0"/>
    <x v="4"/>
    <x v="1"/>
    <n v="7.2980000000000003E-2"/>
  </r>
  <r>
    <s v="SYN3352"/>
    <n v="43"/>
    <x v="1"/>
    <n v="1"/>
    <n v="43"/>
    <n v="2.5999999999999998E-4"/>
    <n v="0"/>
    <x v="3"/>
    <x v="0"/>
    <n v="2.5999999999999998E-4"/>
  </r>
  <r>
    <s v="SYN3353"/>
    <n v="65"/>
    <x v="0"/>
    <n v="24"/>
    <n v="88"/>
    <n v="0.13236000000000001"/>
    <n v="0"/>
    <x v="4"/>
    <x v="1"/>
    <n v="0.13236000000000001"/>
  </r>
  <r>
    <s v="SYN3354"/>
    <n v="25"/>
    <x v="1"/>
    <n v="14"/>
    <n v="38"/>
    <n v="7.9000000000000001E-4"/>
    <n v="0"/>
    <x v="1"/>
    <x v="2"/>
    <n v="7.9000000000000001E-4"/>
  </r>
  <r>
    <s v="SYN3355"/>
    <n v="48"/>
    <x v="1"/>
    <n v="21"/>
    <n v="68"/>
    <n v="1.141E-2"/>
    <n v="0"/>
    <x v="0"/>
    <x v="1"/>
    <n v="1.141E-2"/>
  </r>
  <r>
    <s v="SYN3356"/>
    <n v="54"/>
    <x v="1"/>
    <n v="9"/>
    <n v="62"/>
    <n v="4.5900000000000003E-3"/>
    <n v="0"/>
    <x v="0"/>
    <x v="0"/>
    <n v="4.5900000000000003E-3"/>
  </r>
  <r>
    <s v="SYN3357"/>
    <n v="59"/>
    <x v="0"/>
    <n v="24"/>
    <n v="82"/>
    <n v="6.3329999999999997E-2"/>
    <n v="0"/>
    <x v="4"/>
    <x v="1"/>
    <n v="6.3329999999999997E-2"/>
  </r>
  <r>
    <s v="SYN3358"/>
    <n v="40"/>
    <x v="1"/>
    <n v="29"/>
    <n v="68"/>
    <n v="8.3099999999999997E-3"/>
    <n v="0"/>
    <x v="0"/>
    <x v="1"/>
    <n v="8.3099999999999997E-3"/>
  </r>
  <r>
    <s v="SYN3359"/>
    <n v="57"/>
    <x v="1"/>
    <n v="24"/>
    <n v="80"/>
    <n v="3.986E-2"/>
    <n v="0"/>
    <x v="4"/>
    <x v="1"/>
    <n v="3.986E-2"/>
  </r>
  <r>
    <s v="SYN3360"/>
    <n v="62"/>
    <x v="0"/>
    <n v="13"/>
    <n v="74"/>
    <n v="2.409E-2"/>
    <n v="0"/>
    <x v="5"/>
    <x v="2"/>
    <n v="2.409E-2"/>
  </r>
  <r>
    <s v="SYN3361"/>
    <n v="23"/>
    <x v="0"/>
    <n v="3"/>
    <n v="25"/>
    <n v="5.0000000000000001E-4"/>
    <n v="0"/>
    <x v="6"/>
    <x v="0"/>
    <n v="5.0000000000000001E-4"/>
  </r>
  <r>
    <s v="SYN3362"/>
    <n v="29"/>
    <x v="0"/>
    <n v="24"/>
    <n v="52"/>
    <n v="3.0999999999999999E-3"/>
    <n v="0"/>
    <x v="2"/>
    <x v="1"/>
    <n v="3.0999999999999999E-3"/>
  </r>
  <r>
    <s v="SYN3363"/>
    <n v="22"/>
    <x v="1"/>
    <n v="9"/>
    <n v="30"/>
    <n v="3.6999999999999999E-4"/>
    <n v="0"/>
    <x v="1"/>
    <x v="0"/>
    <n v="3.6999999999999999E-4"/>
  </r>
  <r>
    <s v="SYN3364"/>
    <n v="46"/>
    <x v="1"/>
    <n v="6"/>
    <n v="51"/>
    <n v="1.4E-3"/>
    <n v="0"/>
    <x v="2"/>
    <x v="0"/>
    <n v="1.4E-3"/>
  </r>
  <r>
    <s v="SYN3365"/>
    <n v="20"/>
    <x v="0"/>
    <n v="10"/>
    <n v="29"/>
    <n v="7.1000000000000002E-4"/>
    <n v="0"/>
    <x v="6"/>
    <x v="2"/>
    <n v="7.1000000000000002E-4"/>
  </r>
  <r>
    <s v="SYN3366"/>
    <n v="41"/>
    <x v="1"/>
    <n v="15"/>
    <n v="55"/>
    <n v="2.7599999999999999E-3"/>
    <n v="0"/>
    <x v="2"/>
    <x v="2"/>
    <n v="2.7599999999999999E-3"/>
  </r>
  <r>
    <s v="SYN3367"/>
    <n v="56"/>
    <x v="0"/>
    <n v="30"/>
    <n v="85"/>
    <n v="5.6829999999999999E-2"/>
    <n v="0"/>
    <x v="4"/>
    <x v="3"/>
    <n v="5.6829999999999999E-2"/>
  </r>
  <r>
    <s v="SYN3368"/>
    <n v="25"/>
    <x v="1"/>
    <n v="6"/>
    <n v="30"/>
    <n v="2.7999999999999998E-4"/>
    <n v="0"/>
    <x v="1"/>
    <x v="0"/>
    <n v="2.7999999999999998E-4"/>
  </r>
  <r>
    <s v="SYN3369"/>
    <n v="57"/>
    <x v="1"/>
    <n v="21"/>
    <n v="77"/>
    <n v="2.8719999999999999E-2"/>
    <n v="0"/>
    <x v="5"/>
    <x v="1"/>
    <n v="2.8719999999999999E-2"/>
  </r>
  <r>
    <s v="SYN3370"/>
    <n v="20"/>
    <x v="1"/>
    <n v="7"/>
    <n v="26"/>
    <n v="3.1E-4"/>
    <n v="0"/>
    <x v="6"/>
    <x v="0"/>
    <n v="3.1E-4"/>
  </r>
  <r>
    <s v="SYN3371"/>
    <n v="35"/>
    <x v="1"/>
    <n v="10"/>
    <n v="44"/>
    <n v="8.8000000000000003E-4"/>
    <n v="0"/>
    <x v="3"/>
    <x v="2"/>
    <n v="8.8000000000000003E-4"/>
  </r>
  <r>
    <s v="SYN3372"/>
    <n v="32"/>
    <x v="1"/>
    <n v="24"/>
    <n v="55"/>
    <n v="3.0799999999999998E-3"/>
    <n v="0"/>
    <x v="2"/>
    <x v="1"/>
    <n v="3.0799999999999998E-3"/>
  </r>
  <r>
    <s v="SYN3373"/>
    <n v="23"/>
    <x v="1"/>
    <n v="13"/>
    <n v="35"/>
    <n v="5.5000000000000003E-4"/>
    <n v="0"/>
    <x v="1"/>
    <x v="2"/>
    <n v="5.5000000000000003E-4"/>
  </r>
  <r>
    <s v="SYN3374"/>
    <n v="28"/>
    <x v="0"/>
    <n v="19"/>
    <n v="46"/>
    <n v="1.91E-3"/>
    <n v="0"/>
    <x v="3"/>
    <x v="2"/>
    <n v="1.91E-3"/>
  </r>
  <r>
    <s v="SYN3375"/>
    <n v="32"/>
    <x v="1"/>
    <n v="9"/>
    <n v="40"/>
    <n v="6.9999999999999999E-4"/>
    <n v="0"/>
    <x v="3"/>
    <x v="0"/>
    <n v="6.9999999999999999E-4"/>
  </r>
  <r>
    <s v="SYN3376"/>
    <n v="38"/>
    <x v="1"/>
    <n v="9"/>
    <n v="46"/>
    <n v="1.01E-3"/>
    <n v="0"/>
    <x v="3"/>
    <x v="0"/>
    <n v="1.01E-3"/>
  </r>
  <r>
    <s v="SYN3377"/>
    <n v="51"/>
    <x v="1"/>
    <n v="12"/>
    <n v="62"/>
    <n v="5.0499999999999998E-3"/>
    <n v="0"/>
    <x v="0"/>
    <x v="2"/>
    <n v="5.0499999999999998E-3"/>
  </r>
  <r>
    <s v="SYN3378"/>
    <n v="61"/>
    <x v="0"/>
    <n v="17"/>
    <n v="77"/>
    <n v="3.5990000000000001E-2"/>
    <n v="0"/>
    <x v="5"/>
    <x v="2"/>
    <n v="3.5990000000000001E-2"/>
  </r>
  <r>
    <s v="SYN3379"/>
    <n v="30"/>
    <x v="1"/>
    <n v="2"/>
    <n v="31"/>
    <n v="1.8000000000000001E-4"/>
    <n v="0"/>
    <x v="1"/>
    <x v="0"/>
    <n v="1.8000000000000001E-4"/>
  </r>
  <r>
    <s v="SYN3380"/>
    <n v="29"/>
    <x v="1"/>
    <n v="18"/>
    <n v="46"/>
    <n v="1.3699999999999999E-3"/>
    <n v="0"/>
    <x v="3"/>
    <x v="2"/>
    <n v="1.3699999999999999E-3"/>
  </r>
  <r>
    <s v="SYN3381"/>
    <n v="47"/>
    <x v="1"/>
    <n v="12"/>
    <n v="58"/>
    <n v="3.4499999999999999E-3"/>
    <n v="0"/>
    <x v="2"/>
    <x v="2"/>
    <n v="3.4499999999999999E-3"/>
  </r>
  <r>
    <s v="SYN3382"/>
    <n v="38"/>
    <x v="0"/>
    <n v="7"/>
    <n v="44"/>
    <n v="1.1199999999999999E-3"/>
    <n v="0"/>
    <x v="3"/>
    <x v="0"/>
    <n v="1.1199999999999999E-3"/>
  </r>
  <r>
    <s v="SYN3383"/>
    <n v="55"/>
    <x v="1"/>
    <n v="27"/>
    <n v="81"/>
    <n v="3.986E-2"/>
    <n v="0"/>
    <x v="4"/>
    <x v="1"/>
    <n v="3.986E-2"/>
  </r>
  <r>
    <s v="SYN3384"/>
    <n v="52"/>
    <x v="0"/>
    <n v="25"/>
    <n v="76"/>
    <n v="3.3419999999999998E-2"/>
    <n v="0"/>
    <x v="5"/>
    <x v="1"/>
    <n v="3.3419999999999998E-2"/>
  </r>
  <r>
    <s v="SYN3385"/>
    <n v="36"/>
    <x v="1"/>
    <n v="2"/>
    <n v="37"/>
    <n v="2.7E-4"/>
    <n v="0"/>
    <x v="1"/>
    <x v="0"/>
    <n v="2.7E-4"/>
  </r>
  <r>
    <s v="SYN3386"/>
    <n v="60"/>
    <x v="0"/>
    <n v="6"/>
    <n v="65"/>
    <n v="8.1399999999999997E-3"/>
    <n v="0"/>
    <x v="0"/>
    <x v="0"/>
    <n v="8.1399999999999997E-3"/>
  </r>
  <r>
    <s v="SYN3387"/>
    <n v="40"/>
    <x v="1"/>
    <n v="12"/>
    <n v="51"/>
    <n v="1.8500000000000001E-3"/>
    <n v="0"/>
    <x v="2"/>
    <x v="2"/>
    <n v="1.8500000000000001E-3"/>
  </r>
  <r>
    <s v="SYN3388"/>
    <n v="22"/>
    <x v="1"/>
    <n v="11"/>
    <n v="32"/>
    <n v="4.2000000000000002E-4"/>
    <n v="0"/>
    <x v="1"/>
    <x v="2"/>
    <n v="4.2000000000000002E-4"/>
  </r>
  <r>
    <s v="SYN3389"/>
    <n v="20"/>
    <x v="0"/>
    <n v="6"/>
    <n v="25"/>
    <n v="7.7999999999999999E-4"/>
    <n v="0"/>
    <x v="6"/>
    <x v="0"/>
    <n v="7.7999999999999999E-4"/>
  </r>
  <r>
    <s v="SYN3390"/>
    <n v="61"/>
    <x v="0"/>
    <n v="29"/>
    <n v="89"/>
    <n v="0.10347000000000001"/>
    <n v="0"/>
    <x v="4"/>
    <x v="1"/>
    <n v="0.10347000000000001"/>
  </r>
  <r>
    <s v="SYN3391"/>
    <n v="39"/>
    <x v="0"/>
    <n v="6"/>
    <n v="44"/>
    <n v="1.06E-3"/>
    <n v="0"/>
    <x v="3"/>
    <x v="0"/>
    <n v="1.06E-3"/>
  </r>
  <r>
    <s v="SYN3392"/>
    <n v="21"/>
    <x v="1"/>
    <n v="15"/>
    <n v="35"/>
    <n v="6.2E-4"/>
    <n v="0"/>
    <x v="1"/>
    <x v="2"/>
    <n v="6.2E-4"/>
  </r>
  <r>
    <s v="SYN3393"/>
    <n v="56"/>
    <x v="0"/>
    <n v="23"/>
    <n v="78"/>
    <n v="4.1189999999999997E-2"/>
    <n v="0"/>
    <x v="5"/>
    <x v="1"/>
    <n v="4.1189999999999997E-2"/>
  </r>
  <r>
    <s v="SYN3394"/>
    <n v="35"/>
    <x v="1"/>
    <n v="9"/>
    <n v="43"/>
    <n v="8.0000000000000004E-4"/>
    <n v="0"/>
    <x v="3"/>
    <x v="0"/>
    <n v="8.0000000000000004E-4"/>
  </r>
  <r>
    <s v="SYN3395"/>
    <n v="50"/>
    <x v="0"/>
    <n v="22"/>
    <n v="71"/>
    <n v="1.9089999999999999E-2"/>
    <n v="0"/>
    <x v="5"/>
    <x v="1"/>
    <n v="1.9089999999999999E-2"/>
  </r>
  <r>
    <s v="SYN3396"/>
    <n v="34"/>
    <x v="1"/>
    <n v="25"/>
    <n v="58"/>
    <n v="4.0499999999999998E-3"/>
    <n v="0"/>
    <x v="2"/>
    <x v="1"/>
    <n v="4.0499999999999998E-3"/>
  </r>
  <r>
    <s v="SYN3397"/>
    <n v="26"/>
    <x v="0"/>
    <n v="14"/>
    <n v="39"/>
    <n v="1.1000000000000001E-3"/>
    <n v="0"/>
    <x v="1"/>
    <x v="2"/>
    <n v="1.1000000000000001E-3"/>
  </r>
  <r>
    <s v="SYN3398"/>
    <n v="56"/>
    <x v="1"/>
    <n v="13"/>
    <n v="68"/>
    <n v="9.1299999999999992E-3"/>
    <n v="0"/>
    <x v="0"/>
    <x v="2"/>
    <n v="9.1299999999999992E-3"/>
  </r>
  <r>
    <s v="SYN3399"/>
    <n v="30"/>
    <x v="0"/>
    <n v="30"/>
    <n v="59"/>
    <n v="4.0499999999999998E-3"/>
    <n v="0"/>
    <x v="2"/>
    <x v="3"/>
    <n v="4.0499999999999998E-3"/>
  </r>
  <r>
    <s v="SYN3400"/>
    <n v="64"/>
    <x v="0"/>
    <n v="17"/>
    <n v="80"/>
    <n v="4.863E-2"/>
    <n v="0"/>
    <x v="4"/>
    <x v="2"/>
    <n v="4.863E-2"/>
  </r>
  <r>
    <s v="SYN3401"/>
    <n v="28"/>
    <x v="1"/>
    <n v="5"/>
    <n v="32"/>
    <n v="2.5999999999999998E-4"/>
    <n v="0"/>
    <x v="1"/>
    <x v="0"/>
    <n v="2.5999999999999998E-4"/>
  </r>
  <r>
    <s v="SYN3402"/>
    <n v="23"/>
    <x v="0"/>
    <n v="3"/>
    <n v="25"/>
    <n v="5.0000000000000001E-4"/>
    <n v="0"/>
    <x v="6"/>
    <x v="0"/>
    <n v="5.0000000000000001E-4"/>
  </r>
  <r>
    <s v="SYN3403"/>
    <n v="42"/>
    <x v="0"/>
    <n v="15"/>
    <n v="56"/>
    <n v="3.9899999999999996E-3"/>
    <n v="0"/>
    <x v="2"/>
    <x v="2"/>
    <n v="3.9899999999999996E-3"/>
  </r>
  <r>
    <s v="SYN3404"/>
    <n v="62"/>
    <x v="0"/>
    <n v="5"/>
    <n v="66"/>
    <n v="7.9399999999999991E-3"/>
    <n v="0"/>
    <x v="0"/>
    <x v="0"/>
    <n v="7.9399999999999991E-3"/>
  </r>
  <r>
    <s v="SYN3405"/>
    <n v="39"/>
    <x v="0"/>
    <n v="3"/>
    <n v="41"/>
    <n v="6.8999999999999997E-4"/>
    <n v="0"/>
    <x v="3"/>
    <x v="0"/>
    <n v="6.8999999999999997E-4"/>
  </r>
  <r>
    <s v="SYN3406"/>
    <n v="47"/>
    <x v="1"/>
    <n v="3"/>
    <n v="49"/>
    <n v="8.4999999999999995E-4"/>
    <n v="0"/>
    <x v="3"/>
    <x v="0"/>
    <n v="8.4999999999999995E-4"/>
  </r>
  <r>
    <s v="SYN3407"/>
    <n v="55"/>
    <x v="1"/>
    <n v="28"/>
    <n v="82"/>
    <n v="3.986E-2"/>
    <n v="1"/>
    <x v="4"/>
    <x v="1"/>
    <n v="3.986E-2"/>
  </r>
  <r>
    <s v="SYN3408"/>
    <n v="30"/>
    <x v="0"/>
    <n v="12"/>
    <n v="41"/>
    <n v="1.1100000000000001E-3"/>
    <n v="0"/>
    <x v="3"/>
    <x v="2"/>
    <n v="1.1100000000000001E-3"/>
  </r>
  <r>
    <s v="SYN3409"/>
    <n v="45"/>
    <x v="0"/>
    <n v="23"/>
    <n v="67"/>
    <n v="1.273E-2"/>
    <n v="0"/>
    <x v="0"/>
    <x v="1"/>
    <n v="1.273E-2"/>
  </r>
  <r>
    <s v="SYN3410"/>
    <n v="44"/>
    <x v="0"/>
    <n v="27"/>
    <n v="70"/>
    <n v="1.553E-2"/>
    <n v="0"/>
    <x v="5"/>
    <x v="1"/>
    <n v="1.553E-2"/>
  </r>
  <r>
    <s v="SYN3411"/>
    <n v="26"/>
    <x v="0"/>
    <n v="13"/>
    <n v="38"/>
    <n v="9.6000000000000002E-4"/>
    <n v="0"/>
    <x v="1"/>
    <x v="2"/>
    <n v="9.6000000000000002E-4"/>
  </r>
  <r>
    <s v="SYN3412"/>
    <n v="28"/>
    <x v="1"/>
    <n v="13"/>
    <n v="40"/>
    <n v="8.8999999999999995E-4"/>
    <n v="0"/>
    <x v="3"/>
    <x v="2"/>
    <n v="8.8999999999999995E-4"/>
  </r>
  <r>
    <s v="SYN3413"/>
    <n v="63"/>
    <x v="1"/>
    <n v="24"/>
    <n v="86"/>
    <n v="8.2710000000000006E-2"/>
    <n v="0"/>
    <x v="4"/>
    <x v="1"/>
    <n v="8.2710000000000006E-2"/>
  </r>
  <r>
    <s v="SYN3414"/>
    <n v="54"/>
    <x v="0"/>
    <n v="3"/>
    <n v="56"/>
    <n v="2.7200000000000002E-3"/>
    <n v="0"/>
    <x v="2"/>
    <x v="0"/>
    <n v="2.7200000000000002E-3"/>
  </r>
  <r>
    <s v="SYN3415"/>
    <n v="57"/>
    <x v="0"/>
    <n v="1"/>
    <n v="57"/>
    <n v="1.3600000000000001E-3"/>
    <n v="0"/>
    <x v="2"/>
    <x v="0"/>
    <n v="1.3600000000000001E-3"/>
  </r>
  <r>
    <s v="SYN3416"/>
    <n v="35"/>
    <x v="0"/>
    <n v="12"/>
    <n v="46"/>
    <n v="1.5E-3"/>
    <n v="0"/>
    <x v="3"/>
    <x v="2"/>
    <n v="1.5E-3"/>
  </r>
  <r>
    <s v="SYN3417"/>
    <n v="20"/>
    <x v="1"/>
    <n v="20"/>
    <n v="39"/>
    <n v="1.08E-3"/>
    <n v="0"/>
    <x v="1"/>
    <x v="1"/>
    <n v="1.08E-3"/>
  </r>
  <r>
    <s v="SYN3418"/>
    <n v="24"/>
    <x v="0"/>
    <n v="21"/>
    <n v="44"/>
    <n v="1.9599999999999999E-3"/>
    <n v="0"/>
    <x v="3"/>
    <x v="1"/>
    <n v="1.9599999999999999E-3"/>
  </r>
  <r>
    <s v="SYN3419"/>
    <n v="22"/>
    <x v="0"/>
    <n v="7"/>
    <n v="28"/>
    <n v="5.9999999999999995E-4"/>
    <n v="0"/>
    <x v="6"/>
    <x v="0"/>
    <n v="5.9999999999999995E-4"/>
  </r>
  <r>
    <s v="SYN3420"/>
    <n v="44"/>
    <x v="0"/>
    <n v="21"/>
    <n v="64"/>
    <n v="9.2899999999999996E-3"/>
    <n v="0"/>
    <x v="0"/>
    <x v="1"/>
    <n v="9.2899999999999996E-3"/>
  </r>
  <r>
    <s v="SYN3421"/>
    <n v="39"/>
    <x v="1"/>
    <n v="13"/>
    <n v="51"/>
    <n v="1.9E-3"/>
    <n v="0"/>
    <x v="2"/>
    <x v="2"/>
    <n v="1.9E-3"/>
  </r>
  <r>
    <s v="SYN3422"/>
    <n v="36"/>
    <x v="0"/>
    <n v="14"/>
    <n v="49"/>
    <n v="2.0699999999999998E-3"/>
    <n v="0"/>
    <x v="3"/>
    <x v="2"/>
    <n v="2.0699999999999998E-3"/>
  </r>
  <r>
    <s v="SYN3423"/>
    <n v="53"/>
    <x v="0"/>
    <n v="27"/>
    <n v="79"/>
    <n v="4.1250000000000002E-2"/>
    <n v="0"/>
    <x v="5"/>
    <x v="1"/>
    <n v="4.1250000000000002E-2"/>
  </r>
  <r>
    <s v="SYN3424"/>
    <n v="42"/>
    <x v="1"/>
    <n v="22"/>
    <n v="63"/>
    <n v="6.7200000000000003E-3"/>
    <n v="0"/>
    <x v="0"/>
    <x v="1"/>
    <n v="6.7200000000000003E-3"/>
  </r>
  <r>
    <s v="SYN3425"/>
    <n v="45"/>
    <x v="1"/>
    <n v="26"/>
    <n v="70"/>
    <n v="1.404E-2"/>
    <n v="0"/>
    <x v="5"/>
    <x v="1"/>
    <n v="1.404E-2"/>
  </r>
  <r>
    <s v="SYN3426"/>
    <n v="28"/>
    <x v="1"/>
    <n v="19"/>
    <n v="46"/>
    <n v="1.41E-3"/>
    <n v="0"/>
    <x v="3"/>
    <x v="2"/>
    <n v="1.41E-3"/>
  </r>
  <r>
    <s v="SYN3427"/>
    <n v="20"/>
    <x v="1"/>
    <n v="16"/>
    <n v="35"/>
    <n v="6.6E-4"/>
    <n v="0"/>
    <x v="1"/>
    <x v="2"/>
    <n v="6.6E-4"/>
  </r>
  <r>
    <s v="SYN3428"/>
    <n v="47"/>
    <x v="0"/>
    <n v="25"/>
    <n v="71"/>
    <n v="1.9089999999999999E-2"/>
    <n v="0"/>
    <x v="5"/>
    <x v="1"/>
    <n v="1.9089999999999999E-2"/>
  </r>
  <r>
    <s v="SYN3429"/>
    <n v="60"/>
    <x v="1"/>
    <n v="4"/>
    <n v="63"/>
    <n v="3.8700000000000002E-3"/>
    <n v="0"/>
    <x v="0"/>
    <x v="0"/>
    <n v="3.8700000000000002E-3"/>
  </r>
  <r>
    <s v="SYN3430"/>
    <n v="48"/>
    <x v="0"/>
    <n v="17"/>
    <n v="64"/>
    <n v="9.2899999999999996E-3"/>
    <n v="0"/>
    <x v="0"/>
    <x v="2"/>
    <n v="9.2899999999999996E-3"/>
  </r>
  <r>
    <s v="SYN3431"/>
    <n v="41"/>
    <x v="1"/>
    <n v="28"/>
    <n v="68"/>
    <n v="9.2399999999999999E-3"/>
    <n v="0"/>
    <x v="0"/>
    <x v="1"/>
    <n v="9.2399999999999999E-3"/>
  </r>
  <r>
    <s v="SYN3432"/>
    <n v="31"/>
    <x v="1"/>
    <n v="14"/>
    <n v="44"/>
    <n v="1.09E-3"/>
    <n v="0"/>
    <x v="3"/>
    <x v="2"/>
    <n v="1.09E-3"/>
  </r>
  <r>
    <s v="SYN3433"/>
    <n v="63"/>
    <x v="0"/>
    <n v="3"/>
    <n v="65"/>
    <n v="5.5100000000000001E-3"/>
    <n v="0"/>
    <x v="0"/>
    <x v="0"/>
    <n v="5.5100000000000001E-3"/>
  </r>
  <r>
    <s v="SYN3434"/>
    <n v="65"/>
    <x v="0"/>
    <n v="19"/>
    <n v="83"/>
    <n v="7.0449999999999999E-2"/>
    <n v="0"/>
    <x v="4"/>
    <x v="2"/>
    <n v="7.0449999999999999E-2"/>
  </r>
  <r>
    <s v="SYN3435"/>
    <n v="59"/>
    <x v="1"/>
    <n v="24"/>
    <n v="82"/>
    <n v="5.0599999999999999E-2"/>
    <n v="0"/>
    <x v="4"/>
    <x v="1"/>
    <n v="5.0599999999999999E-2"/>
  </r>
  <r>
    <s v="SYN3436"/>
    <n v="49"/>
    <x v="0"/>
    <n v="10"/>
    <n v="58"/>
    <n v="4.7200000000000002E-3"/>
    <n v="0"/>
    <x v="2"/>
    <x v="2"/>
    <n v="4.7200000000000002E-3"/>
  </r>
  <r>
    <s v="SYN3437"/>
    <n v="49"/>
    <x v="0"/>
    <n v="12"/>
    <n v="60"/>
    <n v="5.9199999999999999E-3"/>
    <n v="0"/>
    <x v="0"/>
    <x v="2"/>
    <n v="5.9199999999999999E-3"/>
  </r>
  <r>
    <s v="SYN3438"/>
    <n v="43"/>
    <x v="0"/>
    <n v="9"/>
    <n v="51"/>
    <n v="2.1900000000000001E-3"/>
    <n v="0"/>
    <x v="2"/>
    <x v="0"/>
    <n v="2.1900000000000001E-3"/>
  </r>
  <r>
    <s v="SYN3439"/>
    <n v="21"/>
    <x v="0"/>
    <n v="18"/>
    <n v="38"/>
    <n v="1.2999999999999999E-3"/>
    <n v="0"/>
    <x v="1"/>
    <x v="2"/>
    <n v="1.2999999999999999E-3"/>
  </r>
  <r>
    <s v="SYN3440"/>
    <n v="46"/>
    <x v="0"/>
    <n v="1"/>
    <n v="46"/>
    <n v="6.0999999999999997E-4"/>
    <n v="0"/>
    <x v="3"/>
    <x v="0"/>
    <n v="6.0999999999999997E-4"/>
  </r>
  <r>
    <s v="SYN3441"/>
    <n v="22"/>
    <x v="0"/>
    <n v="20"/>
    <n v="41"/>
    <n v="1.7600000000000001E-3"/>
    <n v="0"/>
    <x v="3"/>
    <x v="1"/>
    <n v="1.7600000000000001E-3"/>
  </r>
  <r>
    <s v="SYN3442"/>
    <n v="54"/>
    <x v="0"/>
    <n v="24"/>
    <n v="77"/>
    <n v="3.7039999999999997E-2"/>
    <n v="0"/>
    <x v="5"/>
    <x v="1"/>
    <n v="3.7039999999999997E-2"/>
  </r>
  <r>
    <s v="SYN3443"/>
    <n v="54"/>
    <x v="0"/>
    <n v="4"/>
    <n v="57"/>
    <n v="3.5100000000000001E-3"/>
    <n v="0"/>
    <x v="2"/>
    <x v="0"/>
    <n v="3.5100000000000001E-3"/>
  </r>
  <r>
    <s v="SYN3444"/>
    <n v="51"/>
    <x v="1"/>
    <n v="14"/>
    <n v="64"/>
    <n v="6.6100000000000004E-3"/>
    <n v="0"/>
    <x v="0"/>
    <x v="2"/>
    <n v="6.6100000000000004E-3"/>
  </r>
  <r>
    <s v="SYN3445"/>
    <n v="49"/>
    <x v="1"/>
    <n v="23"/>
    <n v="71"/>
    <n v="1.553E-2"/>
    <n v="0"/>
    <x v="5"/>
    <x v="1"/>
    <n v="1.553E-2"/>
  </r>
  <r>
    <s v="SYN3446"/>
    <n v="53"/>
    <x v="0"/>
    <n v="19"/>
    <n v="71"/>
    <n v="1.8769999999999998E-2"/>
    <n v="0"/>
    <x v="5"/>
    <x v="2"/>
    <n v="1.8769999999999998E-2"/>
  </r>
  <r>
    <s v="SYN3447"/>
    <n v="43"/>
    <x v="0"/>
    <n v="2"/>
    <n v="44"/>
    <n v="7.2000000000000005E-4"/>
    <n v="0"/>
    <x v="3"/>
    <x v="0"/>
    <n v="7.2000000000000005E-4"/>
  </r>
  <r>
    <s v="SYN3448"/>
    <n v="60"/>
    <x v="1"/>
    <n v="26"/>
    <n v="85"/>
    <n v="7.2980000000000003E-2"/>
    <n v="0"/>
    <x v="4"/>
    <x v="1"/>
    <n v="7.2980000000000003E-2"/>
  </r>
  <r>
    <s v="SYN3449"/>
    <n v="25"/>
    <x v="1"/>
    <n v="11"/>
    <n v="35"/>
    <n v="5.1999999999999995E-4"/>
    <n v="0"/>
    <x v="1"/>
    <x v="2"/>
    <n v="5.1999999999999995E-4"/>
  </r>
  <r>
    <s v="SYN3450"/>
    <n v="47"/>
    <x v="0"/>
    <n v="13"/>
    <n v="59"/>
    <n v="5.3800000000000002E-3"/>
    <n v="0"/>
    <x v="2"/>
    <x v="2"/>
    <n v="5.3800000000000002E-3"/>
  </r>
  <r>
    <s v="SYN3451"/>
    <n v="36"/>
    <x v="1"/>
    <n v="24"/>
    <n v="59"/>
    <n v="4.4600000000000004E-3"/>
    <n v="0"/>
    <x v="2"/>
    <x v="1"/>
    <n v="4.4600000000000004E-3"/>
  </r>
  <r>
    <s v="SYN3452"/>
    <n v="47"/>
    <x v="1"/>
    <n v="4"/>
    <n v="50"/>
    <n v="1.15E-3"/>
    <n v="0"/>
    <x v="2"/>
    <x v="0"/>
    <n v="1.15E-3"/>
  </r>
  <r>
    <s v="SYN3453"/>
    <n v="39"/>
    <x v="1"/>
    <n v="20"/>
    <n v="58"/>
    <n v="4.0200000000000001E-3"/>
    <n v="0"/>
    <x v="2"/>
    <x v="1"/>
    <n v="4.0200000000000001E-3"/>
  </r>
  <r>
    <s v="SYN3454"/>
    <n v="35"/>
    <x v="1"/>
    <n v="23"/>
    <n v="57"/>
    <n v="3.6900000000000001E-3"/>
    <n v="0"/>
    <x v="2"/>
    <x v="1"/>
    <n v="3.6900000000000001E-3"/>
  </r>
  <r>
    <s v="SYN3455"/>
    <n v="50"/>
    <x v="1"/>
    <n v="7"/>
    <n v="56"/>
    <n v="2.3500000000000001E-3"/>
    <n v="0"/>
    <x v="2"/>
    <x v="0"/>
    <n v="2.3500000000000001E-3"/>
  </r>
  <r>
    <s v="SYN3456"/>
    <n v="64"/>
    <x v="0"/>
    <n v="25"/>
    <n v="88"/>
    <n v="0.13253000000000001"/>
    <n v="0"/>
    <x v="4"/>
    <x v="1"/>
    <n v="0.13253000000000001"/>
  </r>
  <r>
    <s v="SYN3457"/>
    <n v="22"/>
    <x v="0"/>
    <n v="20"/>
    <n v="41"/>
    <n v="1.7600000000000001E-3"/>
    <n v="0"/>
    <x v="3"/>
    <x v="1"/>
    <n v="1.7600000000000001E-3"/>
  </r>
  <r>
    <s v="SYN3458"/>
    <n v="38"/>
    <x v="0"/>
    <n v="9"/>
    <n v="46"/>
    <n v="1.3600000000000001E-3"/>
    <n v="0"/>
    <x v="3"/>
    <x v="0"/>
    <n v="1.3600000000000001E-3"/>
  </r>
  <r>
    <s v="SYN3459"/>
    <n v="46"/>
    <x v="0"/>
    <n v="22"/>
    <n v="67"/>
    <n v="1.2710000000000001E-2"/>
    <n v="0"/>
    <x v="0"/>
    <x v="1"/>
    <n v="1.2710000000000001E-2"/>
  </r>
  <r>
    <s v="SYN3460"/>
    <n v="58"/>
    <x v="1"/>
    <n v="26"/>
    <n v="83"/>
    <n v="5.704E-2"/>
    <n v="0"/>
    <x v="4"/>
    <x v="1"/>
    <n v="5.704E-2"/>
  </r>
  <r>
    <s v="SYN3461"/>
    <n v="34"/>
    <x v="0"/>
    <n v="8"/>
    <n v="41"/>
    <n v="9.3000000000000005E-4"/>
    <n v="0"/>
    <x v="3"/>
    <x v="0"/>
    <n v="9.3000000000000005E-4"/>
  </r>
  <r>
    <s v="SYN3462"/>
    <n v="24"/>
    <x v="0"/>
    <n v="20"/>
    <n v="43"/>
    <n v="1.8500000000000001E-3"/>
    <n v="0"/>
    <x v="3"/>
    <x v="1"/>
    <n v="1.8500000000000001E-3"/>
  </r>
  <r>
    <s v="SYN3463"/>
    <n v="49"/>
    <x v="0"/>
    <n v="19"/>
    <n v="67"/>
    <n v="1.2460000000000001E-2"/>
    <n v="0"/>
    <x v="0"/>
    <x v="2"/>
    <n v="1.2460000000000001E-2"/>
  </r>
  <r>
    <s v="SYN3464"/>
    <n v="54"/>
    <x v="0"/>
    <n v="13"/>
    <n v="66"/>
    <n v="1.112E-2"/>
    <n v="0"/>
    <x v="0"/>
    <x v="2"/>
    <n v="1.112E-2"/>
  </r>
  <r>
    <s v="SYN3465"/>
    <n v="41"/>
    <x v="0"/>
    <n v="11"/>
    <n v="51"/>
    <n v="2.32E-3"/>
    <n v="0"/>
    <x v="2"/>
    <x v="2"/>
    <n v="2.32E-3"/>
  </r>
  <r>
    <s v="SYN3466"/>
    <n v="29"/>
    <x v="1"/>
    <n v="15"/>
    <n v="43"/>
    <n v="1.07E-3"/>
    <n v="0"/>
    <x v="3"/>
    <x v="2"/>
    <n v="1.07E-3"/>
  </r>
  <r>
    <s v="SYN3467"/>
    <n v="54"/>
    <x v="0"/>
    <n v="23"/>
    <n v="76"/>
    <n v="3.32E-2"/>
    <n v="0"/>
    <x v="5"/>
    <x v="1"/>
    <n v="3.32E-2"/>
  </r>
  <r>
    <s v="SYN3468"/>
    <n v="45"/>
    <x v="1"/>
    <n v="2"/>
    <n v="46"/>
    <n v="4.4000000000000002E-4"/>
    <n v="0"/>
    <x v="3"/>
    <x v="0"/>
    <n v="4.4000000000000002E-4"/>
  </r>
  <r>
    <s v="SYN3469"/>
    <n v="25"/>
    <x v="0"/>
    <n v="21"/>
    <n v="45"/>
    <n v="1.98E-3"/>
    <n v="0"/>
    <x v="3"/>
    <x v="1"/>
    <n v="1.98E-3"/>
  </r>
  <r>
    <s v="SYN3470"/>
    <n v="25"/>
    <x v="1"/>
    <n v="7"/>
    <n v="31"/>
    <n v="3.2000000000000003E-4"/>
    <n v="0"/>
    <x v="1"/>
    <x v="0"/>
    <n v="3.2000000000000003E-4"/>
  </r>
  <r>
    <s v="SYN3471"/>
    <n v="39"/>
    <x v="1"/>
    <n v="10"/>
    <n v="48"/>
    <n v="1.2899999999999999E-3"/>
    <n v="0"/>
    <x v="3"/>
    <x v="2"/>
    <n v="1.2899999999999999E-3"/>
  </r>
  <r>
    <s v="SYN3472"/>
    <n v="49"/>
    <x v="0"/>
    <n v="1"/>
    <n v="49"/>
    <n v="7.7999999999999999E-4"/>
    <n v="0"/>
    <x v="3"/>
    <x v="0"/>
    <n v="7.7999999999999999E-4"/>
  </r>
  <r>
    <s v="SYN3473"/>
    <n v="59"/>
    <x v="1"/>
    <n v="12"/>
    <n v="70"/>
    <n v="1.009E-2"/>
    <n v="0"/>
    <x v="5"/>
    <x v="2"/>
    <n v="1.009E-2"/>
  </r>
  <r>
    <s v="SYN3474"/>
    <n v="21"/>
    <x v="1"/>
    <n v="25"/>
    <n v="45"/>
    <n v="1.3799999999999999E-3"/>
    <n v="0"/>
    <x v="3"/>
    <x v="1"/>
    <n v="1.3799999999999999E-3"/>
  </r>
  <r>
    <s v="SYN3475"/>
    <n v="51"/>
    <x v="0"/>
    <n v="8"/>
    <n v="58"/>
    <n v="4.4299999999999999E-3"/>
    <n v="0"/>
    <x v="2"/>
    <x v="0"/>
    <n v="4.4299999999999999E-3"/>
  </r>
  <r>
    <s v="SYN3476"/>
    <n v="44"/>
    <x v="1"/>
    <n v="20"/>
    <n v="63"/>
    <n v="6.6400000000000001E-3"/>
    <n v="0"/>
    <x v="0"/>
    <x v="1"/>
    <n v="6.6400000000000001E-3"/>
  </r>
  <r>
    <s v="SYN3477"/>
    <n v="45"/>
    <x v="0"/>
    <n v="7"/>
    <n v="51"/>
    <n v="2.0200000000000001E-3"/>
    <n v="0"/>
    <x v="2"/>
    <x v="0"/>
    <n v="2.0200000000000001E-3"/>
  </r>
  <r>
    <s v="SYN3478"/>
    <n v="38"/>
    <x v="1"/>
    <n v="6"/>
    <n v="43"/>
    <n v="7.5000000000000002E-4"/>
    <n v="0"/>
    <x v="3"/>
    <x v="0"/>
    <n v="7.5000000000000002E-4"/>
  </r>
  <r>
    <s v="SYN3479"/>
    <n v="45"/>
    <x v="0"/>
    <n v="18"/>
    <n v="62"/>
    <n v="7.7400000000000004E-3"/>
    <n v="0"/>
    <x v="0"/>
    <x v="2"/>
    <n v="7.7400000000000004E-3"/>
  </r>
  <r>
    <s v="SYN3480"/>
    <n v="46"/>
    <x v="1"/>
    <n v="29"/>
    <n v="74"/>
    <n v="1.553E-2"/>
    <n v="0"/>
    <x v="5"/>
    <x v="1"/>
    <n v="1.553E-2"/>
  </r>
  <r>
    <s v="SYN3481"/>
    <n v="43"/>
    <x v="0"/>
    <n v="21"/>
    <n v="63"/>
    <n v="8.4899999999999993E-3"/>
    <n v="0"/>
    <x v="0"/>
    <x v="1"/>
    <n v="8.4899999999999993E-3"/>
  </r>
  <r>
    <s v="SYN3482"/>
    <n v="60"/>
    <x v="1"/>
    <n v="25"/>
    <n v="84"/>
    <n v="6.4490000000000006E-2"/>
    <n v="0"/>
    <x v="4"/>
    <x v="1"/>
    <n v="6.4490000000000006E-2"/>
  </r>
  <r>
    <s v="SYN3483"/>
    <n v="54"/>
    <x v="0"/>
    <n v="13"/>
    <n v="66"/>
    <n v="1.112E-2"/>
    <n v="0"/>
    <x v="0"/>
    <x v="2"/>
    <n v="1.112E-2"/>
  </r>
  <r>
    <s v="SYN3484"/>
    <n v="49"/>
    <x v="1"/>
    <n v="10"/>
    <n v="58"/>
    <n v="3.15E-3"/>
    <n v="0"/>
    <x v="2"/>
    <x v="2"/>
    <n v="3.15E-3"/>
  </r>
  <r>
    <s v="SYN3485"/>
    <n v="31"/>
    <x v="0"/>
    <n v="13"/>
    <n v="43"/>
    <n v="1.31E-3"/>
    <n v="0"/>
    <x v="3"/>
    <x v="2"/>
    <n v="1.31E-3"/>
  </r>
  <r>
    <s v="SYN3486"/>
    <n v="41"/>
    <x v="0"/>
    <n v="25"/>
    <n v="65"/>
    <n v="1.057E-2"/>
    <n v="0"/>
    <x v="0"/>
    <x v="1"/>
    <n v="1.057E-2"/>
  </r>
  <r>
    <s v="SYN3487"/>
    <n v="26"/>
    <x v="1"/>
    <n v="13"/>
    <n v="38"/>
    <n v="7.6000000000000004E-4"/>
    <n v="0"/>
    <x v="1"/>
    <x v="2"/>
    <n v="7.6000000000000004E-4"/>
  </r>
  <r>
    <s v="SYN3488"/>
    <n v="46"/>
    <x v="0"/>
    <n v="14"/>
    <n v="59"/>
    <n v="5.4299999999999999E-3"/>
    <n v="0"/>
    <x v="2"/>
    <x v="2"/>
    <n v="5.4299999999999999E-3"/>
  </r>
  <r>
    <s v="SYN3489"/>
    <n v="34"/>
    <x v="1"/>
    <n v="5"/>
    <n v="38"/>
    <n v="4.6999999999999999E-4"/>
    <n v="0"/>
    <x v="1"/>
    <x v="0"/>
    <n v="4.6999999999999999E-4"/>
  </r>
  <r>
    <s v="SYN3490"/>
    <n v="25"/>
    <x v="1"/>
    <n v="20"/>
    <n v="44"/>
    <n v="1.31E-3"/>
    <n v="0"/>
    <x v="3"/>
    <x v="1"/>
    <n v="1.31E-3"/>
  </r>
  <r>
    <s v="SYN3491"/>
    <n v="21"/>
    <x v="1"/>
    <n v="11"/>
    <n v="31"/>
    <n v="4.0999999999999999E-4"/>
    <n v="0"/>
    <x v="1"/>
    <x v="2"/>
    <n v="4.0999999999999999E-4"/>
  </r>
  <r>
    <s v="SYN3492"/>
    <n v="60"/>
    <x v="1"/>
    <n v="16"/>
    <n v="75"/>
    <n v="2.053E-2"/>
    <n v="0"/>
    <x v="5"/>
    <x v="2"/>
    <n v="2.053E-2"/>
  </r>
  <r>
    <s v="SYN3493"/>
    <n v="21"/>
    <x v="1"/>
    <n v="24"/>
    <n v="44"/>
    <n v="1.33E-3"/>
    <n v="0"/>
    <x v="3"/>
    <x v="1"/>
    <n v="1.33E-3"/>
  </r>
  <r>
    <s v="SYN3494"/>
    <n v="44"/>
    <x v="1"/>
    <n v="18"/>
    <n v="61"/>
    <n v="5.2100000000000002E-3"/>
    <n v="0"/>
    <x v="0"/>
    <x v="2"/>
    <n v="5.2100000000000002E-3"/>
  </r>
  <r>
    <s v="SYN3495"/>
    <n v="30"/>
    <x v="0"/>
    <n v="15"/>
    <n v="44"/>
    <n v="1.5200000000000001E-3"/>
    <n v="0"/>
    <x v="3"/>
    <x v="2"/>
    <n v="1.5200000000000001E-3"/>
  </r>
  <r>
    <s v="SYN3496"/>
    <n v="31"/>
    <x v="1"/>
    <n v="16"/>
    <n v="46"/>
    <n v="1.2899999999999999E-3"/>
    <n v="0"/>
    <x v="3"/>
    <x v="2"/>
    <n v="1.2899999999999999E-3"/>
  </r>
  <r>
    <s v="SYN3497"/>
    <n v="40"/>
    <x v="0"/>
    <n v="5"/>
    <n v="44"/>
    <n v="1.01E-3"/>
    <n v="0"/>
    <x v="3"/>
    <x v="0"/>
    <n v="1.01E-3"/>
  </r>
  <r>
    <s v="SYN3498"/>
    <n v="33"/>
    <x v="0"/>
    <n v="19"/>
    <n v="51"/>
    <n v="2.7200000000000002E-3"/>
    <n v="0"/>
    <x v="2"/>
    <x v="2"/>
    <n v="2.7200000000000002E-3"/>
  </r>
  <r>
    <s v="SYN3499"/>
    <n v="58"/>
    <x v="1"/>
    <n v="15"/>
    <n v="72"/>
    <n v="1.46E-2"/>
    <n v="0"/>
    <x v="5"/>
    <x v="2"/>
    <n v="1.46E-2"/>
  </r>
  <r>
    <s v="SYN3500"/>
    <n v="49"/>
    <x v="1"/>
    <n v="17"/>
    <n v="65"/>
    <n v="8.0000000000000002E-3"/>
    <n v="0"/>
    <x v="0"/>
    <x v="2"/>
    <n v="8.0000000000000002E-3"/>
  </r>
  <r>
    <s v="SYN3501"/>
    <n v="41"/>
    <x v="1"/>
    <n v="28"/>
    <n v="68"/>
    <n v="9.2399999999999999E-3"/>
    <n v="0"/>
    <x v="0"/>
    <x v="1"/>
    <n v="9.2399999999999999E-3"/>
  </r>
  <r>
    <s v="SYN3502"/>
    <n v="49"/>
    <x v="1"/>
    <n v="24"/>
    <n v="72"/>
    <n v="1.7170000000000001E-2"/>
    <n v="1"/>
    <x v="5"/>
    <x v="1"/>
    <n v="1.7170000000000001E-2"/>
  </r>
  <r>
    <s v="SYN3503"/>
    <n v="22"/>
    <x v="1"/>
    <n v="22"/>
    <n v="43"/>
    <n v="1.2800000000000001E-3"/>
    <n v="0"/>
    <x v="3"/>
    <x v="1"/>
    <n v="1.2800000000000001E-3"/>
  </r>
  <r>
    <s v="SYN3504"/>
    <n v="50"/>
    <x v="0"/>
    <n v="28"/>
    <n v="77"/>
    <n v="3.006E-2"/>
    <n v="0"/>
    <x v="5"/>
    <x v="1"/>
    <n v="3.006E-2"/>
  </r>
  <r>
    <s v="SYN3505"/>
    <n v="36"/>
    <x v="1"/>
    <n v="29"/>
    <n v="64"/>
    <n v="5.4599999999999996E-3"/>
    <n v="0"/>
    <x v="0"/>
    <x v="1"/>
    <n v="5.4599999999999996E-3"/>
  </r>
  <r>
    <s v="SYN3506"/>
    <n v="58"/>
    <x v="1"/>
    <n v="21"/>
    <n v="78"/>
    <n v="3.1989999999999998E-2"/>
    <n v="0"/>
    <x v="5"/>
    <x v="1"/>
    <n v="3.1989999999999998E-2"/>
  </r>
  <r>
    <s v="SYN3507"/>
    <n v="48"/>
    <x v="1"/>
    <n v="16"/>
    <n v="63"/>
    <n v="6.3899999999999998E-3"/>
    <n v="0"/>
    <x v="0"/>
    <x v="2"/>
    <n v="6.3899999999999998E-3"/>
  </r>
  <r>
    <s v="SYN3508"/>
    <n v="45"/>
    <x v="1"/>
    <n v="27"/>
    <n v="71"/>
    <n v="1.404E-2"/>
    <n v="0"/>
    <x v="5"/>
    <x v="1"/>
    <n v="1.404E-2"/>
  </r>
  <r>
    <s v="SYN3509"/>
    <n v="43"/>
    <x v="1"/>
    <n v="13"/>
    <n v="55"/>
    <n v="2.6800000000000001E-3"/>
    <n v="0"/>
    <x v="2"/>
    <x v="2"/>
    <n v="2.6800000000000001E-3"/>
  </r>
  <r>
    <s v="SYN3510"/>
    <n v="61"/>
    <x v="0"/>
    <n v="15"/>
    <n v="75"/>
    <n v="2.8510000000000001E-2"/>
    <n v="0"/>
    <x v="5"/>
    <x v="2"/>
    <n v="2.8510000000000001E-2"/>
  </r>
  <r>
    <s v="SYN3511"/>
    <n v="29"/>
    <x v="0"/>
    <n v="28"/>
    <n v="56"/>
    <n v="3.7499999999999999E-3"/>
    <n v="0"/>
    <x v="2"/>
    <x v="1"/>
    <n v="3.7499999999999999E-3"/>
  </r>
  <r>
    <s v="SYN3512"/>
    <n v="27"/>
    <x v="0"/>
    <n v="24"/>
    <n v="50"/>
    <n v="2.7299999999999998E-3"/>
    <n v="0"/>
    <x v="2"/>
    <x v="1"/>
    <n v="2.7299999999999998E-3"/>
  </r>
  <r>
    <s v="SYN3513"/>
    <n v="41"/>
    <x v="1"/>
    <n v="5"/>
    <n v="45"/>
    <n v="8.0000000000000004E-4"/>
    <n v="0"/>
    <x v="3"/>
    <x v="0"/>
    <n v="8.0000000000000004E-4"/>
  </r>
  <r>
    <s v="SYN3514"/>
    <n v="33"/>
    <x v="0"/>
    <n v="9"/>
    <n v="41"/>
    <n v="1E-3"/>
    <n v="0"/>
    <x v="3"/>
    <x v="0"/>
    <n v="1E-3"/>
  </r>
  <r>
    <s v="SYN3515"/>
    <n v="24"/>
    <x v="1"/>
    <n v="15"/>
    <n v="38"/>
    <n v="8.3000000000000001E-4"/>
    <n v="0"/>
    <x v="1"/>
    <x v="2"/>
    <n v="8.3000000000000001E-4"/>
  </r>
  <r>
    <s v="SYN3516"/>
    <n v="35"/>
    <x v="0"/>
    <n v="25"/>
    <n v="59"/>
    <n v="5.7400000000000003E-3"/>
    <n v="0"/>
    <x v="2"/>
    <x v="1"/>
    <n v="5.7400000000000003E-3"/>
  </r>
  <r>
    <s v="SYN3517"/>
    <n v="48"/>
    <x v="1"/>
    <n v="11"/>
    <n v="58"/>
    <n v="3.2799999999999999E-3"/>
    <n v="0"/>
    <x v="2"/>
    <x v="2"/>
    <n v="3.2799999999999999E-3"/>
  </r>
  <r>
    <s v="SYN3518"/>
    <n v="56"/>
    <x v="1"/>
    <n v="9"/>
    <n v="64"/>
    <n v="5.62E-3"/>
    <n v="0"/>
    <x v="0"/>
    <x v="0"/>
    <n v="5.62E-3"/>
  </r>
  <r>
    <s v="SYN3519"/>
    <n v="29"/>
    <x v="0"/>
    <n v="17"/>
    <n v="45"/>
    <n v="1.74E-3"/>
    <n v="0"/>
    <x v="3"/>
    <x v="2"/>
    <n v="1.74E-3"/>
  </r>
  <r>
    <s v="SYN3520"/>
    <n v="43"/>
    <x v="0"/>
    <n v="19"/>
    <n v="61"/>
    <n v="7.0200000000000002E-3"/>
    <n v="0"/>
    <x v="0"/>
    <x v="2"/>
    <n v="7.0200000000000002E-3"/>
  </r>
  <r>
    <s v="SYN3521"/>
    <n v="65"/>
    <x v="1"/>
    <n v="6"/>
    <n v="70"/>
    <n v="7.9799999999999992E-3"/>
    <n v="0"/>
    <x v="5"/>
    <x v="0"/>
    <n v="7.9799999999999992E-3"/>
  </r>
  <r>
    <s v="SYN3522"/>
    <n v="65"/>
    <x v="1"/>
    <n v="15"/>
    <n v="79"/>
    <n v="2.9850000000000002E-2"/>
    <n v="0"/>
    <x v="5"/>
    <x v="2"/>
    <n v="2.9850000000000002E-2"/>
  </r>
  <r>
    <s v="SYN3523"/>
    <n v="64"/>
    <x v="0"/>
    <n v="5"/>
    <n v="68"/>
    <n v="9.1599999999999997E-3"/>
    <n v="0"/>
    <x v="0"/>
    <x v="0"/>
    <n v="9.1599999999999997E-3"/>
  </r>
  <r>
    <s v="SYN3524"/>
    <n v="44"/>
    <x v="1"/>
    <n v="9"/>
    <n v="52"/>
    <n v="1.7899999999999999E-3"/>
    <n v="0"/>
    <x v="2"/>
    <x v="0"/>
    <n v="1.7899999999999999E-3"/>
  </r>
  <r>
    <s v="SYN3525"/>
    <n v="33"/>
    <x v="0"/>
    <n v="19"/>
    <n v="51"/>
    <n v="2.7200000000000002E-3"/>
    <n v="0"/>
    <x v="2"/>
    <x v="2"/>
    <n v="2.7200000000000002E-3"/>
  </r>
  <r>
    <s v="SYN3526"/>
    <n v="36"/>
    <x v="1"/>
    <n v="12"/>
    <n v="47"/>
    <n v="1.2700000000000001E-3"/>
    <n v="0"/>
    <x v="3"/>
    <x v="2"/>
    <n v="1.2700000000000001E-3"/>
  </r>
  <r>
    <s v="SYN3527"/>
    <n v="53"/>
    <x v="0"/>
    <n v="13"/>
    <n v="65"/>
    <n v="9.8499999999999994E-3"/>
    <n v="0"/>
    <x v="0"/>
    <x v="2"/>
    <n v="9.8499999999999994E-3"/>
  </r>
  <r>
    <s v="SYN3528"/>
    <n v="42"/>
    <x v="0"/>
    <n v="21"/>
    <n v="62"/>
    <n v="7.7400000000000004E-3"/>
    <n v="0"/>
    <x v="0"/>
    <x v="1"/>
    <n v="7.7400000000000004E-3"/>
  </r>
  <r>
    <s v="SYN3529"/>
    <n v="40"/>
    <x v="0"/>
    <n v="17"/>
    <n v="56"/>
    <n v="4.0800000000000003E-3"/>
    <n v="0"/>
    <x v="2"/>
    <x v="2"/>
    <n v="4.0800000000000003E-3"/>
  </r>
  <r>
    <s v="SYN3530"/>
    <n v="51"/>
    <x v="0"/>
    <n v="21"/>
    <n v="71"/>
    <n v="1.9089999999999999E-2"/>
    <n v="0"/>
    <x v="5"/>
    <x v="1"/>
    <n v="1.9089999999999999E-2"/>
  </r>
  <r>
    <s v="SYN3531"/>
    <n v="31"/>
    <x v="1"/>
    <n v="16"/>
    <n v="46"/>
    <n v="1.2899999999999999E-3"/>
    <n v="0"/>
    <x v="3"/>
    <x v="2"/>
    <n v="1.2899999999999999E-3"/>
  </r>
  <r>
    <s v="SYN3532"/>
    <n v="24"/>
    <x v="0"/>
    <n v="11"/>
    <n v="34"/>
    <n v="7.1000000000000002E-4"/>
    <n v="0"/>
    <x v="1"/>
    <x v="2"/>
    <n v="7.1000000000000002E-4"/>
  </r>
  <r>
    <s v="SYN3533"/>
    <n v="29"/>
    <x v="1"/>
    <n v="9"/>
    <n v="37"/>
    <n v="5.5999999999999995E-4"/>
    <n v="0"/>
    <x v="1"/>
    <x v="0"/>
    <n v="5.5999999999999995E-4"/>
  </r>
  <r>
    <s v="SYN3534"/>
    <n v="27"/>
    <x v="0"/>
    <n v="21"/>
    <n v="47"/>
    <n v="2.0799999999999998E-3"/>
    <n v="0"/>
    <x v="3"/>
    <x v="1"/>
    <n v="2.0799999999999998E-3"/>
  </r>
  <r>
    <s v="SYN3535"/>
    <n v="56"/>
    <x v="1"/>
    <n v="30"/>
    <n v="85"/>
    <n v="4.4880000000000003E-2"/>
    <n v="1"/>
    <x v="4"/>
    <x v="3"/>
    <n v="4.4880000000000003E-2"/>
  </r>
  <r>
    <s v="SYN3536"/>
    <n v="53"/>
    <x v="0"/>
    <n v="29"/>
    <n v="81"/>
    <n v="4.1250000000000002E-2"/>
    <n v="0"/>
    <x v="4"/>
    <x v="1"/>
    <n v="4.1250000000000002E-2"/>
  </r>
  <r>
    <s v="SYN3537"/>
    <n v="62"/>
    <x v="0"/>
    <n v="2"/>
    <n v="63"/>
    <n v="3.5100000000000001E-3"/>
    <n v="0"/>
    <x v="0"/>
    <x v="0"/>
    <n v="3.5100000000000001E-3"/>
  </r>
  <r>
    <s v="SYN3538"/>
    <n v="41"/>
    <x v="0"/>
    <n v="17"/>
    <n v="57"/>
    <n v="4.5300000000000002E-3"/>
    <n v="0"/>
    <x v="2"/>
    <x v="2"/>
    <n v="4.5300000000000002E-3"/>
  </r>
  <r>
    <s v="SYN3539"/>
    <n v="54"/>
    <x v="1"/>
    <n v="28"/>
    <n v="81"/>
    <n v="3.569E-2"/>
    <n v="0"/>
    <x v="4"/>
    <x v="1"/>
    <n v="3.569E-2"/>
  </r>
  <r>
    <s v="SYN3540"/>
    <n v="23"/>
    <x v="1"/>
    <n v="15"/>
    <n v="37"/>
    <n v="7.6000000000000004E-4"/>
    <n v="0"/>
    <x v="1"/>
    <x v="2"/>
    <n v="7.6000000000000004E-4"/>
  </r>
  <r>
    <s v="SYN3541"/>
    <n v="36"/>
    <x v="1"/>
    <n v="26"/>
    <n v="61"/>
    <n v="5.4599999999999996E-3"/>
    <n v="0"/>
    <x v="0"/>
    <x v="1"/>
    <n v="5.4599999999999996E-3"/>
  </r>
  <r>
    <s v="SYN3542"/>
    <n v="61"/>
    <x v="0"/>
    <n v="28"/>
    <n v="88"/>
    <n v="0.10347000000000001"/>
    <n v="0"/>
    <x v="4"/>
    <x v="1"/>
    <n v="0.10347000000000001"/>
  </r>
  <r>
    <s v="SYN3543"/>
    <n v="49"/>
    <x v="0"/>
    <n v="6"/>
    <n v="54"/>
    <n v="2.7000000000000001E-3"/>
    <n v="0"/>
    <x v="2"/>
    <x v="0"/>
    <n v="2.7000000000000001E-3"/>
  </r>
  <r>
    <s v="SYN3544"/>
    <n v="55"/>
    <x v="0"/>
    <n v="9"/>
    <n v="63"/>
    <n v="7.9900000000000006E-3"/>
    <n v="0"/>
    <x v="0"/>
    <x v="0"/>
    <n v="7.9900000000000006E-3"/>
  </r>
  <r>
    <s v="SYN3545"/>
    <n v="24"/>
    <x v="1"/>
    <n v="29"/>
    <n v="52"/>
    <n v="1.8699999999999999E-3"/>
    <n v="0"/>
    <x v="2"/>
    <x v="1"/>
    <n v="1.8699999999999999E-3"/>
  </r>
  <r>
    <s v="SYN3546"/>
    <n v="23"/>
    <x v="0"/>
    <n v="7"/>
    <n v="29"/>
    <n v="5.2999999999999998E-4"/>
    <n v="0"/>
    <x v="6"/>
    <x v="0"/>
    <n v="5.2999999999999998E-4"/>
  </r>
  <r>
    <s v="SYN3547"/>
    <n v="57"/>
    <x v="0"/>
    <n v="16"/>
    <n v="72"/>
    <n v="2.1080000000000002E-2"/>
    <n v="0"/>
    <x v="5"/>
    <x v="2"/>
    <n v="2.1080000000000002E-2"/>
  </r>
  <r>
    <s v="SYN3548"/>
    <n v="23"/>
    <x v="1"/>
    <n v="11"/>
    <n v="33"/>
    <n v="4.2999999999999999E-4"/>
    <n v="0"/>
    <x v="1"/>
    <x v="2"/>
    <n v="4.2999999999999999E-4"/>
  </r>
  <r>
    <s v="SYN3549"/>
    <n v="50"/>
    <x v="0"/>
    <n v="4"/>
    <n v="53"/>
    <n v="2.16E-3"/>
    <n v="0"/>
    <x v="2"/>
    <x v="0"/>
    <n v="2.16E-3"/>
  </r>
  <r>
    <s v="SYN3550"/>
    <n v="26"/>
    <x v="1"/>
    <n v="18"/>
    <n v="43"/>
    <n v="1.1800000000000001E-3"/>
    <n v="0"/>
    <x v="3"/>
    <x v="2"/>
    <n v="1.1800000000000001E-3"/>
  </r>
  <r>
    <s v="SYN3551"/>
    <n v="39"/>
    <x v="0"/>
    <n v="19"/>
    <n v="57"/>
    <n v="4.6699999999999997E-3"/>
    <n v="0"/>
    <x v="2"/>
    <x v="2"/>
    <n v="4.6699999999999997E-3"/>
  </r>
  <r>
    <s v="SYN3552"/>
    <n v="27"/>
    <x v="1"/>
    <n v="24"/>
    <n v="50"/>
    <n v="2.0200000000000001E-3"/>
    <n v="0"/>
    <x v="2"/>
    <x v="1"/>
    <n v="2.0200000000000001E-3"/>
  </r>
  <r>
    <s v="SYN3553"/>
    <n v="32"/>
    <x v="1"/>
    <n v="19"/>
    <n v="50"/>
    <n v="1.91E-3"/>
    <n v="0"/>
    <x v="2"/>
    <x v="2"/>
    <n v="1.91E-3"/>
  </r>
  <r>
    <s v="SYN3554"/>
    <n v="49"/>
    <x v="0"/>
    <n v="1"/>
    <n v="49"/>
    <n v="7.7999999999999999E-4"/>
    <n v="0"/>
    <x v="3"/>
    <x v="0"/>
    <n v="7.7999999999999999E-4"/>
  </r>
  <r>
    <s v="SYN3555"/>
    <n v="37"/>
    <x v="1"/>
    <n v="16"/>
    <n v="52"/>
    <n v="2.1099999999999999E-3"/>
    <n v="0"/>
    <x v="2"/>
    <x v="2"/>
    <n v="2.1099999999999999E-3"/>
  </r>
  <r>
    <s v="SYN3556"/>
    <n v="50"/>
    <x v="0"/>
    <n v="17"/>
    <n v="66"/>
    <n v="1.128E-2"/>
    <n v="0"/>
    <x v="0"/>
    <x v="2"/>
    <n v="1.128E-2"/>
  </r>
  <r>
    <s v="SYN3557"/>
    <n v="36"/>
    <x v="1"/>
    <n v="28"/>
    <n v="63"/>
    <n v="5.4599999999999996E-3"/>
    <n v="0"/>
    <x v="0"/>
    <x v="1"/>
    <n v="5.4599999999999996E-3"/>
  </r>
  <r>
    <s v="SYN3558"/>
    <n v="63"/>
    <x v="1"/>
    <n v="18"/>
    <n v="80"/>
    <n v="3.7789999999999997E-2"/>
    <n v="0"/>
    <x v="4"/>
    <x v="2"/>
    <n v="3.7789999999999997E-2"/>
  </r>
  <r>
    <s v="SYN3559"/>
    <n v="27"/>
    <x v="1"/>
    <n v="25"/>
    <n v="51"/>
    <n v="2.1900000000000001E-3"/>
    <n v="0"/>
    <x v="2"/>
    <x v="1"/>
    <n v="2.1900000000000001E-3"/>
  </r>
  <r>
    <s v="SYN3560"/>
    <n v="40"/>
    <x v="1"/>
    <n v="29"/>
    <n v="68"/>
    <n v="8.3099999999999997E-3"/>
    <n v="0"/>
    <x v="0"/>
    <x v="1"/>
    <n v="8.3099999999999997E-3"/>
  </r>
  <r>
    <s v="SYN3561"/>
    <n v="30"/>
    <x v="0"/>
    <n v="6"/>
    <n v="35"/>
    <n v="5.2999999999999998E-4"/>
    <n v="0"/>
    <x v="1"/>
    <x v="0"/>
    <n v="5.2999999999999998E-4"/>
  </r>
  <r>
    <s v="SYN3562"/>
    <n v="39"/>
    <x v="1"/>
    <n v="4"/>
    <n v="42"/>
    <n v="6.2E-4"/>
    <n v="0"/>
    <x v="3"/>
    <x v="0"/>
    <n v="6.2E-4"/>
  </r>
  <r>
    <s v="SYN3563"/>
    <n v="60"/>
    <x v="1"/>
    <n v="22"/>
    <n v="81"/>
    <n v="4.4880000000000003E-2"/>
    <n v="0"/>
    <x v="4"/>
    <x v="1"/>
    <n v="4.4880000000000003E-2"/>
  </r>
  <r>
    <s v="SYN3564"/>
    <n v="26"/>
    <x v="0"/>
    <n v="25"/>
    <n v="50"/>
    <n v="2.8400000000000001E-3"/>
    <n v="0"/>
    <x v="2"/>
    <x v="1"/>
    <n v="2.8400000000000001E-3"/>
  </r>
  <r>
    <s v="SYN3565"/>
    <n v="39"/>
    <x v="1"/>
    <n v="11"/>
    <n v="49"/>
    <n v="1.49E-3"/>
    <n v="0"/>
    <x v="3"/>
    <x v="2"/>
    <n v="1.49E-3"/>
  </r>
  <r>
    <s v="SYN3566"/>
    <n v="63"/>
    <x v="1"/>
    <n v="10"/>
    <n v="72"/>
    <n v="1.095E-2"/>
    <n v="0"/>
    <x v="5"/>
    <x v="2"/>
    <n v="1.095E-2"/>
  </r>
  <r>
    <s v="SYN3567"/>
    <n v="63"/>
    <x v="0"/>
    <n v="5"/>
    <n v="67"/>
    <n v="8.5199999999999998E-3"/>
    <n v="0"/>
    <x v="0"/>
    <x v="0"/>
    <n v="8.5199999999999998E-3"/>
  </r>
  <r>
    <s v="SYN3568"/>
    <n v="45"/>
    <x v="0"/>
    <n v="26"/>
    <n v="70"/>
    <n v="1.7160000000000002E-2"/>
    <n v="0"/>
    <x v="5"/>
    <x v="1"/>
    <n v="1.7160000000000002E-2"/>
  </r>
  <r>
    <s v="SYN3569"/>
    <n v="62"/>
    <x v="0"/>
    <n v="6"/>
    <n v="67"/>
    <n v="9.2800000000000001E-3"/>
    <n v="0"/>
    <x v="0"/>
    <x v="0"/>
    <n v="9.2800000000000001E-3"/>
  </r>
  <r>
    <s v="SYN3570"/>
    <n v="50"/>
    <x v="1"/>
    <n v="21"/>
    <n v="70"/>
    <n v="1.404E-2"/>
    <n v="0"/>
    <x v="5"/>
    <x v="1"/>
    <n v="1.404E-2"/>
  </r>
  <r>
    <s v="SYN3571"/>
    <n v="37"/>
    <x v="1"/>
    <n v="8"/>
    <n v="44"/>
    <n v="8.1999999999999998E-4"/>
    <n v="0"/>
    <x v="3"/>
    <x v="0"/>
    <n v="8.1999999999999998E-4"/>
  </r>
  <r>
    <s v="SYN3572"/>
    <n v="39"/>
    <x v="0"/>
    <n v="12"/>
    <n v="50"/>
    <n v="2.1299999999999999E-3"/>
    <n v="0"/>
    <x v="2"/>
    <x v="2"/>
    <n v="2.1299999999999999E-3"/>
  </r>
  <r>
    <s v="SYN3573"/>
    <n v="42"/>
    <x v="1"/>
    <n v="27"/>
    <n v="68"/>
    <n v="1.027E-2"/>
    <n v="0"/>
    <x v="0"/>
    <x v="1"/>
    <n v="1.027E-2"/>
  </r>
  <r>
    <s v="SYN3574"/>
    <n v="47"/>
    <x v="0"/>
    <n v="19"/>
    <n v="65"/>
    <n v="1.022E-2"/>
    <n v="0"/>
    <x v="0"/>
    <x v="2"/>
    <n v="1.022E-2"/>
  </r>
  <r>
    <s v="SYN3575"/>
    <n v="45"/>
    <x v="1"/>
    <n v="2"/>
    <n v="46"/>
    <n v="4.4000000000000002E-4"/>
    <n v="0"/>
    <x v="3"/>
    <x v="0"/>
    <n v="4.4000000000000002E-4"/>
  </r>
  <r>
    <s v="SYN3576"/>
    <n v="28"/>
    <x v="1"/>
    <n v="15"/>
    <n v="42"/>
    <n v="1.0200000000000001E-3"/>
    <n v="0"/>
    <x v="3"/>
    <x v="2"/>
    <n v="1.0200000000000001E-3"/>
  </r>
  <r>
    <s v="SYN3577"/>
    <n v="65"/>
    <x v="0"/>
    <n v="7"/>
    <n v="71"/>
    <n v="1.257E-2"/>
    <n v="0"/>
    <x v="5"/>
    <x v="0"/>
    <n v="1.257E-2"/>
  </r>
  <r>
    <s v="SYN3578"/>
    <n v="38"/>
    <x v="0"/>
    <n v="27"/>
    <n v="64"/>
    <n v="8.6599999999999993E-3"/>
    <n v="0"/>
    <x v="0"/>
    <x v="1"/>
    <n v="8.6599999999999993E-3"/>
  </r>
  <r>
    <s v="SYN3579"/>
    <n v="44"/>
    <x v="1"/>
    <n v="11"/>
    <n v="54"/>
    <n v="2.3E-3"/>
    <n v="0"/>
    <x v="2"/>
    <x v="2"/>
    <n v="2.3E-3"/>
  </r>
  <r>
    <s v="SYN3580"/>
    <n v="33"/>
    <x v="1"/>
    <n v="20"/>
    <n v="52"/>
    <n v="2.2899999999999999E-3"/>
    <n v="0"/>
    <x v="2"/>
    <x v="1"/>
    <n v="2.2899999999999999E-3"/>
  </r>
  <r>
    <s v="SYN3581"/>
    <n v="26"/>
    <x v="0"/>
    <n v="3"/>
    <n v="28"/>
    <n v="3.8000000000000002E-4"/>
    <n v="0"/>
    <x v="6"/>
    <x v="0"/>
    <n v="3.8000000000000002E-4"/>
  </r>
  <r>
    <s v="SYN3582"/>
    <n v="50"/>
    <x v="1"/>
    <n v="24"/>
    <n v="73"/>
    <n v="1.8970000000000001E-2"/>
    <n v="0"/>
    <x v="5"/>
    <x v="1"/>
    <n v="1.8970000000000001E-2"/>
  </r>
  <r>
    <s v="SYN3583"/>
    <n v="22"/>
    <x v="1"/>
    <n v="25"/>
    <n v="46"/>
    <n v="1.49E-3"/>
    <n v="0"/>
    <x v="3"/>
    <x v="1"/>
    <n v="1.49E-3"/>
  </r>
  <r>
    <s v="SYN3584"/>
    <n v="65"/>
    <x v="0"/>
    <n v="16"/>
    <n v="80"/>
    <n v="4.65E-2"/>
    <n v="0"/>
    <x v="4"/>
    <x v="2"/>
    <n v="4.65E-2"/>
  </r>
  <r>
    <s v="SYN3585"/>
    <n v="57"/>
    <x v="0"/>
    <n v="13"/>
    <n v="69"/>
    <n v="1.5049999999999999E-2"/>
    <n v="0"/>
    <x v="0"/>
    <x v="2"/>
    <n v="1.5049999999999999E-2"/>
  </r>
  <r>
    <s v="SYN3586"/>
    <n v="41"/>
    <x v="1"/>
    <n v="9"/>
    <n v="49"/>
    <n v="1.3500000000000001E-3"/>
    <n v="0"/>
    <x v="3"/>
    <x v="0"/>
    <n v="1.3500000000000001E-3"/>
  </r>
  <r>
    <s v="SYN3587"/>
    <n v="38"/>
    <x v="0"/>
    <n v="4"/>
    <n v="41"/>
    <n v="7.3999999999999999E-4"/>
    <n v="0"/>
    <x v="3"/>
    <x v="0"/>
    <n v="7.3999999999999999E-4"/>
  </r>
  <r>
    <s v="SYN3588"/>
    <n v="24"/>
    <x v="1"/>
    <n v="11"/>
    <n v="34"/>
    <n v="4.8000000000000001E-4"/>
    <n v="0"/>
    <x v="1"/>
    <x v="2"/>
    <n v="4.8000000000000001E-4"/>
  </r>
  <r>
    <s v="SYN3589"/>
    <n v="29"/>
    <x v="0"/>
    <n v="28"/>
    <n v="56"/>
    <n v="3.7499999999999999E-3"/>
    <n v="0"/>
    <x v="2"/>
    <x v="1"/>
    <n v="3.7499999999999999E-3"/>
  </r>
  <r>
    <s v="SYN3590"/>
    <n v="32"/>
    <x v="0"/>
    <n v="18"/>
    <n v="49"/>
    <n v="2.3E-3"/>
    <n v="0"/>
    <x v="3"/>
    <x v="2"/>
    <n v="2.3E-3"/>
  </r>
  <r>
    <s v="SYN3591"/>
    <n v="56"/>
    <x v="1"/>
    <n v="18"/>
    <n v="73"/>
    <n v="1.7770000000000001E-2"/>
    <n v="0"/>
    <x v="5"/>
    <x v="2"/>
    <n v="1.7770000000000001E-2"/>
  </r>
  <r>
    <s v="SYN3592"/>
    <n v="53"/>
    <x v="0"/>
    <n v="27"/>
    <n v="79"/>
    <n v="4.1250000000000002E-2"/>
    <n v="1"/>
    <x v="5"/>
    <x v="1"/>
    <n v="4.1250000000000002E-2"/>
  </r>
  <r>
    <s v="SYN3593"/>
    <n v="24"/>
    <x v="1"/>
    <n v="28"/>
    <n v="51"/>
    <n v="1.8699999999999999E-3"/>
    <n v="0"/>
    <x v="2"/>
    <x v="1"/>
    <n v="1.8699999999999999E-3"/>
  </r>
  <r>
    <s v="SYN3594"/>
    <n v="40"/>
    <x v="0"/>
    <n v="28"/>
    <n v="67"/>
    <n v="1.064E-2"/>
    <n v="0"/>
    <x v="0"/>
    <x v="1"/>
    <n v="1.064E-2"/>
  </r>
  <r>
    <s v="SYN3595"/>
    <n v="33"/>
    <x v="0"/>
    <n v="6"/>
    <n v="38"/>
    <n v="6.4000000000000005E-4"/>
    <n v="0"/>
    <x v="1"/>
    <x v="0"/>
    <n v="6.4000000000000005E-4"/>
  </r>
  <r>
    <s v="SYN3596"/>
    <n v="43"/>
    <x v="0"/>
    <n v="11"/>
    <n v="53"/>
    <n v="2.7799999999999999E-3"/>
    <n v="0"/>
    <x v="2"/>
    <x v="2"/>
    <n v="2.7799999999999999E-3"/>
  </r>
  <r>
    <s v="SYN3597"/>
    <n v="36"/>
    <x v="1"/>
    <n v="9"/>
    <n v="44"/>
    <n v="8.4000000000000003E-4"/>
    <n v="0"/>
    <x v="3"/>
    <x v="0"/>
    <n v="8.4000000000000003E-4"/>
  </r>
  <r>
    <s v="SYN3598"/>
    <n v="28"/>
    <x v="1"/>
    <n v="4"/>
    <n v="31"/>
    <n v="2.3000000000000001E-4"/>
    <n v="0"/>
    <x v="1"/>
    <x v="0"/>
    <n v="2.3000000000000001E-4"/>
  </r>
  <r>
    <s v="SYN3599"/>
    <n v="51"/>
    <x v="0"/>
    <n v="26"/>
    <n v="76"/>
    <n v="3.3509999999999998E-2"/>
    <n v="0"/>
    <x v="5"/>
    <x v="1"/>
    <n v="3.3509999999999998E-2"/>
  </r>
  <r>
    <s v="SYN3600"/>
    <n v="52"/>
    <x v="0"/>
    <n v="12"/>
    <n v="63"/>
    <n v="8.0300000000000007E-3"/>
    <n v="0"/>
    <x v="0"/>
    <x v="2"/>
    <n v="8.0300000000000007E-3"/>
  </r>
  <r>
    <s v="SYN3601"/>
    <n v="22"/>
    <x v="1"/>
    <n v="17"/>
    <n v="38"/>
    <n v="8.9999999999999998E-4"/>
    <n v="0"/>
    <x v="1"/>
    <x v="2"/>
    <n v="8.9999999999999998E-4"/>
  </r>
  <r>
    <s v="SYN3602"/>
    <n v="54"/>
    <x v="0"/>
    <n v="16"/>
    <n v="69"/>
    <n v="1.5049999999999999E-2"/>
    <n v="0"/>
    <x v="0"/>
    <x v="2"/>
    <n v="1.5049999999999999E-2"/>
  </r>
  <r>
    <s v="SYN3603"/>
    <n v="24"/>
    <x v="0"/>
    <n v="24"/>
    <n v="47"/>
    <n v="2.3600000000000001E-3"/>
    <n v="0"/>
    <x v="3"/>
    <x v="1"/>
    <n v="2.3600000000000001E-3"/>
  </r>
  <r>
    <s v="SYN3604"/>
    <n v="55"/>
    <x v="0"/>
    <n v="25"/>
    <n v="79"/>
    <n v="4.5769999999999998E-2"/>
    <n v="0"/>
    <x v="5"/>
    <x v="1"/>
    <n v="4.5769999999999998E-2"/>
  </r>
  <r>
    <s v="SYN3605"/>
    <n v="52"/>
    <x v="1"/>
    <n v="28"/>
    <n v="79"/>
    <n v="2.8719999999999999E-2"/>
    <n v="0"/>
    <x v="5"/>
    <x v="1"/>
    <n v="2.8719999999999999E-2"/>
  </r>
  <r>
    <s v="SYN3606"/>
    <n v="49"/>
    <x v="1"/>
    <n v="20"/>
    <n v="68"/>
    <n v="1.125E-2"/>
    <n v="0"/>
    <x v="0"/>
    <x v="1"/>
    <n v="1.125E-2"/>
  </r>
  <r>
    <s v="SYN3607"/>
    <n v="24"/>
    <x v="1"/>
    <n v="25"/>
    <n v="48"/>
    <n v="1.73E-3"/>
    <n v="0"/>
    <x v="3"/>
    <x v="1"/>
    <n v="1.73E-3"/>
  </r>
  <r>
    <s v="SYN3608"/>
    <n v="49"/>
    <x v="1"/>
    <n v="15"/>
    <n v="63"/>
    <n v="6.2500000000000003E-3"/>
    <n v="0"/>
    <x v="0"/>
    <x v="2"/>
    <n v="6.2500000000000003E-3"/>
  </r>
  <r>
    <s v="SYN3609"/>
    <n v="29"/>
    <x v="0"/>
    <n v="21"/>
    <n v="49"/>
    <n v="2.33E-3"/>
    <n v="0"/>
    <x v="3"/>
    <x v="1"/>
    <n v="2.33E-3"/>
  </r>
  <r>
    <s v="SYN3610"/>
    <n v="56"/>
    <x v="0"/>
    <n v="11"/>
    <n v="66"/>
    <n v="1.095E-2"/>
    <n v="0"/>
    <x v="0"/>
    <x v="2"/>
    <n v="1.095E-2"/>
  </r>
  <r>
    <s v="SYN3611"/>
    <n v="47"/>
    <x v="0"/>
    <n v="29"/>
    <n v="75"/>
    <n v="2.1340000000000001E-2"/>
    <n v="0"/>
    <x v="5"/>
    <x v="1"/>
    <n v="2.1340000000000001E-2"/>
  </r>
  <r>
    <s v="SYN3612"/>
    <n v="20"/>
    <x v="1"/>
    <n v="20"/>
    <n v="39"/>
    <n v="1.08E-3"/>
    <n v="0"/>
    <x v="1"/>
    <x v="1"/>
    <n v="1.08E-3"/>
  </r>
  <r>
    <s v="SYN3613"/>
    <n v="34"/>
    <x v="0"/>
    <n v="11"/>
    <n v="44"/>
    <n v="1.2800000000000001E-3"/>
    <n v="0"/>
    <x v="3"/>
    <x v="2"/>
    <n v="1.2800000000000001E-3"/>
  </r>
  <r>
    <s v="SYN3614"/>
    <n v="34"/>
    <x v="1"/>
    <n v="19"/>
    <n v="52"/>
    <n v="2.2300000000000002E-3"/>
    <n v="0"/>
    <x v="2"/>
    <x v="2"/>
    <n v="2.2300000000000002E-3"/>
  </r>
  <r>
    <s v="SYN3615"/>
    <n v="49"/>
    <x v="1"/>
    <n v="21"/>
    <n v="69"/>
    <n v="1.2659999999999999E-2"/>
    <n v="0"/>
    <x v="0"/>
    <x v="1"/>
    <n v="1.2659999999999999E-2"/>
  </r>
  <r>
    <s v="SYN3616"/>
    <n v="56"/>
    <x v="0"/>
    <n v="30"/>
    <n v="85"/>
    <n v="5.6829999999999999E-2"/>
    <n v="0"/>
    <x v="4"/>
    <x v="3"/>
    <n v="5.6829999999999999E-2"/>
  </r>
  <r>
    <s v="SYN3617"/>
    <n v="56"/>
    <x v="0"/>
    <n v="5"/>
    <n v="60"/>
    <n v="4.8900000000000002E-3"/>
    <n v="0"/>
    <x v="0"/>
    <x v="0"/>
    <n v="4.8900000000000002E-3"/>
  </r>
  <r>
    <s v="SYN3618"/>
    <n v="39"/>
    <x v="0"/>
    <n v="6"/>
    <n v="44"/>
    <n v="1.06E-3"/>
    <n v="0"/>
    <x v="3"/>
    <x v="0"/>
    <n v="1.06E-3"/>
  </r>
  <r>
    <s v="SYN3619"/>
    <n v="22"/>
    <x v="0"/>
    <n v="25"/>
    <n v="46"/>
    <n v="2.49E-3"/>
    <n v="0"/>
    <x v="3"/>
    <x v="1"/>
    <n v="2.49E-3"/>
  </r>
  <r>
    <s v="SYN3620"/>
    <n v="24"/>
    <x v="1"/>
    <n v="11"/>
    <n v="34"/>
    <n v="4.8000000000000001E-4"/>
    <n v="0"/>
    <x v="1"/>
    <x v="2"/>
    <n v="4.8000000000000001E-4"/>
  </r>
  <r>
    <s v="SYN3621"/>
    <n v="62"/>
    <x v="0"/>
    <n v="7"/>
    <n v="68"/>
    <n v="1.0489999999999999E-2"/>
    <n v="0"/>
    <x v="0"/>
    <x v="0"/>
    <n v="1.0489999999999999E-2"/>
  </r>
  <r>
    <s v="SYN3622"/>
    <n v="37"/>
    <x v="1"/>
    <n v="8"/>
    <n v="44"/>
    <n v="8.1999999999999998E-4"/>
    <n v="0"/>
    <x v="3"/>
    <x v="0"/>
    <n v="8.1999999999999998E-4"/>
  </r>
  <r>
    <s v="SYN3623"/>
    <n v="42"/>
    <x v="0"/>
    <n v="1"/>
    <n v="42"/>
    <n v="3.8999999999999999E-4"/>
    <n v="0"/>
    <x v="3"/>
    <x v="0"/>
    <n v="3.8999999999999999E-4"/>
  </r>
  <r>
    <s v="SYN3624"/>
    <n v="48"/>
    <x v="1"/>
    <n v="4"/>
    <n v="51"/>
    <n v="1.25E-3"/>
    <n v="0"/>
    <x v="2"/>
    <x v="0"/>
    <n v="1.25E-3"/>
  </r>
  <r>
    <s v="SYN3625"/>
    <n v="48"/>
    <x v="1"/>
    <n v="28"/>
    <n v="75"/>
    <n v="1.8970000000000001E-2"/>
    <n v="0"/>
    <x v="5"/>
    <x v="1"/>
    <n v="1.8970000000000001E-2"/>
  </r>
  <r>
    <s v="SYN3626"/>
    <n v="44"/>
    <x v="0"/>
    <n v="2"/>
    <n v="45"/>
    <n v="7.6999999999999996E-4"/>
    <n v="0"/>
    <x v="3"/>
    <x v="0"/>
    <n v="7.6999999999999996E-4"/>
  </r>
  <r>
    <s v="SYN3627"/>
    <n v="33"/>
    <x v="0"/>
    <n v="25"/>
    <n v="57"/>
    <n v="4.7800000000000004E-3"/>
    <n v="0"/>
    <x v="2"/>
    <x v="1"/>
    <n v="4.7800000000000004E-3"/>
  </r>
  <r>
    <s v="SYN3628"/>
    <n v="25"/>
    <x v="1"/>
    <n v="6"/>
    <n v="30"/>
    <n v="2.7999999999999998E-4"/>
    <n v="0"/>
    <x v="1"/>
    <x v="0"/>
    <n v="2.7999999999999998E-4"/>
  </r>
  <r>
    <s v="SYN3629"/>
    <n v="53"/>
    <x v="0"/>
    <n v="4"/>
    <n v="56"/>
    <n v="3.0899999999999999E-3"/>
    <n v="0"/>
    <x v="2"/>
    <x v="0"/>
    <n v="3.0899999999999999E-3"/>
  </r>
  <r>
    <s v="SYN3630"/>
    <n v="51"/>
    <x v="1"/>
    <n v="24"/>
    <n v="74"/>
    <n v="2.0979999999999999E-2"/>
    <n v="0"/>
    <x v="5"/>
    <x v="1"/>
    <n v="2.0979999999999999E-2"/>
  </r>
  <r>
    <s v="SYN3631"/>
    <n v="40"/>
    <x v="0"/>
    <n v="14"/>
    <n v="53"/>
    <n v="2.9499999999999999E-3"/>
    <n v="0"/>
    <x v="2"/>
    <x v="2"/>
    <n v="2.9499999999999999E-3"/>
  </r>
  <r>
    <s v="SYN3632"/>
    <n v="52"/>
    <x v="0"/>
    <n v="12"/>
    <n v="63"/>
    <n v="8.0300000000000007E-3"/>
    <n v="0"/>
    <x v="0"/>
    <x v="2"/>
    <n v="8.0300000000000007E-3"/>
  </r>
  <r>
    <s v="SYN3633"/>
    <n v="49"/>
    <x v="0"/>
    <n v="1"/>
    <n v="49"/>
    <n v="7.7999999999999999E-4"/>
    <n v="0"/>
    <x v="3"/>
    <x v="0"/>
    <n v="7.7999999999999999E-4"/>
  </r>
  <r>
    <s v="SYN3634"/>
    <n v="45"/>
    <x v="0"/>
    <n v="28"/>
    <n v="72"/>
    <n v="1.7160000000000002E-2"/>
    <n v="0"/>
    <x v="5"/>
    <x v="1"/>
    <n v="1.7160000000000002E-2"/>
  </r>
  <r>
    <s v="SYN3635"/>
    <n v="39"/>
    <x v="0"/>
    <n v="27"/>
    <n v="65"/>
    <n v="9.6200000000000001E-3"/>
    <n v="0"/>
    <x v="0"/>
    <x v="1"/>
    <n v="9.6200000000000001E-3"/>
  </r>
  <r>
    <s v="SYN3636"/>
    <n v="61"/>
    <x v="0"/>
    <n v="10"/>
    <n v="70"/>
    <n v="1.4999999999999999E-2"/>
    <n v="0"/>
    <x v="5"/>
    <x v="2"/>
    <n v="1.4999999999999999E-2"/>
  </r>
  <r>
    <s v="SYN3637"/>
    <n v="61"/>
    <x v="1"/>
    <n v="21"/>
    <n v="81"/>
    <n v="4.4880000000000003E-2"/>
    <n v="0"/>
    <x v="4"/>
    <x v="1"/>
    <n v="4.4880000000000003E-2"/>
  </r>
  <r>
    <s v="SYN3638"/>
    <n v="21"/>
    <x v="1"/>
    <n v="9"/>
    <n v="29"/>
    <n v="3.6000000000000002E-4"/>
    <n v="0"/>
    <x v="6"/>
    <x v="0"/>
    <n v="3.6000000000000002E-4"/>
  </r>
  <r>
    <s v="SYN3639"/>
    <n v="22"/>
    <x v="1"/>
    <n v="5"/>
    <n v="26"/>
    <n v="2.7E-4"/>
    <n v="0"/>
    <x v="6"/>
    <x v="0"/>
    <n v="2.7E-4"/>
  </r>
  <r>
    <s v="SYN3640"/>
    <n v="20"/>
    <x v="1"/>
    <n v="5"/>
    <n v="24"/>
    <n v="3.2000000000000003E-4"/>
    <n v="0"/>
    <x v="6"/>
    <x v="0"/>
    <n v="3.2000000000000003E-4"/>
  </r>
  <r>
    <s v="SYN3641"/>
    <n v="50"/>
    <x v="0"/>
    <n v="25"/>
    <n v="74"/>
    <n v="2.6859999999999998E-2"/>
    <n v="0"/>
    <x v="5"/>
    <x v="1"/>
    <n v="2.6859999999999998E-2"/>
  </r>
  <r>
    <s v="SYN3642"/>
    <n v="33"/>
    <x v="1"/>
    <n v="28"/>
    <n v="60"/>
    <n v="4.0499999999999998E-3"/>
    <n v="0"/>
    <x v="0"/>
    <x v="1"/>
    <n v="4.0499999999999998E-3"/>
  </r>
  <r>
    <s v="SYN3643"/>
    <n v="59"/>
    <x v="1"/>
    <n v="14"/>
    <n v="72"/>
    <n v="1.393E-2"/>
    <n v="0"/>
    <x v="5"/>
    <x v="2"/>
    <n v="1.393E-2"/>
  </r>
  <r>
    <s v="SYN3644"/>
    <n v="31"/>
    <x v="1"/>
    <n v="30"/>
    <n v="60"/>
    <n v="3.3700000000000002E-3"/>
    <n v="0"/>
    <x v="0"/>
    <x v="3"/>
    <n v="3.3700000000000002E-3"/>
  </r>
  <r>
    <s v="SYN3645"/>
    <n v="62"/>
    <x v="0"/>
    <n v="6"/>
    <n v="67"/>
    <n v="9.2800000000000001E-3"/>
    <n v="0"/>
    <x v="0"/>
    <x v="0"/>
    <n v="9.2800000000000001E-3"/>
  </r>
  <r>
    <s v="SYN3646"/>
    <n v="30"/>
    <x v="0"/>
    <n v="1"/>
    <n v="30"/>
    <n v="2.5000000000000001E-4"/>
    <n v="0"/>
    <x v="1"/>
    <x v="0"/>
    <n v="2.5000000000000001E-4"/>
  </r>
  <r>
    <s v="SYN3647"/>
    <n v="60"/>
    <x v="1"/>
    <n v="12"/>
    <n v="71"/>
    <n v="1.11E-2"/>
    <n v="0"/>
    <x v="5"/>
    <x v="2"/>
    <n v="1.11E-2"/>
  </r>
  <r>
    <s v="SYN3648"/>
    <n v="40"/>
    <x v="1"/>
    <n v="1"/>
    <n v="40"/>
    <n v="2.3000000000000001E-4"/>
    <n v="0"/>
    <x v="3"/>
    <x v="0"/>
    <n v="2.3000000000000001E-4"/>
  </r>
  <r>
    <s v="SYN3649"/>
    <n v="50"/>
    <x v="1"/>
    <n v="2"/>
    <n v="51"/>
    <n v="7.2000000000000005E-4"/>
    <n v="0"/>
    <x v="2"/>
    <x v="0"/>
    <n v="7.2000000000000005E-4"/>
  </r>
  <r>
    <s v="SYN3650"/>
    <n v="46"/>
    <x v="1"/>
    <n v="2"/>
    <n v="47"/>
    <n v="4.6000000000000001E-4"/>
    <n v="0"/>
    <x v="3"/>
    <x v="0"/>
    <n v="4.6000000000000001E-4"/>
  </r>
  <r>
    <s v="SYN3651"/>
    <n v="53"/>
    <x v="0"/>
    <n v="6"/>
    <n v="58"/>
    <n v="4.1399999999999996E-3"/>
    <n v="0"/>
    <x v="2"/>
    <x v="0"/>
    <n v="4.1399999999999996E-3"/>
  </r>
  <r>
    <s v="SYN3652"/>
    <n v="34"/>
    <x v="0"/>
    <n v="3"/>
    <n v="36"/>
    <n v="4.6999999999999999E-4"/>
    <n v="0"/>
    <x v="1"/>
    <x v="0"/>
    <n v="4.6999999999999999E-4"/>
  </r>
  <r>
    <s v="SYN3653"/>
    <n v="50"/>
    <x v="1"/>
    <n v="15"/>
    <n v="64"/>
    <n v="6.8599999999999998E-3"/>
    <n v="0"/>
    <x v="0"/>
    <x v="2"/>
    <n v="6.8599999999999998E-3"/>
  </r>
  <r>
    <s v="SYN3654"/>
    <n v="54"/>
    <x v="0"/>
    <n v="15"/>
    <n v="68"/>
    <n v="1.3690000000000001E-2"/>
    <n v="0"/>
    <x v="0"/>
    <x v="2"/>
    <n v="1.3690000000000001E-2"/>
  </r>
  <r>
    <s v="SYN3655"/>
    <n v="60"/>
    <x v="0"/>
    <n v="1"/>
    <n v="60"/>
    <n v="2.0500000000000002E-3"/>
    <n v="0"/>
    <x v="0"/>
    <x v="0"/>
    <n v="2.0500000000000002E-3"/>
  </r>
  <r>
    <s v="SYN3656"/>
    <n v="36"/>
    <x v="0"/>
    <n v="5"/>
    <n v="40"/>
    <n v="7.2000000000000005E-4"/>
    <n v="0"/>
    <x v="3"/>
    <x v="0"/>
    <n v="7.2000000000000005E-4"/>
  </r>
  <r>
    <s v="SYN3657"/>
    <n v="59"/>
    <x v="1"/>
    <n v="22"/>
    <n v="80"/>
    <n v="3.986E-2"/>
    <n v="0"/>
    <x v="4"/>
    <x v="1"/>
    <n v="3.986E-2"/>
  </r>
  <r>
    <s v="SYN3658"/>
    <n v="56"/>
    <x v="0"/>
    <n v="7"/>
    <n v="62"/>
    <n v="6.5399999999999998E-3"/>
    <n v="0"/>
    <x v="0"/>
    <x v="0"/>
    <n v="6.5399999999999998E-3"/>
  </r>
  <r>
    <s v="SYN3659"/>
    <n v="29"/>
    <x v="1"/>
    <n v="8"/>
    <n v="36"/>
    <n v="4.6999999999999999E-4"/>
    <n v="0"/>
    <x v="1"/>
    <x v="0"/>
    <n v="4.6999999999999999E-4"/>
  </r>
  <r>
    <s v="SYN3660"/>
    <n v="65"/>
    <x v="0"/>
    <n v="13"/>
    <n v="77"/>
    <n v="2.9190000000000001E-2"/>
    <n v="0"/>
    <x v="5"/>
    <x v="2"/>
    <n v="2.9190000000000001E-2"/>
  </r>
  <r>
    <s v="SYN3661"/>
    <n v="35"/>
    <x v="0"/>
    <n v="8"/>
    <n v="42"/>
    <n v="1.0200000000000001E-3"/>
    <n v="0"/>
    <x v="3"/>
    <x v="0"/>
    <n v="1.0200000000000001E-3"/>
  </r>
  <r>
    <s v="SYN3662"/>
    <n v="39"/>
    <x v="1"/>
    <n v="11"/>
    <n v="49"/>
    <n v="1.49E-3"/>
    <n v="0"/>
    <x v="3"/>
    <x v="2"/>
    <n v="1.49E-3"/>
  </r>
  <r>
    <s v="SYN3663"/>
    <n v="57"/>
    <x v="1"/>
    <n v="17"/>
    <n v="73"/>
    <n v="1.7350000000000001E-2"/>
    <n v="0"/>
    <x v="5"/>
    <x v="2"/>
    <n v="1.7350000000000001E-2"/>
  </r>
  <r>
    <s v="SYN3664"/>
    <n v="37"/>
    <x v="1"/>
    <n v="25"/>
    <n v="61"/>
    <n v="5.4599999999999996E-3"/>
    <n v="0"/>
    <x v="0"/>
    <x v="1"/>
    <n v="5.4599999999999996E-3"/>
  </r>
  <r>
    <s v="SYN3665"/>
    <n v="43"/>
    <x v="0"/>
    <n v="22"/>
    <n v="64"/>
    <n v="9.3299999999999998E-3"/>
    <n v="0"/>
    <x v="0"/>
    <x v="1"/>
    <n v="9.3299999999999998E-3"/>
  </r>
  <r>
    <s v="SYN3666"/>
    <n v="22"/>
    <x v="1"/>
    <n v="24"/>
    <n v="45"/>
    <n v="1.3799999999999999E-3"/>
    <n v="0"/>
    <x v="3"/>
    <x v="1"/>
    <n v="1.3799999999999999E-3"/>
  </r>
  <r>
    <s v="SYN3667"/>
    <n v="23"/>
    <x v="0"/>
    <n v="26"/>
    <n v="48"/>
    <n v="2.7399999999999998E-3"/>
    <n v="0"/>
    <x v="3"/>
    <x v="1"/>
    <n v="2.7399999999999998E-3"/>
  </r>
  <r>
    <s v="SYN3668"/>
    <n v="29"/>
    <x v="0"/>
    <n v="21"/>
    <n v="49"/>
    <n v="2.33E-3"/>
    <n v="0"/>
    <x v="3"/>
    <x v="1"/>
    <n v="2.33E-3"/>
  </r>
  <r>
    <s v="SYN3669"/>
    <n v="30"/>
    <x v="0"/>
    <n v="13"/>
    <n v="42"/>
    <n v="1.24E-3"/>
    <n v="0"/>
    <x v="3"/>
    <x v="2"/>
    <n v="1.24E-3"/>
  </r>
  <r>
    <s v="SYN3670"/>
    <n v="50"/>
    <x v="0"/>
    <n v="28"/>
    <n v="77"/>
    <n v="3.006E-2"/>
    <n v="0"/>
    <x v="5"/>
    <x v="1"/>
    <n v="3.006E-2"/>
  </r>
  <r>
    <s v="SYN3671"/>
    <n v="56"/>
    <x v="0"/>
    <n v="13"/>
    <n v="68"/>
    <n v="1.3690000000000001E-2"/>
    <n v="0"/>
    <x v="0"/>
    <x v="2"/>
    <n v="1.3690000000000001E-2"/>
  </r>
  <r>
    <s v="SYN3672"/>
    <n v="59"/>
    <x v="1"/>
    <n v="9"/>
    <n v="67"/>
    <n v="7.0400000000000003E-3"/>
    <n v="0"/>
    <x v="0"/>
    <x v="0"/>
    <n v="7.0400000000000003E-3"/>
  </r>
  <r>
    <s v="SYN3673"/>
    <n v="37"/>
    <x v="1"/>
    <n v="21"/>
    <n v="57"/>
    <n v="3.6900000000000001E-3"/>
    <n v="0"/>
    <x v="2"/>
    <x v="1"/>
    <n v="3.6900000000000001E-3"/>
  </r>
  <r>
    <s v="SYN3674"/>
    <n v="41"/>
    <x v="0"/>
    <n v="29"/>
    <n v="69"/>
    <n v="1.1730000000000001E-2"/>
    <n v="0"/>
    <x v="0"/>
    <x v="1"/>
    <n v="1.1730000000000001E-2"/>
  </r>
  <r>
    <s v="SYN3675"/>
    <n v="51"/>
    <x v="1"/>
    <n v="25"/>
    <n v="75"/>
    <n v="2.325E-2"/>
    <n v="0"/>
    <x v="5"/>
    <x v="1"/>
    <n v="2.325E-2"/>
  </r>
  <r>
    <s v="SYN3676"/>
    <n v="62"/>
    <x v="0"/>
    <n v="28"/>
    <n v="89"/>
    <n v="0.11724"/>
    <n v="0"/>
    <x v="4"/>
    <x v="1"/>
    <n v="0.11724"/>
  </r>
  <r>
    <s v="SYN3677"/>
    <n v="24"/>
    <x v="0"/>
    <n v="26"/>
    <n v="49"/>
    <n v="2.81E-3"/>
    <n v="0"/>
    <x v="3"/>
    <x v="1"/>
    <n v="2.81E-3"/>
  </r>
  <r>
    <s v="SYN3678"/>
    <n v="54"/>
    <x v="0"/>
    <n v="5"/>
    <n v="58"/>
    <n v="4.0400000000000002E-3"/>
    <n v="0"/>
    <x v="2"/>
    <x v="0"/>
    <n v="4.0400000000000002E-3"/>
  </r>
  <r>
    <s v="SYN3679"/>
    <n v="27"/>
    <x v="1"/>
    <n v="4"/>
    <n v="30"/>
    <n v="2.2000000000000001E-4"/>
    <n v="0"/>
    <x v="1"/>
    <x v="0"/>
    <n v="2.2000000000000001E-4"/>
  </r>
  <r>
    <s v="SYN3680"/>
    <n v="42"/>
    <x v="0"/>
    <n v="10"/>
    <n v="51"/>
    <n v="2.2799999999999999E-3"/>
    <n v="0"/>
    <x v="2"/>
    <x v="2"/>
    <n v="2.2799999999999999E-3"/>
  </r>
  <r>
    <s v="SYN3681"/>
    <n v="25"/>
    <x v="1"/>
    <n v="28"/>
    <n v="52"/>
    <n v="2.0200000000000001E-3"/>
    <n v="0"/>
    <x v="2"/>
    <x v="1"/>
    <n v="2.0200000000000001E-3"/>
  </r>
  <r>
    <s v="SYN3682"/>
    <n v="52"/>
    <x v="0"/>
    <n v="7"/>
    <n v="58"/>
    <n v="4.2599999999999999E-3"/>
    <n v="0"/>
    <x v="2"/>
    <x v="0"/>
    <n v="4.2599999999999999E-3"/>
  </r>
  <r>
    <s v="SYN3683"/>
    <n v="21"/>
    <x v="1"/>
    <n v="7"/>
    <n v="27"/>
    <n v="2.9999999999999997E-4"/>
    <n v="0"/>
    <x v="6"/>
    <x v="0"/>
    <n v="2.9999999999999997E-4"/>
  </r>
  <r>
    <s v="SYN3684"/>
    <n v="58"/>
    <x v="0"/>
    <n v="25"/>
    <n v="82"/>
    <n v="6.3329999999999997E-2"/>
    <n v="0"/>
    <x v="4"/>
    <x v="1"/>
    <n v="6.3329999999999997E-2"/>
  </r>
  <r>
    <s v="SYN3685"/>
    <n v="53"/>
    <x v="1"/>
    <n v="2"/>
    <n v="54"/>
    <n v="1.16E-3"/>
    <n v="0"/>
    <x v="2"/>
    <x v="0"/>
    <n v="1.16E-3"/>
  </r>
  <r>
    <s v="SYN3686"/>
    <n v="34"/>
    <x v="1"/>
    <n v="23"/>
    <n v="56"/>
    <n v="3.3700000000000002E-3"/>
    <n v="0"/>
    <x v="2"/>
    <x v="1"/>
    <n v="3.3700000000000002E-3"/>
  </r>
  <r>
    <s v="SYN3687"/>
    <n v="43"/>
    <x v="0"/>
    <n v="6"/>
    <n v="48"/>
    <n v="1.4499999999999999E-3"/>
    <n v="0"/>
    <x v="3"/>
    <x v="0"/>
    <n v="1.4499999999999999E-3"/>
  </r>
  <r>
    <s v="SYN3688"/>
    <n v="60"/>
    <x v="1"/>
    <n v="28"/>
    <n v="87"/>
    <n v="7.2980000000000003E-2"/>
    <n v="0"/>
    <x v="4"/>
    <x v="1"/>
    <n v="7.2980000000000003E-2"/>
  </r>
  <r>
    <s v="SYN3689"/>
    <n v="65"/>
    <x v="1"/>
    <n v="5"/>
    <n v="69"/>
    <n v="6.9199999999999999E-3"/>
    <n v="0"/>
    <x v="0"/>
    <x v="0"/>
    <n v="6.9199999999999999E-3"/>
  </r>
  <r>
    <s v="SYN3690"/>
    <n v="47"/>
    <x v="0"/>
    <n v="28"/>
    <n v="74"/>
    <n v="2.1340000000000001E-2"/>
    <n v="0"/>
    <x v="5"/>
    <x v="1"/>
    <n v="2.1340000000000001E-2"/>
  </r>
  <r>
    <s v="SYN3691"/>
    <n v="45"/>
    <x v="0"/>
    <n v="10"/>
    <n v="54"/>
    <n v="2.99E-3"/>
    <n v="0"/>
    <x v="2"/>
    <x v="2"/>
    <n v="2.99E-3"/>
  </r>
  <r>
    <s v="SYN3692"/>
    <n v="46"/>
    <x v="0"/>
    <n v="29"/>
    <n v="74"/>
    <n v="1.9089999999999999E-2"/>
    <n v="0"/>
    <x v="5"/>
    <x v="1"/>
    <n v="1.9089999999999999E-2"/>
  </r>
  <r>
    <s v="SYN3693"/>
    <n v="39"/>
    <x v="0"/>
    <n v="1"/>
    <n v="39"/>
    <n v="2.9E-4"/>
    <n v="0"/>
    <x v="1"/>
    <x v="0"/>
    <n v="2.9E-4"/>
  </r>
  <r>
    <s v="SYN3694"/>
    <n v="62"/>
    <x v="0"/>
    <n v="10"/>
    <n v="71"/>
    <n v="1.5980000000000001E-2"/>
    <n v="0"/>
    <x v="5"/>
    <x v="2"/>
    <n v="1.5980000000000001E-2"/>
  </r>
  <r>
    <s v="SYN3695"/>
    <n v="58"/>
    <x v="0"/>
    <n v="3"/>
    <n v="60"/>
    <n v="4.0800000000000003E-3"/>
    <n v="0"/>
    <x v="0"/>
    <x v="0"/>
    <n v="4.0800000000000003E-3"/>
  </r>
  <r>
    <s v="SYN3696"/>
    <n v="29"/>
    <x v="1"/>
    <n v="16"/>
    <n v="44"/>
    <n v="1.15E-3"/>
    <n v="0"/>
    <x v="3"/>
    <x v="2"/>
    <n v="1.15E-3"/>
  </r>
  <r>
    <s v="SYN3697"/>
    <n v="35"/>
    <x v="1"/>
    <n v="13"/>
    <n v="47"/>
    <n v="1.32E-3"/>
    <n v="0"/>
    <x v="3"/>
    <x v="2"/>
    <n v="1.32E-3"/>
  </r>
  <r>
    <s v="SYN3698"/>
    <n v="45"/>
    <x v="0"/>
    <n v="19"/>
    <n v="63"/>
    <n v="8.4899999999999993E-3"/>
    <n v="0"/>
    <x v="0"/>
    <x v="2"/>
    <n v="8.4899999999999993E-3"/>
  </r>
  <r>
    <s v="SYN3699"/>
    <n v="24"/>
    <x v="1"/>
    <n v="8"/>
    <n v="31"/>
    <n v="3.5E-4"/>
    <n v="0"/>
    <x v="1"/>
    <x v="0"/>
    <n v="3.5E-4"/>
  </r>
  <r>
    <s v="SYN3700"/>
    <n v="45"/>
    <x v="1"/>
    <n v="4"/>
    <n v="48"/>
    <n v="9.7999999999999997E-4"/>
    <n v="0"/>
    <x v="3"/>
    <x v="0"/>
    <n v="9.7999999999999997E-4"/>
  </r>
  <r>
    <s v="SYN3701"/>
    <n v="63"/>
    <x v="0"/>
    <n v="5"/>
    <n v="67"/>
    <n v="8.5199999999999998E-3"/>
    <n v="0"/>
    <x v="0"/>
    <x v="0"/>
    <n v="8.5199999999999998E-3"/>
  </r>
  <r>
    <s v="SYN3702"/>
    <n v="37"/>
    <x v="0"/>
    <n v="25"/>
    <n v="61"/>
    <n v="7.0200000000000002E-3"/>
    <n v="0"/>
    <x v="0"/>
    <x v="1"/>
    <n v="7.0200000000000002E-3"/>
  </r>
  <r>
    <s v="SYN3703"/>
    <n v="53"/>
    <x v="1"/>
    <n v="10"/>
    <n v="62"/>
    <n v="4.7299999999999998E-3"/>
    <n v="0"/>
    <x v="0"/>
    <x v="2"/>
    <n v="4.7299999999999998E-3"/>
  </r>
  <r>
    <s v="SYN3704"/>
    <n v="58"/>
    <x v="0"/>
    <n v="16"/>
    <n v="73"/>
    <n v="2.367E-2"/>
    <n v="0"/>
    <x v="5"/>
    <x v="2"/>
    <n v="2.367E-2"/>
  </r>
  <r>
    <s v="SYN3705"/>
    <n v="27"/>
    <x v="1"/>
    <n v="18"/>
    <n v="44"/>
    <n v="1.23E-3"/>
    <n v="0"/>
    <x v="3"/>
    <x v="2"/>
    <n v="1.23E-3"/>
  </r>
  <r>
    <s v="SYN3706"/>
    <n v="24"/>
    <x v="1"/>
    <n v="29"/>
    <n v="52"/>
    <n v="1.8699999999999999E-3"/>
    <n v="0"/>
    <x v="2"/>
    <x v="1"/>
    <n v="1.8699999999999999E-3"/>
  </r>
  <r>
    <s v="SYN3707"/>
    <n v="41"/>
    <x v="0"/>
    <n v="29"/>
    <n v="69"/>
    <n v="1.1730000000000001E-2"/>
    <n v="0"/>
    <x v="0"/>
    <x v="1"/>
    <n v="1.1730000000000001E-2"/>
  </r>
  <r>
    <s v="SYN3708"/>
    <n v="44"/>
    <x v="1"/>
    <n v="27"/>
    <n v="70"/>
    <n v="1.2659999999999999E-2"/>
    <n v="0"/>
    <x v="5"/>
    <x v="1"/>
    <n v="1.2659999999999999E-2"/>
  </r>
  <r>
    <s v="SYN3709"/>
    <n v="49"/>
    <x v="1"/>
    <n v="14"/>
    <n v="62"/>
    <n v="5.5599999999999998E-3"/>
    <n v="0"/>
    <x v="0"/>
    <x v="2"/>
    <n v="5.5599999999999998E-3"/>
  </r>
  <r>
    <s v="SYN3710"/>
    <n v="64"/>
    <x v="1"/>
    <n v="28"/>
    <n v="91"/>
    <n v="0.11754000000000001"/>
    <n v="0"/>
    <x v="7"/>
    <x v="1"/>
    <n v="0.11754000000000001"/>
  </r>
  <r>
    <s v="SYN3711"/>
    <n v="34"/>
    <x v="0"/>
    <n v="17"/>
    <n v="50"/>
    <n v="2.4599999999999999E-3"/>
    <n v="0"/>
    <x v="2"/>
    <x v="2"/>
    <n v="2.4599999999999999E-3"/>
  </r>
  <r>
    <s v="SYN3712"/>
    <n v="58"/>
    <x v="1"/>
    <n v="20"/>
    <n v="77"/>
    <n v="2.836E-2"/>
    <n v="0"/>
    <x v="5"/>
    <x v="1"/>
    <n v="2.836E-2"/>
  </r>
  <r>
    <s v="SYN3713"/>
    <n v="62"/>
    <x v="1"/>
    <n v="16"/>
    <n v="77"/>
    <n v="2.5159999999999998E-2"/>
    <n v="0"/>
    <x v="5"/>
    <x v="2"/>
    <n v="2.5159999999999998E-2"/>
  </r>
  <r>
    <s v="SYN3714"/>
    <n v="46"/>
    <x v="1"/>
    <n v="2"/>
    <n v="47"/>
    <n v="4.6000000000000001E-4"/>
    <n v="0"/>
    <x v="3"/>
    <x v="0"/>
    <n v="4.6000000000000001E-4"/>
  </r>
  <r>
    <s v="SYN3715"/>
    <n v="37"/>
    <x v="1"/>
    <n v="27"/>
    <n v="63"/>
    <n v="6.0499999999999998E-3"/>
    <n v="0"/>
    <x v="0"/>
    <x v="1"/>
    <n v="6.0499999999999998E-3"/>
  </r>
  <r>
    <s v="SYN3716"/>
    <n v="36"/>
    <x v="1"/>
    <n v="21"/>
    <n v="56"/>
    <n v="3.3700000000000002E-3"/>
    <n v="0"/>
    <x v="2"/>
    <x v="1"/>
    <n v="3.3700000000000002E-3"/>
  </r>
  <r>
    <s v="SYN3717"/>
    <n v="36"/>
    <x v="0"/>
    <n v="12"/>
    <n v="47"/>
    <n v="1.6299999999999999E-3"/>
    <n v="0"/>
    <x v="3"/>
    <x v="2"/>
    <n v="1.6299999999999999E-3"/>
  </r>
  <r>
    <s v="SYN3718"/>
    <n v="51"/>
    <x v="1"/>
    <n v="8"/>
    <n v="58"/>
    <n v="2.9199999999999999E-3"/>
    <n v="0"/>
    <x v="2"/>
    <x v="0"/>
    <n v="2.9199999999999999E-3"/>
  </r>
  <r>
    <s v="SYN3719"/>
    <n v="47"/>
    <x v="0"/>
    <n v="22"/>
    <n v="68"/>
    <n v="1.405E-2"/>
    <n v="0"/>
    <x v="0"/>
    <x v="1"/>
    <n v="1.405E-2"/>
  </r>
  <r>
    <s v="SYN3720"/>
    <n v="65"/>
    <x v="1"/>
    <n v="16"/>
    <n v="80"/>
    <n v="3.5810000000000002E-2"/>
    <n v="0"/>
    <x v="4"/>
    <x v="2"/>
    <n v="3.5810000000000002E-2"/>
  </r>
  <r>
    <s v="SYN3721"/>
    <n v="44"/>
    <x v="1"/>
    <n v="20"/>
    <n v="63"/>
    <n v="6.6400000000000001E-3"/>
    <n v="0"/>
    <x v="0"/>
    <x v="1"/>
    <n v="6.6400000000000001E-3"/>
  </r>
  <r>
    <s v="SYN3722"/>
    <n v="44"/>
    <x v="1"/>
    <n v="2"/>
    <n v="45"/>
    <n v="4.2000000000000002E-4"/>
    <n v="0"/>
    <x v="3"/>
    <x v="0"/>
    <n v="4.2000000000000002E-4"/>
  </r>
  <r>
    <s v="SYN3723"/>
    <n v="61"/>
    <x v="1"/>
    <n v="4"/>
    <n v="64"/>
    <n v="4.2700000000000004E-3"/>
    <n v="0"/>
    <x v="0"/>
    <x v="0"/>
    <n v="4.2700000000000004E-3"/>
  </r>
  <r>
    <s v="SYN3724"/>
    <n v="35"/>
    <x v="1"/>
    <n v="12"/>
    <n v="46"/>
    <n v="1.15E-3"/>
    <n v="0"/>
    <x v="3"/>
    <x v="2"/>
    <n v="1.15E-3"/>
  </r>
  <r>
    <s v="SYN3725"/>
    <n v="58"/>
    <x v="1"/>
    <n v="14"/>
    <n v="71"/>
    <n v="1.2619999999999999E-2"/>
    <n v="0"/>
    <x v="5"/>
    <x v="2"/>
    <n v="1.2619999999999999E-2"/>
  </r>
  <r>
    <s v="SYN3726"/>
    <n v="22"/>
    <x v="1"/>
    <n v="12"/>
    <n v="33"/>
    <n v="4.4000000000000002E-4"/>
    <n v="0"/>
    <x v="1"/>
    <x v="2"/>
    <n v="4.4000000000000002E-4"/>
  </r>
  <r>
    <s v="SYN3727"/>
    <n v="49"/>
    <x v="1"/>
    <n v="19"/>
    <n v="67"/>
    <n v="1.001E-2"/>
    <n v="0"/>
    <x v="0"/>
    <x v="2"/>
    <n v="1.001E-2"/>
  </r>
  <r>
    <s v="SYN3728"/>
    <n v="45"/>
    <x v="1"/>
    <n v="27"/>
    <n v="71"/>
    <n v="1.404E-2"/>
    <n v="0"/>
    <x v="5"/>
    <x v="1"/>
    <n v="1.404E-2"/>
  </r>
  <r>
    <s v="SYN3729"/>
    <n v="47"/>
    <x v="1"/>
    <n v="22"/>
    <n v="68"/>
    <n v="1.141E-2"/>
    <n v="0"/>
    <x v="0"/>
    <x v="1"/>
    <n v="1.141E-2"/>
  </r>
  <r>
    <s v="SYN3730"/>
    <n v="31"/>
    <x v="1"/>
    <n v="1"/>
    <n v="31"/>
    <n v="1.2E-4"/>
    <n v="0"/>
    <x v="1"/>
    <x v="0"/>
    <n v="1.2E-4"/>
  </r>
  <r>
    <s v="SYN3731"/>
    <n v="38"/>
    <x v="0"/>
    <n v="30"/>
    <n v="67"/>
    <n v="8.6599999999999993E-3"/>
    <n v="0"/>
    <x v="0"/>
    <x v="3"/>
    <n v="8.6599999999999993E-3"/>
  </r>
  <r>
    <s v="SYN3732"/>
    <n v="49"/>
    <x v="1"/>
    <n v="28"/>
    <n v="76"/>
    <n v="2.0979999999999999E-2"/>
    <n v="0"/>
    <x v="5"/>
    <x v="1"/>
    <n v="2.0979999999999999E-2"/>
  </r>
  <r>
    <s v="SYN3733"/>
    <n v="63"/>
    <x v="0"/>
    <n v="12"/>
    <n v="74"/>
    <n v="2.223E-2"/>
    <n v="0"/>
    <x v="5"/>
    <x v="2"/>
    <n v="2.223E-2"/>
  </r>
  <r>
    <s v="SYN3734"/>
    <n v="37"/>
    <x v="1"/>
    <n v="15"/>
    <n v="51"/>
    <n v="1.92E-3"/>
    <n v="0"/>
    <x v="2"/>
    <x v="2"/>
    <n v="1.92E-3"/>
  </r>
  <r>
    <s v="SYN3735"/>
    <n v="64"/>
    <x v="0"/>
    <n v="21"/>
    <n v="84"/>
    <n v="8.0629999999999993E-2"/>
    <n v="0"/>
    <x v="4"/>
    <x v="1"/>
    <n v="8.0629999999999993E-2"/>
  </r>
  <r>
    <s v="SYN3736"/>
    <n v="33"/>
    <x v="1"/>
    <n v="18"/>
    <n v="50"/>
    <n v="1.8600000000000001E-3"/>
    <n v="0"/>
    <x v="2"/>
    <x v="2"/>
    <n v="1.8600000000000001E-3"/>
  </r>
  <r>
    <s v="SYN3737"/>
    <n v="40"/>
    <x v="0"/>
    <n v="24"/>
    <n v="63"/>
    <n v="8.5900000000000004E-3"/>
    <n v="0"/>
    <x v="0"/>
    <x v="1"/>
    <n v="8.5900000000000004E-3"/>
  </r>
  <r>
    <s v="SYN3738"/>
    <n v="31"/>
    <x v="0"/>
    <n v="28"/>
    <n v="58"/>
    <n v="4.3899999999999998E-3"/>
    <n v="0"/>
    <x v="2"/>
    <x v="1"/>
    <n v="4.3899999999999998E-3"/>
  </r>
  <r>
    <s v="SYN3739"/>
    <n v="42"/>
    <x v="1"/>
    <n v="20"/>
    <n v="61"/>
    <n v="5.4000000000000003E-3"/>
    <n v="0"/>
    <x v="0"/>
    <x v="1"/>
    <n v="5.4000000000000003E-3"/>
  </r>
  <r>
    <s v="SYN3740"/>
    <n v="34"/>
    <x v="1"/>
    <n v="11"/>
    <n v="44"/>
    <n v="9.3000000000000005E-4"/>
    <n v="0"/>
    <x v="3"/>
    <x v="2"/>
    <n v="9.3000000000000005E-4"/>
  </r>
  <r>
    <s v="SYN3741"/>
    <n v="25"/>
    <x v="0"/>
    <n v="21"/>
    <n v="45"/>
    <n v="1.98E-3"/>
    <n v="0"/>
    <x v="3"/>
    <x v="1"/>
    <n v="1.98E-3"/>
  </r>
  <r>
    <s v="SYN3742"/>
    <n v="60"/>
    <x v="1"/>
    <n v="6"/>
    <n v="65"/>
    <n v="5.6299999999999996E-3"/>
    <n v="0"/>
    <x v="0"/>
    <x v="0"/>
    <n v="5.6299999999999996E-3"/>
  </r>
  <r>
    <s v="SYN3743"/>
    <n v="65"/>
    <x v="0"/>
    <n v="16"/>
    <n v="80"/>
    <n v="4.65E-2"/>
    <n v="0"/>
    <x v="4"/>
    <x v="2"/>
    <n v="4.65E-2"/>
  </r>
  <r>
    <s v="SYN3744"/>
    <n v="43"/>
    <x v="0"/>
    <n v="25"/>
    <n v="67"/>
    <n v="1.278E-2"/>
    <n v="0"/>
    <x v="0"/>
    <x v="1"/>
    <n v="1.278E-2"/>
  </r>
  <r>
    <s v="SYN3745"/>
    <n v="21"/>
    <x v="0"/>
    <n v="4"/>
    <n v="24"/>
    <n v="6.6E-4"/>
    <n v="0"/>
    <x v="6"/>
    <x v="0"/>
    <n v="6.6E-4"/>
  </r>
  <r>
    <s v="SYN3746"/>
    <n v="52"/>
    <x v="1"/>
    <n v="23"/>
    <n v="74"/>
    <n v="2.0979999999999999E-2"/>
    <n v="0"/>
    <x v="5"/>
    <x v="1"/>
    <n v="2.0979999999999999E-2"/>
  </r>
  <r>
    <s v="SYN3747"/>
    <n v="55"/>
    <x v="0"/>
    <n v="18"/>
    <n v="72"/>
    <n v="2.1139999999999999E-2"/>
    <n v="0"/>
    <x v="5"/>
    <x v="2"/>
    <n v="2.1139999999999999E-2"/>
  </r>
  <r>
    <s v="SYN3748"/>
    <n v="24"/>
    <x v="0"/>
    <n v="7"/>
    <n v="30"/>
    <n v="4.8999999999999998E-4"/>
    <n v="0"/>
    <x v="1"/>
    <x v="0"/>
    <n v="4.8999999999999998E-4"/>
  </r>
  <r>
    <s v="SYN3749"/>
    <n v="62"/>
    <x v="1"/>
    <n v="13"/>
    <n v="74"/>
    <n v="1.6240000000000001E-2"/>
    <n v="0"/>
    <x v="5"/>
    <x v="2"/>
    <n v="1.6240000000000001E-2"/>
  </r>
  <r>
    <s v="SYN3750"/>
    <n v="41"/>
    <x v="0"/>
    <n v="18"/>
    <n v="58"/>
    <n v="5.1700000000000001E-3"/>
    <n v="0"/>
    <x v="2"/>
    <x v="2"/>
    <n v="5.1700000000000001E-3"/>
  </r>
  <r>
    <s v="SYN3751"/>
    <n v="44"/>
    <x v="1"/>
    <n v="4"/>
    <n v="47"/>
    <n v="8.8000000000000003E-4"/>
    <n v="0"/>
    <x v="3"/>
    <x v="0"/>
    <n v="8.8000000000000003E-4"/>
  </r>
  <r>
    <s v="SYN3752"/>
    <n v="38"/>
    <x v="1"/>
    <n v="20"/>
    <n v="57"/>
    <n v="3.65E-3"/>
    <n v="0"/>
    <x v="2"/>
    <x v="1"/>
    <n v="3.65E-3"/>
  </r>
  <r>
    <s v="SYN3753"/>
    <n v="34"/>
    <x v="1"/>
    <n v="15"/>
    <n v="48"/>
    <n v="1.48E-3"/>
    <n v="0"/>
    <x v="3"/>
    <x v="2"/>
    <n v="1.48E-3"/>
  </r>
  <r>
    <s v="SYN3754"/>
    <n v="29"/>
    <x v="1"/>
    <n v="22"/>
    <n v="50"/>
    <n v="2.0200000000000001E-3"/>
    <n v="0"/>
    <x v="2"/>
    <x v="1"/>
    <n v="2.0200000000000001E-3"/>
  </r>
  <r>
    <s v="SYN3755"/>
    <n v="34"/>
    <x v="1"/>
    <n v="27"/>
    <n v="60"/>
    <n v="4.4600000000000004E-3"/>
    <n v="0"/>
    <x v="0"/>
    <x v="1"/>
    <n v="4.4600000000000004E-3"/>
  </r>
  <r>
    <s v="SYN3756"/>
    <n v="34"/>
    <x v="1"/>
    <n v="15"/>
    <n v="48"/>
    <n v="1.48E-3"/>
    <n v="0"/>
    <x v="3"/>
    <x v="2"/>
    <n v="1.48E-3"/>
  </r>
  <r>
    <s v="SYN3757"/>
    <n v="20"/>
    <x v="0"/>
    <n v="10"/>
    <n v="29"/>
    <n v="7.1000000000000002E-4"/>
    <n v="0"/>
    <x v="6"/>
    <x v="2"/>
    <n v="7.1000000000000002E-4"/>
  </r>
  <r>
    <s v="SYN3758"/>
    <n v="59"/>
    <x v="1"/>
    <n v="16"/>
    <n v="74"/>
    <n v="1.865E-2"/>
    <n v="0"/>
    <x v="5"/>
    <x v="2"/>
    <n v="1.865E-2"/>
  </r>
  <r>
    <s v="SYN3759"/>
    <n v="55"/>
    <x v="0"/>
    <n v="19"/>
    <n v="73"/>
    <n v="2.3859999999999999E-2"/>
    <n v="0"/>
    <x v="5"/>
    <x v="2"/>
    <n v="2.3859999999999999E-2"/>
  </r>
  <r>
    <s v="SYN3760"/>
    <n v="53"/>
    <x v="0"/>
    <n v="19"/>
    <n v="71"/>
    <n v="1.8769999999999998E-2"/>
    <n v="0"/>
    <x v="5"/>
    <x v="2"/>
    <n v="1.8769999999999998E-2"/>
  </r>
  <r>
    <s v="SYN3761"/>
    <n v="44"/>
    <x v="0"/>
    <n v="24"/>
    <n v="67"/>
    <n v="1.273E-2"/>
    <n v="0"/>
    <x v="0"/>
    <x v="1"/>
    <n v="1.273E-2"/>
  </r>
  <r>
    <s v="SYN3762"/>
    <n v="43"/>
    <x v="1"/>
    <n v="26"/>
    <n v="68"/>
    <n v="1.141E-2"/>
    <n v="0"/>
    <x v="0"/>
    <x v="1"/>
    <n v="1.141E-2"/>
  </r>
  <r>
    <s v="SYN3763"/>
    <n v="43"/>
    <x v="1"/>
    <n v="29"/>
    <n v="71"/>
    <n v="1.141E-2"/>
    <n v="0"/>
    <x v="5"/>
    <x v="1"/>
    <n v="1.141E-2"/>
  </r>
  <r>
    <s v="SYN3764"/>
    <n v="54"/>
    <x v="0"/>
    <n v="12"/>
    <n v="65"/>
    <n v="9.8300000000000002E-3"/>
    <n v="0"/>
    <x v="0"/>
    <x v="2"/>
    <n v="9.8300000000000002E-3"/>
  </r>
  <r>
    <s v="SYN3765"/>
    <n v="40"/>
    <x v="1"/>
    <n v="28"/>
    <n v="67"/>
    <n v="8.3099999999999997E-3"/>
    <n v="0"/>
    <x v="0"/>
    <x v="1"/>
    <n v="8.3099999999999997E-3"/>
  </r>
  <r>
    <s v="SYN3766"/>
    <n v="54"/>
    <x v="0"/>
    <n v="19"/>
    <n v="72"/>
    <n v="2.1139999999999999E-2"/>
    <n v="0"/>
    <x v="5"/>
    <x v="2"/>
    <n v="2.1139999999999999E-2"/>
  </r>
  <r>
    <s v="SYN3767"/>
    <n v="52"/>
    <x v="0"/>
    <n v="23"/>
    <n v="74"/>
    <n v="2.665E-2"/>
    <n v="0"/>
    <x v="5"/>
    <x v="1"/>
    <n v="2.665E-2"/>
  </r>
  <r>
    <s v="SYN3768"/>
    <n v="58"/>
    <x v="1"/>
    <n v="8"/>
    <n v="65"/>
    <n v="5.9300000000000004E-3"/>
    <n v="0"/>
    <x v="0"/>
    <x v="0"/>
    <n v="5.9300000000000004E-3"/>
  </r>
  <r>
    <s v="SYN3769"/>
    <n v="61"/>
    <x v="1"/>
    <n v="18"/>
    <n v="78"/>
    <n v="2.9340000000000001E-2"/>
    <n v="0"/>
    <x v="5"/>
    <x v="2"/>
    <n v="2.9340000000000001E-2"/>
  </r>
  <r>
    <s v="SYN3770"/>
    <n v="37"/>
    <x v="1"/>
    <n v="19"/>
    <n v="55"/>
    <n v="2.9499999999999999E-3"/>
    <n v="0"/>
    <x v="2"/>
    <x v="2"/>
    <n v="2.9499999999999999E-3"/>
  </r>
  <r>
    <s v="SYN3771"/>
    <n v="48"/>
    <x v="1"/>
    <n v="16"/>
    <n v="63"/>
    <n v="6.3899999999999998E-3"/>
    <n v="0"/>
    <x v="0"/>
    <x v="2"/>
    <n v="6.3899999999999998E-3"/>
  </r>
  <r>
    <s v="SYN3772"/>
    <n v="30"/>
    <x v="1"/>
    <n v="1"/>
    <n v="30"/>
    <n v="1.2E-4"/>
    <n v="0"/>
    <x v="1"/>
    <x v="0"/>
    <n v="1.2E-4"/>
  </r>
  <r>
    <s v="SYN3773"/>
    <n v="23"/>
    <x v="0"/>
    <n v="29"/>
    <n v="51"/>
    <n v="2.7399999999999998E-3"/>
    <n v="0"/>
    <x v="2"/>
    <x v="1"/>
    <n v="2.7399999999999998E-3"/>
  </r>
  <r>
    <s v="SYN3774"/>
    <n v="29"/>
    <x v="1"/>
    <n v="3"/>
    <n v="31"/>
    <n v="2.1000000000000001E-4"/>
    <n v="0"/>
    <x v="1"/>
    <x v="0"/>
    <n v="2.1000000000000001E-4"/>
  </r>
  <r>
    <s v="SYN3775"/>
    <n v="37"/>
    <x v="0"/>
    <n v="19"/>
    <n v="55"/>
    <n v="3.82E-3"/>
    <n v="0"/>
    <x v="2"/>
    <x v="2"/>
    <n v="3.82E-3"/>
  </r>
  <r>
    <s v="SYN3776"/>
    <n v="21"/>
    <x v="1"/>
    <n v="23"/>
    <n v="43"/>
    <n v="1.2800000000000001E-3"/>
    <n v="0"/>
    <x v="3"/>
    <x v="1"/>
    <n v="1.2800000000000001E-3"/>
  </r>
  <r>
    <s v="SYN3777"/>
    <n v="28"/>
    <x v="0"/>
    <n v="13"/>
    <n v="40"/>
    <n v="1.1100000000000001E-3"/>
    <n v="0"/>
    <x v="3"/>
    <x v="2"/>
    <n v="1.1100000000000001E-3"/>
  </r>
  <r>
    <s v="SYN3778"/>
    <n v="54"/>
    <x v="1"/>
    <n v="23"/>
    <n v="76"/>
    <n v="2.58E-2"/>
    <n v="0"/>
    <x v="5"/>
    <x v="1"/>
    <n v="2.58E-2"/>
  </r>
  <r>
    <s v="SYN3779"/>
    <n v="56"/>
    <x v="1"/>
    <n v="26"/>
    <n v="81"/>
    <n v="4.4880000000000003E-2"/>
    <n v="0"/>
    <x v="4"/>
    <x v="1"/>
    <n v="4.4880000000000003E-2"/>
  </r>
  <r>
    <s v="SYN3780"/>
    <n v="29"/>
    <x v="1"/>
    <n v="25"/>
    <n v="53"/>
    <n v="2.5899999999999999E-3"/>
    <n v="0"/>
    <x v="2"/>
    <x v="1"/>
    <n v="2.5899999999999999E-3"/>
  </r>
  <r>
    <s v="SYN3781"/>
    <n v="40"/>
    <x v="0"/>
    <n v="28"/>
    <n v="67"/>
    <n v="1.064E-2"/>
    <n v="0"/>
    <x v="0"/>
    <x v="1"/>
    <n v="1.064E-2"/>
  </r>
  <r>
    <s v="SYN3782"/>
    <n v="65"/>
    <x v="0"/>
    <n v="25"/>
    <n v="89"/>
    <n v="0.14881"/>
    <n v="1"/>
    <x v="4"/>
    <x v="1"/>
    <n v="0.14881"/>
  </r>
  <r>
    <s v="SYN3783"/>
    <n v="24"/>
    <x v="0"/>
    <n v="20"/>
    <n v="43"/>
    <n v="1.8500000000000001E-3"/>
    <n v="0"/>
    <x v="3"/>
    <x v="1"/>
    <n v="1.8500000000000001E-3"/>
  </r>
  <r>
    <s v="SYN3784"/>
    <n v="30"/>
    <x v="0"/>
    <n v="24"/>
    <n v="53"/>
    <n v="3.3600000000000001E-3"/>
    <n v="0"/>
    <x v="2"/>
    <x v="1"/>
    <n v="3.3600000000000001E-3"/>
  </r>
  <r>
    <s v="SYN3785"/>
    <n v="31"/>
    <x v="0"/>
    <n v="27"/>
    <n v="57"/>
    <n v="4.3899999999999998E-3"/>
    <n v="0"/>
    <x v="2"/>
    <x v="1"/>
    <n v="4.3899999999999998E-3"/>
  </r>
  <r>
    <s v="SYN3786"/>
    <n v="51"/>
    <x v="0"/>
    <n v="24"/>
    <n v="74"/>
    <n v="2.6859999999999998E-2"/>
    <n v="0"/>
    <x v="5"/>
    <x v="1"/>
    <n v="2.6859999999999998E-2"/>
  </r>
  <r>
    <s v="SYN3787"/>
    <n v="45"/>
    <x v="1"/>
    <n v="19"/>
    <n v="63"/>
    <n v="6.5500000000000003E-3"/>
    <n v="0"/>
    <x v="0"/>
    <x v="2"/>
    <n v="6.5500000000000003E-3"/>
  </r>
  <r>
    <s v="SYN3788"/>
    <n v="46"/>
    <x v="1"/>
    <n v="13"/>
    <n v="58"/>
    <n v="3.5999999999999999E-3"/>
    <n v="0"/>
    <x v="2"/>
    <x v="2"/>
    <n v="3.5999999999999999E-3"/>
  </r>
  <r>
    <s v="SYN3789"/>
    <n v="41"/>
    <x v="0"/>
    <n v="6"/>
    <n v="46"/>
    <n v="1.2199999999999999E-3"/>
    <n v="0"/>
    <x v="3"/>
    <x v="0"/>
    <n v="1.2199999999999999E-3"/>
  </r>
  <r>
    <s v="SYN3790"/>
    <n v="65"/>
    <x v="1"/>
    <n v="14"/>
    <n v="78"/>
    <n v="2.564E-2"/>
    <n v="0"/>
    <x v="5"/>
    <x v="2"/>
    <n v="2.564E-2"/>
  </r>
  <r>
    <s v="SYN3791"/>
    <n v="31"/>
    <x v="0"/>
    <n v="9"/>
    <n v="39"/>
    <n v="8.1999999999999998E-4"/>
    <n v="0"/>
    <x v="1"/>
    <x v="0"/>
    <n v="8.1999999999999998E-4"/>
  </r>
  <r>
    <s v="SYN3792"/>
    <n v="61"/>
    <x v="0"/>
    <n v="21"/>
    <n v="81"/>
    <n v="5.6829999999999999E-2"/>
    <n v="0"/>
    <x v="4"/>
    <x v="1"/>
    <n v="5.6829999999999999E-2"/>
  </r>
  <r>
    <s v="SYN3793"/>
    <n v="26"/>
    <x v="0"/>
    <n v="17"/>
    <n v="42"/>
    <n v="1.56E-3"/>
    <n v="0"/>
    <x v="3"/>
    <x v="2"/>
    <n v="1.56E-3"/>
  </r>
  <r>
    <s v="SYN3794"/>
    <n v="23"/>
    <x v="0"/>
    <n v="18"/>
    <n v="40"/>
    <n v="1.4599999999999999E-3"/>
    <n v="0"/>
    <x v="3"/>
    <x v="2"/>
    <n v="1.4599999999999999E-3"/>
  </r>
  <r>
    <s v="SYN3795"/>
    <n v="30"/>
    <x v="1"/>
    <n v="1"/>
    <n v="30"/>
    <n v="1.2E-4"/>
    <n v="0"/>
    <x v="1"/>
    <x v="0"/>
    <n v="1.2E-4"/>
  </r>
  <r>
    <s v="SYN3796"/>
    <n v="20"/>
    <x v="0"/>
    <n v="11"/>
    <n v="30"/>
    <n v="7.1000000000000002E-4"/>
    <n v="0"/>
    <x v="1"/>
    <x v="2"/>
    <n v="7.1000000000000002E-4"/>
  </r>
  <r>
    <s v="SYN3797"/>
    <n v="56"/>
    <x v="0"/>
    <n v="19"/>
    <n v="74"/>
    <n v="2.6550000000000001E-2"/>
    <n v="0"/>
    <x v="5"/>
    <x v="2"/>
    <n v="2.6550000000000001E-2"/>
  </r>
  <r>
    <s v="SYN3798"/>
    <n v="31"/>
    <x v="1"/>
    <n v="7"/>
    <n v="37"/>
    <n v="4.8000000000000001E-4"/>
    <n v="0"/>
    <x v="1"/>
    <x v="0"/>
    <n v="4.8000000000000001E-4"/>
  </r>
  <r>
    <s v="SYN3799"/>
    <n v="54"/>
    <x v="1"/>
    <n v="7"/>
    <n v="60"/>
    <n v="3.48E-3"/>
    <n v="0"/>
    <x v="0"/>
    <x v="0"/>
    <n v="3.48E-3"/>
  </r>
  <r>
    <s v="SYN3800"/>
    <n v="63"/>
    <x v="0"/>
    <n v="30"/>
    <n v="92"/>
    <n v="0.13258"/>
    <n v="0"/>
    <x v="7"/>
    <x v="3"/>
    <n v="0.13258"/>
  </r>
  <r>
    <s v="SYN3801"/>
    <n v="31"/>
    <x v="0"/>
    <n v="29"/>
    <n v="59"/>
    <n v="4.3899999999999998E-3"/>
    <n v="0"/>
    <x v="2"/>
    <x v="1"/>
    <n v="4.3899999999999998E-3"/>
  </r>
  <r>
    <s v="SYN3802"/>
    <n v="31"/>
    <x v="0"/>
    <n v="17"/>
    <n v="47"/>
    <n v="1.97E-3"/>
    <n v="0"/>
    <x v="3"/>
    <x v="2"/>
    <n v="1.97E-3"/>
  </r>
  <r>
    <s v="SYN3803"/>
    <n v="21"/>
    <x v="0"/>
    <n v="20"/>
    <n v="40"/>
    <n v="1.67E-3"/>
    <n v="0"/>
    <x v="3"/>
    <x v="1"/>
    <n v="1.67E-3"/>
  </r>
  <r>
    <s v="SYN3804"/>
    <n v="27"/>
    <x v="1"/>
    <n v="26"/>
    <n v="52"/>
    <n v="2.3800000000000002E-3"/>
    <n v="0"/>
    <x v="2"/>
    <x v="1"/>
    <n v="2.3800000000000002E-3"/>
  </r>
  <r>
    <s v="SYN3805"/>
    <n v="26"/>
    <x v="1"/>
    <n v="12"/>
    <n v="37"/>
    <n v="6.4999999999999997E-4"/>
    <n v="0"/>
    <x v="1"/>
    <x v="2"/>
    <n v="6.4999999999999997E-4"/>
  </r>
  <r>
    <s v="SYN3806"/>
    <n v="30"/>
    <x v="0"/>
    <n v="29"/>
    <n v="58"/>
    <n v="4.0499999999999998E-3"/>
    <n v="0"/>
    <x v="2"/>
    <x v="1"/>
    <n v="4.0499999999999998E-3"/>
  </r>
  <r>
    <s v="SYN3807"/>
    <n v="29"/>
    <x v="1"/>
    <n v="20"/>
    <n v="48"/>
    <n v="1.6900000000000001E-3"/>
    <n v="0"/>
    <x v="3"/>
    <x v="1"/>
    <n v="1.6900000000000001E-3"/>
  </r>
  <r>
    <s v="SYN3808"/>
    <n v="62"/>
    <x v="1"/>
    <n v="18"/>
    <n v="79"/>
    <n v="3.3279999999999997E-2"/>
    <n v="0"/>
    <x v="5"/>
    <x v="2"/>
    <n v="3.3279999999999997E-2"/>
  </r>
  <r>
    <s v="SYN3809"/>
    <n v="27"/>
    <x v="1"/>
    <n v="22"/>
    <n v="48"/>
    <n v="1.73E-3"/>
    <n v="0"/>
    <x v="3"/>
    <x v="1"/>
    <n v="1.73E-3"/>
  </r>
  <r>
    <s v="SYN3810"/>
    <n v="43"/>
    <x v="0"/>
    <n v="5"/>
    <n v="47"/>
    <n v="1.2800000000000001E-3"/>
    <n v="0"/>
    <x v="3"/>
    <x v="0"/>
    <n v="1.2800000000000001E-3"/>
  </r>
  <r>
    <s v="SYN3811"/>
    <n v="32"/>
    <x v="0"/>
    <n v="26"/>
    <n v="57"/>
    <n v="4.7800000000000004E-3"/>
    <n v="0"/>
    <x v="2"/>
    <x v="1"/>
    <n v="4.7800000000000004E-3"/>
  </r>
  <r>
    <s v="SYN3812"/>
    <n v="50"/>
    <x v="1"/>
    <n v="26"/>
    <n v="75"/>
    <n v="2.325E-2"/>
    <n v="0"/>
    <x v="5"/>
    <x v="1"/>
    <n v="2.325E-2"/>
  </r>
  <r>
    <s v="SYN3813"/>
    <n v="57"/>
    <x v="1"/>
    <n v="4"/>
    <n v="60"/>
    <n v="2.7399999999999998E-3"/>
    <n v="0"/>
    <x v="0"/>
    <x v="0"/>
    <n v="2.7399999999999998E-3"/>
  </r>
  <r>
    <s v="SYN3814"/>
    <n v="61"/>
    <x v="1"/>
    <n v="11"/>
    <n v="71"/>
    <n v="1.035E-2"/>
    <n v="0"/>
    <x v="5"/>
    <x v="2"/>
    <n v="1.035E-2"/>
  </r>
  <r>
    <s v="SYN3815"/>
    <n v="64"/>
    <x v="1"/>
    <n v="18"/>
    <n v="81"/>
    <n v="4.3799999999999999E-2"/>
    <n v="0"/>
    <x v="4"/>
    <x v="2"/>
    <n v="4.3799999999999999E-2"/>
  </r>
  <r>
    <s v="SYN3816"/>
    <n v="61"/>
    <x v="0"/>
    <n v="7"/>
    <n v="67"/>
    <n v="1.0019999999999999E-2"/>
    <n v="0"/>
    <x v="0"/>
    <x v="0"/>
    <n v="1.0019999999999999E-2"/>
  </r>
  <r>
    <s v="SYN3817"/>
    <n v="32"/>
    <x v="1"/>
    <n v="10"/>
    <n v="41"/>
    <n v="7.7999999999999999E-4"/>
    <n v="0"/>
    <x v="3"/>
    <x v="2"/>
    <n v="7.7999999999999999E-4"/>
  </r>
  <r>
    <s v="SYN3818"/>
    <n v="47"/>
    <x v="0"/>
    <n v="13"/>
    <n v="59"/>
    <n v="5.3800000000000002E-3"/>
    <n v="0"/>
    <x v="2"/>
    <x v="2"/>
    <n v="5.3800000000000002E-3"/>
  </r>
  <r>
    <s v="SYN3819"/>
    <n v="26"/>
    <x v="1"/>
    <n v="11"/>
    <n v="36"/>
    <n v="5.5999999999999995E-4"/>
    <n v="0"/>
    <x v="1"/>
    <x v="2"/>
    <n v="5.5999999999999995E-4"/>
  </r>
  <r>
    <s v="SYN3820"/>
    <n v="39"/>
    <x v="1"/>
    <n v="16"/>
    <n v="54"/>
    <n v="2.5400000000000002E-3"/>
    <n v="0"/>
    <x v="2"/>
    <x v="2"/>
    <n v="2.5400000000000002E-3"/>
  </r>
  <r>
    <s v="SYN3821"/>
    <n v="63"/>
    <x v="0"/>
    <n v="23"/>
    <n v="85"/>
    <n v="9.1270000000000004E-2"/>
    <n v="0"/>
    <x v="4"/>
    <x v="1"/>
    <n v="9.1270000000000004E-2"/>
  </r>
  <r>
    <s v="SYN3822"/>
    <n v="32"/>
    <x v="0"/>
    <n v="3"/>
    <n v="34"/>
    <n v="4.0999999999999999E-4"/>
    <n v="0"/>
    <x v="1"/>
    <x v="0"/>
    <n v="4.0999999999999999E-4"/>
  </r>
  <r>
    <s v="SYN3823"/>
    <n v="56"/>
    <x v="0"/>
    <n v="18"/>
    <n v="73"/>
    <n v="2.3859999999999999E-2"/>
    <n v="0"/>
    <x v="5"/>
    <x v="2"/>
    <n v="2.3859999999999999E-2"/>
  </r>
  <r>
    <s v="SYN3824"/>
    <n v="23"/>
    <x v="0"/>
    <n v="18"/>
    <n v="40"/>
    <n v="1.4599999999999999E-3"/>
    <n v="0"/>
    <x v="3"/>
    <x v="2"/>
    <n v="1.4599999999999999E-3"/>
  </r>
  <r>
    <s v="SYN3825"/>
    <n v="44"/>
    <x v="0"/>
    <n v="7"/>
    <n v="50"/>
    <n v="1.83E-3"/>
    <n v="0"/>
    <x v="2"/>
    <x v="0"/>
    <n v="1.83E-3"/>
  </r>
  <r>
    <s v="SYN3826"/>
    <n v="63"/>
    <x v="0"/>
    <n v="28"/>
    <n v="90"/>
    <n v="0.13258"/>
    <n v="0"/>
    <x v="7"/>
    <x v="1"/>
    <n v="0.13258"/>
  </r>
  <r>
    <s v="SYN3827"/>
    <n v="31"/>
    <x v="0"/>
    <n v="17"/>
    <n v="47"/>
    <n v="1.97E-3"/>
    <n v="0"/>
    <x v="3"/>
    <x v="2"/>
    <n v="1.97E-3"/>
  </r>
  <r>
    <s v="SYN3828"/>
    <n v="33"/>
    <x v="0"/>
    <n v="4"/>
    <n v="36"/>
    <n v="5.1999999999999995E-4"/>
    <n v="0"/>
    <x v="1"/>
    <x v="0"/>
    <n v="5.1999999999999995E-4"/>
  </r>
  <r>
    <s v="SYN3829"/>
    <n v="34"/>
    <x v="0"/>
    <n v="23"/>
    <n v="56"/>
    <n v="4.3899999999999998E-3"/>
    <n v="0"/>
    <x v="2"/>
    <x v="1"/>
    <n v="4.3899999999999998E-3"/>
  </r>
  <r>
    <s v="SYN3830"/>
    <n v="51"/>
    <x v="1"/>
    <n v="7"/>
    <n v="57"/>
    <n v="2.5799999999999998E-3"/>
    <n v="0"/>
    <x v="2"/>
    <x v="0"/>
    <n v="2.5799999999999998E-3"/>
  </r>
  <r>
    <s v="SYN3831"/>
    <n v="22"/>
    <x v="0"/>
    <n v="30"/>
    <n v="51"/>
    <n v="2.6700000000000001E-3"/>
    <n v="0"/>
    <x v="2"/>
    <x v="3"/>
    <n v="2.6700000000000001E-3"/>
  </r>
  <r>
    <s v="SYN3832"/>
    <n v="27"/>
    <x v="0"/>
    <n v="30"/>
    <n v="56"/>
    <n v="3.2799999999999999E-3"/>
    <n v="0"/>
    <x v="2"/>
    <x v="3"/>
    <n v="3.2799999999999999E-3"/>
  </r>
  <r>
    <s v="SYN3833"/>
    <n v="62"/>
    <x v="1"/>
    <n v="27"/>
    <n v="88"/>
    <n v="9.3240000000000003E-2"/>
    <n v="0"/>
    <x v="4"/>
    <x v="1"/>
    <n v="9.3240000000000003E-2"/>
  </r>
  <r>
    <s v="SYN3834"/>
    <n v="31"/>
    <x v="1"/>
    <n v="13"/>
    <n v="43"/>
    <n v="1.01E-3"/>
    <n v="0"/>
    <x v="3"/>
    <x v="2"/>
    <n v="1.01E-3"/>
  </r>
  <r>
    <s v="SYN3835"/>
    <n v="45"/>
    <x v="0"/>
    <n v="2"/>
    <n v="46"/>
    <n v="8.1999999999999998E-4"/>
    <n v="0"/>
    <x v="3"/>
    <x v="0"/>
    <n v="8.1999999999999998E-4"/>
  </r>
  <r>
    <s v="SYN3836"/>
    <n v="59"/>
    <x v="0"/>
    <n v="22"/>
    <n v="80"/>
    <n v="5.0909999999999997E-2"/>
    <n v="0"/>
    <x v="4"/>
    <x v="1"/>
    <n v="5.0909999999999997E-2"/>
  </r>
  <r>
    <s v="SYN3837"/>
    <n v="63"/>
    <x v="1"/>
    <n v="19"/>
    <n v="81"/>
    <n v="4.41E-2"/>
    <n v="0"/>
    <x v="4"/>
    <x v="2"/>
    <n v="4.41E-2"/>
  </r>
  <r>
    <s v="SYN3838"/>
    <n v="39"/>
    <x v="1"/>
    <n v="7"/>
    <n v="45"/>
    <n v="8.4999999999999995E-4"/>
    <n v="0"/>
    <x v="3"/>
    <x v="0"/>
    <n v="8.4999999999999995E-4"/>
  </r>
  <r>
    <s v="SYN3839"/>
    <n v="37"/>
    <x v="1"/>
    <n v="14"/>
    <n v="50"/>
    <n v="1.75E-3"/>
    <n v="0"/>
    <x v="2"/>
    <x v="2"/>
    <n v="1.75E-3"/>
  </r>
  <r>
    <s v="SYN3840"/>
    <n v="46"/>
    <x v="0"/>
    <n v="13"/>
    <n v="58"/>
    <n v="4.8399999999999997E-3"/>
    <n v="0"/>
    <x v="2"/>
    <x v="2"/>
    <n v="4.8399999999999997E-3"/>
  </r>
  <r>
    <s v="SYN3841"/>
    <n v="51"/>
    <x v="1"/>
    <n v="9"/>
    <n v="59"/>
    <n v="3.3300000000000001E-3"/>
    <n v="0"/>
    <x v="2"/>
    <x v="0"/>
    <n v="3.3300000000000001E-3"/>
  </r>
  <r>
    <s v="SYN3842"/>
    <n v="45"/>
    <x v="1"/>
    <n v="2"/>
    <n v="46"/>
    <n v="4.4000000000000002E-4"/>
    <n v="0"/>
    <x v="3"/>
    <x v="0"/>
    <n v="4.4000000000000002E-4"/>
  </r>
  <r>
    <s v="SYN3843"/>
    <n v="62"/>
    <x v="0"/>
    <n v="23"/>
    <n v="84"/>
    <n v="8.0629999999999993E-2"/>
    <n v="0"/>
    <x v="4"/>
    <x v="1"/>
    <n v="8.0629999999999993E-2"/>
  </r>
  <r>
    <s v="SYN3844"/>
    <n v="27"/>
    <x v="1"/>
    <n v="6"/>
    <n v="32"/>
    <n v="2.9E-4"/>
    <n v="0"/>
    <x v="1"/>
    <x v="0"/>
    <n v="2.9E-4"/>
  </r>
  <r>
    <s v="SYN3845"/>
    <n v="31"/>
    <x v="0"/>
    <n v="18"/>
    <n v="48"/>
    <n v="2.1299999999999999E-3"/>
    <n v="0"/>
    <x v="3"/>
    <x v="2"/>
    <n v="2.1299999999999999E-3"/>
  </r>
  <r>
    <s v="SYN3846"/>
    <n v="36"/>
    <x v="1"/>
    <n v="22"/>
    <n v="57"/>
    <n v="3.6900000000000001E-3"/>
    <n v="0"/>
    <x v="2"/>
    <x v="1"/>
    <n v="3.6900000000000001E-3"/>
  </r>
  <r>
    <s v="SYN3847"/>
    <n v="38"/>
    <x v="0"/>
    <n v="18"/>
    <n v="55"/>
    <n v="3.7499999999999999E-3"/>
    <n v="0"/>
    <x v="2"/>
    <x v="2"/>
    <n v="3.7499999999999999E-3"/>
  </r>
  <r>
    <s v="SYN3848"/>
    <n v="36"/>
    <x v="1"/>
    <n v="4"/>
    <n v="39"/>
    <n v="4.8999999999999998E-4"/>
    <n v="0"/>
    <x v="1"/>
    <x v="0"/>
    <n v="4.8999999999999998E-4"/>
  </r>
  <r>
    <s v="SYN3849"/>
    <n v="32"/>
    <x v="1"/>
    <n v="3"/>
    <n v="34"/>
    <n v="2.5000000000000001E-4"/>
    <n v="0"/>
    <x v="1"/>
    <x v="0"/>
    <n v="2.5000000000000001E-4"/>
  </r>
  <r>
    <s v="SYN3850"/>
    <n v="28"/>
    <x v="1"/>
    <n v="17"/>
    <n v="44"/>
    <n v="1.1800000000000001E-3"/>
    <n v="0"/>
    <x v="3"/>
    <x v="2"/>
    <n v="1.1800000000000001E-3"/>
  </r>
  <r>
    <s v="SYN3851"/>
    <n v="26"/>
    <x v="0"/>
    <n v="4"/>
    <n v="29"/>
    <n v="3.8999999999999999E-4"/>
    <n v="0"/>
    <x v="6"/>
    <x v="0"/>
    <n v="3.8999999999999999E-4"/>
  </r>
  <r>
    <s v="SYN3852"/>
    <n v="31"/>
    <x v="1"/>
    <n v="3"/>
    <n v="33"/>
    <n v="2.3000000000000001E-4"/>
    <n v="0"/>
    <x v="1"/>
    <x v="0"/>
    <n v="2.3000000000000001E-4"/>
  </r>
  <r>
    <s v="SYN3853"/>
    <n v="35"/>
    <x v="1"/>
    <n v="14"/>
    <n v="48"/>
    <n v="1.47E-3"/>
    <n v="0"/>
    <x v="3"/>
    <x v="2"/>
    <n v="1.47E-3"/>
  </r>
  <r>
    <s v="SYN3854"/>
    <n v="29"/>
    <x v="1"/>
    <n v="15"/>
    <n v="43"/>
    <n v="1.07E-3"/>
    <n v="0"/>
    <x v="3"/>
    <x v="2"/>
    <n v="1.07E-3"/>
  </r>
  <r>
    <s v="SYN3855"/>
    <n v="52"/>
    <x v="1"/>
    <n v="25"/>
    <n v="76"/>
    <n v="2.58E-2"/>
    <n v="0"/>
    <x v="5"/>
    <x v="1"/>
    <n v="2.58E-2"/>
  </r>
  <r>
    <s v="SYN3856"/>
    <n v="40"/>
    <x v="1"/>
    <n v="2"/>
    <n v="41"/>
    <n v="3.4000000000000002E-4"/>
    <n v="0"/>
    <x v="3"/>
    <x v="0"/>
    <n v="3.4000000000000002E-4"/>
  </r>
  <r>
    <s v="SYN3857"/>
    <n v="41"/>
    <x v="1"/>
    <n v="28"/>
    <n v="68"/>
    <n v="9.2399999999999999E-3"/>
    <n v="0"/>
    <x v="0"/>
    <x v="1"/>
    <n v="9.2399999999999999E-3"/>
  </r>
  <r>
    <s v="SYN3858"/>
    <n v="42"/>
    <x v="0"/>
    <n v="15"/>
    <n v="56"/>
    <n v="3.9899999999999996E-3"/>
    <n v="0"/>
    <x v="2"/>
    <x v="2"/>
    <n v="3.9899999999999996E-3"/>
  </r>
  <r>
    <s v="SYN3859"/>
    <n v="45"/>
    <x v="0"/>
    <n v="13"/>
    <n v="57"/>
    <n v="4.3600000000000002E-3"/>
    <n v="0"/>
    <x v="2"/>
    <x v="2"/>
    <n v="4.3600000000000002E-3"/>
  </r>
  <r>
    <s v="SYN3860"/>
    <n v="24"/>
    <x v="0"/>
    <n v="8"/>
    <n v="31"/>
    <n v="5.2999999999999998E-4"/>
    <n v="0"/>
    <x v="1"/>
    <x v="0"/>
    <n v="5.2999999999999998E-4"/>
  </r>
  <r>
    <s v="SYN3861"/>
    <n v="62"/>
    <x v="0"/>
    <n v="24"/>
    <n v="85"/>
    <n v="9.1270000000000004E-2"/>
    <n v="0"/>
    <x v="4"/>
    <x v="1"/>
    <n v="9.1270000000000004E-2"/>
  </r>
  <r>
    <s v="SYN3862"/>
    <n v="24"/>
    <x v="0"/>
    <n v="27"/>
    <n v="50"/>
    <n v="2.81E-3"/>
    <n v="0"/>
    <x v="2"/>
    <x v="1"/>
    <n v="2.81E-3"/>
  </r>
  <r>
    <s v="SYN3863"/>
    <n v="55"/>
    <x v="0"/>
    <n v="6"/>
    <n v="60"/>
    <n v="5.0899999999999999E-3"/>
    <n v="0"/>
    <x v="0"/>
    <x v="0"/>
    <n v="5.0899999999999999E-3"/>
  </r>
  <r>
    <s v="SYN3864"/>
    <n v="23"/>
    <x v="1"/>
    <n v="4"/>
    <n v="26"/>
    <n v="2.4000000000000001E-4"/>
    <n v="0"/>
    <x v="6"/>
    <x v="0"/>
    <n v="2.4000000000000001E-4"/>
  </r>
  <r>
    <s v="SYN3865"/>
    <n v="54"/>
    <x v="1"/>
    <n v="1"/>
    <n v="54"/>
    <n v="5.1000000000000004E-4"/>
    <n v="0"/>
    <x v="2"/>
    <x v="0"/>
    <n v="5.1000000000000004E-4"/>
  </r>
  <r>
    <s v="SYN3866"/>
    <n v="40"/>
    <x v="0"/>
    <n v="12"/>
    <n v="51"/>
    <n v="2.3400000000000001E-3"/>
    <n v="0"/>
    <x v="2"/>
    <x v="2"/>
    <n v="2.3400000000000001E-3"/>
  </r>
  <r>
    <s v="SYN3867"/>
    <n v="63"/>
    <x v="0"/>
    <n v="8"/>
    <n v="70"/>
    <n v="1.2489999999999999E-2"/>
    <n v="1"/>
    <x v="5"/>
    <x v="0"/>
    <n v="1.2489999999999999E-2"/>
  </r>
  <r>
    <s v="SYN3868"/>
    <n v="23"/>
    <x v="0"/>
    <n v="27"/>
    <n v="49"/>
    <n v="2.7399999999999998E-3"/>
    <n v="0"/>
    <x v="3"/>
    <x v="1"/>
    <n v="2.7399999999999998E-3"/>
  </r>
  <r>
    <s v="SYN3869"/>
    <n v="34"/>
    <x v="1"/>
    <n v="25"/>
    <n v="58"/>
    <n v="4.0499999999999998E-3"/>
    <n v="0"/>
    <x v="2"/>
    <x v="1"/>
    <n v="4.0499999999999998E-3"/>
  </r>
  <r>
    <s v="SYN3870"/>
    <n v="24"/>
    <x v="1"/>
    <n v="1"/>
    <n v="24"/>
    <n v="1.8000000000000001E-4"/>
    <n v="0"/>
    <x v="6"/>
    <x v="0"/>
    <n v="1.8000000000000001E-4"/>
  </r>
  <r>
    <s v="SYN3871"/>
    <n v="56"/>
    <x v="0"/>
    <n v="21"/>
    <n v="76"/>
    <n v="3.32E-2"/>
    <n v="0"/>
    <x v="5"/>
    <x v="1"/>
    <n v="3.32E-2"/>
  </r>
  <r>
    <s v="SYN3872"/>
    <n v="44"/>
    <x v="1"/>
    <n v="15"/>
    <n v="58"/>
    <n v="3.7200000000000002E-3"/>
    <n v="0"/>
    <x v="2"/>
    <x v="2"/>
    <n v="3.7200000000000002E-3"/>
  </r>
  <r>
    <s v="SYN3873"/>
    <n v="51"/>
    <x v="0"/>
    <n v="20"/>
    <n v="70"/>
    <n v="1.6879999999999999E-2"/>
    <n v="0"/>
    <x v="5"/>
    <x v="1"/>
    <n v="1.6879999999999999E-2"/>
  </r>
  <r>
    <s v="SYN3874"/>
    <n v="60"/>
    <x v="0"/>
    <n v="15"/>
    <n v="74"/>
    <n v="2.5520000000000001E-2"/>
    <n v="0"/>
    <x v="5"/>
    <x v="2"/>
    <n v="2.5520000000000001E-2"/>
  </r>
  <r>
    <s v="SYN3875"/>
    <n v="49"/>
    <x v="1"/>
    <n v="18"/>
    <n v="66"/>
    <n v="8.9499999999999996E-3"/>
    <n v="0"/>
    <x v="0"/>
    <x v="2"/>
    <n v="8.9499999999999996E-3"/>
  </r>
  <r>
    <s v="SYN3876"/>
    <n v="38"/>
    <x v="1"/>
    <n v="21"/>
    <n v="58"/>
    <n v="4.0499999999999998E-3"/>
    <n v="0"/>
    <x v="2"/>
    <x v="1"/>
    <n v="4.0499999999999998E-3"/>
  </r>
  <r>
    <s v="SYN3877"/>
    <n v="44"/>
    <x v="1"/>
    <n v="9"/>
    <n v="52"/>
    <n v="1.7899999999999999E-3"/>
    <n v="0"/>
    <x v="2"/>
    <x v="0"/>
    <n v="1.7899999999999999E-3"/>
  </r>
  <r>
    <s v="SYN3878"/>
    <n v="21"/>
    <x v="1"/>
    <n v="14"/>
    <n v="34"/>
    <n v="5.4000000000000001E-4"/>
    <n v="0"/>
    <x v="1"/>
    <x v="2"/>
    <n v="5.4000000000000001E-4"/>
  </r>
  <r>
    <s v="SYN3879"/>
    <n v="49"/>
    <x v="1"/>
    <n v="14"/>
    <n v="62"/>
    <n v="5.5599999999999998E-3"/>
    <n v="0"/>
    <x v="0"/>
    <x v="2"/>
    <n v="5.5599999999999998E-3"/>
  </r>
  <r>
    <s v="SYN3880"/>
    <n v="34"/>
    <x v="0"/>
    <n v="13"/>
    <n v="46"/>
    <n v="1.56E-3"/>
    <n v="0"/>
    <x v="3"/>
    <x v="2"/>
    <n v="1.56E-3"/>
  </r>
  <r>
    <s v="SYN3881"/>
    <n v="33"/>
    <x v="0"/>
    <n v="13"/>
    <n v="45"/>
    <n v="1.4499999999999999E-3"/>
    <n v="0"/>
    <x v="3"/>
    <x v="2"/>
    <n v="1.4499999999999999E-3"/>
  </r>
  <r>
    <s v="SYN3882"/>
    <n v="48"/>
    <x v="1"/>
    <n v="15"/>
    <n v="62"/>
    <n v="5.6600000000000001E-3"/>
    <n v="0"/>
    <x v="0"/>
    <x v="2"/>
    <n v="5.6600000000000001E-3"/>
  </r>
  <r>
    <s v="SYN3883"/>
    <n v="41"/>
    <x v="1"/>
    <n v="11"/>
    <n v="51"/>
    <n v="1.8E-3"/>
    <n v="0"/>
    <x v="2"/>
    <x v="2"/>
    <n v="1.8E-3"/>
  </r>
  <r>
    <s v="SYN3884"/>
    <n v="53"/>
    <x v="0"/>
    <n v="7"/>
    <n v="59"/>
    <n v="4.7400000000000003E-3"/>
    <n v="0"/>
    <x v="2"/>
    <x v="0"/>
    <n v="4.7400000000000003E-3"/>
  </r>
  <r>
    <s v="SYN3885"/>
    <n v="56"/>
    <x v="1"/>
    <n v="7"/>
    <n v="62"/>
    <n v="4.3299999999999996E-3"/>
    <n v="0"/>
    <x v="0"/>
    <x v="0"/>
    <n v="4.3299999999999996E-3"/>
  </r>
  <r>
    <s v="SYN3886"/>
    <n v="59"/>
    <x v="1"/>
    <n v="12"/>
    <n v="70"/>
    <n v="1.009E-2"/>
    <n v="0"/>
    <x v="5"/>
    <x v="2"/>
    <n v="1.009E-2"/>
  </r>
  <r>
    <s v="SYN3887"/>
    <n v="46"/>
    <x v="1"/>
    <n v="12"/>
    <n v="57"/>
    <n v="3.1199999999999999E-3"/>
    <n v="0"/>
    <x v="2"/>
    <x v="2"/>
    <n v="3.1199999999999999E-3"/>
  </r>
  <r>
    <s v="SYN3888"/>
    <n v="29"/>
    <x v="0"/>
    <n v="16"/>
    <n v="44"/>
    <n v="1.6100000000000001E-3"/>
    <n v="0"/>
    <x v="3"/>
    <x v="2"/>
    <n v="1.6100000000000001E-3"/>
  </r>
  <r>
    <s v="SYN3889"/>
    <n v="39"/>
    <x v="1"/>
    <n v="29"/>
    <n v="67"/>
    <n v="7.4700000000000001E-3"/>
    <n v="0"/>
    <x v="0"/>
    <x v="1"/>
    <n v="7.4700000000000001E-3"/>
  </r>
  <r>
    <s v="SYN3890"/>
    <n v="59"/>
    <x v="0"/>
    <n v="14"/>
    <n v="72"/>
    <n v="2.0760000000000001E-2"/>
    <n v="0"/>
    <x v="5"/>
    <x v="2"/>
    <n v="2.0760000000000001E-2"/>
  </r>
  <r>
    <s v="SYN3891"/>
    <n v="55"/>
    <x v="0"/>
    <n v="29"/>
    <n v="83"/>
    <n v="5.0909999999999997E-2"/>
    <n v="0"/>
    <x v="4"/>
    <x v="1"/>
    <n v="5.0909999999999997E-2"/>
  </r>
  <r>
    <s v="SYN3892"/>
    <n v="53"/>
    <x v="0"/>
    <n v="14"/>
    <n v="66"/>
    <n v="1.116E-2"/>
    <n v="0"/>
    <x v="0"/>
    <x v="2"/>
    <n v="1.116E-2"/>
  </r>
  <r>
    <s v="SYN3893"/>
    <n v="64"/>
    <x v="0"/>
    <n v="7"/>
    <n v="70"/>
    <n v="1.1650000000000001E-2"/>
    <n v="0"/>
    <x v="5"/>
    <x v="0"/>
    <n v="1.1650000000000001E-2"/>
  </r>
  <r>
    <s v="SYN3894"/>
    <n v="37"/>
    <x v="1"/>
    <n v="24"/>
    <n v="60"/>
    <n v="4.9300000000000004E-3"/>
    <n v="0"/>
    <x v="0"/>
    <x v="1"/>
    <n v="4.9300000000000004E-3"/>
  </r>
  <r>
    <s v="SYN3895"/>
    <n v="61"/>
    <x v="1"/>
    <n v="13"/>
    <n v="73"/>
    <n v="1.453E-2"/>
    <n v="0"/>
    <x v="5"/>
    <x v="2"/>
    <n v="1.453E-2"/>
  </r>
  <r>
    <s v="SYN3896"/>
    <n v="29"/>
    <x v="0"/>
    <n v="14"/>
    <n v="42"/>
    <n v="1.3500000000000001E-3"/>
    <n v="0"/>
    <x v="3"/>
    <x v="2"/>
    <n v="1.3500000000000001E-3"/>
  </r>
  <r>
    <s v="SYN3897"/>
    <n v="28"/>
    <x v="1"/>
    <n v="25"/>
    <n v="52"/>
    <n v="2.3800000000000002E-3"/>
    <n v="0"/>
    <x v="2"/>
    <x v="1"/>
    <n v="2.3800000000000002E-3"/>
  </r>
  <r>
    <s v="SYN3898"/>
    <n v="59"/>
    <x v="1"/>
    <n v="17"/>
    <n v="75"/>
    <n v="2.1329999999999998E-2"/>
    <n v="0"/>
    <x v="5"/>
    <x v="2"/>
    <n v="2.1329999999999998E-2"/>
  </r>
  <r>
    <s v="SYN3899"/>
    <n v="63"/>
    <x v="1"/>
    <n v="4"/>
    <n v="66"/>
    <n v="5.0800000000000003E-3"/>
    <n v="0"/>
    <x v="0"/>
    <x v="0"/>
    <n v="5.0800000000000003E-3"/>
  </r>
  <r>
    <s v="SYN3900"/>
    <n v="20"/>
    <x v="1"/>
    <n v="30"/>
    <n v="49"/>
    <n v="1.3799999999999999E-3"/>
    <n v="0"/>
    <x v="3"/>
    <x v="3"/>
    <n v="1.3799999999999999E-3"/>
  </r>
  <r>
    <s v="SYN3901"/>
    <n v="25"/>
    <x v="1"/>
    <n v="11"/>
    <n v="35"/>
    <n v="5.1999999999999995E-4"/>
    <n v="0"/>
    <x v="1"/>
    <x v="2"/>
    <n v="5.1999999999999995E-4"/>
  </r>
  <r>
    <s v="SYN3902"/>
    <n v="29"/>
    <x v="0"/>
    <n v="7"/>
    <n v="35"/>
    <n v="5.5999999999999995E-4"/>
    <n v="0"/>
    <x v="1"/>
    <x v="0"/>
    <n v="5.5999999999999995E-4"/>
  </r>
  <r>
    <s v="SYN3903"/>
    <n v="59"/>
    <x v="0"/>
    <n v="30"/>
    <n v="88"/>
    <n v="8.0629999999999993E-2"/>
    <n v="0"/>
    <x v="4"/>
    <x v="3"/>
    <n v="8.0629999999999993E-2"/>
  </r>
  <r>
    <s v="SYN3904"/>
    <n v="48"/>
    <x v="0"/>
    <n v="16"/>
    <n v="63"/>
    <n v="8.4600000000000005E-3"/>
    <n v="0"/>
    <x v="0"/>
    <x v="2"/>
    <n v="8.4600000000000005E-3"/>
  </r>
  <r>
    <s v="SYN3905"/>
    <n v="39"/>
    <x v="1"/>
    <n v="4"/>
    <n v="42"/>
    <n v="6.2E-4"/>
    <n v="0"/>
    <x v="3"/>
    <x v="0"/>
    <n v="6.2E-4"/>
  </r>
  <r>
    <s v="SYN3906"/>
    <n v="29"/>
    <x v="0"/>
    <n v="6"/>
    <n v="34"/>
    <n v="5.1000000000000004E-4"/>
    <n v="0"/>
    <x v="1"/>
    <x v="0"/>
    <n v="5.1000000000000004E-4"/>
  </r>
  <r>
    <s v="SYN3907"/>
    <n v="59"/>
    <x v="0"/>
    <n v="14"/>
    <n v="72"/>
    <n v="2.0760000000000001E-2"/>
    <n v="0"/>
    <x v="5"/>
    <x v="2"/>
    <n v="2.0760000000000001E-2"/>
  </r>
  <r>
    <s v="SYN3908"/>
    <n v="50"/>
    <x v="1"/>
    <n v="23"/>
    <n v="72"/>
    <n v="1.7170000000000001E-2"/>
    <n v="0"/>
    <x v="5"/>
    <x v="1"/>
    <n v="1.7170000000000001E-2"/>
  </r>
  <r>
    <s v="SYN3909"/>
    <n v="35"/>
    <x v="1"/>
    <n v="4"/>
    <n v="38"/>
    <n v="4.4000000000000002E-4"/>
    <n v="0"/>
    <x v="1"/>
    <x v="0"/>
    <n v="4.4000000000000002E-4"/>
  </r>
  <r>
    <s v="SYN3910"/>
    <n v="48"/>
    <x v="1"/>
    <n v="4"/>
    <n v="51"/>
    <n v="1.25E-3"/>
    <n v="0"/>
    <x v="2"/>
    <x v="0"/>
    <n v="1.25E-3"/>
  </r>
  <r>
    <s v="SYN3911"/>
    <n v="44"/>
    <x v="0"/>
    <n v="16"/>
    <n v="59"/>
    <n v="5.6100000000000004E-3"/>
    <n v="0"/>
    <x v="2"/>
    <x v="2"/>
    <n v="5.6100000000000004E-3"/>
  </r>
  <r>
    <s v="SYN3912"/>
    <n v="21"/>
    <x v="1"/>
    <n v="19"/>
    <n v="39"/>
    <n v="1.06E-3"/>
    <n v="0"/>
    <x v="1"/>
    <x v="2"/>
    <n v="1.06E-3"/>
  </r>
  <r>
    <s v="SYN3913"/>
    <n v="48"/>
    <x v="1"/>
    <n v="19"/>
    <n v="66"/>
    <n v="9.0399999999999994E-3"/>
    <n v="0"/>
    <x v="0"/>
    <x v="2"/>
    <n v="9.0399999999999994E-3"/>
  </r>
  <r>
    <s v="SYN3914"/>
    <n v="21"/>
    <x v="1"/>
    <n v="16"/>
    <n v="36"/>
    <n v="7.2999999999999996E-4"/>
    <n v="0"/>
    <x v="1"/>
    <x v="2"/>
    <n v="7.2999999999999996E-4"/>
  </r>
  <r>
    <s v="SYN3915"/>
    <n v="41"/>
    <x v="1"/>
    <n v="3"/>
    <n v="43"/>
    <n v="5.1999999999999995E-4"/>
    <n v="0"/>
    <x v="3"/>
    <x v="0"/>
    <n v="5.1999999999999995E-4"/>
  </r>
  <r>
    <s v="SYN3916"/>
    <n v="28"/>
    <x v="0"/>
    <n v="20"/>
    <n v="47"/>
    <n v="2.0300000000000001E-3"/>
    <n v="0"/>
    <x v="3"/>
    <x v="1"/>
    <n v="2.0300000000000001E-3"/>
  </r>
  <r>
    <s v="SYN3917"/>
    <n v="29"/>
    <x v="1"/>
    <n v="4"/>
    <n v="32"/>
    <n v="2.4000000000000001E-4"/>
    <n v="0"/>
    <x v="1"/>
    <x v="0"/>
    <n v="2.4000000000000001E-4"/>
  </r>
  <r>
    <s v="SYN3918"/>
    <n v="62"/>
    <x v="1"/>
    <n v="7"/>
    <n v="68"/>
    <n v="7.0200000000000002E-3"/>
    <n v="0"/>
    <x v="0"/>
    <x v="0"/>
    <n v="7.0200000000000002E-3"/>
  </r>
  <r>
    <s v="SYN3919"/>
    <n v="65"/>
    <x v="1"/>
    <n v="26"/>
    <n v="90"/>
    <n v="0.13125000000000001"/>
    <n v="1"/>
    <x v="7"/>
    <x v="1"/>
    <n v="0.13125000000000001"/>
  </r>
  <r>
    <s v="SYN3920"/>
    <n v="58"/>
    <x v="0"/>
    <n v="26"/>
    <n v="83"/>
    <n v="7.1389999999999995E-2"/>
    <n v="0"/>
    <x v="4"/>
    <x v="1"/>
    <n v="7.1389999999999995E-2"/>
  </r>
  <r>
    <s v="SYN3921"/>
    <n v="57"/>
    <x v="1"/>
    <n v="14"/>
    <n v="70"/>
    <n v="1.1520000000000001E-2"/>
    <n v="0"/>
    <x v="5"/>
    <x v="2"/>
    <n v="1.1520000000000001E-2"/>
  </r>
  <r>
    <s v="SYN3922"/>
    <n v="36"/>
    <x v="1"/>
    <n v="7"/>
    <n v="42"/>
    <n v="7.2999999999999996E-4"/>
    <n v="0"/>
    <x v="3"/>
    <x v="0"/>
    <n v="7.2999999999999996E-4"/>
  </r>
  <r>
    <s v="SYN3923"/>
    <n v="21"/>
    <x v="0"/>
    <n v="16"/>
    <n v="36"/>
    <n v="1.01E-3"/>
    <n v="0"/>
    <x v="1"/>
    <x v="2"/>
    <n v="1.01E-3"/>
  </r>
  <r>
    <s v="SYN3924"/>
    <n v="61"/>
    <x v="1"/>
    <n v="8"/>
    <n v="68"/>
    <n v="7.2500000000000004E-3"/>
    <n v="0"/>
    <x v="0"/>
    <x v="0"/>
    <n v="7.2500000000000004E-3"/>
  </r>
  <r>
    <s v="SYN3925"/>
    <n v="47"/>
    <x v="0"/>
    <n v="11"/>
    <n v="57"/>
    <n v="4.1900000000000001E-3"/>
    <n v="0"/>
    <x v="2"/>
    <x v="2"/>
    <n v="4.1900000000000001E-3"/>
  </r>
  <r>
    <s v="SYN3926"/>
    <n v="62"/>
    <x v="1"/>
    <n v="15"/>
    <n v="76"/>
    <n v="2.1930000000000002E-2"/>
    <n v="0"/>
    <x v="5"/>
    <x v="2"/>
    <n v="2.1930000000000002E-2"/>
  </r>
  <r>
    <s v="SYN3927"/>
    <n v="22"/>
    <x v="1"/>
    <n v="5"/>
    <n v="26"/>
    <n v="2.7E-4"/>
    <n v="0"/>
    <x v="6"/>
    <x v="0"/>
    <n v="2.7E-4"/>
  </r>
  <r>
    <s v="SYN3928"/>
    <n v="20"/>
    <x v="1"/>
    <n v="24"/>
    <n v="43"/>
    <n v="1.2800000000000001E-3"/>
    <n v="0"/>
    <x v="3"/>
    <x v="1"/>
    <n v="1.2800000000000001E-3"/>
  </r>
  <r>
    <s v="SYN3929"/>
    <n v="32"/>
    <x v="0"/>
    <n v="29"/>
    <n v="60"/>
    <n v="4.7800000000000004E-3"/>
    <n v="0"/>
    <x v="0"/>
    <x v="1"/>
    <n v="4.7800000000000004E-3"/>
  </r>
  <r>
    <s v="SYN3930"/>
    <n v="64"/>
    <x v="0"/>
    <n v="22"/>
    <n v="85"/>
    <n v="9.1270000000000004E-2"/>
    <n v="0"/>
    <x v="4"/>
    <x v="1"/>
    <n v="9.1270000000000004E-2"/>
  </r>
  <r>
    <s v="SYN3931"/>
    <n v="43"/>
    <x v="1"/>
    <n v="26"/>
    <n v="68"/>
    <n v="1.141E-2"/>
    <n v="0"/>
    <x v="0"/>
    <x v="1"/>
    <n v="1.141E-2"/>
  </r>
  <r>
    <s v="SYN3932"/>
    <n v="47"/>
    <x v="1"/>
    <n v="14"/>
    <n v="60"/>
    <n v="4.5199999999999997E-3"/>
    <n v="0"/>
    <x v="0"/>
    <x v="2"/>
    <n v="4.5199999999999997E-3"/>
  </r>
  <r>
    <s v="SYN3933"/>
    <n v="42"/>
    <x v="0"/>
    <n v="24"/>
    <n v="65"/>
    <n v="1.0449999999999999E-2"/>
    <n v="0"/>
    <x v="0"/>
    <x v="1"/>
    <n v="1.0449999999999999E-2"/>
  </r>
  <r>
    <s v="SYN3934"/>
    <n v="38"/>
    <x v="0"/>
    <n v="9"/>
    <n v="46"/>
    <n v="1.3600000000000001E-3"/>
    <n v="0"/>
    <x v="3"/>
    <x v="0"/>
    <n v="1.3600000000000001E-3"/>
  </r>
  <r>
    <s v="SYN3935"/>
    <n v="62"/>
    <x v="1"/>
    <n v="3"/>
    <n v="64"/>
    <n v="3.3300000000000001E-3"/>
    <n v="0"/>
    <x v="0"/>
    <x v="0"/>
    <n v="3.3300000000000001E-3"/>
  </r>
  <r>
    <s v="SYN3936"/>
    <n v="52"/>
    <x v="0"/>
    <n v="29"/>
    <n v="80"/>
    <n v="3.7220000000000003E-2"/>
    <n v="0"/>
    <x v="4"/>
    <x v="1"/>
    <n v="3.7220000000000003E-2"/>
  </r>
  <r>
    <s v="SYN3937"/>
    <n v="26"/>
    <x v="0"/>
    <n v="8"/>
    <n v="33"/>
    <n v="5.4000000000000001E-4"/>
    <n v="0"/>
    <x v="1"/>
    <x v="0"/>
    <n v="5.4000000000000001E-4"/>
  </r>
  <r>
    <s v="SYN3938"/>
    <n v="29"/>
    <x v="1"/>
    <n v="19"/>
    <n v="47"/>
    <n v="1.5200000000000001E-3"/>
    <n v="0"/>
    <x v="3"/>
    <x v="2"/>
    <n v="1.5200000000000001E-3"/>
  </r>
  <r>
    <s v="SYN3939"/>
    <n v="24"/>
    <x v="1"/>
    <n v="1"/>
    <n v="24"/>
    <n v="1.8000000000000001E-4"/>
    <n v="0"/>
    <x v="6"/>
    <x v="0"/>
    <n v="1.8000000000000001E-4"/>
  </r>
  <r>
    <s v="SYN3940"/>
    <n v="41"/>
    <x v="1"/>
    <n v="28"/>
    <n v="68"/>
    <n v="9.2399999999999999E-3"/>
    <n v="0"/>
    <x v="0"/>
    <x v="1"/>
    <n v="9.2399999999999999E-3"/>
  </r>
  <r>
    <s v="SYN3941"/>
    <n v="57"/>
    <x v="1"/>
    <n v="21"/>
    <n v="77"/>
    <n v="2.8719999999999999E-2"/>
    <n v="0"/>
    <x v="5"/>
    <x v="1"/>
    <n v="2.8719999999999999E-2"/>
  </r>
  <r>
    <s v="SYN3942"/>
    <n v="60"/>
    <x v="0"/>
    <n v="28"/>
    <n v="87"/>
    <n v="9.1270000000000004E-2"/>
    <n v="0"/>
    <x v="4"/>
    <x v="1"/>
    <n v="9.1270000000000004E-2"/>
  </r>
  <r>
    <s v="SYN3943"/>
    <n v="59"/>
    <x v="0"/>
    <n v="4"/>
    <n v="62"/>
    <n v="5.5500000000000002E-3"/>
    <n v="0"/>
    <x v="0"/>
    <x v="0"/>
    <n v="5.5500000000000002E-3"/>
  </r>
  <r>
    <s v="SYN3944"/>
    <n v="25"/>
    <x v="0"/>
    <n v="6"/>
    <n v="30"/>
    <n v="4.4000000000000002E-4"/>
    <n v="0"/>
    <x v="1"/>
    <x v="0"/>
    <n v="4.4000000000000002E-4"/>
  </r>
  <r>
    <s v="SYN3945"/>
    <n v="20"/>
    <x v="1"/>
    <n v="14"/>
    <n v="33"/>
    <n v="4.8000000000000001E-4"/>
    <n v="0"/>
    <x v="1"/>
    <x v="2"/>
    <n v="4.8000000000000001E-4"/>
  </r>
  <r>
    <s v="SYN3946"/>
    <n v="23"/>
    <x v="0"/>
    <n v="23"/>
    <n v="45"/>
    <n v="2.16E-3"/>
    <n v="0"/>
    <x v="3"/>
    <x v="1"/>
    <n v="2.16E-3"/>
  </r>
  <r>
    <s v="SYN3947"/>
    <n v="53"/>
    <x v="0"/>
    <n v="7"/>
    <n v="59"/>
    <n v="4.7400000000000003E-3"/>
    <n v="0"/>
    <x v="2"/>
    <x v="0"/>
    <n v="4.7400000000000003E-3"/>
  </r>
  <r>
    <s v="SYN3948"/>
    <n v="51"/>
    <x v="1"/>
    <n v="20"/>
    <n v="70"/>
    <n v="1.3610000000000001E-2"/>
    <n v="0"/>
    <x v="5"/>
    <x v="1"/>
    <n v="1.3610000000000001E-2"/>
  </r>
  <r>
    <s v="SYN3949"/>
    <n v="63"/>
    <x v="1"/>
    <n v="19"/>
    <n v="81"/>
    <n v="4.41E-2"/>
    <n v="0"/>
    <x v="4"/>
    <x v="2"/>
    <n v="4.41E-2"/>
  </r>
  <r>
    <s v="SYN3950"/>
    <n v="31"/>
    <x v="0"/>
    <n v="17"/>
    <n v="47"/>
    <n v="1.97E-3"/>
    <n v="0"/>
    <x v="3"/>
    <x v="2"/>
    <n v="1.97E-3"/>
  </r>
  <r>
    <s v="SYN3951"/>
    <n v="32"/>
    <x v="0"/>
    <n v="9"/>
    <n v="40"/>
    <n v="9.1E-4"/>
    <n v="0"/>
    <x v="3"/>
    <x v="0"/>
    <n v="9.1E-4"/>
  </r>
  <r>
    <s v="SYN3952"/>
    <n v="32"/>
    <x v="0"/>
    <n v="23"/>
    <n v="54"/>
    <n v="3.6700000000000001E-3"/>
    <n v="0"/>
    <x v="2"/>
    <x v="1"/>
    <n v="3.6700000000000001E-3"/>
  </r>
  <r>
    <s v="SYN3953"/>
    <n v="32"/>
    <x v="1"/>
    <n v="6"/>
    <n v="37"/>
    <n v="4.4999999999999999E-4"/>
    <n v="0"/>
    <x v="1"/>
    <x v="0"/>
    <n v="4.4999999999999999E-4"/>
  </r>
  <r>
    <s v="SYN3954"/>
    <n v="34"/>
    <x v="0"/>
    <n v="6"/>
    <n v="39"/>
    <n v="6.9999999999999999E-4"/>
    <n v="0"/>
    <x v="1"/>
    <x v="0"/>
    <n v="6.9999999999999999E-4"/>
  </r>
  <r>
    <s v="SYN3955"/>
    <n v="38"/>
    <x v="0"/>
    <n v="20"/>
    <n v="57"/>
    <n v="4.7299999999999998E-3"/>
    <n v="0"/>
    <x v="2"/>
    <x v="1"/>
    <n v="4.7299999999999998E-3"/>
  </r>
  <r>
    <s v="SYN3956"/>
    <n v="33"/>
    <x v="0"/>
    <n v="14"/>
    <n v="46"/>
    <n v="1.6299999999999999E-3"/>
    <n v="0"/>
    <x v="3"/>
    <x v="2"/>
    <n v="1.6299999999999999E-3"/>
  </r>
  <r>
    <s v="SYN3957"/>
    <n v="35"/>
    <x v="0"/>
    <n v="17"/>
    <n v="51"/>
    <n v="2.65E-3"/>
    <n v="0"/>
    <x v="2"/>
    <x v="2"/>
    <n v="2.65E-3"/>
  </r>
  <r>
    <s v="SYN3958"/>
    <n v="63"/>
    <x v="0"/>
    <n v="9"/>
    <n v="71"/>
    <n v="1.451E-2"/>
    <n v="0"/>
    <x v="5"/>
    <x v="0"/>
    <n v="1.451E-2"/>
  </r>
  <r>
    <s v="SYN3959"/>
    <n v="23"/>
    <x v="0"/>
    <n v="3"/>
    <n v="25"/>
    <n v="5.0000000000000001E-4"/>
    <n v="0"/>
    <x v="6"/>
    <x v="0"/>
    <n v="5.0000000000000001E-4"/>
  </r>
  <r>
    <s v="SYN3960"/>
    <n v="23"/>
    <x v="1"/>
    <n v="20"/>
    <n v="42"/>
    <n v="1.23E-3"/>
    <n v="0"/>
    <x v="3"/>
    <x v="1"/>
    <n v="1.23E-3"/>
  </r>
  <r>
    <s v="SYN3961"/>
    <n v="63"/>
    <x v="1"/>
    <n v="25"/>
    <n v="87"/>
    <n v="9.3240000000000003E-2"/>
    <n v="0"/>
    <x v="4"/>
    <x v="1"/>
    <n v="9.3240000000000003E-2"/>
  </r>
  <r>
    <s v="SYN3962"/>
    <n v="63"/>
    <x v="0"/>
    <n v="3"/>
    <n v="65"/>
    <n v="5.5100000000000001E-3"/>
    <n v="0"/>
    <x v="0"/>
    <x v="0"/>
    <n v="5.5100000000000001E-3"/>
  </r>
  <r>
    <s v="SYN3963"/>
    <n v="43"/>
    <x v="1"/>
    <n v="23"/>
    <n v="65"/>
    <n v="8.3099999999999997E-3"/>
    <n v="0"/>
    <x v="0"/>
    <x v="1"/>
    <n v="8.3099999999999997E-3"/>
  </r>
  <r>
    <s v="SYN3964"/>
    <n v="24"/>
    <x v="0"/>
    <n v="19"/>
    <n v="42"/>
    <n v="1.72E-3"/>
    <n v="0"/>
    <x v="3"/>
    <x v="2"/>
    <n v="1.72E-3"/>
  </r>
  <r>
    <s v="SYN3965"/>
    <n v="48"/>
    <x v="1"/>
    <n v="12"/>
    <n v="59"/>
    <n v="3.82E-3"/>
    <n v="0"/>
    <x v="2"/>
    <x v="2"/>
    <n v="3.82E-3"/>
  </r>
  <r>
    <s v="SYN3966"/>
    <n v="51"/>
    <x v="1"/>
    <n v="10"/>
    <n v="60"/>
    <n v="3.8300000000000001E-3"/>
    <n v="0"/>
    <x v="0"/>
    <x v="2"/>
    <n v="3.8300000000000001E-3"/>
  </r>
  <r>
    <s v="SYN3967"/>
    <n v="32"/>
    <x v="1"/>
    <n v="8"/>
    <n v="39"/>
    <n v="6.2E-4"/>
    <n v="0"/>
    <x v="1"/>
    <x v="0"/>
    <n v="6.2E-4"/>
  </r>
  <r>
    <s v="SYN3968"/>
    <n v="42"/>
    <x v="0"/>
    <n v="14"/>
    <n v="55"/>
    <n v="3.5899999999999999E-3"/>
    <n v="0"/>
    <x v="2"/>
    <x v="2"/>
    <n v="3.5899999999999999E-3"/>
  </r>
  <r>
    <s v="SYN3969"/>
    <n v="45"/>
    <x v="1"/>
    <n v="15"/>
    <n v="59"/>
    <n v="4.1200000000000004E-3"/>
    <n v="0"/>
    <x v="2"/>
    <x v="2"/>
    <n v="4.1200000000000004E-3"/>
  </r>
  <r>
    <s v="SYN3970"/>
    <n v="29"/>
    <x v="1"/>
    <n v="5"/>
    <n v="33"/>
    <n v="2.7E-4"/>
    <n v="0"/>
    <x v="1"/>
    <x v="0"/>
    <n v="2.7E-4"/>
  </r>
  <r>
    <s v="SYN3971"/>
    <n v="21"/>
    <x v="0"/>
    <n v="28"/>
    <n v="48"/>
    <n v="2.6099999999999999E-3"/>
    <n v="0"/>
    <x v="3"/>
    <x v="1"/>
    <n v="2.6099999999999999E-3"/>
  </r>
  <r>
    <s v="SYN3972"/>
    <n v="60"/>
    <x v="0"/>
    <n v="5"/>
    <n v="64"/>
    <n v="6.8500000000000002E-3"/>
    <n v="0"/>
    <x v="0"/>
    <x v="0"/>
    <n v="6.8500000000000002E-3"/>
  </r>
  <r>
    <s v="SYN3973"/>
    <n v="62"/>
    <x v="0"/>
    <n v="29"/>
    <n v="90"/>
    <n v="0.11724"/>
    <n v="0"/>
    <x v="7"/>
    <x v="1"/>
    <n v="0.11724"/>
  </r>
  <r>
    <s v="SYN3974"/>
    <n v="31"/>
    <x v="0"/>
    <n v="7"/>
    <n v="37"/>
    <n v="6.0999999999999997E-4"/>
    <n v="0"/>
    <x v="1"/>
    <x v="0"/>
    <n v="6.0999999999999997E-4"/>
  </r>
  <r>
    <s v="SYN3975"/>
    <n v="29"/>
    <x v="0"/>
    <n v="9"/>
    <n v="37"/>
    <n v="6.9999999999999999E-4"/>
    <n v="0"/>
    <x v="1"/>
    <x v="0"/>
    <n v="6.9999999999999999E-4"/>
  </r>
  <r>
    <s v="SYN3976"/>
    <n v="45"/>
    <x v="0"/>
    <n v="6"/>
    <n v="50"/>
    <n v="1.74E-3"/>
    <n v="0"/>
    <x v="2"/>
    <x v="0"/>
    <n v="1.74E-3"/>
  </r>
  <r>
    <s v="SYN3977"/>
    <n v="55"/>
    <x v="0"/>
    <n v="9"/>
    <n v="63"/>
    <n v="7.9900000000000006E-3"/>
    <n v="0"/>
    <x v="0"/>
    <x v="0"/>
    <n v="7.9900000000000006E-3"/>
  </r>
  <r>
    <s v="SYN3978"/>
    <n v="51"/>
    <x v="0"/>
    <n v="14"/>
    <n v="64"/>
    <n v="8.9599999999999992E-3"/>
    <n v="0"/>
    <x v="0"/>
    <x v="2"/>
    <n v="8.9599999999999992E-3"/>
  </r>
  <r>
    <s v="SYN3979"/>
    <n v="51"/>
    <x v="0"/>
    <n v="22"/>
    <n v="72"/>
    <n v="2.1340000000000001E-2"/>
    <n v="0"/>
    <x v="5"/>
    <x v="1"/>
    <n v="2.1340000000000001E-2"/>
  </r>
  <r>
    <s v="SYN3980"/>
    <n v="24"/>
    <x v="1"/>
    <n v="11"/>
    <n v="34"/>
    <n v="4.8000000000000001E-4"/>
    <n v="0"/>
    <x v="1"/>
    <x v="2"/>
    <n v="4.8000000000000001E-4"/>
  </r>
  <r>
    <s v="SYN3981"/>
    <n v="29"/>
    <x v="1"/>
    <n v="8"/>
    <n v="36"/>
    <n v="4.6999999999999999E-4"/>
    <n v="0"/>
    <x v="1"/>
    <x v="0"/>
    <n v="4.6999999999999999E-4"/>
  </r>
  <r>
    <s v="SYN3982"/>
    <n v="33"/>
    <x v="0"/>
    <n v="14"/>
    <n v="46"/>
    <n v="1.6299999999999999E-3"/>
    <n v="0"/>
    <x v="3"/>
    <x v="2"/>
    <n v="1.6299999999999999E-3"/>
  </r>
  <r>
    <s v="SYN3983"/>
    <n v="60"/>
    <x v="0"/>
    <n v="6"/>
    <n v="65"/>
    <n v="8.1399999999999997E-3"/>
    <n v="0"/>
    <x v="0"/>
    <x v="0"/>
    <n v="8.1399999999999997E-3"/>
  </r>
  <r>
    <s v="SYN3984"/>
    <n v="59"/>
    <x v="1"/>
    <n v="14"/>
    <n v="72"/>
    <n v="1.393E-2"/>
    <n v="0"/>
    <x v="5"/>
    <x v="2"/>
    <n v="1.393E-2"/>
  </r>
  <r>
    <s v="SYN3985"/>
    <n v="53"/>
    <x v="0"/>
    <n v="10"/>
    <n v="62"/>
    <n v="7.2700000000000004E-3"/>
    <n v="0"/>
    <x v="0"/>
    <x v="2"/>
    <n v="7.2700000000000004E-3"/>
  </r>
  <r>
    <s v="SYN3986"/>
    <n v="64"/>
    <x v="0"/>
    <n v="28"/>
    <n v="91"/>
    <n v="0.14893999999999999"/>
    <n v="0"/>
    <x v="7"/>
    <x v="1"/>
    <n v="0.14893999999999999"/>
  </r>
  <r>
    <s v="SYN3987"/>
    <n v="50"/>
    <x v="0"/>
    <n v="3"/>
    <n v="52"/>
    <n v="1.7099999999999999E-3"/>
    <n v="0"/>
    <x v="2"/>
    <x v="0"/>
    <n v="1.7099999999999999E-3"/>
  </r>
  <r>
    <s v="SYN3988"/>
    <n v="35"/>
    <x v="1"/>
    <n v="7"/>
    <n v="41"/>
    <n v="6.8000000000000005E-4"/>
    <n v="0"/>
    <x v="3"/>
    <x v="0"/>
    <n v="6.8000000000000005E-4"/>
  </r>
  <r>
    <s v="SYN3989"/>
    <n v="40"/>
    <x v="1"/>
    <n v="21"/>
    <n v="60"/>
    <n v="4.9300000000000004E-3"/>
    <n v="0"/>
    <x v="0"/>
    <x v="1"/>
    <n v="4.9300000000000004E-3"/>
  </r>
  <r>
    <s v="SYN3990"/>
    <n v="37"/>
    <x v="0"/>
    <n v="18"/>
    <n v="54"/>
    <n v="3.4199999999999999E-3"/>
    <n v="0"/>
    <x v="2"/>
    <x v="2"/>
    <n v="3.4199999999999999E-3"/>
  </r>
  <r>
    <s v="SYN3991"/>
    <n v="64"/>
    <x v="1"/>
    <n v="7"/>
    <n v="70"/>
    <n v="8.2500000000000004E-3"/>
    <n v="0"/>
    <x v="5"/>
    <x v="0"/>
    <n v="8.2500000000000004E-3"/>
  </r>
  <r>
    <s v="SYN3992"/>
    <n v="60"/>
    <x v="1"/>
    <n v="19"/>
    <n v="78"/>
    <n v="3.0339999999999999E-2"/>
    <n v="0"/>
    <x v="5"/>
    <x v="2"/>
    <n v="3.0339999999999999E-2"/>
  </r>
  <r>
    <s v="SYN3993"/>
    <n v="57"/>
    <x v="0"/>
    <n v="20"/>
    <n v="76"/>
    <n v="3.32E-2"/>
    <n v="0"/>
    <x v="5"/>
    <x v="1"/>
    <n v="3.32E-2"/>
  </r>
  <r>
    <s v="SYN3994"/>
    <n v="51"/>
    <x v="0"/>
    <n v="19"/>
    <n v="69"/>
    <n v="1.511E-2"/>
    <n v="0"/>
    <x v="0"/>
    <x v="2"/>
    <n v="1.511E-2"/>
  </r>
  <r>
    <s v="SYN3995"/>
    <n v="52"/>
    <x v="0"/>
    <n v="29"/>
    <n v="80"/>
    <n v="3.7220000000000003E-2"/>
    <n v="0"/>
    <x v="4"/>
    <x v="1"/>
    <n v="3.7220000000000003E-2"/>
  </r>
  <r>
    <s v="SYN3996"/>
    <n v="59"/>
    <x v="0"/>
    <n v="11"/>
    <n v="69"/>
    <n v="1.426E-2"/>
    <n v="0"/>
    <x v="0"/>
    <x v="2"/>
    <n v="1.426E-2"/>
  </r>
  <r>
    <s v="SYN3997"/>
    <n v="58"/>
    <x v="1"/>
    <n v="29"/>
    <n v="86"/>
    <n v="5.704E-2"/>
    <n v="0"/>
    <x v="4"/>
    <x v="1"/>
    <n v="5.704E-2"/>
  </r>
  <r>
    <s v="SYN3998"/>
    <n v="37"/>
    <x v="0"/>
    <n v="3"/>
    <n v="39"/>
    <n v="5.8E-4"/>
    <n v="0"/>
    <x v="1"/>
    <x v="0"/>
    <n v="5.8E-4"/>
  </r>
  <r>
    <s v="SYN3999"/>
    <n v="37"/>
    <x v="0"/>
    <n v="23"/>
    <n v="59"/>
    <n v="5.7400000000000003E-3"/>
    <n v="0"/>
    <x v="2"/>
    <x v="1"/>
    <n v="5.7400000000000003E-3"/>
  </r>
  <r>
    <s v="SYN4000"/>
    <n v="23"/>
    <x v="0"/>
    <n v="16"/>
    <n v="38"/>
    <n v="1.14E-3"/>
    <n v="0"/>
    <x v="1"/>
    <x v="2"/>
    <n v="1.14E-3"/>
  </r>
  <r>
    <s v="SYN4001"/>
    <n v="40"/>
    <x v="1"/>
    <n v="12"/>
    <n v="51"/>
    <n v="1.8500000000000001E-3"/>
    <n v="0"/>
    <x v="2"/>
    <x v="2"/>
    <n v="1.8500000000000001E-3"/>
  </r>
  <r>
    <s v="SYN4002"/>
    <n v="29"/>
    <x v="0"/>
    <n v="26"/>
    <n v="54"/>
    <n v="3.7499999999999999E-3"/>
    <n v="0"/>
    <x v="2"/>
    <x v="1"/>
    <n v="3.7499999999999999E-3"/>
  </r>
  <r>
    <s v="SYN4003"/>
    <n v="40"/>
    <x v="1"/>
    <n v="20"/>
    <n v="59"/>
    <n v="4.4200000000000003E-3"/>
    <n v="0"/>
    <x v="2"/>
    <x v="1"/>
    <n v="4.4200000000000003E-3"/>
  </r>
  <r>
    <s v="SYN4004"/>
    <n v="61"/>
    <x v="1"/>
    <n v="7"/>
    <n v="67"/>
    <n v="6.62E-3"/>
    <n v="0"/>
    <x v="0"/>
    <x v="0"/>
    <n v="6.62E-3"/>
  </r>
  <r>
    <s v="SYN4005"/>
    <n v="27"/>
    <x v="1"/>
    <n v="10"/>
    <n v="36"/>
    <n v="5.4000000000000001E-4"/>
    <n v="0"/>
    <x v="1"/>
    <x v="2"/>
    <n v="5.4000000000000001E-4"/>
  </r>
  <r>
    <s v="SYN4006"/>
    <n v="32"/>
    <x v="1"/>
    <n v="17"/>
    <n v="48"/>
    <n v="1.56E-3"/>
    <n v="0"/>
    <x v="3"/>
    <x v="2"/>
    <n v="1.56E-3"/>
  </r>
  <r>
    <s v="SYN4007"/>
    <n v="44"/>
    <x v="1"/>
    <n v="14"/>
    <n v="57"/>
    <n v="3.32E-3"/>
    <n v="0"/>
    <x v="2"/>
    <x v="2"/>
    <n v="3.32E-3"/>
  </r>
  <r>
    <s v="SYN4008"/>
    <n v="39"/>
    <x v="0"/>
    <n v="9"/>
    <n v="47"/>
    <n v="1.5E-3"/>
    <n v="0"/>
    <x v="3"/>
    <x v="0"/>
    <n v="1.5E-3"/>
  </r>
  <r>
    <s v="SYN4009"/>
    <n v="21"/>
    <x v="1"/>
    <n v="21"/>
    <n v="41"/>
    <n v="1.1999999999999999E-3"/>
    <n v="0"/>
    <x v="3"/>
    <x v="1"/>
    <n v="1.1999999999999999E-3"/>
  </r>
  <r>
    <s v="SYN4010"/>
    <n v="43"/>
    <x v="1"/>
    <n v="15"/>
    <n v="57"/>
    <n v="3.3700000000000002E-3"/>
    <n v="0"/>
    <x v="2"/>
    <x v="2"/>
    <n v="3.3700000000000002E-3"/>
  </r>
  <r>
    <s v="SYN4011"/>
    <n v="48"/>
    <x v="0"/>
    <n v="21"/>
    <n v="68"/>
    <n v="1.3950000000000001E-2"/>
    <n v="0"/>
    <x v="0"/>
    <x v="1"/>
    <n v="1.3950000000000001E-2"/>
  </r>
  <r>
    <s v="SYN4012"/>
    <n v="48"/>
    <x v="0"/>
    <n v="25"/>
    <n v="72"/>
    <n v="2.1340000000000001E-2"/>
    <n v="0"/>
    <x v="5"/>
    <x v="1"/>
    <n v="2.1340000000000001E-2"/>
  </r>
  <r>
    <s v="SYN4013"/>
    <n v="49"/>
    <x v="0"/>
    <n v="9"/>
    <n v="57"/>
    <n v="3.9300000000000003E-3"/>
    <n v="0"/>
    <x v="2"/>
    <x v="0"/>
    <n v="3.9300000000000003E-3"/>
  </r>
  <r>
    <s v="SYN4014"/>
    <n v="38"/>
    <x v="1"/>
    <n v="6"/>
    <n v="43"/>
    <n v="7.5000000000000002E-4"/>
    <n v="0"/>
    <x v="3"/>
    <x v="0"/>
    <n v="7.5000000000000002E-4"/>
  </r>
  <r>
    <s v="SYN4015"/>
    <n v="21"/>
    <x v="0"/>
    <n v="4"/>
    <n v="24"/>
    <n v="6.6E-4"/>
    <n v="0"/>
    <x v="6"/>
    <x v="0"/>
    <n v="6.6E-4"/>
  </r>
  <r>
    <s v="SYN4016"/>
    <n v="50"/>
    <x v="0"/>
    <n v="12"/>
    <n v="61"/>
    <n v="6.5500000000000003E-3"/>
    <n v="0"/>
    <x v="0"/>
    <x v="2"/>
    <n v="6.5500000000000003E-3"/>
  </r>
  <r>
    <s v="SYN4017"/>
    <n v="44"/>
    <x v="0"/>
    <n v="18"/>
    <n v="61"/>
    <n v="7.0200000000000002E-3"/>
    <n v="0"/>
    <x v="0"/>
    <x v="2"/>
    <n v="7.0200000000000002E-3"/>
  </r>
  <r>
    <s v="SYN4018"/>
    <n v="40"/>
    <x v="0"/>
    <n v="13"/>
    <n v="52"/>
    <n v="2.64E-3"/>
    <n v="0"/>
    <x v="2"/>
    <x v="2"/>
    <n v="2.64E-3"/>
  </r>
  <r>
    <s v="SYN4019"/>
    <n v="22"/>
    <x v="0"/>
    <n v="21"/>
    <n v="42"/>
    <n v="1.91E-3"/>
    <n v="0"/>
    <x v="3"/>
    <x v="1"/>
    <n v="1.91E-3"/>
  </r>
  <r>
    <s v="SYN4020"/>
    <n v="56"/>
    <x v="1"/>
    <n v="2"/>
    <n v="57"/>
    <n v="1.31E-3"/>
    <n v="0"/>
    <x v="2"/>
    <x v="0"/>
    <n v="1.31E-3"/>
  </r>
  <r>
    <s v="SYN4021"/>
    <n v="65"/>
    <x v="0"/>
    <n v="23"/>
    <n v="87"/>
    <n v="0.11698"/>
    <n v="1"/>
    <x v="4"/>
    <x v="1"/>
    <n v="0.11698"/>
  </r>
  <r>
    <s v="SYN4022"/>
    <n v="24"/>
    <x v="0"/>
    <n v="5"/>
    <n v="28"/>
    <n v="4.6999999999999999E-4"/>
    <n v="0"/>
    <x v="6"/>
    <x v="0"/>
    <n v="4.6999999999999999E-4"/>
  </r>
  <r>
    <s v="SYN4023"/>
    <n v="65"/>
    <x v="0"/>
    <n v="8"/>
    <n v="72"/>
    <n v="1.4579999999999999E-2"/>
    <n v="0"/>
    <x v="5"/>
    <x v="0"/>
    <n v="1.4579999999999999E-2"/>
  </r>
  <r>
    <s v="SYN4024"/>
    <n v="42"/>
    <x v="0"/>
    <n v="11"/>
    <n v="52"/>
    <n v="2.5400000000000002E-3"/>
    <n v="0"/>
    <x v="2"/>
    <x v="2"/>
    <n v="2.5400000000000002E-3"/>
  </r>
  <r>
    <s v="SYN4025"/>
    <n v="24"/>
    <x v="0"/>
    <n v="16"/>
    <n v="39"/>
    <n v="1.1999999999999999E-3"/>
    <n v="0"/>
    <x v="1"/>
    <x v="2"/>
    <n v="1.1999999999999999E-3"/>
  </r>
  <r>
    <s v="SYN4026"/>
    <n v="46"/>
    <x v="1"/>
    <n v="21"/>
    <n v="66"/>
    <n v="9.2399999999999999E-3"/>
    <n v="0"/>
    <x v="0"/>
    <x v="1"/>
    <n v="9.2399999999999999E-3"/>
  </r>
  <r>
    <s v="SYN4027"/>
    <n v="55"/>
    <x v="0"/>
    <n v="27"/>
    <n v="81"/>
    <n v="5.0909999999999997E-2"/>
    <n v="0"/>
    <x v="4"/>
    <x v="1"/>
    <n v="5.0909999999999997E-2"/>
  </r>
  <r>
    <s v="SYN4028"/>
    <n v="30"/>
    <x v="1"/>
    <n v="4"/>
    <n v="33"/>
    <n v="2.5000000000000001E-4"/>
    <n v="0"/>
    <x v="1"/>
    <x v="0"/>
    <n v="2.5000000000000001E-4"/>
  </r>
  <r>
    <s v="SYN4029"/>
    <n v="34"/>
    <x v="0"/>
    <n v="8"/>
    <n v="41"/>
    <n v="9.3000000000000005E-4"/>
    <n v="0"/>
    <x v="3"/>
    <x v="0"/>
    <n v="9.3000000000000005E-4"/>
  </r>
  <r>
    <s v="SYN4030"/>
    <n v="21"/>
    <x v="1"/>
    <n v="2"/>
    <n v="22"/>
    <n v="2.5000000000000001E-4"/>
    <n v="0"/>
    <x v="6"/>
    <x v="0"/>
    <n v="2.5000000000000001E-4"/>
  </r>
  <r>
    <s v="SYN4031"/>
    <n v="50"/>
    <x v="0"/>
    <n v="2"/>
    <n v="51"/>
    <n v="1.1999999999999999E-3"/>
    <n v="0"/>
    <x v="2"/>
    <x v="0"/>
    <n v="1.1999999999999999E-3"/>
  </r>
  <r>
    <s v="SYN4032"/>
    <n v="29"/>
    <x v="0"/>
    <n v="28"/>
    <n v="56"/>
    <n v="3.7499999999999999E-3"/>
    <n v="0"/>
    <x v="2"/>
    <x v="1"/>
    <n v="3.7499999999999999E-3"/>
  </r>
  <r>
    <s v="SYN4033"/>
    <n v="44"/>
    <x v="1"/>
    <n v="25"/>
    <n v="68"/>
    <n v="1.141E-2"/>
    <n v="0"/>
    <x v="0"/>
    <x v="1"/>
    <n v="1.141E-2"/>
  </r>
  <r>
    <s v="SYN4034"/>
    <n v="52"/>
    <x v="0"/>
    <n v="25"/>
    <n v="76"/>
    <n v="3.3419999999999998E-2"/>
    <n v="1"/>
    <x v="5"/>
    <x v="1"/>
    <n v="3.3419999999999998E-2"/>
  </r>
  <r>
    <s v="SYN4035"/>
    <n v="65"/>
    <x v="0"/>
    <n v="23"/>
    <n v="87"/>
    <n v="0.11698"/>
    <n v="1"/>
    <x v="4"/>
    <x v="1"/>
    <n v="0.11698"/>
  </r>
  <r>
    <s v="SYN4036"/>
    <n v="32"/>
    <x v="0"/>
    <n v="19"/>
    <n v="50"/>
    <n v="2.5000000000000001E-3"/>
    <n v="0"/>
    <x v="2"/>
    <x v="2"/>
    <n v="2.5000000000000001E-3"/>
  </r>
  <r>
    <s v="SYN4037"/>
    <n v="51"/>
    <x v="0"/>
    <n v="1"/>
    <n v="51"/>
    <n v="8.5999999999999998E-4"/>
    <n v="0"/>
    <x v="2"/>
    <x v="0"/>
    <n v="8.5999999999999998E-4"/>
  </r>
  <r>
    <s v="SYN4038"/>
    <n v="43"/>
    <x v="1"/>
    <n v="17"/>
    <n v="59"/>
    <n v="4.2199999999999998E-3"/>
    <n v="0"/>
    <x v="2"/>
    <x v="2"/>
    <n v="4.2199999999999998E-3"/>
  </r>
  <r>
    <s v="SYN4039"/>
    <n v="33"/>
    <x v="1"/>
    <n v="5"/>
    <n v="37"/>
    <n v="4.2000000000000002E-4"/>
    <n v="0"/>
    <x v="1"/>
    <x v="0"/>
    <n v="4.2000000000000002E-4"/>
  </r>
  <r>
    <s v="SYN4040"/>
    <n v="59"/>
    <x v="0"/>
    <n v="10"/>
    <n v="68"/>
    <n v="1.282E-2"/>
    <n v="0"/>
    <x v="0"/>
    <x v="2"/>
    <n v="1.282E-2"/>
  </r>
  <r>
    <s v="SYN4041"/>
    <n v="44"/>
    <x v="1"/>
    <n v="6"/>
    <n v="49"/>
    <n v="1.1800000000000001E-3"/>
    <n v="0"/>
    <x v="3"/>
    <x v="0"/>
    <n v="1.1800000000000001E-3"/>
  </r>
  <r>
    <s v="SYN4042"/>
    <n v="36"/>
    <x v="0"/>
    <n v="11"/>
    <n v="46"/>
    <n v="1.4599999999999999E-3"/>
    <n v="0"/>
    <x v="3"/>
    <x v="2"/>
    <n v="1.4599999999999999E-3"/>
  </r>
  <r>
    <s v="SYN4043"/>
    <n v="45"/>
    <x v="1"/>
    <n v="4"/>
    <n v="48"/>
    <n v="9.7999999999999997E-4"/>
    <n v="0"/>
    <x v="3"/>
    <x v="0"/>
    <n v="9.7999999999999997E-4"/>
  </r>
  <r>
    <s v="SYN4044"/>
    <n v="48"/>
    <x v="1"/>
    <n v="20"/>
    <n v="67"/>
    <n v="1.0149999999999999E-2"/>
    <n v="0"/>
    <x v="0"/>
    <x v="1"/>
    <n v="1.0149999999999999E-2"/>
  </r>
  <r>
    <s v="SYN4045"/>
    <n v="45"/>
    <x v="0"/>
    <n v="7"/>
    <n v="51"/>
    <n v="2.0200000000000001E-3"/>
    <n v="0"/>
    <x v="2"/>
    <x v="0"/>
    <n v="2.0200000000000001E-3"/>
  </r>
  <r>
    <s v="SYN4046"/>
    <n v="26"/>
    <x v="1"/>
    <n v="24"/>
    <n v="49"/>
    <n v="1.8699999999999999E-3"/>
    <n v="0"/>
    <x v="3"/>
    <x v="1"/>
    <n v="1.8699999999999999E-3"/>
  </r>
  <r>
    <s v="SYN4047"/>
    <n v="56"/>
    <x v="1"/>
    <n v="24"/>
    <n v="79"/>
    <n v="3.569E-2"/>
    <n v="0"/>
    <x v="5"/>
    <x v="1"/>
    <n v="3.569E-2"/>
  </r>
  <r>
    <s v="SYN4048"/>
    <n v="63"/>
    <x v="1"/>
    <n v="7"/>
    <n v="69"/>
    <n v="7.5300000000000002E-3"/>
    <n v="0"/>
    <x v="0"/>
    <x v="0"/>
    <n v="7.5300000000000002E-3"/>
  </r>
  <r>
    <s v="SYN4049"/>
    <n v="43"/>
    <x v="0"/>
    <n v="15"/>
    <n v="57"/>
    <n v="4.4299999999999999E-3"/>
    <n v="0"/>
    <x v="2"/>
    <x v="2"/>
    <n v="4.4299999999999999E-3"/>
  </r>
  <r>
    <s v="SYN4050"/>
    <n v="56"/>
    <x v="1"/>
    <n v="29"/>
    <n v="84"/>
    <n v="4.4880000000000003E-2"/>
    <n v="0"/>
    <x v="4"/>
    <x v="1"/>
    <n v="4.4880000000000003E-2"/>
  </r>
  <r>
    <s v="SYN4051"/>
    <n v="52"/>
    <x v="0"/>
    <n v="1"/>
    <n v="52"/>
    <n v="8.9999999999999998E-4"/>
    <n v="0"/>
    <x v="2"/>
    <x v="0"/>
    <n v="8.9999999999999998E-4"/>
  </r>
  <r>
    <s v="SYN4052"/>
    <n v="31"/>
    <x v="0"/>
    <n v="28"/>
    <n v="58"/>
    <n v="4.3899999999999998E-3"/>
    <n v="0"/>
    <x v="2"/>
    <x v="1"/>
    <n v="4.3899999999999998E-3"/>
  </r>
  <r>
    <s v="SYN4053"/>
    <n v="44"/>
    <x v="0"/>
    <n v="24"/>
    <n v="67"/>
    <n v="1.273E-2"/>
    <n v="0"/>
    <x v="0"/>
    <x v="1"/>
    <n v="1.273E-2"/>
  </r>
  <r>
    <s v="SYN4054"/>
    <n v="58"/>
    <x v="0"/>
    <n v="25"/>
    <n v="82"/>
    <n v="6.3329999999999997E-2"/>
    <n v="0"/>
    <x v="4"/>
    <x v="1"/>
    <n v="6.3329999999999997E-2"/>
  </r>
  <r>
    <s v="SYN4055"/>
    <n v="55"/>
    <x v="0"/>
    <n v="20"/>
    <n v="74"/>
    <n v="2.6550000000000001E-2"/>
    <n v="0"/>
    <x v="5"/>
    <x v="1"/>
    <n v="2.6550000000000001E-2"/>
  </r>
  <r>
    <s v="SYN4056"/>
    <n v="35"/>
    <x v="1"/>
    <n v="3"/>
    <n v="37"/>
    <n v="3.5E-4"/>
    <n v="0"/>
    <x v="1"/>
    <x v="0"/>
    <n v="3.5E-4"/>
  </r>
  <r>
    <s v="SYN4057"/>
    <n v="21"/>
    <x v="0"/>
    <n v="20"/>
    <n v="40"/>
    <n v="1.67E-3"/>
    <n v="0"/>
    <x v="3"/>
    <x v="1"/>
    <n v="1.67E-3"/>
  </r>
  <r>
    <s v="SYN4058"/>
    <n v="37"/>
    <x v="0"/>
    <n v="30"/>
    <n v="66"/>
    <n v="7.79E-3"/>
    <n v="0"/>
    <x v="0"/>
    <x v="3"/>
    <n v="7.79E-3"/>
  </r>
  <r>
    <s v="SYN4059"/>
    <n v="56"/>
    <x v="0"/>
    <n v="6"/>
    <n v="61"/>
    <n v="5.5900000000000004E-3"/>
    <n v="0"/>
    <x v="0"/>
    <x v="0"/>
    <n v="5.5900000000000004E-3"/>
  </r>
  <r>
    <s v="SYN4060"/>
    <n v="61"/>
    <x v="1"/>
    <n v="7"/>
    <n v="67"/>
    <n v="6.62E-3"/>
    <n v="0"/>
    <x v="0"/>
    <x v="0"/>
    <n v="6.62E-3"/>
  </r>
  <r>
    <s v="SYN4061"/>
    <n v="43"/>
    <x v="0"/>
    <n v="3"/>
    <n v="45"/>
    <n v="9.2000000000000003E-4"/>
    <n v="0"/>
    <x v="3"/>
    <x v="0"/>
    <n v="9.2000000000000003E-4"/>
  </r>
  <r>
    <s v="SYN4062"/>
    <n v="39"/>
    <x v="0"/>
    <n v="25"/>
    <n v="63"/>
    <n v="8.6499999999999997E-3"/>
    <n v="0"/>
    <x v="0"/>
    <x v="1"/>
    <n v="8.6499999999999997E-3"/>
  </r>
  <r>
    <s v="SYN4063"/>
    <n v="29"/>
    <x v="0"/>
    <n v="9"/>
    <n v="37"/>
    <n v="6.9999999999999999E-4"/>
    <n v="0"/>
    <x v="1"/>
    <x v="0"/>
    <n v="6.9999999999999999E-4"/>
  </r>
  <r>
    <s v="SYN4064"/>
    <n v="33"/>
    <x v="1"/>
    <n v="4"/>
    <n v="36"/>
    <n v="3.4000000000000002E-4"/>
    <n v="0"/>
    <x v="1"/>
    <x v="0"/>
    <n v="3.4000000000000002E-4"/>
  </r>
  <r>
    <s v="SYN4065"/>
    <n v="63"/>
    <x v="0"/>
    <n v="26"/>
    <n v="88"/>
    <n v="0.13258"/>
    <n v="0"/>
    <x v="4"/>
    <x v="1"/>
    <n v="0.13258"/>
  </r>
  <r>
    <s v="SYN4066"/>
    <n v="50"/>
    <x v="0"/>
    <n v="6"/>
    <n v="55"/>
    <n v="2.99E-3"/>
    <n v="0"/>
    <x v="2"/>
    <x v="0"/>
    <n v="2.99E-3"/>
  </r>
  <r>
    <s v="SYN4067"/>
    <n v="35"/>
    <x v="1"/>
    <n v="15"/>
    <n v="49"/>
    <n v="1.6199999999999999E-3"/>
    <n v="0"/>
    <x v="3"/>
    <x v="2"/>
    <n v="1.6199999999999999E-3"/>
  </r>
  <r>
    <s v="SYN4068"/>
    <n v="55"/>
    <x v="0"/>
    <n v="9"/>
    <n v="63"/>
    <n v="7.9900000000000006E-3"/>
    <n v="0"/>
    <x v="0"/>
    <x v="0"/>
    <n v="7.9900000000000006E-3"/>
  </r>
  <r>
    <s v="SYN4069"/>
    <n v="50"/>
    <x v="1"/>
    <n v="3"/>
    <n v="52"/>
    <n v="1.2800000000000001E-3"/>
    <n v="0"/>
    <x v="2"/>
    <x v="0"/>
    <n v="1.2800000000000001E-3"/>
  </r>
  <r>
    <s v="SYN4070"/>
    <n v="24"/>
    <x v="1"/>
    <n v="13"/>
    <n v="36"/>
    <n v="6.2E-4"/>
    <n v="0"/>
    <x v="1"/>
    <x v="2"/>
    <n v="6.2E-4"/>
  </r>
  <r>
    <s v="SYN4071"/>
    <n v="51"/>
    <x v="1"/>
    <n v="14"/>
    <n v="64"/>
    <n v="6.6100000000000004E-3"/>
    <n v="0"/>
    <x v="0"/>
    <x v="2"/>
    <n v="6.6100000000000004E-3"/>
  </r>
  <r>
    <s v="SYN4072"/>
    <n v="20"/>
    <x v="1"/>
    <n v="19"/>
    <n v="38"/>
    <n v="1E-3"/>
    <n v="0"/>
    <x v="1"/>
    <x v="2"/>
    <n v="1E-3"/>
  </r>
  <r>
    <s v="SYN4073"/>
    <n v="37"/>
    <x v="0"/>
    <n v="23"/>
    <n v="59"/>
    <n v="5.7400000000000003E-3"/>
    <n v="0"/>
    <x v="2"/>
    <x v="1"/>
    <n v="5.7400000000000003E-3"/>
  </r>
  <r>
    <s v="SYN4074"/>
    <n v="37"/>
    <x v="1"/>
    <n v="1"/>
    <n v="37"/>
    <n v="1.8000000000000001E-4"/>
    <n v="0"/>
    <x v="1"/>
    <x v="0"/>
    <n v="1.8000000000000001E-4"/>
  </r>
  <r>
    <s v="SYN4075"/>
    <n v="32"/>
    <x v="1"/>
    <n v="8"/>
    <n v="39"/>
    <n v="6.2E-4"/>
    <n v="0"/>
    <x v="1"/>
    <x v="0"/>
    <n v="6.2E-4"/>
  </r>
  <r>
    <s v="SYN4076"/>
    <n v="61"/>
    <x v="1"/>
    <n v="2"/>
    <n v="62"/>
    <n v="1.6800000000000001E-3"/>
    <n v="0"/>
    <x v="0"/>
    <x v="0"/>
    <n v="1.6800000000000001E-3"/>
  </r>
  <r>
    <s v="SYN4077"/>
    <n v="47"/>
    <x v="1"/>
    <n v="18"/>
    <n v="64"/>
    <n v="7.2399999999999999E-3"/>
    <n v="0"/>
    <x v="0"/>
    <x v="2"/>
    <n v="7.2399999999999999E-3"/>
  </r>
  <r>
    <s v="SYN4078"/>
    <n v="34"/>
    <x v="1"/>
    <n v="23"/>
    <n v="56"/>
    <n v="3.3700000000000002E-3"/>
    <n v="0"/>
    <x v="2"/>
    <x v="1"/>
    <n v="3.3700000000000002E-3"/>
  </r>
  <r>
    <s v="SYN4079"/>
    <n v="43"/>
    <x v="1"/>
    <n v="3"/>
    <n v="45"/>
    <n v="5.6999999999999998E-4"/>
    <n v="0"/>
    <x v="3"/>
    <x v="0"/>
    <n v="5.6999999999999998E-4"/>
  </r>
  <r>
    <s v="SYN4080"/>
    <n v="50"/>
    <x v="0"/>
    <n v="18"/>
    <n v="67"/>
    <n v="1.2460000000000001E-2"/>
    <n v="0"/>
    <x v="0"/>
    <x v="2"/>
    <n v="1.2460000000000001E-2"/>
  </r>
  <r>
    <s v="SYN4081"/>
    <n v="43"/>
    <x v="1"/>
    <n v="24"/>
    <n v="66"/>
    <n v="9.2399999999999999E-3"/>
    <n v="0"/>
    <x v="0"/>
    <x v="1"/>
    <n v="9.2399999999999999E-3"/>
  </r>
  <r>
    <s v="SYN4082"/>
    <n v="60"/>
    <x v="0"/>
    <n v="12"/>
    <n v="71"/>
    <n v="1.8069999999999999E-2"/>
    <n v="0"/>
    <x v="5"/>
    <x v="2"/>
    <n v="1.8069999999999999E-2"/>
  </r>
  <r>
    <s v="SYN4083"/>
    <n v="43"/>
    <x v="1"/>
    <n v="15"/>
    <n v="57"/>
    <n v="3.3700000000000002E-3"/>
    <n v="0"/>
    <x v="2"/>
    <x v="2"/>
    <n v="3.3700000000000002E-3"/>
  </r>
  <r>
    <s v="SYN4084"/>
    <n v="29"/>
    <x v="1"/>
    <n v="27"/>
    <n v="55"/>
    <n v="2.82E-3"/>
    <n v="0"/>
    <x v="2"/>
    <x v="1"/>
    <n v="2.82E-3"/>
  </r>
  <r>
    <s v="SYN4085"/>
    <n v="63"/>
    <x v="0"/>
    <n v="18"/>
    <n v="80"/>
    <n v="4.9700000000000001E-2"/>
    <n v="0"/>
    <x v="4"/>
    <x v="2"/>
    <n v="4.9700000000000001E-2"/>
  </r>
  <r>
    <s v="SYN4086"/>
    <n v="25"/>
    <x v="0"/>
    <n v="20"/>
    <n v="44"/>
    <n v="1.8799999999999999E-3"/>
    <n v="0"/>
    <x v="3"/>
    <x v="1"/>
    <n v="1.8799999999999999E-3"/>
  </r>
  <r>
    <s v="SYN4087"/>
    <n v="42"/>
    <x v="0"/>
    <n v="21"/>
    <n v="62"/>
    <n v="7.7400000000000004E-3"/>
    <n v="0"/>
    <x v="0"/>
    <x v="1"/>
    <n v="7.7400000000000004E-3"/>
  </r>
  <r>
    <s v="SYN4088"/>
    <n v="63"/>
    <x v="1"/>
    <n v="6"/>
    <n v="68"/>
    <n v="6.8399999999999997E-3"/>
    <n v="0"/>
    <x v="0"/>
    <x v="0"/>
    <n v="6.8399999999999997E-3"/>
  </r>
  <r>
    <s v="SYN4089"/>
    <n v="60"/>
    <x v="1"/>
    <n v="5"/>
    <n v="64"/>
    <n v="4.9800000000000001E-3"/>
    <n v="0"/>
    <x v="0"/>
    <x v="0"/>
    <n v="4.9800000000000001E-3"/>
  </r>
  <r>
    <s v="SYN4090"/>
    <n v="30"/>
    <x v="1"/>
    <n v="28"/>
    <n v="57"/>
    <n v="3.0799999999999998E-3"/>
    <n v="0"/>
    <x v="2"/>
    <x v="1"/>
    <n v="3.0799999999999998E-3"/>
  </r>
  <r>
    <s v="SYN4091"/>
    <n v="33"/>
    <x v="1"/>
    <n v="27"/>
    <n v="59"/>
    <n v="4.0499999999999998E-3"/>
    <n v="0"/>
    <x v="2"/>
    <x v="1"/>
    <n v="4.0499999999999998E-3"/>
  </r>
  <r>
    <s v="SYN4092"/>
    <n v="46"/>
    <x v="0"/>
    <n v="29"/>
    <n v="74"/>
    <n v="1.9089999999999999E-2"/>
    <n v="0"/>
    <x v="5"/>
    <x v="1"/>
    <n v="1.9089999999999999E-2"/>
  </r>
  <r>
    <s v="SYN4093"/>
    <n v="22"/>
    <x v="0"/>
    <n v="17"/>
    <n v="38"/>
    <n v="1.2099999999999999E-3"/>
    <n v="0"/>
    <x v="1"/>
    <x v="2"/>
    <n v="1.2099999999999999E-3"/>
  </r>
  <r>
    <s v="SYN4094"/>
    <n v="55"/>
    <x v="1"/>
    <n v="22"/>
    <n v="76"/>
    <n v="2.58E-2"/>
    <n v="0"/>
    <x v="5"/>
    <x v="1"/>
    <n v="2.58E-2"/>
  </r>
  <r>
    <s v="SYN4095"/>
    <n v="63"/>
    <x v="1"/>
    <n v="23"/>
    <n v="85"/>
    <n v="7.2980000000000003E-2"/>
    <n v="0"/>
    <x v="4"/>
    <x v="1"/>
    <n v="7.2980000000000003E-2"/>
  </r>
  <r>
    <s v="SYN4096"/>
    <n v="40"/>
    <x v="1"/>
    <n v="24"/>
    <n v="63"/>
    <n v="6.7200000000000003E-3"/>
    <n v="0"/>
    <x v="0"/>
    <x v="1"/>
    <n v="6.7200000000000003E-3"/>
  </r>
  <r>
    <s v="SYN4097"/>
    <n v="45"/>
    <x v="1"/>
    <n v="17"/>
    <n v="61"/>
    <n v="5.1700000000000001E-3"/>
    <n v="0"/>
    <x v="0"/>
    <x v="2"/>
    <n v="5.1700000000000001E-3"/>
  </r>
  <r>
    <s v="SYN4098"/>
    <n v="56"/>
    <x v="1"/>
    <n v="12"/>
    <n v="67"/>
    <n v="7.9000000000000008E-3"/>
    <n v="0"/>
    <x v="0"/>
    <x v="2"/>
    <n v="7.9000000000000008E-3"/>
  </r>
  <r>
    <s v="SYN4099"/>
    <n v="26"/>
    <x v="1"/>
    <n v="8"/>
    <n v="33"/>
    <n v="3.8000000000000002E-4"/>
    <n v="0"/>
    <x v="1"/>
    <x v="0"/>
    <n v="3.8000000000000002E-4"/>
  </r>
  <r>
    <s v="SYN4100"/>
    <n v="64"/>
    <x v="1"/>
    <n v="29"/>
    <n v="92"/>
    <n v="0.11754000000000001"/>
    <n v="0"/>
    <x v="7"/>
    <x v="1"/>
    <n v="0.11754000000000001"/>
  </r>
  <r>
    <s v="SYN4101"/>
    <n v="52"/>
    <x v="0"/>
    <n v="26"/>
    <n v="77"/>
    <n v="3.7220000000000003E-2"/>
    <n v="0"/>
    <x v="5"/>
    <x v="1"/>
    <n v="3.7220000000000003E-2"/>
  </r>
  <r>
    <s v="SYN4102"/>
    <n v="24"/>
    <x v="1"/>
    <n v="23"/>
    <n v="46"/>
    <n v="1.49E-3"/>
    <n v="0"/>
    <x v="3"/>
    <x v="1"/>
    <n v="1.49E-3"/>
  </r>
  <r>
    <s v="SYN4103"/>
    <n v="45"/>
    <x v="1"/>
    <n v="10"/>
    <n v="54"/>
    <n v="2.2300000000000002E-3"/>
    <n v="0"/>
    <x v="2"/>
    <x v="2"/>
    <n v="2.2300000000000002E-3"/>
  </r>
  <r>
    <s v="SYN4104"/>
    <n v="26"/>
    <x v="0"/>
    <n v="27"/>
    <n v="52"/>
    <n v="3.0899999999999999E-3"/>
    <n v="0"/>
    <x v="2"/>
    <x v="1"/>
    <n v="3.0899999999999999E-3"/>
  </r>
  <r>
    <s v="SYN4105"/>
    <n v="38"/>
    <x v="0"/>
    <n v="4"/>
    <n v="41"/>
    <n v="7.3999999999999999E-4"/>
    <n v="0"/>
    <x v="3"/>
    <x v="0"/>
    <n v="7.3999999999999999E-4"/>
  </r>
  <r>
    <s v="SYN4106"/>
    <n v="63"/>
    <x v="0"/>
    <n v="3"/>
    <n v="65"/>
    <n v="5.5100000000000001E-3"/>
    <n v="0"/>
    <x v="0"/>
    <x v="0"/>
    <n v="5.5100000000000001E-3"/>
  </r>
  <r>
    <s v="SYN4107"/>
    <n v="27"/>
    <x v="1"/>
    <n v="14"/>
    <n v="40"/>
    <n v="9.2000000000000003E-4"/>
    <n v="0"/>
    <x v="3"/>
    <x v="2"/>
    <n v="9.2000000000000003E-4"/>
  </r>
  <r>
    <s v="SYN4108"/>
    <n v="20"/>
    <x v="1"/>
    <n v="23"/>
    <n v="42"/>
    <n v="1.24E-3"/>
    <n v="0"/>
    <x v="3"/>
    <x v="1"/>
    <n v="1.24E-3"/>
  </r>
  <r>
    <s v="SYN4109"/>
    <n v="43"/>
    <x v="0"/>
    <n v="7"/>
    <n v="49"/>
    <n v="1.66E-3"/>
    <n v="0"/>
    <x v="3"/>
    <x v="0"/>
    <n v="1.66E-3"/>
  </r>
  <r>
    <s v="SYN4110"/>
    <n v="50"/>
    <x v="1"/>
    <n v="21"/>
    <n v="70"/>
    <n v="1.404E-2"/>
    <n v="0"/>
    <x v="5"/>
    <x v="1"/>
    <n v="1.404E-2"/>
  </r>
  <r>
    <s v="SYN4111"/>
    <n v="51"/>
    <x v="0"/>
    <n v="2"/>
    <n v="52"/>
    <n v="1.34E-3"/>
    <n v="0"/>
    <x v="2"/>
    <x v="0"/>
    <n v="1.34E-3"/>
  </r>
  <r>
    <s v="SYN4112"/>
    <n v="36"/>
    <x v="0"/>
    <n v="23"/>
    <n v="58"/>
    <n v="5.2199999999999998E-3"/>
    <n v="0"/>
    <x v="2"/>
    <x v="1"/>
    <n v="5.2199999999999998E-3"/>
  </r>
  <r>
    <s v="SYN4113"/>
    <n v="54"/>
    <x v="0"/>
    <n v="25"/>
    <n v="78"/>
    <n v="4.1189999999999997E-2"/>
    <n v="0"/>
    <x v="5"/>
    <x v="1"/>
    <n v="4.1189999999999997E-2"/>
  </r>
  <r>
    <s v="SYN4114"/>
    <n v="59"/>
    <x v="0"/>
    <n v="29"/>
    <n v="87"/>
    <n v="8.0629999999999993E-2"/>
    <n v="0"/>
    <x v="4"/>
    <x v="1"/>
    <n v="8.0629999999999993E-2"/>
  </r>
  <r>
    <s v="SYN4115"/>
    <n v="51"/>
    <x v="0"/>
    <n v="1"/>
    <n v="51"/>
    <n v="8.5999999999999998E-4"/>
    <n v="0"/>
    <x v="2"/>
    <x v="0"/>
    <n v="8.5999999999999998E-4"/>
  </r>
  <r>
    <s v="SYN4116"/>
    <n v="25"/>
    <x v="0"/>
    <n v="16"/>
    <n v="40"/>
    <n v="1.2800000000000001E-3"/>
    <n v="0"/>
    <x v="3"/>
    <x v="2"/>
    <n v="1.2800000000000001E-3"/>
  </r>
  <r>
    <s v="SYN4117"/>
    <n v="35"/>
    <x v="1"/>
    <n v="24"/>
    <n v="58"/>
    <n v="4.0499999999999998E-3"/>
    <n v="0"/>
    <x v="2"/>
    <x v="1"/>
    <n v="4.0499999999999998E-3"/>
  </r>
  <r>
    <s v="SYN4118"/>
    <n v="26"/>
    <x v="0"/>
    <n v="15"/>
    <n v="40"/>
    <n v="1.23E-3"/>
    <n v="0"/>
    <x v="3"/>
    <x v="2"/>
    <n v="1.23E-3"/>
  </r>
  <r>
    <s v="SYN4119"/>
    <n v="58"/>
    <x v="0"/>
    <n v="16"/>
    <n v="73"/>
    <n v="2.367E-2"/>
    <n v="0"/>
    <x v="5"/>
    <x v="2"/>
    <n v="2.367E-2"/>
  </r>
  <r>
    <s v="SYN4120"/>
    <n v="65"/>
    <x v="0"/>
    <n v="28"/>
    <n v="92"/>
    <n v="0.16611999999999999"/>
    <n v="0"/>
    <x v="7"/>
    <x v="1"/>
    <n v="0.16611999999999999"/>
  </r>
  <r>
    <s v="SYN4121"/>
    <n v="26"/>
    <x v="1"/>
    <n v="1"/>
    <n v="26"/>
    <n v="1.3999999999999999E-4"/>
    <n v="0"/>
    <x v="6"/>
    <x v="0"/>
    <n v="1.3999999999999999E-4"/>
  </r>
  <r>
    <s v="SYN4122"/>
    <n v="63"/>
    <x v="0"/>
    <n v="25"/>
    <n v="87"/>
    <n v="0.11724"/>
    <n v="0"/>
    <x v="4"/>
    <x v="1"/>
    <n v="0.11724"/>
  </r>
  <r>
    <s v="SYN4123"/>
    <n v="24"/>
    <x v="0"/>
    <n v="17"/>
    <n v="40"/>
    <n v="1.3600000000000001E-3"/>
    <n v="0"/>
    <x v="3"/>
    <x v="2"/>
    <n v="1.3600000000000001E-3"/>
  </r>
  <r>
    <s v="SYN4124"/>
    <n v="56"/>
    <x v="1"/>
    <n v="13"/>
    <n v="68"/>
    <n v="9.1299999999999992E-3"/>
    <n v="0"/>
    <x v="0"/>
    <x v="2"/>
    <n v="9.1299999999999992E-3"/>
  </r>
  <r>
    <s v="SYN4125"/>
    <n v="23"/>
    <x v="1"/>
    <n v="9"/>
    <n v="31"/>
    <n v="3.8000000000000002E-4"/>
    <n v="0"/>
    <x v="1"/>
    <x v="0"/>
    <n v="3.8000000000000002E-4"/>
  </r>
  <r>
    <s v="SYN4126"/>
    <n v="51"/>
    <x v="1"/>
    <n v="6"/>
    <n v="56"/>
    <n v="2.2699999999999999E-3"/>
    <n v="0"/>
    <x v="2"/>
    <x v="0"/>
    <n v="2.2699999999999999E-3"/>
  </r>
  <r>
    <s v="SYN4127"/>
    <n v="30"/>
    <x v="0"/>
    <n v="2"/>
    <n v="31"/>
    <n v="2.9E-4"/>
    <n v="0"/>
    <x v="1"/>
    <x v="0"/>
    <n v="2.9E-4"/>
  </r>
  <r>
    <s v="SYN4128"/>
    <n v="27"/>
    <x v="0"/>
    <n v="22"/>
    <n v="48"/>
    <n v="2.2699999999999999E-3"/>
    <n v="0"/>
    <x v="3"/>
    <x v="1"/>
    <n v="2.2699999999999999E-3"/>
  </r>
  <r>
    <s v="SYN4129"/>
    <n v="32"/>
    <x v="0"/>
    <n v="16"/>
    <n v="47"/>
    <n v="1.91E-3"/>
    <n v="0"/>
    <x v="3"/>
    <x v="2"/>
    <n v="1.91E-3"/>
  </r>
  <r>
    <s v="SYN4130"/>
    <n v="61"/>
    <x v="0"/>
    <n v="29"/>
    <n v="89"/>
    <n v="0.10347000000000001"/>
    <n v="0"/>
    <x v="4"/>
    <x v="1"/>
    <n v="0.10347000000000001"/>
  </r>
  <r>
    <s v="SYN4131"/>
    <n v="39"/>
    <x v="0"/>
    <n v="6"/>
    <n v="44"/>
    <n v="1.06E-3"/>
    <n v="0"/>
    <x v="3"/>
    <x v="0"/>
    <n v="1.06E-3"/>
  </r>
  <r>
    <s v="SYN4132"/>
    <n v="57"/>
    <x v="0"/>
    <n v="28"/>
    <n v="84"/>
    <n v="6.3329999999999997E-2"/>
    <n v="0"/>
    <x v="4"/>
    <x v="1"/>
    <n v="6.3329999999999997E-2"/>
  </r>
  <r>
    <s v="SYN4133"/>
    <n v="64"/>
    <x v="0"/>
    <n v="30"/>
    <n v="93"/>
    <n v="0.14893999999999999"/>
    <n v="0"/>
    <x v="7"/>
    <x v="3"/>
    <n v="0.14893999999999999"/>
  </r>
  <r>
    <s v="SYN4134"/>
    <n v="28"/>
    <x v="1"/>
    <n v="24"/>
    <n v="51"/>
    <n v="2.1900000000000001E-3"/>
    <n v="0"/>
    <x v="2"/>
    <x v="1"/>
    <n v="2.1900000000000001E-3"/>
  </r>
  <r>
    <s v="SYN4135"/>
    <n v="21"/>
    <x v="0"/>
    <n v="15"/>
    <n v="35"/>
    <n v="9.3000000000000005E-4"/>
    <n v="0"/>
    <x v="1"/>
    <x v="2"/>
    <n v="9.3000000000000005E-4"/>
  </r>
  <r>
    <s v="SYN4136"/>
    <n v="47"/>
    <x v="1"/>
    <n v="1"/>
    <n v="47"/>
    <n v="3.6000000000000002E-4"/>
    <n v="0"/>
    <x v="3"/>
    <x v="0"/>
    <n v="3.6000000000000002E-4"/>
  </r>
  <r>
    <s v="SYN4137"/>
    <n v="43"/>
    <x v="1"/>
    <n v="21"/>
    <n v="63"/>
    <n v="6.7200000000000003E-3"/>
    <n v="0"/>
    <x v="0"/>
    <x v="1"/>
    <n v="6.7200000000000003E-3"/>
  </r>
  <r>
    <s v="SYN4138"/>
    <n v="22"/>
    <x v="0"/>
    <n v="9"/>
    <n v="30"/>
    <n v="5.9000000000000003E-4"/>
    <n v="0"/>
    <x v="1"/>
    <x v="0"/>
    <n v="5.9000000000000003E-4"/>
  </r>
  <r>
    <s v="SYN4139"/>
    <n v="24"/>
    <x v="0"/>
    <n v="3"/>
    <n v="26"/>
    <n v="4.4999999999999999E-4"/>
    <n v="0"/>
    <x v="6"/>
    <x v="0"/>
    <n v="4.4999999999999999E-4"/>
  </r>
  <r>
    <s v="SYN4140"/>
    <n v="62"/>
    <x v="0"/>
    <n v="12"/>
    <n v="73"/>
    <n v="2.103E-2"/>
    <n v="0"/>
    <x v="5"/>
    <x v="2"/>
    <n v="2.103E-2"/>
  </r>
  <r>
    <s v="SYN4141"/>
    <n v="35"/>
    <x v="1"/>
    <n v="30"/>
    <n v="64"/>
    <n v="4.9300000000000004E-3"/>
    <n v="0"/>
    <x v="0"/>
    <x v="3"/>
    <n v="4.9300000000000004E-3"/>
  </r>
  <r>
    <s v="SYN4142"/>
    <n v="21"/>
    <x v="0"/>
    <n v="6"/>
    <n v="26"/>
    <n v="6.8000000000000005E-4"/>
    <n v="0"/>
    <x v="6"/>
    <x v="0"/>
    <n v="6.8000000000000005E-4"/>
  </r>
  <r>
    <s v="SYN4143"/>
    <n v="32"/>
    <x v="1"/>
    <n v="15"/>
    <n v="46"/>
    <n v="1.2600000000000001E-3"/>
    <n v="0"/>
    <x v="3"/>
    <x v="2"/>
    <n v="1.2600000000000001E-3"/>
  </r>
  <r>
    <s v="SYN4144"/>
    <n v="55"/>
    <x v="0"/>
    <n v="9"/>
    <n v="63"/>
    <n v="7.9900000000000006E-3"/>
    <n v="0"/>
    <x v="0"/>
    <x v="0"/>
    <n v="7.9900000000000006E-3"/>
  </r>
  <r>
    <s v="SYN4145"/>
    <n v="62"/>
    <x v="1"/>
    <n v="6"/>
    <n v="67"/>
    <n v="6.43E-3"/>
    <n v="0"/>
    <x v="0"/>
    <x v="0"/>
    <n v="6.43E-3"/>
  </r>
  <r>
    <s v="SYN4146"/>
    <n v="22"/>
    <x v="0"/>
    <n v="8"/>
    <n v="29"/>
    <n v="5.9000000000000003E-4"/>
    <n v="0"/>
    <x v="6"/>
    <x v="0"/>
    <n v="5.9000000000000003E-4"/>
  </r>
  <r>
    <s v="SYN4147"/>
    <n v="64"/>
    <x v="0"/>
    <n v="13"/>
    <n v="76"/>
    <n v="2.7050000000000001E-2"/>
    <n v="0"/>
    <x v="5"/>
    <x v="2"/>
    <n v="2.7050000000000001E-2"/>
  </r>
  <r>
    <s v="SYN4148"/>
    <n v="20"/>
    <x v="1"/>
    <n v="4"/>
    <n v="23"/>
    <n v="2.9999999999999997E-4"/>
    <n v="0"/>
    <x v="6"/>
    <x v="0"/>
    <n v="2.9999999999999997E-4"/>
  </r>
  <r>
    <s v="SYN4149"/>
    <n v="53"/>
    <x v="0"/>
    <n v="1"/>
    <n v="53"/>
    <n v="9.5E-4"/>
    <n v="0"/>
    <x v="2"/>
    <x v="0"/>
    <n v="9.5E-4"/>
  </r>
  <r>
    <s v="SYN4150"/>
    <n v="40"/>
    <x v="0"/>
    <n v="30"/>
    <n v="69"/>
    <n v="1.064E-2"/>
    <n v="0"/>
    <x v="0"/>
    <x v="3"/>
    <n v="1.064E-2"/>
  </r>
  <r>
    <s v="SYN4151"/>
    <n v="33"/>
    <x v="1"/>
    <n v="7"/>
    <n v="39"/>
    <n v="5.8E-4"/>
    <n v="0"/>
    <x v="1"/>
    <x v="0"/>
    <n v="5.8E-4"/>
  </r>
  <r>
    <s v="SYN4152"/>
    <n v="33"/>
    <x v="0"/>
    <n v="4"/>
    <n v="36"/>
    <n v="5.1999999999999995E-4"/>
    <n v="0"/>
    <x v="1"/>
    <x v="0"/>
    <n v="5.1999999999999995E-4"/>
  </r>
  <r>
    <s v="SYN4153"/>
    <n v="60"/>
    <x v="1"/>
    <n v="18"/>
    <n v="77"/>
    <n v="2.649E-2"/>
    <n v="0"/>
    <x v="5"/>
    <x v="2"/>
    <n v="2.649E-2"/>
  </r>
  <r>
    <s v="SYN4154"/>
    <n v="62"/>
    <x v="1"/>
    <n v="5"/>
    <n v="66"/>
    <n v="5.8500000000000002E-3"/>
    <n v="0"/>
    <x v="0"/>
    <x v="0"/>
    <n v="5.8500000000000002E-3"/>
  </r>
  <r>
    <s v="SYN4155"/>
    <n v="24"/>
    <x v="1"/>
    <n v="16"/>
    <n v="39"/>
    <n v="9.2000000000000003E-4"/>
    <n v="0"/>
    <x v="1"/>
    <x v="2"/>
    <n v="9.2000000000000003E-4"/>
  </r>
  <r>
    <s v="SYN4156"/>
    <n v="56"/>
    <x v="0"/>
    <n v="6"/>
    <n v="61"/>
    <n v="5.5900000000000004E-3"/>
    <n v="0"/>
    <x v="0"/>
    <x v="0"/>
    <n v="5.5900000000000004E-3"/>
  </r>
  <r>
    <s v="SYN4157"/>
    <n v="60"/>
    <x v="1"/>
    <n v="12"/>
    <n v="71"/>
    <n v="1.11E-2"/>
    <n v="0"/>
    <x v="5"/>
    <x v="2"/>
    <n v="1.11E-2"/>
  </r>
  <r>
    <s v="SYN4158"/>
    <n v="46"/>
    <x v="1"/>
    <n v="2"/>
    <n v="47"/>
    <n v="4.6000000000000001E-4"/>
    <n v="0"/>
    <x v="3"/>
    <x v="0"/>
    <n v="4.6000000000000001E-4"/>
  </r>
  <r>
    <s v="SYN4159"/>
    <n v="40"/>
    <x v="0"/>
    <n v="25"/>
    <n v="64"/>
    <n v="9.5899999999999996E-3"/>
    <n v="0"/>
    <x v="0"/>
    <x v="1"/>
    <n v="9.5899999999999996E-3"/>
  </r>
  <r>
    <s v="SYN4160"/>
    <n v="43"/>
    <x v="0"/>
    <n v="13"/>
    <n v="55"/>
    <n v="3.5400000000000002E-3"/>
    <n v="0"/>
    <x v="2"/>
    <x v="2"/>
    <n v="3.5400000000000002E-3"/>
  </r>
  <r>
    <s v="SYN4161"/>
    <n v="34"/>
    <x v="1"/>
    <n v="24"/>
    <n v="57"/>
    <n v="3.6900000000000001E-3"/>
    <n v="0"/>
    <x v="2"/>
    <x v="1"/>
    <n v="3.6900000000000001E-3"/>
  </r>
  <r>
    <s v="SYN4162"/>
    <n v="52"/>
    <x v="0"/>
    <n v="29"/>
    <n v="80"/>
    <n v="3.7220000000000003E-2"/>
    <n v="0"/>
    <x v="4"/>
    <x v="1"/>
    <n v="3.7220000000000003E-2"/>
  </r>
  <r>
    <s v="SYN4163"/>
    <n v="60"/>
    <x v="0"/>
    <n v="6"/>
    <n v="65"/>
    <n v="8.1399999999999997E-3"/>
    <n v="0"/>
    <x v="0"/>
    <x v="0"/>
    <n v="8.1399999999999997E-3"/>
  </r>
  <r>
    <s v="SYN4164"/>
    <n v="51"/>
    <x v="0"/>
    <n v="25"/>
    <n v="75"/>
    <n v="3.006E-2"/>
    <n v="0"/>
    <x v="5"/>
    <x v="1"/>
    <n v="3.006E-2"/>
  </r>
  <r>
    <s v="SYN4165"/>
    <n v="46"/>
    <x v="1"/>
    <n v="3"/>
    <n v="48"/>
    <n v="7.5000000000000002E-4"/>
    <n v="0"/>
    <x v="3"/>
    <x v="0"/>
    <n v="7.5000000000000002E-4"/>
  </r>
  <r>
    <s v="SYN4166"/>
    <n v="29"/>
    <x v="1"/>
    <n v="25"/>
    <n v="53"/>
    <n v="2.5899999999999999E-3"/>
    <n v="0"/>
    <x v="2"/>
    <x v="1"/>
    <n v="2.5899999999999999E-3"/>
  </r>
  <r>
    <s v="SYN4167"/>
    <n v="45"/>
    <x v="0"/>
    <n v="9"/>
    <n v="53"/>
    <n v="2.63E-3"/>
    <n v="0"/>
    <x v="2"/>
    <x v="0"/>
    <n v="2.63E-3"/>
  </r>
  <r>
    <s v="SYN4168"/>
    <n v="41"/>
    <x v="1"/>
    <n v="10"/>
    <n v="50"/>
    <n v="1.58E-3"/>
    <n v="0"/>
    <x v="2"/>
    <x v="2"/>
    <n v="1.58E-3"/>
  </r>
  <r>
    <s v="SYN4169"/>
    <n v="39"/>
    <x v="1"/>
    <n v="28"/>
    <n v="66"/>
    <n v="7.4700000000000001E-3"/>
    <n v="0"/>
    <x v="0"/>
    <x v="1"/>
    <n v="7.4700000000000001E-3"/>
  </r>
  <r>
    <s v="SYN4170"/>
    <n v="44"/>
    <x v="1"/>
    <n v="25"/>
    <n v="68"/>
    <n v="1.141E-2"/>
    <n v="0"/>
    <x v="0"/>
    <x v="1"/>
    <n v="1.141E-2"/>
  </r>
  <r>
    <s v="SYN4171"/>
    <n v="64"/>
    <x v="1"/>
    <n v="18"/>
    <n v="81"/>
    <n v="4.3799999999999999E-2"/>
    <n v="0"/>
    <x v="4"/>
    <x v="2"/>
    <n v="4.3799999999999999E-2"/>
  </r>
  <r>
    <s v="SYN4172"/>
    <n v="62"/>
    <x v="1"/>
    <n v="26"/>
    <n v="87"/>
    <n v="9.3240000000000003E-2"/>
    <n v="0"/>
    <x v="4"/>
    <x v="1"/>
    <n v="9.3240000000000003E-2"/>
  </r>
  <r>
    <s v="SYN4173"/>
    <n v="25"/>
    <x v="0"/>
    <n v="23"/>
    <n v="47"/>
    <n v="2.2599999999999999E-3"/>
    <n v="0"/>
    <x v="3"/>
    <x v="1"/>
    <n v="2.2599999999999999E-3"/>
  </r>
  <r>
    <s v="SYN4174"/>
    <n v="53"/>
    <x v="1"/>
    <n v="20"/>
    <n v="72"/>
    <n v="1.66E-2"/>
    <n v="0"/>
    <x v="5"/>
    <x v="1"/>
    <n v="1.66E-2"/>
  </r>
  <r>
    <s v="SYN4175"/>
    <n v="37"/>
    <x v="0"/>
    <n v="30"/>
    <n v="66"/>
    <n v="7.79E-3"/>
    <n v="0"/>
    <x v="0"/>
    <x v="3"/>
    <n v="7.79E-3"/>
  </r>
  <r>
    <s v="SYN4176"/>
    <n v="52"/>
    <x v="0"/>
    <n v="8"/>
    <n v="59"/>
    <n v="4.9300000000000004E-3"/>
    <n v="0"/>
    <x v="2"/>
    <x v="0"/>
    <n v="4.9300000000000004E-3"/>
  </r>
  <r>
    <s v="SYN4177"/>
    <n v="35"/>
    <x v="0"/>
    <n v="19"/>
    <n v="53"/>
    <n v="3.2200000000000002E-3"/>
    <n v="0"/>
    <x v="2"/>
    <x v="2"/>
    <n v="3.2200000000000002E-3"/>
  </r>
  <r>
    <s v="SYN4178"/>
    <n v="32"/>
    <x v="0"/>
    <n v="27"/>
    <n v="58"/>
    <n v="4.7800000000000004E-3"/>
    <n v="0"/>
    <x v="2"/>
    <x v="1"/>
    <n v="4.7800000000000004E-3"/>
  </r>
  <r>
    <s v="SYN4179"/>
    <n v="37"/>
    <x v="1"/>
    <n v="9"/>
    <n v="45"/>
    <n v="8.8000000000000003E-4"/>
    <n v="0"/>
    <x v="3"/>
    <x v="0"/>
    <n v="8.8000000000000003E-4"/>
  </r>
  <r>
    <s v="SYN4180"/>
    <n v="32"/>
    <x v="1"/>
    <n v="25"/>
    <n v="56"/>
    <n v="3.3700000000000002E-3"/>
    <n v="0"/>
    <x v="2"/>
    <x v="1"/>
    <n v="3.3700000000000002E-3"/>
  </r>
  <r>
    <s v="SYN4181"/>
    <n v="64"/>
    <x v="0"/>
    <n v="10"/>
    <n v="73"/>
    <n v="1.8110000000000001E-2"/>
    <n v="0"/>
    <x v="5"/>
    <x v="2"/>
    <n v="1.8110000000000001E-2"/>
  </r>
  <r>
    <s v="SYN4182"/>
    <n v="65"/>
    <x v="1"/>
    <n v="18"/>
    <n v="82"/>
    <n v="4.897E-2"/>
    <n v="0"/>
    <x v="4"/>
    <x v="2"/>
    <n v="4.897E-2"/>
  </r>
  <r>
    <s v="SYN4183"/>
    <n v="49"/>
    <x v="1"/>
    <n v="19"/>
    <n v="67"/>
    <n v="1.001E-2"/>
    <n v="0"/>
    <x v="0"/>
    <x v="2"/>
    <n v="1.001E-2"/>
  </r>
  <r>
    <s v="SYN4184"/>
    <n v="38"/>
    <x v="0"/>
    <n v="21"/>
    <n v="58"/>
    <n v="5.2199999999999998E-3"/>
    <n v="0"/>
    <x v="2"/>
    <x v="1"/>
    <n v="5.2199999999999998E-3"/>
  </r>
  <r>
    <s v="SYN4185"/>
    <n v="60"/>
    <x v="0"/>
    <n v="27"/>
    <n v="86"/>
    <n v="9.1270000000000004E-2"/>
    <n v="0"/>
    <x v="4"/>
    <x v="1"/>
    <n v="9.1270000000000004E-2"/>
  </r>
  <r>
    <s v="SYN4186"/>
    <n v="51"/>
    <x v="0"/>
    <n v="12"/>
    <n v="62"/>
    <n v="7.2700000000000004E-3"/>
    <n v="0"/>
    <x v="0"/>
    <x v="2"/>
    <n v="7.2700000000000004E-3"/>
  </r>
  <r>
    <s v="SYN4187"/>
    <n v="37"/>
    <x v="1"/>
    <n v="30"/>
    <n v="66"/>
    <n v="6.0499999999999998E-3"/>
    <n v="0"/>
    <x v="0"/>
    <x v="3"/>
    <n v="6.0499999999999998E-3"/>
  </r>
  <r>
    <s v="SYN4188"/>
    <n v="29"/>
    <x v="1"/>
    <n v="9"/>
    <n v="37"/>
    <n v="5.5999999999999995E-4"/>
    <n v="0"/>
    <x v="1"/>
    <x v="0"/>
    <n v="5.5999999999999995E-4"/>
  </r>
  <r>
    <s v="SYN4189"/>
    <n v="44"/>
    <x v="1"/>
    <n v="27"/>
    <n v="70"/>
    <n v="1.2659999999999999E-2"/>
    <n v="0"/>
    <x v="5"/>
    <x v="1"/>
    <n v="1.2659999999999999E-2"/>
  </r>
  <r>
    <s v="SYN4190"/>
    <n v="24"/>
    <x v="1"/>
    <n v="7"/>
    <n v="30"/>
    <n v="3.1E-4"/>
    <n v="0"/>
    <x v="1"/>
    <x v="0"/>
    <n v="3.1E-4"/>
  </r>
  <r>
    <s v="SYN4191"/>
    <n v="51"/>
    <x v="1"/>
    <n v="15"/>
    <n v="65"/>
    <n v="7.4999999999999997E-3"/>
    <n v="0"/>
    <x v="0"/>
    <x v="2"/>
    <n v="7.4999999999999997E-3"/>
  </r>
  <r>
    <s v="SYN4192"/>
    <n v="37"/>
    <x v="1"/>
    <n v="17"/>
    <n v="53"/>
    <n v="2.3400000000000001E-3"/>
    <n v="0"/>
    <x v="2"/>
    <x v="2"/>
    <n v="2.3400000000000001E-3"/>
  </r>
  <r>
    <s v="SYN4193"/>
    <n v="23"/>
    <x v="1"/>
    <n v="14"/>
    <n v="36"/>
    <n v="6.4999999999999997E-4"/>
    <n v="0"/>
    <x v="1"/>
    <x v="2"/>
    <n v="6.4999999999999997E-4"/>
  </r>
  <r>
    <s v="SYN4194"/>
    <n v="26"/>
    <x v="0"/>
    <n v="16"/>
    <n v="41"/>
    <n v="1.3699999999999999E-3"/>
    <n v="0"/>
    <x v="3"/>
    <x v="2"/>
    <n v="1.3699999999999999E-3"/>
  </r>
  <r>
    <s v="SYN4195"/>
    <n v="28"/>
    <x v="0"/>
    <n v="6"/>
    <n v="33"/>
    <n v="4.6000000000000001E-4"/>
    <n v="0"/>
    <x v="1"/>
    <x v="0"/>
    <n v="4.6000000000000001E-4"/>
  </r>
  <r>
    <s v="SYN4196"/>
    <n v="23"/>
    <x v="1"/>
    <n v="2"/>
    <n v="24"/>
    <n v="2.4000000000000001E-4"/>
    <n v="0"/>
    <x v="6"/>
    <x v="0"/>
    <n v="2.4000000000000001E-4"/>
  </r>
  <r>
    <s v="SYN4197"/>
    <n v="55"/>
    <x v="0"/>
    <n v="18"/>
    <n v="72"/>
    <n v="2.1139999999999999E-2"/>
    <n v="0"/>
    <x v="5"/>
    <x v="2"/>
    <n v="2.1139999999999999E-2"/>
  </r>
  <r>
    <s v="SYN4198"/>
    <n v="63"/>
    <x v="0"/>
    <n v="14"/>
    <n v="76"/>
    <n v="2.9659999999999999E-2"/>
    <n v="0"/>
    <x v="5"/>
    <x v="2"/>
    <n v="2.9659999999999999E-2"/>
  </r>
  <r>
    <s v="SYN4199"/>
    <n v="56"/>
    <x v="0"/>
    <n v="2"/>
    <n v="57"/>
    <n v="2.15E-3"/>
    <n v="0"/>
    <x v="2"/>
    <x v="0"/>
    <n v="2.15E-3"/>
  </r>
  <r>
    <s v="SYN4200"/>
    <n v="59"/>
    <x v="0"/>
    <n v="24"/>
    <n v="82"/>
    <n v="6.3329999999999997E-2"/>
    <n v="0"/>
    <x v="4"/>
    <x v="1"/>
    <n v="6.3329999999999997E-2"/>
  </r>
  <r>
    <s v="SYN4201"/>
    <n v="34"/>
    <x v="1"/>
    <n v="8"/>
    <n v="41"/>
    <n v="6.9999999999999999E-4"/>
    <n v="0"/>
    <x v="3"/>
    <x v="0"/>
    <n v="6.9999999999999999E-4"/>
  </r>
  <r>
    <s v="SYN4202"/>
    <n v="37"/>
    <x v="1"/>
    <n v="30"/>
    <n v="66"/>
    <n v="6.0499999999999998E-3"/>
    <n v="0"/>
    <x v="0"/>
    <x v="3"/>
    <n v="6.0499999999999998E-3"/>
  </r>
  <r>
    <s v="SYN4203"/>
    <n v="29"/>
    <x v="1"/>
    <n v="1"/>
    <n v="29"/>
    <n v="1.1E-4"/>
    <n v="0"/>
    <x v="6"/>
    <x v="0"/>
    <n v="1.1E-4"/>
  </r>
  <r>
    <s v="SYN4204"/>
    <n v="34"/>
    <x v="1"/>
    <n v="6"/>
    <n v="39"/>
    <n v="5.4000000000000001E-4"/>
    <n v="0"/>
    <x v="1"/>
    <x v="0"/>
    <n v="5.4000000000000001E-4"/>
  </r>
  <r>
    <s v="SYN4205"/>
    <n v="33"/>
    <x v="1"/>
    <n v="18"/>
    <n v="50"/>
    <n v="1.8600000000000001E-3"/>
    <n v="0"/>
    <x v="2"/>
    <x v="2"/>
    <n v="1.8600000000000001E-3"/>
  </r>
  <r>
    <s v="SYN4206"/>
    <n v="25"/>
    <x v="1"/>
    <n v="19"/>
    <n v="43"/>
    <n v="1.2199999999999999E-3"/>
    <n v="0"/>
    <x v="3"/>
    <x v="2"/>
    <n v="1.2199999999999999E-3"/>
  </r>
  <r>
    <s v="SYN4207"/>
    <n v="37"/>
    <x v="0"/>
    <n v="26"/>
    <n v="62"/>
    <n v="7.79E-3"/>
    <n v="0"/>
    <x v="0"/>
    <x v="1"/>
    <n v="7.79E-3"/>
  </r>
  <r>
    <s v="SYN4208"/>
    <n v="46"/>
    <x v="0"/>
    <n v="8"/>
    <n v="53"/>
    <n v="2.5600000000000002E-3"/>
    <n v="0"/>
    <x v="2"/>
    <x v="0"/>
    <n v="2.5600000000000002E-3"/>
  </r>
  <r>
    <s v="SYN4209"/>
    <n v="31"/>
    <x v="0"/>
    <n v="30"/>
    <n v="60"/>
    <n v="4.3899999999999998E-3"/>
    <n v="0"/>
    <x v="0"/>
    <x v="3"/>
    <n v="4.3899999999999998E-3"/>
  </r>
  <r>
    <s v="SYN4210"/>
    <n v="35"/>
    <x v="0"/>
    <n v="22"/>
    <n v="56"/>
    <n v="4.3899999999999998E-3"/>
    <n v="0"/>
    <x v="2"/>
    <x v="1"/>
    <n v="4.3899999999999998E-3"/>
  </r>
  <r>
    <s v="SYN4211"/>
    <n v="58"/>
    <x v="0"/>
    <n v="28"/>
    <n v="85"/>
    <n v="7.1389999999999995E-2"/>
    <n v="0"/>
    <x v="4"/>
    <x v="1"/>
    <n v="7.1389999999999995E-2"/>
  </r>
  <r>
    <s v="SYN4212"/>
    <n v="26"/>
    <x v="0"/>
    <n v="28"/>
    <n v="53"/>
    <n v="3.0899999999999999E-3"/>
    <n v="0"/>
    <x v="2"/>
    <x v="1"/>
    <n v="3.0899999999999999E-3"/>
  </r>
  <r>
    <s v="SYN4213"/>
    <n v="48"/>
    <x v="1"/>
    <n v="5"/>
    <n v="52"/>
    <n v="1.47E-3"/>
    <n v="0"/>
    <x v="2"/>
    <x v="0"/>
    <n v="1.47E-3"/>
  </r>
  <r>
    <s v="SYN4214"/>
    <n v="59"/>
    <x v="0"/>
    <n v="25"/>
    <n v="83"/>
    <n v="7.1389999999999995E-2"/>
    <n v="0"/>
    <x v="4"/>
    <x v="1"/>
    <n v="7.1389999999999995E-2"/>
  </r>
  <r>
    <s v="SYN4215"/>
    <n v="37"/>
    <x v="1"/>
    <n v="7"/>
    <n v="43"/>
    <n v="7.6000000000000004E-4"/>
    <n v="0"/>
    <x v="3"/>
    <x v="0"/>
    <n v="7.6000000000000004E-4"/>
  </r>
  <r>
    <s v="SYN4216"/>
    <n v="53"/>
    <x v="0"/>
    <n v="11"/>
    <n v="63"/>
    <n v="8.0300000000000007E-3"/>
    <n v="0"/>
    <x v="0"/>
    <x v="2"/>
    <n v="8.0300000000000007E-3"/>
  </r>
  <r>
    <s v="SYN4217"/>
    <n v="59"/>
    <x v="1"/>
    <n v="13"/>
    <n v="71"/>
    <n v="1.193E-2"/>
    <n v="0"/>
    <x v="5"/>
    <x v="2"/>
    <n v="1.193E-2"/>
  </r>
  <r>
    <s v="SYN4218"/>
    <n v="43"/>
    <x v="1"/>
    <n v="5"/>
    <n v="47"/>
    <n v="9.5E-4"/>
    <n v="0"/>
    <x v="3"/>
    <x v="0"/>
    <n v="9.5E-4"/>
  </r>
  <r>
    <s v="SYN4219"/>
    <n v="64"/>
    <x v="0"/>
    <n v="22"/>
    <n v="85"/>
    <n v="9.1270000000000004E-2"/>
    <n v="0"/>
    <x v="4"/>
    <x v="1"/>
    <n v="9.1270000000000004E-2"/>
  </r>
  <r>
    <s v="SYN4220"/>
    <n v="33"/>
    <x v="0"/>
    <n v="7"/>
    <n v="39"/>
    <n v="7.2999999999999996E-4"/>
    <n v="0"/>
    <x v="1"/>
    <x v="0"/>
    <n v="7.2999999999999996E-4"/>
  </r>
  <r>
    <s v="SYN4221"/>
    <n v="35"/>
    <x v="0"/>
    <n v="23"/>
    <n v="57"/>
    <n v="4.7800000000000004E-3"/>
    <n v="0"/>
    <x v="2"/>
    <x v="1"/>
    <n v="4.7800000000000004E-3"/>
  </r>
  <r>
    <s v="SYN4222"/>
    <n v="58"/>
    <x v="0"/>
    <n v="29"/>
    <n v="86"/>
    <n v="7.1389999999999995E-2"/>
    <n v="1"/>
    <x v="4"/>
    <x v="1"/>
    <n v="7.1389999999999995E-2"/>
  </r>
  <r>
    <s v="SYN4223"/>
    <n v="56"/>
    <x v="1"/>
    <n v="8"/>
    <n v="63"/>
    <n v="4.9399999999999999E-3"/>
    <n v="0"/>
    <x v="0"/>
    <x v="0"/>
    <n v="4.9399999999999999E-3"/>
  </r>
  <r>
    <s v="SYN4224"/>
    <n v="65"/>
    <x v="0"/>
    <n v="26"/>
    <n v="90"/>
    <n v="0.16611999999999999"/>
    <n v="0"/>
    <x v="7"/>
    <x v="1"/>
    <n v="0.16611999999999999"/>
  </r>
  <r>
    <s v="SYN4225"/>
    <n v="43"/>
    <x v="0"/>
    <n v="13"/>
    <n v="55"/>
    <n v="3.5400000000000002E-3"/>
    <n v="0"/>
    <x v="2"/>
    <x v="2"/>
    <n v="3.5400000000000002E-3"/>
  </r>
  <r>
    <s v="SYN4226"/>
    <n v="48"/>
    <x v="0"/>
    <n v="30"/>
    <n v="77"/>
    <n v="2.3939999999999999E-2"/>
    <n v="0"/>
    <x v="5"/>
    <x v="3"/>
    <n v="2.3939999999999999E-2"/>
  </r>
  <r>
    <s v="SYN4227"/>
    <n v="42"/>
    <x v="0"/>
    <n v="8"/>
    <n v="49"/>
    <n v="1.74E-3"/>
    <n v="0"/>
    <x v="3"/>
    <x v="0"/>
    <n v="1.74E-3"/>
  </r>
  <r>
    <s v="SYN4228"/>
    <n v="36"/>
    <x v="0"/>
    <n v="16"/>
    <n v="51"/>
    <n v="2.5799999999999998E-3"/>
    <n v="0"/>
    <x v="2"/>
    <x v="2"/>
    <n v="2.5799999999999998E-3"/>
  </r>
  <r>
    <s v="SYN4229"/>
    <n v="57"/>
    <x v="1"/>
    <n v="21"/>
    <n v="77"/>
    <n v="2.8719999999999999E-2"/>
    <n v="0"/>
    <x v="5"/>
    <x v="1"/>
    <n v="2.8719999999999999E-2"/>
  </r>
  <r>
    <s v="SYN4230"/>
    <n v="32"/>
    <x v="0"/>
    <n v="28"/>
    <n v="59"/>
    <n v="4.7800000000000004E-3"/>
    <n v="0"/>
    <x v="2"/>
    <x v="1"/>
    <n v="4.7800000000000004E-3"/>
  </r>
  <r>
    <s v="SYN4231"/>
    <n v="23"/>
    <x v="0"/>
    <n v="25"/>
    <n v="47"/>
    <n v="2.5400000000000002E-3"/>
    <n v="0"/>
    <x v="3"/>
    <x v="1"/>
    <n v="2.5400000000000002E-3"/>
  </r>
  <r>
    <s v="SYN4232"/>
    <n v="30"/>
    <x v="1"/>
    <n v="3"/>
    <n v="32"/>
    <n v="2.2000000000000001E-4"/>
    <n v="0"/>
    <x v="1"/>
    <x v="0"/>
    <n v="2.2000000000000001E-4"/>
  </r>
  <r>
    <s v="SYN4233"/>
    <n v="36"/>
    <x v="1"/>
    <n v="3"/>
    <n v="38"/>
    <n v="3.8999999999999999E-4"/>
    <n v="0"/>
    <x v="1"/>
    <x v="0"/>
    <n v="3.8999999999999999E-4"/>
  </r>
  <r>
    <s v="SYN4234"/>
    <n v="29"/>
    <x v="0"/>
    <n v="10"/>
    <n v="38"/>
    <n v="8.4000000000000003E-4"/>
    <n v="0"/>
    <x v="1"/>
    <x v="2"/>
    <n v="8.4000000000000003E-4"/>
  </r>
  <r>
    <s v="SYN4235"/>
    <n v="31"/>
    <x v="0"/>
    <n v="8"/>
    <n v="38"/>
    <n v="6.9999999999999999E-4"/>
    <n v="0"/>
    <x v="1"/>
    <x v="0"/>
    <n v="6.9999999999999999E-4"/>
  </r>
  <r>
    <s v="SYN4236"/>
    <n v="24"/>
    <x v="1"/>
    <n v="8"/>
    <n v="31"/>
    <n v="3.5E-4"/>
    <n v="0"/>
    <x v="1"/>
    <x v="0"/>
    <n v="3.5E-4"/>
  </r>
  <r>
    <s v="SYN4237"/>
    <n v="56"/>
    <x v="1"/>
    <n v="21"/>
    <n v="76"/>
    <n v="2.58E-2"/>
    <n v="0"/>
    <x v="5"/>
    <x v="1"/>
    <n v="2.58E-2"/>
  </r>
  <r>
    <s v="SYN4238"/>
    <n v="31"/>
    <x v="1"/>
    <n v="10"/>
    <n v="40"/>
    <n v="7.3999999999999999E-4"/>
    <n v="0"/>
    <x v="3"/>
    <x v="2"/>
    <n v="7.3999999999999999E-4"/>
  </r>
  <r>
    <s v="SYN4239"/>
    <n v="30"/>
    <x v="0"/>
    <n v="8"/>
    <n v="37"/>
    <n v="6.6E-4"/>
    <n v="0"/>
    <x v="1"/>
    <x v="0"/>
    <n v="6.6E-4"/>
  </r>
  <r>
    <s v="SYN4240"/>
    <n v="58"/>
    <x v="0"/>
    <n v="23"/>
    <n v="80"/>
    <n v="5.0909999999999997E-2"/>
    <n v="0"/>
    <x v="4"/>
    <x v="1"/>
    <n v="5.0909999999999997E-2"/>
  </r>
  <r>
    <s v="SYN4241"/>
    <n v="37"/>
    <x v="1"/>
    <n v="27"/>
    <n v="63"/>
    <n v="6.0499999999999998E-3"/>
    <n v="0"/>
    <x v="0"/>
    <x v="1"/>
    <n v="6.0499999999999998E-3"/>
  </r>
  <r>
    <s v="SYN4242"/>
    <n v="49"/>
    <x v="1"/>
    <n v="18"/>
    <n v="66"/>
    <n v="8.9499999999999996E-3"/>
    <n v="0"/>
    <x v="0"/>
    <x v="2"/>
    <n v="8.9499999999999996E-3"/>
  </r>
  <r>
    <s v="SYN4243"/>
    <n v="29"/>
    <x v="1"/>
    <n v="18"/>
    <n v="46"/>
    <n v="1.3699999999999999E-3"/>
    <n v="0"/>
    <x v="3"/>
    <x v="2"/>
    <n v="1.3699999999999999E-3"/>
  </r>
  <r>
    <s v="SYN4244"/>
    <n v="20"/>
    <x v="1"/>
    <n v="11"/>
    <n v="30"/>
    <n v="4.0000000000000002E-4"/>
    <n v="0"/>
    <x v="1"/>
    <x v="2"/>
    <n v="4.0000000000000002E-4"/>
  </r>
  <r>
    <s v="SYN4245"/>
    <n v="52"/>
    <x v="0"/>
    <n v="27"/>
    <n v="78"/>
    <n v="3.7220000000000003E-2"/>
    <n v="0"/>
    <x v="5"/>
    <x v="1"/>
    <n v="3.7220000000000003E-2"/>
  </r>
  <r>
    <s v="SYN4246"/>
    <n v="23"/>
    <x v="0"/>
    <n v="13"/>
    <n v="35"/>
    <n v="8.0999999999999996E-4"/>
    <n v="0"/>
    <x v="1"/>
    <x v="2"/>
    <n v="8.0999999999999996E-4"/>
  </r>
  <r>
    <s v="SYN4247"/>
    <n v="29"/>
    <x v="0"/>
    <n v="28"/>
    <n v="56"/>
    <n v="3.7499999999999999E-3"/>
    <n v="0"/>
    <x v="2"/>
    <x v="1"/>
    <n v="3.7499999999999999E-3"/>
  </r>
  <r>
    <s v="SYN4248"/>
    <n v="43"/>
    <x v="1"/>
    <n v="19"/>
    <n v="61"/>
    <n v="5.3099999999999996E-3"/>
    <n v="0"/>
    <x v="0"/>
    <x v="2"/>
    <n v="5.3099999999999996E-3"/>
  </r>
  <r>
    <s v="SYN4249"/>
    <n v="49"/>
    <x v="1"/>
    <n v="6"/>
    <n v="54"/>
    <n v="1.8600000000000001E-3"/>
    <n v="0"/>
    <x v="2"/>
    <x v="0"/>
    <n v="1.8600000000000001E-3"/>
  </r>
  <r>
    <s v="SYN4250"/>
    <n v="30"/>
    <x v="1"/>
    <n v="21"/>
    <n v="50"/>
    <n v="2.0200000000000001E-3"/>
    <n v="0"/>
    <x v="2"/>
    <x v="1"/>
    <n v="2.0200000000000001E-3"/>
  </r>
  <r>
    <s v="SYN4251"/>
    <n v="44"/>
    <x v="0"/>
    <n v="5"/>
    <n v="48"/>
    <n v="1.39E-3"/>
    <n v="0"/>
    <x v="3"/>
    <x v="0"/>
    <n v="1.39E-3"/>
  </r>
  <r>
    <s v="SYN4252"/>
    <n v="51"/>
    <x v="1"/>
    <n v="22"/>
    <n v="72"/>
    <n v="1.7170000000000001E-2"/>
    <n v="0"/>
    <x v="5"/>
    <x v="1"/>
    <n v="1.7170000000000001E-2"/>
  </r>
  <r>
    <s v="SYN4253"/>
    <n v="45"/>
    <x v="1"/>
    <n v="29"/>
    <n v="73"/>
    <n v="1.404E-2"/>
    <n v="0"/>
    <x v="5"/>
    <x v="1"/>
    <n v="1.404E-2"/>
  </r>
  <r>
    <s v="SYN4254"/>
    <n v="53"/>
    <x v="1"/>
    <n v="12"/>
    <n v="64"/>
    <n v="6.0699999999999999E-3"/>
    <n v="0"/>
    <x v="0"/>
    <x v="2"/>
    <n v="6.0699999999999999E-3"/>
  </r>
  <r>
    <s v="SYN4255"/>
    <n v="45"/>
    <x v="0"/>
    <n v="25"/>
    <n v="69"/>
    <n v="1.5509999999999999E-2"/>
    <n v="0"/>
    <x v="0"/>
    <x v="1"/>
    <n v="1.5509999999999999E-2"/>
  </r>
  <r>
    <s v="SYN4256"/>
    <n v="30"/>
    <x v="1"/>
    <n v="17"/>
    <n v="46"/>
    <n v="1.34E-3"/>
    <n v="0"/>
    <x v="3"/>
    <x v="2"/>
    <n v="1.34E-3"/>
  </r>
  <r>
    <s v="SYN4257"/>
    <n v="22"/>
    <x v="0"/>
    <n v="7"/>
    <n v="28"/>
    <n v="5.9999999999999995E-4"/>
    <n v="0"/>
    <x v="6"/>
    <x v="0"/>
    <n v="5.9999999999999995E-4"/>
  </r>
  <r>
    <s v="SYN4258"/>
    <n v="39"/>
    <x v="1"/>
    <n v="4"/>
    <n v="42"/>
    <n v="6.2E-4"/>
    <n v="0"/>
    <x v="3"/>
    <x v="0"/>
    <n v="6.2E-4"/>
  </r>
  <r>
    <s v="SYN4259"/>
    <n v="44"/>
    <x v="0"/>
    <n v="10"/>
    <n v="53"/>
    <n v="2.7200000000000002E-3"/>
    <n v="0"/>
    <x v="2"/>
    <x v="2"/>
    <n v="2.7200000000000002E-3"/>
  </r>
  <r>
    <s v="SYN4260"/>
    <n v="32"/>
    <x v="0"/>
    <n v="25"/>
    <n v="56"/>
    <n v="4.3899999999999998E-3"/>
    <n v="0"/>
    <x v="2"/>
    <x v="1"/>
    <n v="4.3899999999999998E-3"/>
  </r>
  <r>
    <s v="SYN4261"/>
    <n v="60"/>
    <x v="0"/>
    <n v="25"/>
    <n v="84"/>
    <n v="8.0629999999999993E-2"/>
    <n v="0"/>
    <x v="4"/>
    <x v="1"/>
    <n v="8.0629999999999993E-2"/>
  </r>
  <r>
    <s v="SYN4262"/>
    <n v="28"/>
    <x v="1"/>
    <n v="21"/>
    <n v="48"/>
    <n v="1.73E-3"/>
    <n v="0"/>
    <x v="3"/>
    <x v="1"/>
    <n v="1.73E-3"/>
  </r>
  <r>
    <s v="SYN4263"/>
    <n v="29"/>
    <x v="1"/>
    <n v="1"/>
    <n v="29"/>
    <n v="1.1E-4"/>
    <n v="0"/>
    <x v="6"/>
    <x v="0"/>
    <n v="1.1E-4"/>
  </r>
  <r>
    <s v="SYN4264"/>
    <n v="36"/>
    <x v="0"/>
    <n v="16"/>
    <n v="51"/>
    <n v="2.5799999999999998E-3"/>
    <n v="0"/>
    <x v="2"/>
    <x v="2"/>
    <n v="2.5799999999999998E-3"/>
  </r>
  <r>
    <s v="SYN4265"/>
    <n v="43"/>
    <x v="0"/>
    <n v="29"/>
    <n v="71"/>
    <n v="1.413E-2"/>
    <n v="0"/>
    <x v="5"/>
    <x v="1"/>
    <n v="1.413E-2"/>
  </r>
  <r>
    <s v="SYN4266"/>
    <n v="23"/>
    <x v="1"/>
    <n v="8"/>
    <n v="30"/>
    <n v="3.4000000000000002E-4"/>
    <n v="0"/>
    <x v="1"/>
    <x v="0"/>
    <n v="3.4000000000000002E-4"/>
  </r>
  <r>
    <s v="SYN4267"/>
    <n v="26"/>
    <x v="0"/>
    <n v="10"/>
    <n v="35"/>
    <n v="6.8999999999999997E-4"/>
    <n v="0"/>
    <x v="1"/>
    <x v="2"/>
    <n v="6.8999999999999997E-4"/>
  </r>
  <r>
    <s v="SYN4268"/>
    <n v="44"/>
    <x v="1"/>
    <n v="29"/>
    <n v="72"/>
    <n v="1.2659999999999999E-2"/>
    <n v="0"/>
    <x v="5"/>
    <x v="1"/>
    <n v="1.2659999999999999E-2"/>
  </r>
  <r>
    <s v="SYN4269"/>
    <n v="58"/>
    <x v="0"/>
    <n v="10"/>
    <n v="67"/>
    <n v="1.1679999999999999E-2"/>
    <n v="0"/>
    <x v="0"/>
    <x v="2"/>
    <n v="1.1679999999999999E-2"/>
  </r>
  <r>
    <s v="SYN4270"/>
    <n v="50"/>
    <x v="1"/>
    <n v="2"/>
    <n v="51"/>
    <n v="7.2000000000000005E-4"/>
    <n v="0"/>
    <x v="2"/>
    <x v="0"/>
    <n v="7.2000000000000005E-4"/>
  </r>
  <r>
    <s v="SYN4271"/>
    <n v="50"/>
    <x v="0"/>
    <n v="3"/>
    <n v="52"/>
    <n v="1.7099999999999999E-3"/>
    <n v="0"/>
    <x v="2"/>
    <x v="0"/>
    <n v="1.7099999999999999E-3"/>
  </r>
  <r>
    <s v="SYN4272"/>
    <n v="52"/>
    <x v="0"/>
    <n v="6"/>
    <n v="57"/>
    <n v="3.62E-3"/>
    <n v="0"/>
    <x v="2"/>
    <x v="0"/>
    <n v="3.62E-3"/>
  </r>
  <r>
    <s v="SYN4273"/>
    <n v="65"/>
    <x v="0"/>
    <n v="18"/>
    <n v="82"/>
    <n v="6.0920000000000002E-2"/>
    <n v="1"/>
    <x v="4"/>
    <x v="2"/>
    <n v="6.0920000000000002E-2"/>
  </r>
  <r>
    <s v="SYN4274"/>
    <n v="33"/>
    <x v="1"/>
    <n v="21"/>
    <n v="53"/>
    <n v="2.5899999999999999E-3"/>
    <n v="0"/>
    <x v="2"/>
    <x v="1"/>
    <n v="2.5899999999999999E-3"/>
  </r>
  <r>
    <s v="SYN4275"/>
    <n v="45"/>
    <x v="1"/>
    <n v="11"/>
    <n v="55"/>
    <n v="2.5100000000000001E-3"/>
    <n v="0"/>
    <x v="2"/>
    <x v="2"/>
    <n v="2.5100000000000001E-3"/>
  </r>
  <r>
    <s v="SYN4276"/>
    <n v="59"/>
    <x v="0"/>
    <n v="11"/>
    <n v="69"/>
    <n v="1.426E-2"/>
    <n v="0"/>
    <x v="0"/>
    <x v="2"/>
    <n v="1.426E-2"/>
  </r>
  <r>
    <s v="SYN4277"/>
    <n v="53"/>
    <x v="0"/>
    <n v="19"/>
    <n v="71"/>
    <n v="1.8769999999999998E-2"/>
    <n v="0"/>
    <x v="5"/>
    <x v="2"/>
    <n v="1.8769999999999998E-2"/>
  </r>
  <r>
    <s v="SYN4278"/>
    <n v="51"/>
    <x v="1"/>
    <n v="14"/>
    <n v="64"/>
    <n v="6.6100000000000004E-3"/>
    <n v="0"/>
    <x v="0"/>
    <x v="2"/>
    <n v="6.6100000000000004E-3"/>
  </r>
  <r>
    <s v="SYN4279"/>
    <n v="55"/>
    <x v="1"/>
    <n v="24"/>
    <n v="78"/>
    <n v="3.1989999999999998E-2"/>
    <n v="0"/>
    <x v="5"/>
    <x v="1"/>
    <n v="3.1989999999999998E-2"/>
  </r>
  <r>
    <s v="SYN4280"/>
    <n v="29"/>
    <x v="1"/>
    <n v="30"/>
    <n v="58"/>
    <n v="2.82E-3"/>
    <n v="0"/>
    <x v="2"/>
    <x v="3"/>
    <n v="2.82E-3"/>
  </r>
  <r>
    <s v="SYN4281"/>
    <n v="65"/>
    <x v="1"/>
    <n v="15"/>
    <n v="79"/>
    <n v="2.9850000000000002E-2"/>
    <n v="0"/>
    <x v="5"/>
    <x v="2"/>
    <n v="2.9850000000000002E-2"/>
  </r>
  <r>
    <s v="SYN4282"/>
    <n v="29"/>
    <x v="1"/>
    <n v="5"/>
    <n v="33"/>
    <n v="2.7E-4"/>
    <n v="0"/>
    <x v="1"/>
    <x v="0"/>
    <n v="2.7E-4"/>
  </r>
  <r>
    <s v="SYN4283"/>
    <n v="59"/>
    <x v="0"/>
    <n v="13"/>
    <n v="71"/>
    <n v="1.848E-2"/>
    <n v="0"/>
    <x v="5"/>
    <x v="2"/>
    <n v="1.848E-2"/>
  </r>
  <r>
    <s v="SYN4284"/>
    <n v="22"/>
    <x v="0"/>
    <n v="10"/>
    <n v="31"/>
    <n v="6.4000000000000005E-4"/>
    <n v="0"/>
    <x v="1"/>
    <x v="2"/>
    <n v="6.4000000000000005E-4"/>
  </r>
  <r>
    <s v="SYN4285"/>
    <n v="46"/>
    <x v="0"/>
    <n v="19"/>
    <n v="64"/>
    <n v="9.2899999999999996E-3"/>
    <n v="0"/>
    <x v="0"/>
    <x v="2"/>
    <n v="9.2899999999999996E-3"/>
  </r>
  <r>
    <s v="SYN4286"/>
    <n v="29"/>
    <x v="1"/>
    <n v="14"/>
    <n v="42"/>
    <n v="1E-3"/>
    <n v="0"/>
    <x v="3"/>
    <x v="2"/>
    <n v="1E-3"/>
  </r>
  <r>
    <s v="SYN4287"/>
    <n v="33"/>
    <x v="1"/>
    <n v="1"/>
    <n v="33"/>
    <n v="1.2999999999999999E-4"/>
    <n v="0"/>
    <x v="1"/>
    <x v="0"/>
    <n v="1.2999999999999999E-4"/>
  </r>
  <r>
    <s v="SYN4288"/>
    <n v="22"/>
    <x v="1"/>
    <n v="9"/>
    <n v="30"/>
    <n v="3.6999999999999999E-4"/>
    <n v="0"/>
    <x v="1"/>
    <x v="0"/>
    <n v="3.6999999999999999E-4"/>
  </r>
  <r>
    <s v="SYN4289"/>
    <n v="34"/>
    <x v="1"/>
    <n v="15"/>
    <n v="48"/>
    <n v="1.48E-3"/>
    <n v="0"/>
    <x v="3"/>
    <x v="2"/>
    <n v="1.48E-3"/>
  </r>
  <r>
    <s v="SYN4290"/>
    <n v="63"/>
    <x v="0"/>
    <n v="16"/>
    <n v="78"/>
    <n v="3.8120000000000001E-2"/>
    <n v="0"/>
    <x v="5"/>
    <x v="2"/>
    <n v="3.8120000000000001E-2"/>
  </r>
  <r>
    <s v="SYN4291"/>
    <n v="41"/>
    <x v="1"/>
    <n v="20"/>
    <n v="60"/>
    <n v="4.8799999999999998E-3"/>
    <n v="0"/>
    <x v="0"/>
    <x v="1"/>
    <n v="4.8799999999999998E-3"/>
  </r>
  <r>
    <s v="SYN4292"/>
    <n v="50"/>
    <x v="1"/>
    <n v="9"/>
    <n v="58"/>
    <n v="3.0200000000000001E-3"/>
    <n v="0"/>
    <x v="2"/>
    <x v="0"/>
    <n v="3.0200000000000001E-3"/>
  </r>
  <r>
    <s v="SYN4293"/>
    <n v="41"/>
    <x v="1"/>
    <n v="21"/>
    <n v="61"/>
    <n v="5.4599999999999996E-3"/>
    <n v="0"/>
    <x v="0"/>
    <x v="1"/>
    <n v="5.4599999999999996E-3"/>
  </r>
  <r>
    <s v="SYN4294"/>
    <n v="62"/>
    <x v="1"/>
    <n v="22"/>
    <n v="83"/>
    <n v="5.704E-2"/>
    <n v="0"/>
    <x v="4"/>
    <x v="1"/>
    <n v="5.704E-2"/>
  </r>
  <r>
    <s v="SYN4295"/>
    <n v="63"/>
    <x v="1"/>
    <n v="9"/>
    <n v="71"/>
    <n v="9.5499999999999995E-3"/>
    <n v="0"/>
    <x v="5"/>
    <x v="0"/>
    <n v="9.5499999999999995E-3"/>
  </r>
  <r>
    <s v="SYN4296"/>
    <n v="35"/>
    <x v="1"/>
    <n v="8"/>
    <n v="42"/>
    <n v="7.3999999999999999E-4"/>
    <n v="0"/>
    <x v="3"/>
    <x v="0"/>
    <n v="7.3999999999999999E-4"/>
  </r>
  <r>
    <s v="SYN4297"/>
    <n v="37"/>
    <x v="1"/>
    <n v="11"/>
    <n v="47"/>
    <n v="1.2199999999999999E-3"/>
    <n v="0"/>
    <x v="3"/>
    <x v="2"/>
    <n v="1.2199999999999999E-3"/>
  </r>
  <r>
    <s v="SYN4298"/>
    <n v="45"/>
    <x v="1"/>
    <n v="2"/>
    <n v="46"/>
    <n v="4.4000000000000002E-4"/>
    <n v="0"/>
    <x v="3"/>
    <x v="0"/>
    <n v="4.4000000000000002E-4"/>
  </r>
  <r>
    <s v="SYN4299"/>
    <n v="36"/>
    <x v="1"/>
    <n v="4"/>
    <n v="39"/>
    <n v="4.8999999999999998E-4"/>
    <n v="0"/>
    <x v="1"/>
    <x v="0"/>
    <n v="4.8999999999999998E-4"/>
  </r>
  <r>
    <s v="SYN4300"/>
    <n v="34"/>
    <x v="1"/>
    <n v="29"/>
    <n v="62"/>
    <n v="4.4600000000000004E-3"/>
    <n v="0"/>
    <x v="0"/>
    <x v="1"/>
    <n v="4.4600000000000004E-3"/>
  </r>
  <r>
    <s v="SYN4301"/>
    <n v="29"/>
    <x v="0"/>
    <n v="30"/>
    <n v="58"/>
    <n v="3.7499999999999999E-3"/>
    <n v="0"/>
    <x v="2"/>
    <x v="3"/>
    <n v="3.7499999999999999E-3"/>
  </r>
  <r>
    <s v="SYN4302"/>
    <n v="43"/>
    <x v="1"/>
    <n v="14"/>
    <n v="56"/>
    <n v="3.0100000000000001E-3"/>
    <n v="0"/>
    <x v="2"/>
    <x v="2"/>
    <n v="3.0100000000000001E-3"/>
  </r>
  <r>
    <s v="SYN4303"/>
    <n v="41"/>
    <x v="0"/>
    <n v="10"/>
    <n v="50"/>
    <n v="2.0799999999999998E-3"/>
    <n v="0"/>
    <x v="2"/>
    <x v="2"/>
    <n v="2.0799999999999998E-3"/>
  </r>
  <r>
    <s v="SYN4304"/>
    <n v="50"/>
    <x v="1"/>
    <n v="30"/>
    <n v="79"/>
    <n v="2.325E-2"/>
    <n v="0"/>
    <x v="5"/>
    <x v="3"/>
    <n v="2.325E-2"/>
  </r>
  <r>
    <s v="SYN4305"/>
    <n v="23"/>
    <x v="0"/>
    <n v="14"/>
    <n v="36"/>
    <n v="9.1E-4"/>
    <n v="0"/>
    <x v="1"/>
    <x v="2"/>
    <n v="9.1E-4"/>
  </r>
  <r>
    <s v="SYN4306"/>
    <n v="46"/>
    <x v="1"/>
    <n v="16"/>
    <n v="61"/>
    <n v="5.13E-3"/>
    <n v="0"/>
    <x v="0"/>
    <x v="2"/>
    <n v="5.13E-3"/>
  </r>
  <r>
    <s v="SYN4307"/>
    <n v="43"/>
    <x v="0"/>
    <n v="4"/>
    <n v="46"/>
    <n v="1.1000000000000001E-3"/>
    <n v="0"/>
    <x v="3"/>
    <x v="0"/>
    <n v="1.1000000000000001E-3"/>
  </r>
  <r>
    <s v="SYN4308"/>
    <n v="51"/>
    <x v="1"/>
    <n v="30"/>
    <n v="80"/>
    <n v="2.58E-2"/>
    <n v="0"/>
    <x v="4"/>
    <x v="3"/>
    <n v="2.58E-2"/>
  </r>
  <r>
    <s v="SYN4309"/>
    <n v="45"/>
    <x v="1"/>
    <n v="14"/>
    <n v="58"/>
    <n v="3.6800000000000001E-3"/>
    <n v="0"/>
    <x v="2"/>
    <x v="2"/>
    <n v="3.6800000000000001E-3"/>
  </r>
  <r>
    <s v="SYN4310"/>
    <n v="59"/>
    <x v="0"/>
    <n v="26"/>
    <n v="84"/>
    <n v="8.0629999999999993E-2"/>
    <n v="0"/>
    <x v="4"/>
    <x v="1"/>
    <n v="8.0629999999999993E-2"/>
  </r>
  <r>
    <s v="SYN4311"/>
    <n v="40"/>
    <x v="0"/>
    <n v="19"/>
    <n v="58"/>
    <n v="5.2100000000000002E-3"/>
    <n v="0"/>
    <x v="2"/>
    <x v="2"/>
    <n v="5.2100000000000002E-3"/>
  </r>
  <r>
    <s v="SYN4312"/>
    <n v="25"/>
    <x v="1"/>
    <n v="3"/>
    <n v="27"/>
    <n v="2.0000000000000001E-4"/>
    <n v="0"/>
    <x v="6"/>
    <x v="0"/>
    <n v="2.0000000000000001E-4"/>
  </r>
  <r>
    <s v="SYN4313"/>
    <n v="54"/>
    <x v="0"/>
    <n v="14"/>
    <n v="67"/>
    <n v="1.2460000000000001E-2"/>
    <n v="0"/>
    <x v="0"/>
    <x v="2"/>
    <n v="1.2460000000000001E-2"/>
  </r>
  <r>
    <s v="SYN4314"/>
    <n v="64"/>
    <x v="0"/>
    <n v="21"/>
    <n v="84"/>
    <n v="8.0629999999999993E-2"/>
    <n v="1"/>
    <x v="4"/>
    <x v="1"/>
    <n v="8.0629999999999993E-2"/>
  </r>
  <r>
    <s v="SYN4315"/>
    <n v="50"/>
    <x v="0"/>
    <n v="6"/>
    <n v="55"/>
    <n v="2.99E-3"/>
    <n v="0"/>
    <x v="2"/>
    <x v="0"/>
    <n v="2.99E-3"/>
  </r>
  <r>
    <s v="SYN4316"/>
    <n v="43"/>
    <x v="1"/>
    <n v="22"/>
    <n v="64"/>
    <n v="7.4700000000000001E-3"/>
    <n v="0"/>
    <x v="0"/>
    <x v="1"/>
    <n v="7.4700000000000001E-3"/>
  </r>
  <r>
    <s v="SYN4317"/>
    <n v="42"/>
    <x v="1"/>
    <n v="22"/>
    <n v="63"/>
    <n v="6.7200000000000003E-3"/>
    <n v="0"/>
    <x v="0"/>
    <x v="1"/>
    <n v="6.7200000000000003E-3"/>
  </r>
  <r>
    <s v="SYN4318"/>
    <n v="39"/>
    <x v="0"/>
    <n v="11"/>
    <n v="49"/>
    <n v="1.92E-3"/>
    <n v="0"/>
    <x v="3"/>
    <x v="2"/>
    <n v="1.92E-3"/>
  </r>
  <r>
    <s v="SYN4319"/>
    <n v="25"/>
    <x v="1"/>
    <n v="2"/>
    <n v="26"/>
    <n v="1.9000000000000001E-4"/>
    <n v="0"/>
    <x v="6"/>
    <x v="0"/>
    <n v="1.9000000000000001E-4"/>
  </r>
  <r>
    <s v="SYN4320"/>
    <n v="32"/>
    <x v="0"/>
    <n v="26"/>
    <n v="57"/>
    <n v="4.7800000000000004E-3"/>
    <n v="0"/>
    <x v="2"/>
    <x v="1"/>
    <n v="4.7800000000000004E-3"/>
  </r>
  <r>
    <s v="SYN4321"/>
    <n v="51"/>
    <x v="0"/>
    <n v="4"/>
    <n v="54"/>
    <n v="2.4199999999999998E-3"/>
    <n v="0"/>
    <x v="2"/>
    <x v="0"/>
    <n v="2.4199999999999998E-3"/>
  </r>
  <r>
    <s v="SYN4322"/>
    <n v="53"/>
    <x v="1"/>
    <n v="3"/>
    <n v="55"/>
    <n v="1.64E-3"/>
    <n v="0"/>
    <x v="2"/>
    <x v="0"/>
    <n v="1.64E-3"/>
  </r>
  <r>
    <s v="SYN4323"/>
    <n v="24"/>
    <x v="1"/>
    <n v="15"/>
    <n v="38"/>
    <n v="8.3000000000000001E-4"/>
    <n v="0"/>
    <x v="1"/>
    <x v="2"/>
    <n v="8.3000000000000001E-4"/>
  </r>
  <r>
    <s v="SYN4324"/>
    <n v="61"/>
    <x v="1"/>
    <n v="25"/>
    <n v="85"/>
    <n v="7.2980000000000003E-2"/>
    <n v="0"/>
    <x v="4"/>
    <x v="1"/>
    <n v="7.2980000000000003E-2"/>
  </r>
  <r>
    <s v="SYN4325"/>
    <n v="58"/>
    <x v="1"/>
    <n v="8"/>
    <n v="65"/>
    <n v="5.9300000000000004E-3"/>
    <n v="0"/>
    <x v="0"/>
    <x v="0"/>
    <n v="5.9300000000000004E-3"/>
  </r>
  <r>
    <s v="SYN4326"/>
    <n v="41"/>
    <x v="0"/>
    <n v="22"/>
    <n v="62"/>
    <n v="7.7400000000000004E-3"/>
    <n v="0"/>
    <x v="0"/>
    <x v="1"/>
    <n v="7.7400000000000004E-3"/>
  </r>
  <r>
    <s v="SYN4327"/>
    <n v="48"/>
    <x v="1"/>
    <n v="12"/>
    <n v="59"/>
    <n v="3.82E-3"/>
    <n v="0"/>
    <x v="2"/>
    <x v="2"/>
    <n v="3.82E-3"/>
  </r>
  <r>
    <s v="SYN4328"/>
    <n v="61"/>
    <x v="1"/>
    <n v="23"/>
    <n v="83"/>
    <n v="5.704E-2"/>
    <n v="0"/>
    <x v="4"/>
    <x v="1"/>
    <n v="5.704E-2"/>
  </r>
  <r>
    <s v="SYN4329"/>
    <n v="35"/>
    <x v="1"/>
    <n v="26"/>
    <n v="60"/>
    <n v="4.9300000000000004E-3"/>
    <n v="0"/>
    <x v="0"/>
    <x v="1"/>
    <n v="4.9300000000000004E-3"/>
  </r>
  <r>
    <s v="SYN4330"/>
    <n v="40"/>
    <x v="0"/>
    <n v="7"/>
    <n v="46"/>
    <n v="1.2700000000000001E-3"/>
    <n v="0"/>
    <x v="3"/>
    <x v="0"/>
    <n v="1.2700000000000001E-3"/>
  </r>
  <r>
    <s v="SYN4331"/>
    <n v="29"/>
    <x v="0"/>
    <n v="2"/>
    <n v="30"/>
    <n v="3.1E-4"/>
    <n v="0"/>
    <x v="1"/>
    <x v="0"/>
    <n v="3.1E-4"/>
  </r>
  <r>
    <s v="SYN4332"/>
    <n v="27"/>
    <x v="0"/>
    <n v="5"/>
    <n v="31"/>
    <n v="4.0000000000000002E-4"/>
    <n v="0"/>
    <x v="1"/>
    <x v="0"/>
    <n v="4.0000000000000002E-4"/>
  </r>
  <r>
    <s v="SYN4333"/>
    <n v="29"/>
    <x v="0"/>
    <n v="24"/>
    <n v="52"/>
    <n v="3.0999999999999999E-3"/>
    <n v="0"/>
    <x v="2"/>
    <x v="1"/>
    <n v="3.0999999999999999E-3"/>
  </r>
  <r>
    <s v="SYN4334"/>
    <n v="64"/>
    <x v="1"/>
    <n v="11"/>
    <n v="74"/>
    <n v="1.443E-2"/>
    <n v="0"/>
    <x v="5"/>
    <x v="2"/>
    <n v="1.443E-2"/>
  </r>
  <r>
    <s v="SYN4335"/>
    <n v="47"/>
    <x v="0"/>
    <n v="14"/>
    <n v="60"/>
    <n v="6.0299999999999998E-3"/>
    <n v="0"/>
    <x v="0"/>
    <x v="2"/>
    <n v="6.0299999999999998E-3"/>
  </r>
  <r>
    <s v="SYN4336"/>
    <n v="62"/>
    <x v="1"/>
    <n v="18"/>
    <n v="79"/>
    <n v="3.3279999999999997E-2"/>
    <n v="0"/>
    <x v="5"/>
    <x v="2"/>
    <n v="3.3279999999999997E-2"/>
  </r>
  <r>
    <s v="SYN4337"/>
    <n v="65"/>
    <x v="1"/>
    <n v="7"/>
    <n v="71"/>
    <n v="9.1299999999999992E-3"/>
    <n v="0"/>
    <x v="5"/>
    <x v="0"/>
    <n v="9.1299999999999992E-3"/>
  </r>
  <r>
    <s v="SYN4338"/>
    <n v="43"/>
    <x v="0"/>
    <n v="6"/>
    <n v="48"/>
    <n v="1.4499999999999999E-3"/>
    <n v="0"/>
    <x v="3"/>
    <x v="0"/>
    <n v="1.4499999999999999E-3"/>
  </r>
  <r>
    <s v="SYN4339"/>
    <n v="23"/>
    <x v="1"/>
    <n v="2"/>
    <n v="24"/>
    <n v="2.4000000000000001E-4"/>
    <n v="0"/>
    <x v="6"/>
    <x v="0"/>
    <n v="2.4000000000000001E-4"/>
  </r>
  <r>
    <s v="SYN4340"/>
    <n v="44"/>
    <x v="1"/>
    <n v="6"/>
    <n v="49"/>
    <n v="1.1800000000000001E-3"/>
    <n v="0"/>
    <x v="3"/>
    <x v="0"/>
    <n v="1.1800000000000001E-3"/>
  </r>
  <r>
    <s v="SYN4341"/>
    <n v="45"/>
    <x v="1"/>
    <n v="26"/>
    <n v="70"/>
    <n v="1.404E-2"/>
    <n v="0"/>
    <x v="5"/>
    <x v="1"/>
    <n v="1.404E-2"/>
  </r>
  <r>
    <s v="SYN4342"/>
    <n v="28"/>
    <x v="0"/>
    <n v="27"/>
    <n v="54"/>
    <n v="3.5000000000000001E-3"/>
    <n v="0"/>
    <x v="2"/>
    <x v="1"/>
    <n v="3.5000000000000001E-3"/>
  </r>
  <r>
    <s v="SYN4343"/>
    <n v="47"/>
    <x v="0"/>
    <n v="22"/>
    <n v="68"/>
    <n v="1.405E-2"/>
    <n v="0"/>
    <x v="0"/>
    <x v="1"/>
    <n v="1.405E-2"/>
  </r>
  <r>
    <s v="SYN4344"/>
    <n v="56"/>
    <x v="1"/>
    <n v="28"/>
    <n v="83"/>
    <n v="4.4880000000000003E-2"/>
    <n v="1"/>
    <x v="4"/>
    <x v="1"/>
    <n v="4.4880000000000003E-2"/>
  </r>
  <r>
    <s v="SYN4345"/>
    <n v="30"/>
    <x v="0"/>
    <n v="9"/>
    <n v="38"/>
    <n v="7.5000000000000002E-4"/>
    <n v="0"/>
    <x v="1"/>
    <x v="0"/>
    <n v="7.5000000000000002E-4"/>
  </r>
  <r>
    <s v="SYN4346"/>
    <n v="41"/>
    <x v="0"/>
    <n v="5"/>
    <n v="45"/>
    <n v="1.07E-3"/>
    <n v="0"/>
    <x v="3"/>
    <x v="0"/>
    <n v="1.07E-3"/>
  </r>
  <r>
    <s v="SYN4347"/>
    <n v="52"/>
    <x v="0"/>
    <n v="20"/>
    <n v="71"/>
    <n v="1.8890000000000001E-2"/>
    <n v="0"/>
    <x v="5"/>
    <x v="1"/>
    <n v="1.8890000000000001E-2"/>
  </r>
  <r>
    <s v="SYN4348"/>
    <n v="32"/>
    <x v="0"/>
    <n v="24"/>
    <n v="55"/>
    <n v="4.0400000000000002E-3"/>
    <n v="0"/>
    <x v="2"/>
    <x v="1"/>
    <n v="4.0400000000000002E-3"/>
  </r>
  <r>
    <s v="SYN4349"/>
    <n v="20"/>
    <x v="0"/>
    <n v="21"/>
    <n v="40"/>
    <n v="1.7600000000000001E-3"/>
    <n v="0"/>
    <x v="3"/>
    <x v="1"/>
    <n v="1.7600000000000001E-3"/>
  </r>
  <r>
    <s v="SYN4350"/>
    <n v="59"/>
    <x v="0"/>
    <n v="12"/>
    <n v="70"/>
    <n v="1.6310000000000002E-2"/>
    <n v="0"/>
    <x v="5"/>
    <x v="2"/>
    <n v="1.6310000000000002E-2"/>
  </r>
  <r>
    <s v="SYN4351"/>
    <n v="52"/>
    <x v="0"/>
    <n v="7"/>
    <n v="58"/>
    <n v="4.2599999999999999E-3"/>
    <n v="0"/>
    <x v="2"/>
    <x v="0"/>
    <n v="4.2599999999999999E-3"/>
  </r>
  <r>
    <s v="SYN4352"/>
    <n v="62"/>
    <x v="1"/>
    <n v="28"/>
    <n v="89"/>
    <n v="9.3240000000000003E-2"/>
    <n v="0"/>
    <x v="4"/>
    <x v="1"/>
    <n v="9.3240000000000003E-2"/>
  </r>
  <r>
    <s v="SYN4353"/>
    <n v="53"/>
    <x v="1"/>
    <n v="13"/>
    <n v="65"/>
    <n v="6.9199999999999999E-3"/>
    <n v="0"/>
    <x v="0"/>
    <x v="2"/>
    <n v="6.9199999999999999E-3"/>
  </r>
  <r>
    <s v="SYN4354"/>
    <n v="59"/>
    <x v="1"/>
    <n v="30"/>
    <n v="88"/>
    <n v="6.4490000000000006E-2"/>
    <n v="0"/>
    <x v="4"/>
    <x v="3"/>
    <n v="6.4490000000000006E-2"/>
  </r>
  <r>
    <s v="SYN4355"/>
    <n v="22"/>
    <x v="1"/>
    <n v="15"/>
    <n v="36"/>
    <n v="6.8999999999999997E-4"/>
    <n v="0"/>
    <x v="1"/>
    <x v="2"/>
    <n v="6.8999999999999997E-4"/>
  </r>
  <r>
    <s v="SYN4356"/>
    <n v="38"/>
    <x v="1"/>
    <n v="18"/>
    <n v="55"/>
    <n v="2.8900000000000002E-3"/>
    <n v="0"/>
    <x v="2"/>
    <x v="2"/>
    <n v="2.8900000000000002E-3"/>
  </r>
  <r>
    <s v="SYN4357"/>
    <n v="38"/>
    <x v="0"/>
    <n v="11"/>
    <n v="48"/>
    <n v="1.74E-3"/>
    <n v="0"/>
    <x v="3"/>
    <x v="2"/>
    <n v="1.74E-3"/>
  </r>
  <r>
    <s v="SYN4358"/>
    <n v="24"/>
    <x v="1"/>
    <n v="16"/>
    <n v="39"/>
    <n v="9.2000000000000003E-4"/>
    <n v="0"/>
    <x v="1"/>
    <x v="2"/>
    <n v="9.2000000000000003E-4"/>
  </r>
  <r>
    <s v="SYN4359"/>
    <n v="49"/>
    <x v="1"/>
    <n v="30"/>
    <n v="78"/>
    <n v="2.0979999999999999E-2"/>
    <n v="0"/>
    <x v="5"/>
    <x v="3"/>
    <n v="2.0979999999999999E-2"/>
  </r>
  <r>
    <s v="SYN4360"/>
    <n v="40"/>
    <x v="1"/>
    <n v="27"/>
    <n v="66"/>
    <n v="8.3099999999999997E-3"/>
    <n v="0"/>
    <x v="0"/>
    <x v="1"/>
    <n v="8.3099999999999997E-3"/>
  </r>
  <r>
    <s v="SYN4361"/>
    <n v="39"/>
    <x v="1"/>
    <n v="29"/>
    <n v="67"/>
    <n v="7.4700000000000001E-3"/>
    <n v="0"/>
    <x v="0"/>
    <x v="1"/>
    <n v="7.4700000000000001E-3"/>
  </r>
  <r>
    <s v="SYN4362"/>
    <n v="34"/>
    <x v="1"/>
    <n v="22"/>
    <n v="55"/>
    <n v="3.0799999999999998E-3"/>
    <n v="0"/>
    <x v="2"/>
    <x v="1"/>
    <n v="3.0799999999999998E-3"/>
  </r>
  <r>
    <s v="SYN4363"/>
    <n v="36"/>
    <x v="1"/>
    <n v="1"/>
    <n v="36"/>
    <n v="1.7000000000000001E-4"/>
    <n v="0"/>
    <x v="1"/>
    <x v="0"/>
    <n v="1.7000000000000001E-4"/>
  </r>
  <r>
    <s v="SYN4364"/>
    <n v="48"/>
    <x v="0"/>
    <n v="8"/>
    <n v="55"/>
    <n v="3.1099999999999999E-3"/>
    <n v="0"/>
    <x v="2"/>
    <x v="0"/>
    <n v="3.1099999999999999E-3"/>
  </r>
  <r>
    <s v="SYN4365"/>
    <n v="24"/>
    <x v="1"/>
    <n v="26"/>
    <n v="49"/>
    <n v="1.8699999999999999E-3"/>
    <n v="0"/>
    <x v="3"/>
    <x v="1"/>
    <n v="1.8699999999999999E-3"/>
  </r>
  <r>
    <s v="SYN4366"/>
    <n v="54"/>
    <x v="0"/>
    <n v="14"/>
    <n v="67"/>
    <n v="1.2460000000000001E-2"/>
    <n v="0"/>
    <x v="0"/>
    <x v="2"/>
    <n v="1.2460000000000001E-2"/>
  </r>
  <r>
    <s v="SYN4367"/>
    <n v="60"/>
    <x v="0"/>
    <n v="26"/>
    <n v="85"/>
    <n v="9.1270000000000004E-2"/>
    <n v="0"/>
    <x v="4"/>
    <x v="1"/>
    <n v="9.1270000000000004E-2"/>
  </r>
  <r>
    <s v="SYN4368"/>
    <n v="23"/>
    <x v="1"/>
    <n v="16"/>
    <n v="38"/>
    <n v="8.5999999999999998E-4"/>
    <n v="0"/>
    <x v="1"/>
    <x v="2"/>
    <n v="8.5999999999999998E-4"/>
  </r>
  <r>
    <s v="SYN4369"/>
    <n v="62"/>
    <x v="0"/>
    <n v="18"/>
    <n v="79"/>
    <n v="4.5069999999999999E-2"/>
    <n v="0"/>
    <x v="5"/>
    <x v="2"/>
    <n v="4.5069999999999999E-2"/>
  </r>
  <r>
    <s v="SYN4370"/>
    <n v="35"/>
    <x v="1"/>
    <n v="30"/>
    <n v="64"/>
    <n v="4.9300000000000004E-3"/>
    <n v="0"/>
    <x v="0"/>
    <x v="3"/>
    <n v="4.9300000000000004E-3"/>
  </r>
  <r>
    <s v="SYN4371"/>
    <n v="41"/>
    <x v="1"/>
    <n v="6"/>
    <n v="46"/>
    <n v="9.2000000000000003E-4"/>
    <n v="0"/>
    <x v="3"/>
    <x v="0"/>
    <n v="9.2000000000000003E-4"/>
  </r>
  <r>
    <s v="SYN4372"/>
    <n v="63"/>
    <x v="0"/>
    <n v="14"/>
    <n v="76"/>
    <n v="2.9659999999999999E-2"/>
    <n v="0"/>
    <x v="5"/>
    <x v="2"/>
    <n v="2.9659999999999999E-2"/>
  </r>
  <r>
    <s v="SYN4373"/>
    <n v="50"/>
    <x v="0"/>
    <n v="1"/>
    <n v="50"/>
    <n v="8.1999999999999998E-4"/>
    <n v="0"/>
    <x v="2"/>
    <x v="0"/>
    <n v="8.1999999999999998E-4"/>
  </r>
  <r>
    <s v="SYN4374"/>
    <n v="36"/>
    <x v="1"/>
    <n v="6"/>
    <n v="41"/>
    <n v="6.4999999999999997E-4"/>
    <n v="0"/>
    <x v="3"/>
    <x v="0"/>
    <n v="6.4999999999999997E-4"/>
  </r>
  <r>
    <s v="SYN4375"/>
    <n v="46"/>
    <x v="1"/>
    <n v="6"/>
    <n v="51"/>
    <n v="1.4E-3"/>
    <n v="0"/>
    <x v="2"/>
    <x v="0"/>
    <n v="1.4E-3"/>
  </r>
  <r>
    <s v="SYN4376"/>
    <n v="30"/>
    <x v="0"/>
    <n v="12"/>
    <n v="41"/>
    <n v="1.1100000000000001E-3"/>
    <n v="0"/>
    <x v="3"/>
    <x v="2"/>
    <n v="1.1100000000000001E-3"/>
  </r>
  <r>
    <s v="SYN4377"/>
    <n v="39"/>
    <x v="1"/>
    <n v="18"/>
    <n v="56"/>
    <n v="3.1800000000000001E-3"/>
    <n v="0"/>
    <x v="2"/>
    <x v="2"/>
    <n v="3.1800000000000001E-3"/>
  </r>
  <r>
    <s v="SYN4378"/>
    <n v="24"/>
    <x v="1"/>
    <n v="5"/>
    <n v="28"/>
    <n v="2.4000000000000001E-4"/>
    <n v="0"/>
    <x v="6"/>
    <x v="0"/>
    <n v="2.4000000000000001E-4"/>
  </r>
  <r>
    <s v="SYN4379"/>
    <n v="20"/>
    <x v="0"/>
    <n v="8"/>
    <n v="27"/>
    <n v="7.5000000000000002E-4"/>
    <n v="0"/>
    <x v="6"/>
    <x v="0"/>
    <n v="7.5000000000000002E-4"/>
  </r>
  <r>
    <s v="SYN4380"/>
    <n v="37"/>
    <x v="0"/>
    <n v="6"/>
    <n v="42"/>
    <n v="8.9999999999999998E-4"/>
    <n v="0"/>
    <x v="3"/>
    <x v="0"/>
    <n v="8.9999999999999998E-4"/>
  </r>
  <r>
    <s v="SYN4381"/>
    <n v="27"/>
    <x v="1"/>
    <n v="17"/>
    <n v="43"/>
    <n v="1.1299999999999999E-3"/>
    <n v="0"/>
    <x v="3"/>
    <x v="2"/>
    <n v="1.1299999999999999E-3"/>
  </r>
  <r>
    <s v="SYN4382"/>
    <n v="49"/>
    <x v="0"/>
    <n v="17"/>
    <n v="65"/>
    <n v="1.022E-2"/>
    <n v="0"/>
    <x v="0"/>
    <x v="2"/>
    <n v="1.022E-2"/>
  </r>
  <r>
    <s v="SYN4383"/>
    <n v="37"/>
    <x v="0"/>
    <n v="26"/>
    <n v="62"/>
    <n v="7.79E-3"/>
    <n v="0"/>
    <x v="0"/>
    <x v="1"/>
    <n v="7.79E-3"/>
  </r>
  <r>
    <s v="SYN4384"/>
    <n v="42"/>
    <x v="0"/>
    <n v="6"/>
    <n v="47"/>
    <n v="1.33E-3"/>
    <n v="0"/>
    <x v="3"/>
    <x v="0"/>
    <n v="1.33E-3"/>
  </r>
  <r>
    <s v="SYN4385"/>
    <n v="36"/>
    <x v="0"/>
    <n v="24"/>
    <n v="59"/>
    <n v="5.7400000000000003E-3"/>
    <n v="0"/>
    <x v="2"/>
    <x v="1"/>
    <n v="5.7400000000000003E-3"/>
  </r>
  <r>
    <s v="SYN4386"/>
    <n v="25"/>
    <x v="0"/>
    <n v="3"/>
    <n v="27"/>
    <n v="4.0000000000000002E-4"/>
    <n v="0"/>
    <x v="6"/>
    <x v="0"/>
    <n v="4.0000000000000002E-4"/>
  </r>
  <r>
    <s v="SYN4387"/>
    <n v="53"/>
    <x v="1"/>
    <n v="27"/>
    <n v="79"/>
    <n v="3.1989999999999998E-2"/>
    <n v="0"/>
    <x v="5"/>
    <x v="1"/>
    <n v="3.1989999999999998E-2"/>
  </r>
  <r>
    <s v="SYN4388"/>
    <n v="60"/>
    <x v="0"/>
    <n v="12"/>
    <n v="71"/>
    <n v="1.8069999999999999E-2"/>
    <n v="0"/>
    <x v="5"/>
    <x v="2"/>
    <n v="1.8069999999999999E-2"/>
  </r>
  <r>
    <s v="SYN4389"/>
    <n v="47"/>
    <x v="1"/>
    <n v="4"/>
    <n v="50"/>
    <n v="1.15E-3"/>
    <n v="0"/>
    <x v="2"/>
    <x v="0"/>
    <n v="1.15E-3"/>
  </r>
  <r>
    <s v="SYN4390"/>
    <n v="45"/>
    <x v="0"/>
    <n v="7"/>
    <n v="51"/>
    <n v="2.0200000000000001E-3"/>
    <n v="0"/>
    <x v="2"/>
    <x v="0"/>
    <n v="2.0200000000000001E-3"/>
  </r>
  <r>
    <s v="SYN4391"/>
    <n v="50"/>
    <x v="1"/>
    <n v="25"/>
    <n v="74"/>
    <n v="2.0979999999999999E-2"/>
    <n v="0"/>
    <x v="5"/>
    <x v="1"/>
    <n v="2.0979999999999999E-2"/>
  </r>
  <r>
    <s v="SYN4392"/>
    <n v="34"/>
    <x v="1"/>
    <n v="27"/>
    <n v="60"/>
    <n v="4.4600000000000004E-3"/>
    <n v="0"/>
    <x v="0"/>
    <x v="1"/>
    <n v="4.4600000000000004E-3"/>
  </r>
  <r>
    <s v="SYN4393"/>
    <n v="51"/>
    <x v="1"/>
    <n v="18"/>
    <n v="68"/>
    <n v="1.0800000000000001E-2"/>
    <n v="0"/>
    <x v="0"/>
    <x v="2"/>
    <n v="1.0800000000000001E-2"/>
  </r>
  <r>
    <s v="SYN4394"/>
    <n v="61"/>
    <x v="0"/>
    <n v="12"/>
    <n v="72"/>
    <n v="1.9769999999999999E-2"/>
    <n v="0"/>
    <x v="5"/>
    <x v="2"/>
    <n v="1.9769999999999999E-2"/>
  </r>
  <r>
    <s v="SYN4395"/>
    <n v="48"/>
    <x v="0"/>
    <n v="7"/>
    <n v="54"/>
    <n v="2.7699999999999999E-3"/>
    <n v="0"/>
    <x v="2"/>
    <x v="0"/>
    <n v="2.7699999999999999E-3"/>
  </r>
  <r>
    <s v="SYN4396"/>
    <n v="62"/>
    <x v="0"/>
    <n v="30"/>
    <n v="91"/>
    <n v="0.11724"/>
    <n v="0"/>
    <x v="7"/>
    <x v="3"/>
    <n v="0.11724"/>
  </r>
  <r>
    <s v="SYN4397"/>
    <n v="20"/>
    <x v="1"/>
    <n v="11"/>
    <n v="30"/>
    <n v="4.0000000000000002E-4"/>
    <n v="0"/>
    <x v="1"/>
    <x v="2"/>
    <n v="4.0000000000000002E-4"/>
  </r>
  <r>
    <s v="SYN4398"/>
    <n v="26"/>
    <x v="1"/>
    <n v="20"/>
    <n v="45"/>
    <n v="1.3699999999999999E-3"/>
    <n v="0"/>
    <x v="3"/>
    <x v="1"/>
    <n v="1.3699999999999999E-3"/>
  </r>
  <r>
    <s v="SYN4399"/>
    <n v="57"/>
    <x v="0"/>
    <n v="5"/>
    <n v="61"/>
    <n v="5.3600000000000002E-3"/>
    <n v="0"/>
    <x v="0"/>
    <x v="0"/>
    <n v="5.3600000000000002E-3"/>
  </r>
  <r>
    <s v="SYN4400"/>
    <n v="55"/>
    <x v="1"/>
    <n v="24"/>
    <n v="78"/>
    <n v="3.1989999999999998E-2"/>
    <n v="0"/>
    <x v="5"/>
    <x v="1"/>
    <n v="3.1989999999999998E-2"/>
  </r>
  <r>
    <s v="SYN4401"/>
    <n v="22"/>
    <x v="1"/>
    <n v="26"/>
    <n v="47"/>
    <n v="1.6000000000000001E-3"/>
    <n v="0"/>
    <x v="3"/>
    <x v="1"/>
    <n v="1.6000000000000001E-3"/>
  </r>
  <r>
    <s v="SYN4402"/>
    <n v="39"/>
    <x v="1"/>
    <n v="18"/>
    <n v="56"/>
    <n v="3.1800000000000001E-3"/>
    <n v="0"/>
    <x v="2"/>
    <x v="2"/>
    <n v="3.1800000000000001E-3"/>
  </r>
  <r>
    <s v="SYN4403"/>
    <n v="26"/>
    <x v="1"/>
    <n v="2"/>
    <n v="27"/>
    <n v="1.7000000000000001E-4"/>
    <n v="0"/>
    <x v="6"/>
    <x v="0"/>
    <n v="1.7000000000000001E-4"/>
  </r>
  <r>
    <s v="SYN4404"/>
    <n v="28"/>
    <x v="0"/>
    <n v="23"/>
    <n v="50"/>
    <n v="2.63E-3"/>
    <n v="0"/>
    <x v="2"/>
    <x v="1"/>
    <n v="2.63E-3"/>
  </r>
  <r>
    <s v="SYN4405"/>
    <n v="29"/>
    <x v="0"/>
    <n v="9"/>
    <n v="37"/>
    <n v="6.9999999999999999E-4"/>
    <n v="0"/>
    <x v="1"/>
    <x v="0"/>
    <n v="6.9999999999999999E-4"/>
  </r>
  <r>
    <s v="SYN4406"/>
    <n v="24"/>
    <x v="0"/>
    <n v="17"/>
    <n v="40"/>
    <n v="1.3600000000000001E-3"/>
    <n v="0"/>
    <x v="3"/>
    <x v="2"/>
    <n v="1.3600000000000001E-3"/>
  </r>
  <r>
    <s v="SYN4407"/>
    <n v="39"/>
    <x v="0"/>
    <n v="14"/>
    <n v="52"/>
    <n v="2.6800000000000001E-3"/>
    <n v="0"/>
    <x v="2"/>
    <x v="2"/>
    <n v="2.6800000000000001E-3"/>
  </r>
  <r>
    <s v="SYN4408"/>
    <n v="40"/>
    <x v="1"/>
    <n v="6"/>
    <n v="45"/>
    <n v="8.3000000000000001E-4"/>
    <n v="0"/>
    <x v="3"/>
    <x v="0"/>
    <n v="8.3000000000000001E-4"/>
  </r>
  <r>
    <s v="SYN4409"/>
    <n v="53"/>
    <x v="1"/>
    <n v="20"/>
    <n v="72"/>
    <n v="1.66E-2"/>
    <n v="0"/>
    <x v="5"/>
    <x v="1"/>
    <n v="1.66E-2"/>
  </r>
  <r>
    <s v="SYN4410"/>
    <n v="27"/>
    <x v="1"/>
    <n v="4"/>
    <n v="30"/>
    <n v="2.2000000000000001E-4"/>
    <n v="0"/>
    <x v="1"/>
    <x v="0"/>
    <n v="2.2000000000000001E-4"/>
  </r>
  <r>
    <s v="SYN4411"/>
    <n v="40"/>
    <x v="0"/>
    <n v="29"/>
    <n v="68"/>
    <n v="1.064E-2"/>
    <n v="0"/>
    <x v="0"/>
    <x v="1"/>
    <n v="1.064E-2"/>
  </r>
  <r>
    <s v="SYN4412"/>
    <n v="57"/>
    <x v="0"/>
    <n v="26"/>
    <n v="82"/>
    <n v="6.3329999999999997E-2"/>
    <n v="1"/>
    <x v="4"/>
    <x v="1"/>
    <n v="6.3329999999999997E-2"/>
  </r>
  <r>
    <s v="SYN4413"/>
    <n v="39"/>
    <x v="1"/>
    <n v="27"/>
    <n v="65"/>
    <n v="7.4700000000000001E-3"/>
    <n v="0"/>
    <x v="0"/>
    <x v="1"/>
    <n v="7.4700000000000001E-3"/>
  </r>
  <r>
    <s v="SYN4414"/>
    <n v="25"/>
    <x v="1"/>
    <n v="26"/>
    <n v="50"/>
    <n v="2.0200000000000001E-3"/>
    <n v="0"/>
    <x v="2"/>
    <x v="1"/>
    <n v="2.0200000000000001E-3"/>
  </r>
  <r>
    <s v="SYN4415"/>
    <n v="64"/>
    <x v="0"/>
    <n v="18"/>
    <n v="81"/>
    <n v="5.5329999999999997E-2"/>
    <n v="0"/>
    <x v="4"/>
    <x v="2"/>
    <n v="5.5329999999999997E-2"/>
  </r>
  <r>
    <s v="SYN4416"/>
    <n v="39"/>
    <x v="1"/>
    <n v="4"/>
    <n v="42"/>
    <n v="6.2E-4"/>
    <n v="0"/>
    <x v="3"/>
    <x v="0"/>
    <n v="6.2E-4"/>
  </r>
  <r>
    <s v="SYN4417"/>
    <n v="22"/>
    <x v="1"/>
    <n v="10"/>
    <n v="31"/>
    <n v="4.0000000000000002E-4"/>
    <n v="0"/>
    <x v="1"/>
    <x v="2"/>
    <n v="4.0000000000000002E-4"/>
  </r>
  <r>
    <s v="SYN4418"/>
    <n v="62"/>
    <x v="0"/>
    <n v="11"/>
    <n v="72"/>
    <n v="1.847E-2"/>
    <n v="0"/>
    <x v="5"/>
    <x v="2"/>
    <n v="1.847E-2"/>
  </r>
  <r>
    <s v="SYN4419"/>
    <n v="24"/>
    <x v="1"/>
    <n v="4"/>
    <n v="27"/>
    <n v="2.2000000000000001E-4"/>
    <n v="0"/>
    <x v="6"/>
    <x v="0"/>
    <n v="2.2000000000000001E-4"/>
  </r>
  <r>
    <s v="SYN4420"/>
    <n v="26"/>
    <x v="0"/>
    <n v="29"/>
    <n v="54"/>
    <n v="3.0899999999999999E-3"/>
    <n v="0"/>
    <x v="2"/>
    <x v="1"/>
    <n v="3.0899999999999999E-3"/>
  </r>
  <r>
    <s v="SYN4421"/>
    <n v="43"/>
    <x v="1"/>
    <n v="13"/>
    <n v="55"/>
    <n v="2.6800000000000001E-3"/>
    <n v="0"/>
    <x v="2"/>
    <x v="2"/>
    <n v="2.6800000000000001E-3"/>
  </r>
  <r>
    <s v="SYN4422"/>
    <n v="57"/>
    <x v="1"/>
    <n v="18"/>
    <n v="74"/>
    <n v="1.968E-2"/>
    <n v="0"/>
    <x v="5"/>
    <x v="2"/>
    <n v="1.968E-2"/>
  </r>
  <r>
    <s v="SYN4423"/>
    <n v="41"/>
    <x v="0"/>
    <n v="6"/>
    <n v="46"/>
    <n v="1.2199999999999999E-3"/>
    <n v="0"/>
    <x v="3"/>
    <x v="0"/>
    <n v="1.2199999999999999E-3"/>
  </r>
  <r>
    <s v="SYN4424"/>
    <n v="64"/>
    <x v="0"/>
    <n v="28"/>
    <n v="91"/>
    <n v="0.14893999999999999"/>
    <n v="0"/>
    <x v="7"/>
    <x v="1"/>
    <n v="0.14893999999999999"/>
  </r>
  <r>
    <s v="SYN4425"/>
    <n v="50"/>
    <x v="1"/>
    <n v="7"/>
    <n v="56"/>
    <n v="2.3500000000000001E-3"/>
    <n v="0"/>
    <x v="2"/>
    <x v="0"/>
    <n v="2.3500000000000001E-3"/>
  </r>
  <r>
    <s v="SYN4426"/>
    <n v="63"/>
    <x v="0"/>
    <n v="17"/>
    <n v="79"/>
    <n v="4.3999999999999997E-2"/>
    <n v="0"/>
    <x v="5"/>
    <x v="2"/>
    <n v="4.3999999999999997E-2"/>
  </r>
  <r>
    <s v="SYN4427"/>
    <n v="63"/>
    <x v="1"/>
    <n v="17"/>
    <n v="79"/>
    <n v="3.2660000000000002E-2"/>
    <n v="0"/>
    <x v="5"/>
    <x v="2"/>
    <n v="3.2660000000000002E-2"/>
  </r>
  <r>
    <s v="SYN4428"/>
    <n v="32"/>
    <x v="1"/>
    <n v="16"/>
    <n v="47"/>
    <n v="1.4E-3"/>
    <n v="0"/>
    <x v="3"/>
    <x v="2"/>
    <n v="1.4E-3"/>
  </r>
  <r>
    <s v="SYN4429"/>
    <n v="33"/>
    <x v="1"/>
    <n v="20"/>
    <n v="52"/>
    <n v="2.2899999999999999E-3"/>
    <n v="0"/>
    <x v="2"/>
    <x v="1"/>
    <n v="2.2899999999999999E-3"/>
  </r>
  <r>
    <s v="SYN4430"/>
    <n v="53"/>
    <x v="0"/>
    <n v="10"/>
    <n v="62"/>
    <n v="7.2700000000000004E-3"/>
    <n v="0"/>
    <x v="0"/>
    <x v="2"/>
    <n v="7.2700000000000004E-3"/>
  </r>
  <r>
    <s v="SYN4431"/>
    <n v="57"/>
    <x v="1"/>
    <n v="14"/>
    <n v="70"/>
    <n v="1.1520000000000001E-2"/>
    <n v="0"/>
    <x v="5"/>
    <x v="2"/>
    <n v="1.1520000000000001E-2"/>
  </r>
  <r>
    <s v="SYN4432"/>
    <n v="35"/>
    <x v="1"/>
    <n v="20"/>
    <n v="54"/>
    <n v="2.7399999999999998E-3"/>
    <n v="0"/>
    <x v="2"/>
    <x v="1"/>
    <n v="2.7399999999999998E-3"/>
  </r>
  <r>
    <s v="SYN4433"/>
    <n v="46"/>
    <x v="1"/>
    <n v="9"/>
    <n v="54"/>
    <n v="2.1299999999999999E-3"/>
    <n v="0"/>
    <x v="2"/>
    <x v="0"/>
    <n v="2.1299999999999999E-3"/>
  </r>
  <r>
    <s v="SYN4434"/>
    <n v="27"/>
    <x v="1"/>
    <n v="13"/>
    <n v="39"/>
    <n v="8.3000000000000001E-4"/>
    <n v="0"/>
    <x v="1"/>
    <x v="2"/>
    <n v="8.3000000000000001E-4"/>
  </r>
  <r>
    <s v="SYN4435"/>
    <n v="64"/>
    <x v="1"/>
    <n v="5"/>
    <n v="68"/>
    <n v="6.5100000000000002E-3"/>
    <n v="0"/>
    <x v="0"/>
    <x v="0"/>
    <n v="6.5100000000000002E-3"/>
  </r>
  <r>
    <s v="SYN4436"/>
    <n v="57"/>
    <x v="1"/>
    <n v="4"/>
    <n v="60"/>
    <n v="2.7399999999999998E-3"/>
    <n v="0"/>
    <x v="0"/>
    <x v="0"/>
    <n v="2.7399999999999998E-3"/>
  </r>
  <r>
    <s v="SYN4437"/>
    <n v="65"/>
    <x v="0"/>
    <n v="2"/>
    <n v="66"/>
    <n v="4.6800000000000001E-3"/>
    <n v="0"/>
    <x v="0"/>
    <x v="0"/>
    <n v="4.6800000000000001E-3"/>
  </r>
  <r>
    <s v="SYN4438"/>
    <n v="22"/>
    <x v="0"/>
    <n v="24"/>
    <n v="45"/>
    <n v="2.31E-3"/>
    <n v="0"/>
    <x v="3"/>
    <x v="1"/>
    <n v="2.31E-3"/>
  </r>
  <r>
    <s v="SYN4439"/>
    <n v="33"/>
    <x v="1"/>
    <n v="9"/>
    <n v="41"/>
    <n v="7.2999999999999996E-4"/>
    <n v="0"/>
    <x v="3"/>
    <x v="0"/>
    <n v="7.2999999999999996E-4"/>
  </r>
  <r>
    <s v="SYN4440"/>
    <n v="61"/>
    <x v="1"/>
    <n v="7"/>
    <n v="67"/>
    <n v="6.62E-3"/>
    <n v="0"/>
    <x v="0"/>
    <x v="0"/>
    <n v="6.62E-3"/>
  </r>
  <r>
    <s v="SYN4441"/>
    <n v="20"/>
    <x v="0"/>
    <n v="14"/>
    <n v="33"/>
    <n v="8.3000000000000001E-4"/>
    <n v="0"/>
    <x v="1"/>
    <x v="2"/>
    <n v="8.3000000000000001E-4"/>
  </r>
  <r>
    <s v="SYN4442"/>
    <n v="29"/>
    <x v="1"/>
    <n v="5"/>
    <n v="33"/>
    <n v="2.7E-4"/>
    <n v="0"/>
    <x v="1"/>
    <x v="0"/>
    <n v="2.7E-4"/>
  </r>
  <r>
    <s v="SYN4443"/>
    <n v="43"/>
    <x v="1"/>
    <n v="11"/>
    <n v="53"/>
    <n v="2.1199999999999999E-3"/>
    <n v="0"/>
    <x v="2"/>
    <x v="2"/>
    <n v="2.1199999999999999E-3"/>
  </r>
  <r>
    <s v="SYN4444"/>
    <n v="53"/>
    <x v="0"/>
    <n v="22"/>
    <n v="74"/>
    <n v="2.657E-2"/>
    <n v="0"/>
    <x v="5"/>
    <x v="1"/>
    <n v="2.657E-2"/>
  </r>
  <r>
    <s v="SYN4445"/>
    <n v="60"/>
    <x v="0"/>
    <n v="5"/>
    <n v="64"/>
    <n v="6.8500000000000002E-3"/>
    <n v="0"/>
    <x v="0"/>
    <x v="0"/>
    <n v="6.8500000000000002E-3"/>
  </r>
  <r>
    <s v="SYN4446"/>
    <n v="62"/>
    <x v="1"/>
    <n v="28"/>
    <n v="89"/>
    <n v="9.3240000000000003E-2"/>
    <n v="0"/>
    <x v="4"/>
    <x v="1"/>
    <n v="9.3240000000000003E-2"/>
  </r>
  <r>
    <s v="SYN4447"/>
    <n v="51"/>
    <x v="0"/>
    <n v="9"/>
    <n v="59"/>
    <n v="5.1599999999999997E-3"/>
    <n v="0"/>
    <x v="2"/>
    <x v="0"/>
    <n v="5.1599999999999997E-3"/>
  </r>
  <r>
    <s v="SYN4448"/>
    <n v="47"/>
    <x v="0"/>
    <n v="15"/>
    <n v="61"/>
    <n v="6.7799999999999996E-3"/>
    <n v="0"/>
    <x v="0"/>
    <x v="2"/>
    <n v="6.7799999999999996E-3"/>
  </r>
  <r>
    <s v="SYN4449"/>
    <n v="23"/>
    <x v="0"/>
    <n v="24"/>
    <n v="46"/>
    <n v="2.3400000000000001E-3"/>
    <n v="0"/>
    <x v="3"/>
    <x v="1"/>
    <n v="2.3400000000000001E-3"/>
  </r>
  <r>
    <s v="SYN4450"/>
    <n v="46"/>
    <x v="1"/>
    <n v="4"/>
    <n v="49"/>
    <n v="1.0499999999999999E-3"/>
    <n v="0"/>
    <x v="3"/>
    <x v="0"/>
    <n v="1.0499999999999999E-3"/>
  </r>
  <r>
    <s v="SYN4451"/>
    <n v="37"/>
    <x v="0"/>
    <n v="6"/>
    <n v="42"/>
    <n v="8.9999999999999998E-4"/>
    <n v="0"/>
    <x v="3"/>
    <x v="0"/>
    <n v="8.9999999999999998E-4"/>
  </r>
  <r>
    <s v="SYN4452"/>
    <n v="53"/>
    <x v="1"/>
    <n v="3"/>
    <n v="55"/>
    <n v="1.64E-3"/>
    <n v="0"/>
    <x v="2"/>
    <x v="0"/>
    <n v="1.64E-3"/>
  </r>
  <r>
    <s v="SYN4453"/>
    <n v="61"/>
    <x v="0"/>
    <n v="8"/>
    <n v="68"/>
    <n v="1.136E-2"/>
    <n v="0"/>
    <x v="0"/>
    <x v="0"/>
    <n v="1.136E-2"/>
  </r>
  <r>
    <s v="SYN4454"/>
    <n v="37"/>
    <x v="0"/>
    <n v="27"/>
    <n v="63"/>
    <n v="7.79E-3"/>
    <n v="0"/>
    <x v="0"/>
    <x v="1"/>
    <n v="7.79E-3"/>
  </r>
  <r>
    <s v="SYN4455"/>
    <n v="30"/>
    <x v="0"/>
    <n v="16"/>
    <n v="45"/>
    <n v="1.67E-3"/>
    <n v="0"/>
    <x v="3"/>
    <x v="2"/>
    <n v="1.67E-3"/>
  </r>
  <r>
    <s v="SYN4456"/>
    <n v="21"/>
    <x v="0"/>
    <n v="25"/>
    <n v="45"/>
    <n v="2.4299999999999999E-3"/>
    <n v="0"/>
    <x v="3"/>
    <x v="1"/>
    <n v="2.4299999999999999E-3"/>
  </r>
  <r>
    <s v="SYN4457"/>
    <n v="34"/>
    <x v="1"/>
    <n v="18"/>
    <n v="51"/>
    <n v="2E-3"/>
    <n v="0"/>
    <x v="2"/>
    <x v="2"/>
    <n v="2E-3"/>
  </r>
  <r>
    <s v="SYN4458"/>
    <n v="27"/>
    <x v="1"/>
    <n v="9"/>
    <n v="35"/>
    <n v="4.6999999999999999E-4"/>
    <n v="0"/>
    <x v="1"/>
    <x v="0"/>
    <n v="4.6999999999999999E-4"/>
  </r>
  <r>
    <s v="SYN4459"/>
    <n v="64"/>
    <x v="0"/>
    <n v="4"/>
    <n v="67"/>
    <n v="7.5599999999999999E-3"/>
    <n v="0"/>
    <x v="0"/>
    <x v="0"/>
    <n v="7.5599999999999999E-3"/>
  </r>
  <r>
    <s v="SYN4460"/>
    <n v="39"/>
    <x v="0"/>
    <n v="24"/>
    <n v="62"/>
    <n v="7.7600000000000004E-3"/>
    <n v="0"/>
    <x v="0"/>
    <x v="1"/>
    <n v="7.7600000000000004E-3"/>
  </r>
  <r>
    <s v="SYN4461"/>
    <n v="26"/>
    <x v="1"/>
    <n v="8"/>
    <n v="33"/>
    <n v="3.8000000000000002E-4"/>
    <n v="0"/>
    <x v="1"/>
    <x v="0"/>
    <n v="3.8000000000000002E-4"/>
  </r>
  <r>
    <s v="SYN4462"/>
    <n v="35"/>
    <x v="1"/>
    <n v="25"/>
    <n v="59"/>
    <n v="4.4600000000000004E-3"/>
    <n v="0"/>
    <x v="2"/>
    <x v="1"/>
    <n v="4.4600000000000004E-3"/>
  </r>
  <r>
    <s v="SYN4463"/>
    <n v="59"/>
    <x v="1"/>
    <n v="19"/>
    <n v="77"/>
    <n v="2.759E-2"/>
    <n v="0"/>
    <x v="5"/>
    <x v="2"/>
    <n v="2.759E-2"/>
  </r>
  <r>
    <s v="SYN4464"/>
    <n v="31"/>
    <x v="0"/>
    <n v="21"/>
    <n v="51"/>
    <n v="2.7399999999999998E-3"/>
    <n v="0"/>
    <x v="2"/>
    <x v="1"/>
    <n v="2.7399999999999998E-3"/>
  </r>
  <r>
    <s v="SYN4465"/>
    <n v="29"/>
    <x v="0"/>
    <n v="1"/>
    <n v="29"/>
    <n v="2.5000000000000001E-4"/>
    <n v="0"/>
    <x v="6"/>
    <x v="0"/>
    <n v="2.5000000000000001E-4"/>
  </r>
  <r>
    <s v="SYN4466"/>
    <n v="55"/>
    <x v="1"/>
    <n v="14"/>
    <n v="68"/>
    <n v="9.5999999999999992E-3"/>
    <n v="1"/>
    <x v="0"/>
    <x v="2"/>
    <n v="9.5999999999999992E-3"/>
  </r>
  <r>
    <s v="SYN4467"/>
    <n v="32"/>
    <x v="0"/>
    <n v="6"/>
    <n v="37"/>
    <n v="5.9000000000000003E-4"/>
    <n v="0"/>
    <x v="1"/>
    <x v="0"/>
    <n v="5.9000000000000003E-4"/>
  </r>
  <r>
    <s v="SYN4468"/>
    <n v="47"/>
    <x v="1"/>
    <n v="9"/>
    <n v="55"/>
    <n v="2.32E-3"/>
    <n v="0"/>
    <x v="2"/>
    <x v="0"/>
    <n v="2.32E-3"/>
  </r>
  <r>
    <s v="SYN4469"/>
    <n v="32"/>
    <x v="0"/>
    <n v="21"/>
    <n v="52"/>
    <n v="3.0000000000000001E-3"/>
    <n v="0"/>
    <x v="2"/>
    <x v="1"/>
    <n v="3.0000000000000001E-3"/>
  </r>
  <r>
    <s v="SYN4470"/>
    <n v="58"/>
    <x v="1"/>
    <n v="19"/>
    <n v="76"/>
    <n v="2.4830000000000001E-2"/>
    <n v="0"/>
    <x v="5"/>
    <x v="2"/>
    <n v="2.4830000000000001E-2"/>
  </r>
  <r>
    <s v="SYN4471"/>
    <n v="50"/>
    <x v="0"/>
    <n v="20"/>
    <n v="69"/>
    <n v="1.5259999999999999E-2"/>
    <n v="0"/>
    <x v="0"/>
    <x v="1"/>
    <n v="1.5259999999999999E-2"/>
  </r>
  <r>
    <s v="SYN4472"/>
    <n v="22"/>
    <x v="0"/>
    <n v="28"/>
    <n v="49"/>
    <n v="2.6700000000000001E-3"/>
    <n v="0"/>
    <x v="3"/>
    <x v="1"/>
    <n v="2.6700000000000001E-3"/>
  </r>
  <r>
    <s v="SYN4473"/>
    <n v="35"/>
    <x v="0"/>
    <n v="18"/>
    <n v="52"/>
    <n v="2.9099999999999998E-3"/>
    <n v="0"/>
    <x v="2"/>
    <x v="2"/>
    <n v="2.9099999999999998E-3"/>
  </r>
  <r>
    <s v="SYN4474"/>
    <n v="55"/>
    <x v="1"/>
    <n v="1"/>
    <n v="55"/>
    <n v="5.4000000000000001E-4"/>
    <n v="0"/>
    <x v="2"/>
    <x v="0"/>
    <n v="5.4000000000000001E-4"/>
  </r>
  <r>
    <s v="SYN4475"/>
    <n v="28"/>
    <x v="0"/>
    <n v="8"/>
    <n v="35"/>
    <n v="5.9000000000000003E-4"/>
    <n v="0"/>
    <x v="1"/>
    <x v="0"/>
    <n v="5.9000000000000003E-4"/>
  </r>
  <r>
    <s v="SYN4476"/>
    <n v="49"/>
    <x v="1"/>
    <n v="14"/>
    <n v="62"/>
    <n v="5.5599999999999998E-3"/>
    <n v="0"/>
    <x v="0"/>
    <x v="2"/>
    <n v="5.5599999999999998E-3"/>
  </r>
  <r>
    <s v="SYN4477"/>
    <n v="26"/>
    <x v="1"/>
    <n v="22"/>
    <n v="47"/>
    <n v="1.6000000000000001E-3"/>
    <n v="0"/>
    <x v="3"/>
    <x v="1"/>
    <n v="1.6000000000000001E-3"/>
  </r>
  <r>
    <s v="SYN4478"/>
    <n v="65"/>
    <x v="0"/>
    <n v="5"/>
    <n v="69"/>
    <n v="9.7999999999999997E-3"/>
    <n v="0"/>
    <x v="0"/>
    <x v="0"/>
    <n v="9.7999999999999997E-3"/>
  </r>
  <r>
    <s v="SYN4479"/>
    <n v="43"/>
    <x v="0"/>
    <n v="4"/>
    <n v="46"/>
    <n v="1.1000000000000001E-3"/>
    <n v="0"/>
    <x v="3"/>
    <x v="0"/>
    <n v="1.1000000000000001E-3"/>
  </r>
  <r>
    <s v="SYN4480"/>
    <n v="57"/>
    <x v="0"/>
    <n v="14"/>
    <n v="70"/>
    <n v="1.6750000000000001E-2"/>
    <n v="0"/>
    <x v="5"/>
    <x v="2"/>
    <n v="1.6750000000000001E-2"/>
  </r>
  <r>
    <s v="SYN4481"/>
    <n v="57"/>
    <x v="0"/>
    <n v="29"/>
    <n v="85"/>
    <n v="6.3329999999999997E-2"/>
    <n v="0"/>
    <x v="4"/>
    <x v="1"/>
    <n v="6.3329999999999997E-2"/>
  </r>
  <r>
    <s v="SYN4482"/>
    <n v="41"/>
    <x v="0"/>
    <n v="30"/>
    <n v="70"/>
    <n v="1.1730000000000001E-2"/>
    <n v="0"/>
    <x v="5"/>
    <x v="3"/>
    <n v="1.1730000000000001E-2"/>
  </r>
  <r>
    <s v="SYN4483"/>
    <n v="36"/>
    <x v="1"/>
    <n v="26"/>
    <n v="61"/>
    <n v="5.4599999999999996E-3"/>
    <n v="0"/>
    <x v="0"/>
    <x v="1"/>
    <n v="5.4599999999999996E-3"/>
  </r>
  <r>
    <s v="SYN4484"/>
    <n v="35"/>
    <x v="0"/>
    <n v="2"/>
    <n v="36"/>
    <n v="3.4000000000000002E-4"/>
    <n v="0"/>
    <x v="1"/>
    <x v="0"/>
    <n v="3.4000000000000002E-4"/>
  </r>
  <r>
    <s v="SYN4485"/>
    <n v="30"/>
    <x v="1"/>
    <n v="22"/>
    <n v="51"/>
    <n v="2.1900000000000001E-3"/>
    <n v="0"/>
    <x v="2"/>
    <x v="1"/>
    <n v="2.1900000000000001E-3"/>
  </r>
  <r>
    <s v="SYN4486"/>
    <n v="51"/>
    <x v="1"/>
    <n v="27"/>
    <n v="77"/>
    <n v="2.58E-2"/>
    <n v="0"/>
    <x v="5"/>
    <x v="1"/>
    <n v="2.58E-2"/>
  </r>
  <r>
    <s v="SYN4487"/>
    <n v="41"/>
    <x v="0"/>
    <n v="4"/>
    <n v="44"/>
    <n v="9.5E-4"/>
    <n v="0"/>
    <x v="3"/>
    <x v="0"/>
    <n v="9.5E-4"/>
  </r>
  <r>
    <s v="SYN4488"/>
    <n v="56"/>
    <x v="0"/>
    <n v="9"/>
    <n v="64"/>
    <n v="8.7399999999999995E-3"/>
    <n v="0"/>
    <x v="0"/>
    <x v="0"/>
    <n v="8.7399999999999995E-3"/>
  </r>
  <r>
    <s v="SYN4489"/>
    <n v="42"/>
    <x v="0"/>
    <n v="25"/>
    <n v="66"/>
    <n v="1.162E-2"/>
    <n v="0"/>
    <x v="0"/>
    <x v="1"/>
    <n v="1.162E-2"/>
  </r>
  <r>
    <s v="SYN4490"/>
    <n v="21"/>
    <x v="0"/>
    <n v="24"/>
    <n v="44"/>
    <n v="2.2899999999999999E-3"/>
    <n v="0"/>
    <x v="3"/>
    <x v="1"/>
    <n v="2.2899999999999999E-3"/>
  </r>
  <r>
    <s v="SYN4491"/>
    <n v="21"/>
    <x v="0"/>
    <n v="22"/>
    <n v="42"/>
    <n v="1.99E-3"/>
    <n v="0"/>
    <x v="3"/>
    <x v="1"/>
    <n v="1.99E-3"/>
  </r>
  <r>
    <s v="SYN4492"/>
    <n v="30"/>
    <x v="1"/>
    <n v="8"/>
    <n v="37"/>
    <n v="5.1999999999999995E-4"/>
    <n v="0"/>
    <x v="1"/>
    <x v="0"/>
    <n v="5.1999999999999995E-4"/>
  </r>
  <r>
    <s v="SYN4493"/>
    <n v="32"/>
    <x v="0"/>
    <n v="27"/>
    <n v="58"/>
    <n v="4.7800000000000004E-3"/>
    <n v="0"/>
    <x v="2"/>
    <x v="1"/>
    <n v="4.7800000000000004E-3"/>
  </r>
  <r>
    <s v="SYN4494"/>
    <n v="49"/>
    <x v="1"/>
    <n v="2"/>
    <n v="50"/>
    <n v="5.9999999999999995E-4"/>
    <n v="0"/>
    <x v="2"/>
    <x v="0"/>
    <n v="5.9999999999999995E-4"/>
  </r>
  <r>
    <s v="SYN4495"/>
    <n v="28"/>
    <x v="0"/>
    <n v="2"/>
    <n v="29"/>
    <n v="3.1E-4"/>
    <n v="0"/>
    <x v="6"/>
    <x v="0"/>
    <n v="3.1E-4"/>
  </r>
  <r>
    <s v="SYN4496"/>
    <n v="33"/>
    <x v="1"/>
    <n v="12"/>
    <n v="44"/>
    <n v="9.8999999999999999E-4"/>
    <n v="0"/>
    <x v="3"/>
    <x v="2"/>
    <n v="9.8999999999999999E-4"/>
  </r>
  <r>
    <s v="SYN4497"/>
    <n v="39"/>
    <x v="1"/>
    <n v="27"/>
    <n v="65"/>
    <n v="7.4700000000000001E-3"/>
    <n v="0"/>
    <x v="0"/>
    <x v="1"/>
    <n v="7.4700000000000001E-3"/>
  </r>
  <r>
    <s v="SYN4498"/>
    <n v="24"/>
    <x v="1"/>
    <n v="27"/>
    <n v="50"/>
    <n v="1.8699999999999999E-3"/>
    <n v="0"/>
    <x v="2"/>
    <x v="1"/>
    <n v="1.8699999999999999E-3"/>
  </r>
  <r>
    <s v="SYN4499"/>
    <n v="20"/>
    <x v="0"/>
    <n v="6"/>
    <n v="25"/>
    <n v="7.7999999999999999E-4"/>
    <n v="0"/>
    <x v="6"/>
    <x v="0"/>
    <n v="7.7999999999999999E-4"/>
  </r>
  <r>
    <s v="SYN4500"/>
    <n v="63"/>
    <x v="1"/>
    <n v="27"/>
    <n v="89"/>
    <n v="0.10484"/>
    <n v="0"/>
    <x v="4"/>
    <x v="1"/>
    <n v="0.10484"/>
  </r>
  <r>
    <s v="SYN4501"/>
    <n v="30"/>
    <x v="0"/>
    <n v="7"/>
    <n v="36"/>
    <n v="5.9000000000000003E-4"/>
    <n v="0"/>
    <x v="1"/>
    <x v="0"/>
    <n v="5.9000000000000003E-4"/>
  </r>
  <r>
    <s v="SYN4502"/>
    <n v="47"/>
    <x v="1"/>
    <n v="8"/>
    <n v="54"/>
    <n v="2.0300000000000001E-3"/>
    <n v="0"/>
    <x v="2"/>
    <x v="0"/>
    <n v="2.0300000000000001E-3"/>
  </r>
  <r>
    <s v="SYN4503"/>
    <n v="65"/>
    <x v="1"/>
    <n v="17"/>
    <n v="81"/>
    <n v="4.2099999999999999E-2"/>
    <n v="0"/>
    <x v="4"/>
    <x v="2"/>
    <n v="4.2099999999999999E-2"/>
  </r>
  <r>
    <s v="SYN4504"/>
    <n v="53"/>
    <x v="1"/>
    <n v="29"/>
    <n v="81"/>
    <n v="3.1989999999999998E-2"/>
    <n v="0"/>
    <x v="4"/>
    <x v="1"/>
    <n v="3.1989999999999998E-2"/>
  </r>
  <r>
    <s v="SYN4505"/>
    <n v="57"/>
    <x v="1"/>
    <n v="11"/>
    <n v="67"/>
    <n v="7.4700000000000001E-3"/>
    <n v="0"/>
    <x v="0"/>
    <x v="2"/>
    <n v="7.4700000000000001E-3"/>
  </r>
  <r>
    <s v="SYN4506"/>
    <n v="58"/>
    <x v="1"/>
    <n v="18"/>
    <n v="75"/>
    <n v="2.18E-2"/>
    <n v="0"/>
    <x v="5"/>
    <x v="2"/>
    <n v="2.18E-2"/>
  </r>
  <r>
    <s v="SYN4507"/>
    <n v="48"/>
    <x v="0"/>
    <n v="14"/>
    <n v="61"/>
    <n v="6.6699999999999997E-3"/>
    <n v="0"/>
    <x v="0"/>
    <x v="2"/>
    <n v="6.6699999999999997E-3"/>
  </r>
  <r>
    <s v="SYN4508"/>
    <n v="48"/>
    <x v="0"/>
    <n v="9"/>
    <n v="56"/>
    <n v="3.5300000000000002E-3"/>
    <n v="0"/>
    <x v="2"/>
    <x v="0"/>
    <n v="3.5300000000000002E-3"/>
  </r>
  <r>
    <s v="SYN4509"/>
    <n v="21"/>
    <x v="0"/>
    <n v="7"/>
    <n v="27"/>
    <n v="6.8000000000000005E-4"/>
    <n v="0"/>
    <x v="6"/>
    <x v="0"/>
    <n v="6.8000000000000005E-4"/>
  </r>
  <r>
    <s v="SYN4510"/>
    <n v="54"/>
    <x v="1"/>
    <n v="15"/>
    <n v="68"/>
    <n v="9.9799999999999993E-3"/>
    <n v="0"/>
    <x v="0"/>
    <x v="2"/>
    <n v="9.9799999999999993E-3"/>
  </r>
  <r>
    <s v="SYN4511"/>
    <n v="27"/>
    <x v="1"/>
    <n v="26"/>
    <n v="52"/>
    <n v="2.3800000000000002E-3"/>
    <n v="0"/>
    <x v="2"/>
    <x v="1"/>
    <n v="2.3800000000000002E-3"/>
  </r>
  <r>
    <s v="SYN4512"/>
    <n v="34"/>
    <x v="1"/>
    <n v="24"/>
    <n v="57"/>
    <n v="3.6900000000000001E-3"/>
    <n v="0"/>
    <x v="2"/>
    <x v="1"/>
    <n v="3.6900000000000001E-3"/>
  </r>
  <r>
    <s v="SYN4513"/>
    <n v="27"/>
    <x v="0"/>
    <n v="18"/>
    <n v="44"/>
    <n v="1.7600000000000001E-3"/>
    <n v="0"/>
    <x v="3"/>
    <x v="2"/>
    <n v="1.7600000000000001E-3"/>
  </r>
  <r>
    <s v="SYN4514"/>
    <n v="57"/>
    <x v="1"/>
    <n v="23"/>
    <n v="79"/>
    <n v="3.569E-2"/>
    <n v="0"/>
    <x v="5"/>
    <x v="1"/>
    <n v="3.569E-2"/>
  </r>
  <r>
    <s v="SYN4515"/>
    <n v="53"/>
    <x v="1"/>
    <n v="6"/>
    <n v="58"/>
    <n v="2.7399999999999998E-3"/>
    <n v="0"/>
    <x v="2"/>
    <x v="0"/>
    <n v="2.7399999999999998E-3"/>
  </r>
  <r>
    <s v="SYN4516"/>
    <n v="28"/>
    <x v="1"/>
    <n v="8"/>
    <n v="35"/>
    <n v="4.2999999999999999E-4"/>
    <n v="0"/>
    <x v="1"/>
    <x v="0"/>
    <n v="4.2999999999999999E-4"/>
  </r>
  <r>
    <s v="SYN4517"/>
    <n v="58"/>
    <x v="1"/>
    <n v="18"/>
    <n v="75"/>
    <n v="2.18E-2"/>
    <n v="0"/>
    <x v="5"/>
    <x v="2"/>
    <n v="2.18E-2"/>
  </r>
  <r>
    <s v="SYN4518"/>
    <n v="55"/>
    <x v="0"/>
    <n v="3"/>
    <n v="57"/>
    <n v="3.0699999999999998E-3"/>
    <n v="0"/>
    <x v="2"/>
    <x v="0"/>
    <n v="3.0699999999999998E-3"/>
  </r>
  <r>
    <s v="SYN4519"/>
    <n v="36"/>
    <x v="0"/>
    <n v="9"/>
    <n v="44"/>
    <n v="1.2099999999999999E-3"/>
    <n v="0"/>
    <x v="3"/>
    <x v="0"/>
    <n v="1.2099999999999999E-3"/>
  </r>
  <r>
    <s v="SYN4520"/>
    <n v="31"/>
    <x v="0"/>
    <n v="2"/>
    <n v="32"/>
    <n v="2.9E-4"/>
    <n v="0"/>
    <x v="1"/>
    <x v="0"/>
    <n v="2.9E-4"/>
  </r>
  <r>
    <s v="SYN4521"/>
    <n v="33"/>
    <x v="1"/>
    <n v="5"/>
    <n v="37"/>
    <n v="4.2000000000000002E-4"/>
    <n v="0"/>
    <x v="1"/>
    <x v="0"/>
    <n v="4.2000000000000002E-4"/>
  </r>
  <r>
    <s v="SYN4522"/>
    <n v="60"/>
    <x v="1"/>
    <n v="3"/>
    <n v="62"/>
    <n v="2.5300000000000001E-3"/>
    <n v="0"/>
    <x v="0"/>
    <x v="0"/>
    <n v="2.5300000000000001E-3"/>
  </r>
  <r>
    <s v="SYN4523"/>
    <n v="24"/>
    <x v="1"/>
    <n v="14"/>
    <n v="37"/>
    <n v="7.2000000000000005E-4"/>
    <n v="0"/>
    <x v="1"/>
    <x v="2"/>
    <n v="7.2000000000000005E-4"/>
  </r>
  <r>
    <s v="SYN4524"/>
    <n v="40"/>
    <x v="0"/>
    <n v="15"/>
    <n v="54"/>
    <n v="3.2699999999999999E-3"/>
    <n v="0"/>
    <x v="2"/>
    <x v="2"/>
    <n v="3.2699999999999999E-3"/>
  </r>
  <r>
    <s v="SYN4525"/>
    <n v="41"/>
    <x v="0"/>
    <n v="1"/>
    <n v="41"/>
    <n v="3.5E-4"/>
    <n v="0"/>
    <x v="3"/>
    <x v="0"/>
    <n v="3.5E-4"/>
  </r>
  <r>
    <s v="SYN4526"/>
    <n v="21"/>
    <x v="1"/>
    <n v="25"/>
    <n v="45"/>
    <n v="1.3799999999999999E-3"/>
    <n v="0"/>
    <x v="3"/>
    <x v="1"/>
    <n v="1.3799999999999999E-3"/>
  </r>
  <r>
    <s v="SYN4527"/>
    <n v="21"/>
    <x v="0"/>
    <n v="3"/>
    <n v="23"/>
    <n v="6.7000000000000002E-4"/>
    <n v="0"/>
    <x v="6"/>
    <x v="0"/>
    <n v="6.7000000000000002E-4"/>
  </r>
  <r>
    <s v="SYN4528"/>
    <n v="60"/>
    <x v="0"/>
    <n v="19"/>
    <n v="78"/>
    <n v="4.0669999999999998E-2"/>
    <n v="0"/>
    <x v="5"/>
    <x v="2"/>
    <n v="4.0669999999999998E-2"/>
  </r>
  <r>
    <s v="SYN4529"/>
    <n v="50"/>
    <x v="0"/>
    <n v="26"/>
    <n v="75"/>
    <n v="3.006E-2"/>
    <n v="0"/>
    <x v="5"/>
    <x v="1"/>
    <n v="3.006E-2"/>
  </r>
  <r>
    <s v="SYN4530"/>
    <n v="54"/>
    <x v="0"/>
    <n v="21"/>
    <n v="74"/>
    <n v="2.6550000000000001E-2"/>
    <n v="0"/>
    <x v="5"/>
    <x v="1"/>
    <n v="2.6550000000000001E-2"/>
  </r>
  <r>
    <s v="SYN4531"/>
    <n v="58"/>
    <x v="1"/>
    <n v="1"/>
    <n v="58"/>
    <n v="6.2E-4"/>
    <n v="0"/>
    <x v="2"/>
    <x v="0"/>
    <n v="6.2E-4"/>
  </r>
  <r>
    <s v="SYN4532"/>
    <n v="40"/>
    <x v="1"/>
    <n v="13"/>
    <n v="52"/>
    <n v="2.0699999999999998E-3"/>
    <n v="0"/>
    <x v="2"/>
    <x v="2"/>
    <n v="2.0699999999999998E-3"/>
  </r>
  <r>
    <s v="SYN4533"/>
    <n v="52"/>
    <x v="0"/>
    <n v="21"/>
    <n v="72"/>
    <n v="2.1329999999999998E-2"/>
    <n v="0"/>
    <x v="5"/>
    <x v="1"/>
    <n v="2.1329999999999998E-2"/>
  </r>
  <r>
    <s v="SYN4534"/>
    <n v="30"/>
    <x v="1"/>
    <n v="3"/>
    <n v="32"/>
    <n v="2.2000000000000001E-4"/>
    <n v="0"/>
    <x v="1"/>
    <x v="0"/>
    <n v="2.2000000000000001E-4"/>
  </r>
  <r>
    <s v="SYN4535"/>
    <n v="62"/>
    <x v="1"/>
    <n v="19"/>
    <n v="80"/>
    <n v="3.8629999999999998E-2"/>
    <n v="0"/>
    <x v="4"/>
    <x v="2"/>
    <n v="3.8629999999999998E-2"/>
  </r>
  <r>
    <s v="SYN4536"/>
    <n v="53"/>
    <x v="1"/>
    <n v="30"/>
    <n v="82"/>
    <n v="3.1989999999999998E-2"/>
    <n v="0"/>
    <x v="4"/>
    <x v="3"/>
    <n v="3.1989999999999998E-2"/>
  </r>
  <r>
    <s v="SYN4537"/>
    <n v="38"/>
    <x v="1"/>
    <n v="17"/>
    <n v="54"/>
    <n v="2.5799999999999998E-3"/>
    <n v="0"/>
    <x v="2"/>
    <x v="2"/>
    <n v="2.5799999999999998E-3"/>
  </r>
  <r>
    <s v="SYN4538"/>
    <n v="44"/>
    <x v="0"/>
    <n v="16"/>
    <n v="59"/>
    <n v="5.6100000000000004E-3"/>
    <n v="0"/>
    <x v="2"/>
    <x v="2"/>
    <n v="5.6100000000000004E-3"/>
  </r>
  <r>
    <s v="SYN4539"/>
    <n v="21"/>
    <x v="1"/>
    <n v="2"/>
    <n v="22"/>
    <n v="2.5000000000000001E-4"/>
    <n v="0"/>
    <x v="6"/>
    <x v="0"/>
    <n v="2.5000000000000001E-4"/>
  </r>
  <r>
    <s v="SYN4540"/>
    <n v="36"/>
    <x v="0"/>
    <n v="29"/>
    <n v="64"/>
    <n v="7.0200000000000002E-3"/>
    <n v="0"/>
    <x v="0"/>
    <x v="1"/>
    <n v="7.0200000000000002E-3"/>
  </r>
  <r>
    <s v="SYN4541"/>
    <n v="41"/>
    <x v="0"/>
    <n v="3"/>
    <n v="43"/>
    <n v="8.1999999999999998E-4"/>
    <n v="0"/>
    <x v="3"/>
    <x v="0"/>
    <n v="8.1999999999999998E-4"/>
  </r>
  <r>
    <s v="SYN4542"/>
    <n v="53"/>
    <x v="0"/>
    <n v="5"/>
    <n v="57"/>
    <n v="3.5699999999999998E-3"/>
    <n v="0"/>
    <x v="2"/>
    <x v="0"/>
    <n v="3.5699999999999998E-3"/>
  </r>
  <r>
    <s v="SYN4543"/>
    <n v="35"/>
    <x v="0"/>
    <n v="14"/>
    <n v="48"/>
    <n v="1.91E-3"/>
    <n v="0"/>
    <x v="3"/>
    <x v="2"/>
    <n v="1.91E-3"/>
  </r>
  <r>
    <s v="SYN4544"/>
    <n v="34"/>
    <x v="0"/>
    <n v="11"/>
    <n v="44"/>
    <n v="1.2800000000000001E-3"/>
    <n v="0"/>
    <x v="3"/>
    <x v="2"/>
    <n v="1.2800000000000001E-3"/>
  </r>
  <r>
    <s v="SYN4545"/>
    <n v="39"/>
    <x v="0"/>
    <n v="27"/>
    <n v="65"/>
    <n v="9.6200000000000001E-3"/>
    <n v="0"/>
    <x v="0"/>
    <x v="1"/>
    <n v="9.6200000000000001E-3"/>
  </r>
  <r>
    <s v="SYN4546"/>
    <n v="22"/>
    <x v="1"/>
    <n v="18"/>
    <n v="39"/>
    <n v="1E-3"/>
    <n v="0"/>
    <x v="1"/>
    <x v="2"/>
    <n v="1E-3"/>
  </r>
  <r>
    <s v="SYN4547"/>
    <n v="23"/>
    <x v="0"/>
    <n v="14"/>
    <n v="36"/>
    <n v="9.1E-4"/>
    <n v="0"/>
    <x v="1"/>
    <x v="2"/>
    <n v="9.1E-4"/>
  </r>
  <r>
    <s v="SYN4548"/>
    <n v="59"/>
    <x v="0"/>
    <n v="18"/>
    <n v="76"/>
    <n v="3.3079999999999998E-2"/>
    <n v="0"/>
    <x v="5"/>
    <x v="2"/>
    <n v="3.3079999999999998E-2"/>
  </r>
  <r>
    <s v="SYN4549"/>
    <n v="21"/>
    <x v="1"/>
    <n v="25"/>
    <n v="45"/>
    <n v="1.3799999999999999E-3"/>
    <n v="0"/>
    <x v="3"/>
    <x v="1"/>
    <n v="1.3799999999999999E-3"/>
  </r>
  <r>
    <s v="SYN4550"/>
    <n v="53"/>
    <x v="0"/>
    <n v="6"/>
    <n v="58"/>
    <n v="4.1399999999999996E-3"/>
    <n v="0"/>
    <x v="2"/>
    <x v="0"/>
    <n v="4.1399999999999996E-3"/>
  </r>
  <r>
    <s v="SYN4551"/>
    <n v="23"/>
    <x v="0"/>
    <n v="30"/>
    <n v="52"/>
    <n v="2.7399999999999998E-3"/>
    <n v="0"/>
    <x v="2"/>
    <x v="3"/>
    <n v="2.7399999999999998E-3"/>
  </r>
  <r>
    <s v="SYN4552"/>
    <n v="53"/>
    <x v="1"/>
    <n v="4"/>
    <n v="56"/>
    <n v="2.0400000000000001E-3"/>
    <n v="0"/>
    <x v="2"/>
    <x v="0"/>
    <n v="2.0400000000000001E-3"/>
  </r>
  <r>
    <s v="SYN4553"/>
    <n v="20"/>
    <x v="1"/>
    <n v="9"/>
    <n v="28"/>
    <n v="3.4000000000000002E-4"/>
    <n v="0"/>
    <x v="6"/>
    <x v="0"/>
    <n v="3.4000000000000002E-4"/>
  </r>
  <r>
    <s v="SYN4554"/>
    <n v="61"/>
    <x v="1"/>
    <n v="6"/>
    <n v="66"/>
    <n v="6.0499999999999998E-3"/>
    <n v="0"/>
    <x v="0"/>
    <x v="0"/>
    <n v="6.0499999999999998E-3"/>
  </r>
  <r>
    <s v="SYN4555"/>
    <n v="35"/>
    <x v="0"/>
    <n v="17"/>
    <n v="51"/>
    <n v="2.65E-3"/>
    <n v="0"/>
    <x v="2"/>
    <x v="2"/>
    <n v="2.65E-3"/>
  </r>
  <r>
    <s v="SYN4556"/>
    <n v="32"/>
    <x v="1"/>
    <n v="17"/>
    <n v="48"/>
    <n v="1.56E-3"/>
    <n v="0"/>
    <x v="3"/>
    <x v="2"/>
    <n v="1.56E-3"/>
  </r>
  <r>
    <s v="SYN4557"/>
    <n v="35"/>
    <x v="1"/>
    <n v="5"/>
    <n v="39"/>
    <n v="5.1999999999999995E-4"/>
    <n v="0"/>
    <x v="1"/>
    <x v="0"/>
    <n v="5.1999999999999995E-4"/>
  </r>
  <r>
    <s v="SYN4558"/>
    <n v="45"/>
    <x v="1"/>
    <n v="20"/>
    <n v="64"/>
    <n v="7.4000000000000003E-3"/>
    <n v="0"/>
    <x v="0"/>
    <x v="1"/>
    <n v="7.4000000000000003E-3"/>
  </r>
  <r>
    <s v="SYN4559"/>
    <n v="53"/>
    <x v="1"/>
    <n v="19"/>
    <n v="71"/>
    <n v="1.47E-2"/>
    <n v="0"/>
    <x v="5"/>
    <x v="2"/>
    <n v="1.47E-2"/>
  </r>
  <r>
    <s v="SYN4560"/>
    <n v="39"/>
    <x v="0"/>
    <n v="14"/>
    <n v="52"/>
    <n v="2.6800000000000001E-3"/>
    <n v="0"/>
    <x v="2"/>
    <x v="2"/>
    <n v="2.6800000000000001E-3"/>
  </r>
  <r>
    <s v="SYN4561"/>
    <n v="46"/>
    <x v="1"/>
    <n v="25"/>
    <n v="70"/>
    <n v="1.404E-2"/>
    <n v="0"/>
    <x v="5"/>
    <x v="1"/>
    <n v="1.404E-2"/>
  </r>
  <r>
    <s v="SYN4562"/>
    <n v="53"/>
    <x v="0"/>
    <n v="14"/>
    <n v="66"/>
    <n v="1.116E-2"/>
    <n v="0"/>
    <x v="0"/>
    <x v="2"/>
    <n v="1.116E-2"/>
  </r>
  <r>
    <s v="SYN4563"/>
    <n v="36"/>
    <x v="0"/>
    <n v="3"/>
    <n v="38"/>
    <n v="5.4000000000000001E-4"/>
    <n v="0"/>
    <x v="1"/>
    <x v="0"/>
    <n v="5.4000000000000001E-4"/>
  </r>
  <r>
    <s v="SYN4564"/>
    <n v="44"/>
    <x v="1"/>
    <n v="10"/>
    <n v="53"/>
    <n v="2.0600000000000002E-3"/>
    <n v="0"/>
    <x v="2"/>
    <x v="2"/>
    <n v="2.0600000000000002E-3"/>
  </r>
  <r>
    <s v="SYN4565"/>
    <n v="30"/>
    <x v="1"/>
    <n v="12"/>
    <n v="41"/>
    <n v="8.8000000000000003E-4"/>
    <n v="0"/>
    <x v="3"/>
    <x v="2"/>
    <n v="8.8000000000000003E-4"/>
  </r>
  <r>
    <s v="SYN4566"/>
    <n v="38"/>
    <x v="1"/>
    <n v="28"/>
    <n v="65"/>
    <n v="6.7200000000000003E-3"/>
    <n v="0"/>
    <x v="0"/>
    <x v="1"/>
    <n v="6.7200000000000003E-3"/>
  </r>
  <r>
    <s v="SYN4567"/>
    <n v="34"/>
    <x v="1"/>
    <n v="24"/>
    <n v="57"/>
    <n v="3.6900000000000001E-3"/>
    <n v="0"/>
    <x v="2"/>
    <x v="1"/>
    <n v="3.6900000000000001E-3"/>
  </r>
  <r>
    <s v="SYN4568"/>
    <n v="63"/>
    <x v="0"/>
    <n v="6"/>
    <n v="68"/>
    <n v="9.8899999999999995E-3"/>
    <n v="0"/>
    <x v="0"/>
    <x v="0"/>
    <n v="9.8899999999999995E-3"/>
  </r>
  <r>
    <s v="SYN4569"/>
    <n v="21"/>
    <x v="0"/>
    <n v="22"/>
    <n v="42"/>
    <n v="1.99E-3"/>
    <n v="0"/>
    <x v="3"/>
    <x v="1"/>
    <n v="1.99E-3"/>
  </r>
  <r>
    <s v="SYN4570"/>
    <n v="46"/>
    <x v="0"/>
    <n v="26"/>
    <n v="71"/>
    <n v="1.9089999999999999E-2"/>
    <n v="0"/>
    <x v="5"/>
    <x v="1"/>
    <n v="1.9089999999999999E-2"/>
  </r>
  <r>
    <s v="SYN4571"/>
    <n v="56"/>
    <x v="1"/>
    <n v="27"/>
    <n v="82"/>
    <n v="4.4880000000000003E-2"/>
    <n v="0"/>
    <x v="4"/>
    <x v="1"/>
    <n v="4.4880000000000003E-2"/>
  </r>
  <r>
    <s v="SYN4572"/>
    <n v="21"/>
    <x v="0"/>
    <n v="25"/>
    <n v="45"/>
    <n v="2.4299999999999999E-3"/>
    <n v="0"/>
    <x v="3"/>
    <x v="1"/>
    <n v="2.4299999999999999E-3"/>
  </r>
  <r>
    <s v="SYN4573"/>
    <n v="35"/>
    <x v="1"/>
    <n v="18"/>
    <n v="52"/>
    <n v="2.1700000000000001E-3"/>
    <n v="0"/>
    <x v="2"/>
    <x v="2"/>
    <n v="2.1700000000000001E-3"/>
  </r>
  <r>
    <s v="SYN4574"/>
    <n v="37"/>
    <x v="1"/>
    <n v="11"/>
    <n v="47"/>
    <n v="1.2199999999999999E-3"/>
    <n v="0"/>
    <x v="3"/>
    <x v="2"/>
    <n v="1.2199999999999999E-3"/>
  </r>
  <r>
    <s v="SYN4575"/>
    <n v="59"/>
    <x v="1"/>
    <n v="27"/>
    <n v="85"/>
    <n v="6.4490000000000006E-2"/>
    <n v="0"/>
    <x v="4"/>
    <x v="1"/>
    <n v="6.4490000000000006E-2"/>
  </r>
  <r>
    <s v="SYN4576"/>
    <n v="41"/>
    <x v="0"/>
    <n v="2"/>
    <n v="42"/>
    <n v="5.9999999999999995E-4"/>
    <n v="0"/>
    <x v="3"/>
    <x v="0"/>
    <n v="5.9999999999999995E-4"/>
  </r>
  <r>
    <s v="SYN4577"/>
    <n v="38"/>
    <x v="0"/>
    <n v="8"/>
    <n v="45"/>
    <n v="1.1999999999999999E-3"/>
    <n v="0"/>
    <x v="3"/>
    <x v="0"/>
    <n v="1.1999999999999999E-3"/>
  </r>
  <r>
    <s v="SYN4578"/>
    <n v="42"/>
    <x v="1"/>
    <n v="7"/>
    <n v="48"/>
    <n v="1.1299999999999999E-3"/>
    <n v="0"/>
    <x v="3"/>
    <x v="0"/>
    <n v="1.1299999999999999E-3"/>
  </r>
  <r>
    <s v="SYN4579"/>
    <n v="40"/>
    <x v="1"/>
    <n v="29"/>
    <n v="68"/>
    <n v="8.3099999999999997E-3"/>
    <n v="0"/>
    <x v="0"/>
    <x v="1"/>
    <n v="8.3099999999999997E-3"/>
  </r>
  <r>
    <s v="SYN4580"/>
    <n v="34"/>
    <x v="0"/>
    <n v="26"/>
    <n v="59"/>
    <n v="5.7400000000000003E-3"/>
    <n v="0"/>
    <x v="2"/>
    <x v="1"/>
    <n v="5.7400000000000003E-3"/>
  </r>
  <r>
    <s v="SYN4581"/>
    <n v="26"/>
    <x v="1"/>
    <n v="23"/>
    <n v="48"/>
    <n v="1.73E-3"/>
    <n v="0"/>
    <x v="3"/>
    <x v="1"/>
    <n v="1.73E-3"/>
  </r>
  <r>
    <s v="SYN4582"/>
    <n v="27"/>
    <x v="0"/>
    <n v="18"/>
    <n v="44"/>
    <n v="1.7600000000000001E-3"/>
    <n v="0"/>
    <x v="3"/>
    <x v="2"/>
    <n v="1.7600000000000001E-3"/>
  </r>
  <r>
    <s v="SYN4583"/>
    <n v="35"/>
    <x v="0"/>
    <n v="19"/>
    <n v="53"/>
    <n v="3.2200000000000002E-3"/>
    <n v="0"/>
    <x v="2"/>
    <x v="2"/>
    <n v="3.2200000000000002E-3"/>
  </r>
  <r>
    <s v="SYN4584"/>
    <n v="51"/>
    <x v="0"/>
    <n v="7"/>
    <n v="57"/>
    <n v="3.6900000000000001E-3"/>
    <n v="0"/>
    <x v="2"/>
    <x v="0"/>
    <n v="3.6900000000000001E-3"/>
  </r>
  <r>
    <s v="SYN4585"/>
    <n v="34"/>
    <x v="1"/>
    <n v="2"/>
    <n v="35"/>
    <n v="2.3000000000000001E-4"/>
    <n v="0"/>
    <x v="1"/>
    <x v="0"/>
    <n v="2.3000000000000001E-4"/>
  </r>
  <r>
    <s v="SYN4586"/>
    <n v="24"/>
    <x v="1"/>
    <n v="3"/>
    <n v="26"/>
    <n v="2.2000000000000001E-4"/>
    <n v="0"/>
    <x v="6"/>
    <x v="0"/>
    <n v="2.2000000000000001E-4"/>
  </r>
  <r>
    <s v="SYN4587"/>
    <n v="52"/>
    <x v="1"/>
    <n v="16"/>
    <n v="67"/>
    <n v="9.4000000000000004E-3"/>
    <n v="0"/>
    <x v="0"/>
    <x v="2"/>
    <n v="9.4000000000000004E-3"/>
  </r>
  <r>
    <s v="SYN4588"/>
    <n v="44"/>
    <x v="0"/>
    <n v="4"/>
    <n v="47"/>
    <n v="1.1999999999999999E-3"/>
    <n v="0"/>
    <x v="3"/>
    <x v="0"/>
    <n v="1.1999999999999999E-3"/>
  </r>
  <r>
    <s v="SYN4589"/>
    <n v="46"/>
    <x v="1"/>
    <n v="25"/>
    <n v="70"/>
    <n v="1.404E-2"/>
    <n v="0"/>
    <x v="5"/>
    <x v="1"/>
    <n v="1.404E-2"/>
  </r>
  <r>
    <s v="SYN4590"/>
    <n v="20"/>
    <x v="1"/>
    <n v="1"/>
    <n v="20"/>
    <n v="2.9E-4"/>
    <n v="0"/>
    <x v="6"/>
    <x v="0"/>
    <n v="2.9E-4"/>
  </r>
  <r>
    <s v="SYN4591"/>
    <n v="21"/>
    <x v="0"/>
    <n v="26"/>
    <n v="46"/>
    <n v="2.6099999999999999E-3"/>
    <n v="0"/>
    <x v="3"/>
    <x v="1"/>
    <n v="2.6099999999999999E-3"/>
  </r>
  <r>
    <s v="SYN4592"/>
    <n v="46"/>
    <x v="1"/>
    <n v="4"/>
    <n v="49"/>
    <n v="1.0499999999999999E-3"/>
    <n v="0"/>
    <x v="3"/>
    <x v="0"/>
    <n v="1.0499999999999999E-3"/>
  </r>
  <r>
    <s v="SYN4593"/>
    <n v="53"/>
    <x v="0"/>
    <n v="30"/>
    <n v="82"/>
    <n v="4.1250000000000002E-2"/>
    <n v="0"/>
    <x v="4"/>
    <x v="3"/>
    <n v="4.1250000000000002E-2"/>
  </r>
  <r>
    <s v="SYN4594"/>
    <n v="41"/>
    <x v="1"/>
    <n v="16"/>
    <n v="56"/>
    <n v="3.0799999999999998E-3"/>
    <n v="0"/>
    <x v="2"/>
    <x v="2"/>
    <n v="3.0799999999999998E-3"/>
  </r>
  <r>
    <s v="SYN4595"/>
    <n v="38"/>
    <x v="1"/>
    <n v="27"/>
    <n v="64"/>
    <n v="6.7200000000000003E-3"/>
    <n v="0"/>
    <x v="0"/>
    <x v="1"/>
    <n v="6.7200000000000003E-3"/>
  </r>
  <r>
    <s v="SYN4596"/>
    <n v="46"/>
    <x v="0"/>
    <n v="30"/>
    <n v="75"/>
    <n v="1.9089999999999999E-2"/>
    <n v="0"/>
    <x v="5"/>
    <x v="3"/>
    <n v="1.9089999999999999E-2"/>
  </r>
  <r>
    <s v="SYN4597"/>
    <n v="33"/>
    <x v="0"/>
    <n v="13"/>
    <n v="45"/>
    <n v="1.4499999999999999E-3"/>
    <n v="0"/>
    <x v="3"/>
    <x v="2"/>
    <n v="1.4499999999999999E-3"/>
  </r>
  <r>
    <s v="SYN4598"/>
    <n v="28"/>
    <x v="0"/>
    <n v="29"/>
    <n v="56"/>
    <n v="3.5000000000000001E-3"/>
    <n v="0"/>
    <x v="2"/>
    <x v="1"/>
    <n v="3.5000000000000001E-3"/>
  </r>
  <r>
    <s v="SYN4599"/>
    <n v="24"/>
    <x v="0"/>
    <n v="26"/>
    <n v="49"/>
    <n v="2.81E-3"/>
    <n v="0"/>
    <x v="3"/>
    <x v="1"/>
    <n v="2.81E-3"/>
  </r>
  <r>
    <s v="SYN4600"/>
    <n v="56"/>
    <x v="0"/>
    <n v="10"/>
    <n v="65"/>
    <n v="9.7599999999999996E-3"/>
    <n v="0"/>
    <x v="0"/>
    <x v="2"/>
    <n v="9.7599999999999996E-3"/>
  </r>
  <r>
    <s v="SYN4601"/>
    <n v="34"/>
    <x v="1"/>
    <n v="13"/>
    <n v="46"/>
    <n v="1.1999999999999999E-3"/>
    <n v="0"/>
    <x v="3"/>
    <x v="2"/>
    <n v="1.1999999999999999E-3"/>
  </r>
  <r>
    <s v="SYN4602"/>
    <n v="21"/>
    <x v="0"/>
    <n v="19"/>
    <n v="39"/>
    <n v="1.48E-3"/>
    <n v="0"/>
    <x v="1"/>
    <x v="2"/>
    <n v="1.48E-3"/>
  </r>
  <r>
    <s v="SYN4603"/>
    <n v="32"/>
    <x v="1"/>
    <n v="6"/>
    <n v="37"/>
    <n v="4.4999999999999999E-4"/>
    <n v="0"/>
    <x v="1"/>
    <x v="0"/>
    <n v="4.4999999999999999E-4"/>
  </r>
  <r>
    <s v="SYN4604"/>
    <n v="33"/>
    <x v="1"/>
    <n v="20"/>
    <n v="52"/>
    <n v="2.2899999999999999E-3"/>
    <n v="0"/>
    <x v="2"/>
    <x v="1"/>
    <n v="2.2899999999999999E-3"/>
  </r>
  <r>
    <s v="SYN4605"/>
    <n v="35"/>
    <x v="0"/>
    <n v="15"/>
    <n v="49"/>
    <n v="2.1299999999999999E-3"/>
    <n v="0"/>
    <x v="3"/>
    <x v="2"/>
    <n v="2.1299999999999999E-3"/>
  </r>
  <r>
    <s v="SYN4606"/>
    <n v="24"/>
    <x v="0"/>
    <n v="3"/>
    <n v="26"/>
    <n v="4.4999999999999999E-4"/>
    <n v="0"/>
    <x v="6"/>
    <x v="0"/>
    <n v="4.4999999999999999E-4"/>
  </r>
  <r>
    <s v="SYN4607"/>
    <n v="38"/>
    <x v="1"/>
    <n v="5"/>
    <n v="42"/>
    <n v="6.7000000000000002E-4"/>
    <n v="0"/>
    <x v="3"/>
    <x v="0"/>
    <n v="6.7000000000000002E-4"/>
  </r>
  <r>
    <s v="SYN4608"/>
    <n v="22"/>
    <x v="0"/>
    <n v="27"/>
    <n v="48"/>
    <n v="2.6700000000000001E-3"/>
    <n v="0"/>
    <x v="3"/>
    <x v="1"/>
    <n v="2.6700000000000001E-3"/>
  </r>
  <r>
    <s v="SYN4609"/>
    <n v="41"/>
    <x v="0"/>
    <n v="8"/>
    <n v="48"/>
    <n v="1.58E-3"/>
    <n v="0"/>
    <x v="3"/>
    <x v="0"/>
    <n v="1.58E-3"/>
  </r>
  <r>
    <s v="SYN4610"/>
    <n v="47"/>
    <x v="1"/>
    <n v="26"/>
    <n v="72"/>
    <n v="1.7170000000000001E-2"/>
    <n v="0"/>
    <x v="5"/>
    <x v="1"/>
    <n v="1.7170000000000001E-2"/>
  </r>
  <r>
    <s v="SYN4611"/>
    <n v="26"/>
    <x v="1"/>
    <n v="4"/>
    <n v="29"/>
    <n v="2.2000000000000001E-4"/>
    <n v="0"/>
    <x v="6"/>
    <x v="0"/>
    <n v="2.2000000000000001E-4"/>
  </r>
  <r>
    <s v="SYN4612"/>
    <n v="21"/>
    <x v="1"/>
    <n v="2"/>
    <n v="22"/>
    <n v="2.5000000000000001E-4"/>
    <n v="0"/>
    <x v="6"/>
    <x v="0"/>
    <n v="2.5000000000000001E-4"/>
  </r>
  <r>
    <s v="SYN4613"/>
    <n v="23"/>
    <x v="1"/>
    <n v="17"/>
    <n v="39"/>
    <n v="9.5E-4"/>
    <n v="0"/>
    <x v="1"/>
    <x v="2"/>
    <n v="9.5E-4"/>
  </r>
  <r>
    <s v="SYN4614"/>
    <n v="45"/>
    <x v="1"/>
    <n v="29"/>
    <n v="73"/>
    <n v="1.404E-2"/>
    <n v="0"/>
    <x v="5"/>
    <x v="1"/>
    <n v="1.404E-2"/>
  </r>
  <r>
    <s v="SYN4615"/>
    <n v="21"/>
    <x v="0"/>
    <n v="13"/>
    <n v="33"/>
    <n v="7.7999999999999999E-4"/>
    <n v="0"/>
    <x v="1"/>
    <x v="2"/>
    <n v="7.7999999999999999E-4"/>
  </r>
  <r>
    <s v="SYN4616"/>
    <n v="40"/>
    <x v="0"/>
    <n v="24"/>
    <n v="63"/>
    <n v="8.5900000000000004E-3"/>
    <n v="0"/>
    <x v="0"/>
    <x v="1"/>
    <n v="8.5900000000000004E-3"/>
  </r>
  <r>
    <s v="SYN4617"/>
    <n v="33"/>
    <x v="1"/>
    <n v="9"/>
    <n v="41"/>
    <n v="7.2999999999999996E-4"/>
    <n v="0"/>
    <x v="3"/>
    <x v="0"/>
    <n v="7.2999999999999996E-4"/>
  </r>
  <r>
    <s v="SYN4618"/>
    <n v="47"/>
    <x v="1"/>
    <n v="17"/>
    <n v="63"/>
    <n v="6.45E-3"/>
    <n v="0"/>
    <x v="0"/>
    <x v="2"/>
    <n v="6.45E-3"/>
  </r>
  <r>
    <s v="SYN4619"/>
    <n v="26"/>
    <x v="1"/>
    <n v="16"/>
    <n v="41"/>
    <n v="1.01E-3"/>
    <n v="0"/>
    <x v="3"/>
    <x v="2"/>
    <n v="1.01E-3"/>
  </r>
  <r>
    <s v="SYN4620"/>
    <n v="55"/>
    <x v="1"/>
    <n v="21"/>
    <n v="75"/>
    <n v="2.325E-2"/>
    <n v="0"/>
    <x v="5"/>
    <x v="1"/>
    <n v="2.325E-2"/>
  </r>
  <r>
    <s v="SYN4621"/>
    <n v="53"/>
    <x v="0"/>
    <n v="27"/>
    <n v="79"/>
    <n v="4.1250000000000002E-2"/>
    <n v="0"/>
    <x v="5"/>
    <x v="1"/>
    <n v="4.1250000000000002E-2"/>
  </r>
  <r>
    <s v="SYN4622"/>
    <n v="22"/>
    <x v="0"/>
    <n v="4"/>
    <n v="25"/>
    <n v="5.8E-4"/>
    <n v="0"/>
    <x v="6"/>
    <x v="0"/>
    <n v="5.8E-4"/>
  </r>
  <r>
    <s v="SYN4623"/>
    <n v="20"/>
    <x v="1"/>
    <n v="26"/>
    <n v="45"/>
    <n v="1.3799999999999999E-3"/>
    <n v="0"/>
    <x v="3"/>
    <x v="1"/>
    <n v="1.3799999999999999E-3"/>
  </r>
  <r>
    <s v="SYN4624"/>
    <n v="32"/>
    <x v="0"/>
    <n v="11"/>
    <n v="42"/>
    <n v="1.16E-3"/>
    <n v="0"/>
    <x v="3"/>
    <x v="2"/>
    <n v="1.16E-3"/>
  </r>
  <r>
    <s v="SYN4625"/>
    <n v="62"/>
    <x v="1"/>
    <n v="30"/>
    <n v="91"/>
    <n v="9.3240000000000003E-2"/>
    <n v="0"/>
    <x v="7"/>
    <x v="3"/>
    <n v="9.3240000000000003E-2"/>
  </r>
  <r>
    <s v="SYN4626"/>
    <n v="28"/>
    <x v="0"/>
    <n v="14"/>
    <n v="41"/>
    <n v="1.2600000000000001E-3"/>
    <n v="0"/>
    <x v="3"/>
    <x v="2"/>
    <n v="1.2600000000000001E-3"/>
  </r>
  <r>
    <s v="SYN4627"/>
    <n v="43"/>
    <x v="1"/>
    <n v="20"/>
    <n v="62"/>
    <n v="5.9800000000000001E-3"/>
    <n v="0"/>
    <x v="0"/>
    <x v="1"/>
    <n v="5.9800000000000001E-3"/>
  </r>
  <r>
    <s v="SYN4628"/>
    <n v="62"/>
    <x v="0"/>
    <n v="12"/>
    <n v="73"/>
    <n v="2.103E-2"/>
    <n v="0"/>
    <x v="5"/>
    <x v="2"/>
    <n v="2.103E-2"/>
  </r>
  <r>
    <s v="SYN4629"/>
    <n v="58"/>
    <x v="0"/>
    <n v="27"/>
    <n v="84"/>
    <n v="7.1389999999999995E-2"/>
    <n v="0"/>
    <x v="4"/>
    <x v="1"/>
    <n v="7.1389999999999995E-2"/>
  </r>
  <r>
    <s v="SYN4630"/>
    <n v="56"/>
    <x v="1"/>
    <n v="19"/>
    <n v="74"/>
    <n v="2.019E-2"/>
    <n v="0"/>
    <x v="5"/>
    <x v="2"/>
    <n v="2.019E-2"/>
  </r>
  <r>
    <s v="SYN4631"/>
    <n v="38"/>
    <x v="0"/>
    <n v="19"/>
    <n v="56"/>
    <n v="4.2100000000000002E-3"/>
    <n v="0"/>
    <x v="2"/>
    <x v="2"/>
    <n v="4.2100000000000002E-3"/>
  </r>
  <r>
    <s v="SYN4632"/>
    <n v="48"/>
    <x v="1"/>
    <n v="9"/>
    <n v="56"/>
    <n v="2.5100000000000001E-3"/>
    <n v="0"/>
    <x v="2"/>
    <x v="0"/>
    <n v="2.5100000000000001E-3"/>
  </r>
  <r>
    <s v="SYN4633"/>
    <n v="58"/>
    <x v="1"/>
    <n v="23"/>
    <n v="80"/>
    <n v="3.986E-2"/>
    <n v="0"/>
    <x v="4"/>
    <x v="1"/>
    <n v="3.986E-2"/>
  </r>
  <r>
    <s v="SYN4634"/>
    <n v="46"/>
    <x v="1"/>
    <n v="25"/>
    <n v="70"/>
    <n v="1.404E-2"/>
    <n v="0"/>
    <x v="5"/>
    <x v="1"/>
    <n v="1.404E-2"/>
  </r>
  <r>
    <s v="SYN4635"/>
    <n v="62"/>
    <x v="1"/>
    <n v="10"/>
    <n v="71"/>
    <n v="9.9100000000000004E-3"/>
    <n v="0"/>
    <x v="5"/>
    <x v="2"/>
    <n v="9.9100000000000004E-3"/>
  </r>
  <r>
    <s v="SYN4636"/>
    <n v="58"/>
    <x v="1"/>
    <n v="24"/>
    <n v="81"/>
    <n v="4.4880000000000003E-2"/>
    <n v="0"/>
    <x v="4"/>
    <x v="1"/>
    <n v="4.4880000000000003E-2"/>
  </r>
  <r>
    <s v="SYN4637"/>
    <n v="49"/>
    <x v="1"/>
    <n v="3"/>
    <n v="51"/>
    <n v="1.1199999999999999E-3"/>
    <n v="0"/>
    <x v="2"/>
    <x v="0"/>
    <n v="1.1199999999999999E-3"/>
  </r>
  <r>
    <s v="SYN4638"/>
    <n v="54"/>
    <x v="0"/>
    <n v="26"/>
    <n v="79"/>
    <n v="4.5769999999999998E-2"/>
    <n v="0"/>
    <x v="5"/>
    <x v="1"/>
    <n v="4.5769999999999998E-2"/>
  </r>
  <r>
    <s v="SYN4639"/>
    <n v="56"/>
    <x v="0"/>
    <n v="8"/>
    <n v="63"/>
    <n v="7.6899999999999998E-3"/>
    <n v="0"/>
    <x v="0"/>
    <x v="0"/>
    <n v="7.6899999999999998E-3"/>
  </r>
  <r>
    <s v="SYN4640"/>
    <n v="38"/>
    <x v="1"/>
    <n v="1"/>
    <n v="38"/>
    <n v="2.0000000000000001E-4"/>
    <n v="0"/>
    <x v="1"/>
    <x v="0"/>
    <n v="2.0000000000000001E-4"/>
  </r>
  <r>
    <s v="SYN4641"/>
    <n v="56"/>
    <x v="1"/>
    <n v="20"/>
    <n v="75"/>
    <n v="2.299E-2"/>
    <n v="0"/>
    <x v="5"/>
    <x v="1"/>
    <n v="2.299E-2"/>
  </r>
  <r>
    <s v="SYN4642"/>
    <n v="31"/>
    <x v="0"/>
    <n v="29"/>
    <n v="59"/>
    <n v="4.3899999999999998E-3"/>
    <n v="0"/>
    <x v="2"/>
    <x v="1"/>
    <n v="4.3899999999999998E-3"/>
  </r>
  <r>
    <s v="SYN4643"/>
    <n v="34"/>
    <x v="1"/>
    <n v="10"/>
    <n v="43"/>
    <n v="8.4000000000000003E-4"/>
    <n v="0"/>
    <x v="3"/>
    <x v="2"/>
    <n v="8.4000000000000003E-4"/>
  </r>
  <r>
    <s v="SYN4644"/>
    <n v="47"/>
    <x v="1"/>
    <n v="13"/>
    <n v="59"/>
    <n v="4.0000000000000001E-3"/>
    <n v="0"/>
    <x v="2"/>
    <x v="2"/>
    <n v="4.0000000000000001E-3"/>
  </r>
  <r>
    <s v="SYN4645"/>
    <n v="23"/>
    <x v="1"/>
    <n v="14"/>
    <n v="36"/>
    <n v="6.4999999999999997E-4"/>
    <n v="0"/>
    <x v="1"/>
    <x v="2"/>
    <n v="6.4999999999999997E-4"/>
  </r>
  <r>
    <s v="SYN4646"/>
    <n v="55"/>
    <x v="0"/>
    <n v="16"/>
    <n v="70"/>
    <n v="1.6750000000000001E-2"/>
    <n v="0"/>
    <x v="5"/>
    <x v="2"/>
    <n v="1.6750000000000001E-2"/>
  </r>
  <r>
    <s v="SYN4647"/>
    <n v="49"/>
    <x v="0"/>
    <n v="25"/>
    <n v="73"/>
    <n v="2.3939999999999999E-2"/>
    <n v="0"/>
    <x v="5"/>
    <x v="1"/>
    <n v="2.3939999999999999E-2"/>
  </r>
  <r>
    <s v="SYN4648"/>
    <n v="61"/>
    <x v="0"/>
    <n v="15"/>
    <n v="75"/>
    <n v="2.8510000000000001E-2"/>
    <n v="0"/>
    <x v="5"/>
    <x v="2"/>
    <n v="2.8510000000000001E-2"/>
  </r>
  <r>
    <s v="SYN4649"/>
    <n v="55"/>
    <x v="0"/>
    <n v="24"/>
    <n v="78"/>
    <n v="4.1189999999999997E-2"/>
    <n v="0"/>
    <x v="5"/>
    <x v="1"/>
    <n v="4.1189999999999997E-2"/>
  </r>
  <r>
    <s v="SYN4650"/>
    <n v="40"/>
    <x v="1"/>
    <n v="22"/>
    <n v="61"/>
    <n v="5.4599999999999996E-3"/>
    <n v="0"/>
    <x v="0"/>
    <x v="1"/>
    <n v="5.4599999999999996E-3"/>
  </r>
  <r>
    <s v="SYN4651"/>
    <n v="61"/>
    <x v="1"/>
    <n v="8"/>
    <n v="68"/>
    <n v="7.2500000000000004E-3"/>
    <n v="0"/>
    <x v="0"/>
    <x v="0"/>
    <n v="7.2500000000000004E-3"/>
  </r>
  <r>
    <s v="SYN4652"/>
    <n v="62"/>
    <x v="1"/>
    <n v="29"/>
    <n v="90"/>
    <n v="9.3240000000000003E-2"/>
    <n v="1"/>
    <x v="7"/>
    <x v="1"/>
    <n v="9.3240000000000003E-2"/>
  </r>
  <r>
    <s v="SYN4653"/>
    <n v="38"/>
    <x v="0"/>
    <n v="27"/>
    <n v="64"/>
    <n v="8.6599999999999993E-3"/>
    <n v="0"/>
    <x v="0"/>
    <x v="1"/>
    <n v="8.6599999999999993E-3"/>
  </r>
  <r>
    <s v="SYN4654"/>
    <n v="46"/>
    <x v="1"/>
    <n v="29"/>
    <n v="74"/>
    <n v="1.553E-2"/>
    <n v="0"/>
    <x v="5"/>
    <x v="1"/>
    <n v="1.553E-2"/>
  </r>
  <r>
    <s v="SYN4655"/>
    <n v="64"/>
    <x v="1"/>
    <n v="19"/>
    <n v="82"/>
    <n v="4.9939999999999998E-2"/>
    <n v="0"/>
    <x v="4"/>
    <x v="2"/>
    <n v="4.9939999999999998E-2"/>
  </r>
  <r>
    <s v="SYN4656"/>
    <n v="55"/>
    <x v="1"/>
    <n v="26"/>
    <n v="80"/>
    <n v="3.986E-2"/>
    <n v="0"/>
    <x v="4"/>
    <x v="1"/>
    <n v="3.986E-2"/>
  </r>
  <r>
    <s v="SYN4657"/>
    <n v="57"/>
    <x v="0"/>
    <n v="25"/>
    <n v="81"/>
    <n v="5.6829999999999999E-2"/>
    <n v="0"/>
    <x v="4"/>
    <x v="1"/>
    <n v="5.6829999999999999E-2"/>
  </r>
  <r>
    <s v="SYN4658"/>
    <n v="47"/>
    <x v="0"/>
    <n v="22"/>
    <n v="68"/>
    <n v="1.405E-2"/>
    <n v="0"/>
    <x v="0"/>
    <x v="1"/>
    <n v="1.405E-2"/>
  </r>
  <r>
    <s v="SYN4659"/>
    <n v="44"/>
    <x v="0"/>
    <n v="19"/>
    <n v="62"/>
    <n v="7.7400000000000004E-3"/>
    <n v="0"/>
    <x v="0"/>
    <x v="2"/>
    <n v="7.7400000000000004E-3"/>
  </r>
  <r>
    <s v="SYN4660"/>
    <n v="24"/>
    <x v="1"/>
    <n v="30"/>
    <n v="53"/>
    <n v="1.8699999999999999E-3"/>
    <n v="0"/>
    <x v="2"/>
    <x v="3"/>
    <n v="1.8699999999999999E-3"/>
  </r>
  <r>
    <s v="SYN4661"/>
    <n v="50"/>
    <x v="0"/>
    <n v="26"/>
    <n v="75"/>
    <n v="3.006E-2"/>
    <n v="0"/>
    <x v="5"/>
    <x v="1"/>
    <n v="3.006E-2"/>
  </r>
  <r>
    <s v="SYN4662"/>
    <n v="63"/>
    <x v="0"/>
    <n v="29"/>
    <n v="91"/>
    <n v="0.13258"/>
    <n v="0"/>
    <x v="7"/>
    <x v="1"/>
    <n v="0.13258"/>
  </r>
  <r>
    <s v="SYN4663"/>
    <n v="53"/>
    <x v="1"/>
    <n v="11"/>
    <n v="63"/>
    <n v="5.3299999999999997E-3"/>
    <n v="0"/>
    <x v="0"/>
    <x v="2"/>
    <n v="5.3299999999999997E-3"/>
  </r>
  <r>
    <s v="SYN4664"/>
    <n v="27"/>
    <x v="1"/>
    <n v="9"/>
    <n v="35"/>
    <n v="4.6999999999999999E-4"/>
    <n v="0"/>
    <x v="1"/>
    <x v="0"/>
    <n v="4.6999999999999999E-4"/>
  </r>
  <r>
    <s v="SYN4665"/>
    <n v="45"/>
    <x v="0"/>
    <n v="18"/>
    <n v="62"/>
    <n v="7.7400000000000004E-3"/>
    <n v="0"/>
    <x v="0"/>
    <x v="2"/>
    <n v="7.7400000000000004E-3"/>
  </r>
  <r>
    <s v="SYN4666"/>
    <n v="39"/>
    <x v="1"/>
    <n v="28"/>
    <n v="66"/>
    <n v="7.4700000000000001E-3"/>
    <n v="0"/>
    <x v="0"/>
    <x v="1"/>
    <n v="7.4700000000000001E-3"/>
  </r>
  <r>
    <s v="SYN4667"/>
    <n v="22"/>
    <x v="0"/>
    <n v="28"/>
    <n v="49"/>
    <n v="2.6700000000000001E-3"/>
    <n v="0"/>
    <x v="3"/>
    <x v="1"/>
    <n v="2.6700000000000001E-3"/>
  </r>
  <r>
    <s v="SYN4668"/>
    <n v="50"/>
    <x v="0"/>
    <n v="25"/>
    <n v="74"/>
    <n v="2.6859999999999998E-2"/>
    <n v="1"/>
    <x v="5"/>
    <x v="1"/>
    <n v="2.6859999999999998E-2"/>
  </r>
  <r>
    <s v="SYN4669"/>
    <n v="52"/>
    <x v="1"/>
    <n v="14"/>
    <n v="65"/>
    <n v="7.2399999999999999E-3"/>
    <n v="0"/>
    <x v="0"/>
    <x v="2"/>
    <n v="7.2399999999999999E-3"/>
  </r>
  <r>
    <s v="SYN4670"/>
    <n v="44"/>
    <x v="1"/>
    <n v="3"/>
    <n v="46"/>
    <n v="6.2E-4"/>
    <n v="0"/>
    <x v="3"/>
    <x v="0"/>
    <n v="6.2E-4"/>
  </r>
  <r>
    <s v="SYN4671"/>
    <n v="44"/>
    <x v="0"/>
    <n v="17"/>
    <n v="60"/>
    <n v="6.3299999999999997E-3"/>
    <n v="0"/>
    <x v="0"/>
    <x v="2"/>
    <n v="6.3299999999999997E-3"/>
  </r>
  <r>
    <s v="SYN4672"/>
    <n v="32"/>
    <x v="1"/>
    <n v="27"/>
    <n v="58"/>
    <n v="3.6900000000000001E-3"/>
    <n v="0"/>
    <x v="2"/>
    <x v="1"/>
    <n v="3.6900000000000001E-3"/>
  </r>
  <r>
    <s v="SYN4673"/>
    <n v="21"/>
    <x v="1"/>
    <n v="2"/>
    <n v="22"/>
    <n v="2.5000000000000001E-4"/>
    <n v="0"/>
    <x v="6"/>
    <x v="0"/>
    <n v="2.5000000000000001E-4"/>
  </r>
  <r>
    <s v="SYN4674"/>
    <n v="23"/>
    <x v="1"/>
    <n v="20"/>
    <n v="42"/>
    <n v="1.23E-3"/>
    <n v="0"/>
    <x v="3"/>
    <x v="1"/>
    <n v="1.23E-3"/>
  </r>
  <r>
    <s v="SYN4675"/>
    <n v="60"/>
    <x v="0"/>
    <n v="20"/>
    <n v="79"/>
    <n v="4.5769999999999998E-2"/>
    <n v="0"/>
    <x v="5"/>
    <x v="1"/>
    <n v="4.5769999999999998E-2"/>
  </r>
  <r>
    <s v="SYN4676"/>
    <n v="23"/>
    <x v="0"/>
    <n v="15"/>
    <n v="37"/>
    <n v="9.8999999999999999E-4"/>
    <n v="0"/>
    <x v="1"/>
    <x v="2"/>
    <n v="9.8999999999999999E-4"/>
  </r>
  <r>
    <s v="SYN4677"/>
    <n v="60"/>
    <x v="0"/>
    <n v="17"/>
    <n v="76"/>
    <n v="3.2719999999999999E-2"/>
    <n v="0"/>
    <x v="5"/>
    <x v="2"/>
    <n v="3.2719999999999999E-2"/>
  </r>
  <r>
    <s v="SYN4678"/>
    <n v="48"/>
    <x v="0"/>
    <n v="21"/>
    <n v="68"/>
    <n v="1.3950000000000001E-2"/>
    <n v="0"/>
    <x v="0"/>
    <x v="1"/>
    <n v="1.3950000000000001E-2"/>
  </r>
  <r>
    <s v="SYN4679"/>
    <n v="43"/>
    <x v="1"/>
    <n v="8"/>
    <n v="50"/>
    <n v="1.41E-3"/>
    <n v="0"/>
    <x v="2"/>
    <x v="0"/>
    <n v="1.41E-3"/>
  </r>
  <r>
    <s v="SYN4680"/>
    <n v="51"/>
    <x v="0"/>
    <n v="15"/>
    <n v="65"/>
    <n v="1.005E-2"/>
    <n v="0"/>
    <x v="0"/>
    <x v="2"/>
    <n v="1.005E-2"/>
  </r>
  <r>
    <s v="SYN4681"/>
    <n v="30"/>
    <x v="1"/>
    <n v="2"/>
    <n v="31"/>
    <n v="1.8000000000000001E-4"/>
    <n v="0"/>
    <x v="1"/>
    <x v="0"/>
    <n v="1.8000000000000001E-4"/>
  </r>
  <r>
    <s v="SYN4682"/>
    <n v="28"/>
    <x v="0"/>
    <n v="24"/>
    <n v="51"/>
    <n v="2.8900000000000002E-3"/>
    <n v="0"/>
    <x v="2"/>
    <x v="1"/>
    <n v="2.8900000000000002E-3"/>
  </r>
  <r>
    <s v="SYN4683"/>
    <n v="62"/>
    <x v="1"/>
    <n v="5"/>
    <n v="66"/>
    <n v="5.8500000000000002E-3"/>
    <n v="0"/>
    <x v="0"/>
    <x v="0"/>
    <n v="5.8500000000000002E-3"/>
  </r>
  <r>
    <s v="SYN4684"/>
    <n v="55"/>
    <x v="0"/>
    <n v="26"/>
    <n v="80"/>
    <n v="5.0909999999999997E-2"/>
    <n v="0"/>
    <x v="4"/>
    <x v="1"/>
    <n v="5.0909999999999997E-2"/>
  </r>
  <r>
    <s v="SYN4685"/>
    <n v="60"/>
    <x v="0"/>
    <n v="27"/>
    <n v="86"/>
    <n v="9.1270000000000004E-2"/>
    <n v="0"/>
    <x v="4"/>
    <x v="1"/>
    <n v="9.1270000000000004E-2"/>
  </r>
  <r>
    <s v="SYN4686"/>
    <n v="23"/>
    <x v="1"/>
    <n v="6"/>
    <n v="28"/>
    <n v="2.7E-4"/>
    <n v="0"/>
    <x v="6"/>
    <x v="0"/>
    <n v="2.7E-4"/>
  </r>
  <r>
    <s v="SYN4687"/>
    <n v="24"/>
    <x v="1"/>
    <n v="25"/>
    <n v="48"/>
    <n v="1.73E-3"/>
    <n v="0"/>
    <x v="3"/>
    <x v="1"/>
    <n v="1.73E-3"/>
  </r>
  <r>
    <s v="SYN4688"/>
    <n v="53"/>
    <x v="1"/>
    <n v="22"/>
    <n v="74"/>
    <n v="2.0979999999999999E-2"/>
    <n v="0"/>
    <x v="5"/>
    <x v="1"/>
    <n v="2.0979999999999999E-2"/>
  </r>
  <r>
    <s v="SYN4689"/>
    <n v="32"/>
    <x v="0"/>
    <n v="7"/>
    <n v="38"/>
    <n v="6.6E-4"/>
    <n v="0"/>
    <x v="1"/>
    <x v="0"/>
    <n v="6.6E-4"/>
  </r>
  <r>
    <s v="SYN4690"/>
    <n v="28"/>
    <x v="0"/>
    <n v="30"/>
    <n v="57"/>
    <n v="3.5000000000000001E-3"/>
    <n v="0"/>
    <x v="2"/>
    <x v="3"/>
    <n v="3.5000000000000001E-3"/>
  </r>
  <r>
    <s v="SYN4691"/>
    <n v="30"/>
    <x v="0"/>
    <n v="7"/>
    <n v="36"/>
    <n v="5.9000000000000003E-4"/>
    <n v="0"/>
    <x v="1"/>
    <x v="0"/>
    <n v="5.9000000000000003E-4"/>
  </r>
  <r>
    <s v="SYN4692"/>
    <n v="26"/>
    <x v="1"/>
    <n v="15"/>
    <n v="40"/>
    <n v="9.3999999999999997E-4"/>
    <n v="0"/>
    <x v="3"/>
    <x v="2"/>
    <n v="9.3999999999999997E-4"/>
  </r>
  <r>
    <s v="SYN4693"/>
    <n v="20"/>
    <x v="1"/>
    <n v="7"/>
    <n v="26"/>
    <n v="3.1E-4"/>
    <n v="0"/>
    <x v="6"/>
    <x v="0"/>
    <n v="3.1E-4"/>
  </r>
  <r>
    <s v="SYN4694"/>
    <n v="30"/>
    <x v="0"/>
    <n v="22"/>
    <n v="51"/>
    <n v="2.7699999999999999E-3"/>
    <n v="0"/>
    <x v="2"/>
    <x v="1"/>
    <n v="2.7699999999999999E-3"/>
  </r>
  <r>
    <s v="SYN4695"/>
    <n v="20"/>
    <x v="0"/>
    <n v="13"/>
    <n v="32"/>
    <n v="7.6000000000000004E-4"/>
    <n v="0"/>
    <x v="1"/>
    <x v="2"/>
    <n v="7.6000000000000004E-4"/>
  </r>
  <r>
    <s v="SYN4696"/>
    <n v="35"/>
    <x v="1"/>
    <n v="27"/>
    <n v="61"/>
    <n v="4.9300000000000004E-3"/>
    <n v="0"/>
    <x v="0"/>
    <x v="1"/>
    <n v="4.9300000000000004E-3"/>
  </r>
  <r>
    <s v="SYN4697"/>
    <n v="28"/>
    <x v="0"/>
    <n v="15"/>
    <n v="42"/>
    <n v="1.41E-3"/>
    <n v="0"/>
    <x v="3"/>
    <x v="2"/>
    <n v="1.41E-3"/>
  </r>
  <r>
    <s v="SYN4698"/>
    <n v="42"/>
    <x v="0"/>
    <n v="13"/>
    <n v="54"/>
    <n v="3.2100000000000002E-3"/>
    <n v="0"/>
    <x v="2"/>
    <x v="2"/>
    <n v="3.2100000000000002E-3"/>
  </r>
  <r>
    <s v="SYN4699"/>
    <n v="24"/>
    <x v="1"/>
    <n v="29"/>
    <n v="52"/>
    <n v="1.8699999999999999E-3"/>
    <n v="0"/>
    <x v="2"/>
    <x v="1"/>
    <n v="1.8699999999999999E-3"/>
  </r>
  <r>
    <s v="SYN4700"/>
    <n v="36"/>
    <x v="0"/>
    <n v="19"/>
    <n v="54"/>
    <n v="3.5000000000000001E-3"/>
    <n v="0"/>
    <x v="2"/>
    <x v="2"/>
    <n v="3.5000000000000001E-3"/>
  </r>
  <r>
    <s v="SYN4701"/>
    <n v="57"/>
    <x v="0"/>
    <n v="11"/>
    <n v="67"/>
    <n v="1.2E-2"/>
    <n v="0"/>
    <x v="0"/>
    <x v="2"/>
    <n v="1.2E-2"/>
  </r>
  <r>
    <s v="SYN4702"/>
    <n v="38"/>
    <x v="0"/>
    <n v="17"/>
    <n v="54"/>
    <n v="3.3700000000000002E-3"/>
    <n v="0"/>
    <x v="2"/>
    <x v="2"/>
    <n v="3.3700000000000002E-3"/>
  </r>
  <r>
    <s v="SYN4703"/>
    <n v="47"/>
    <x v="0"/>
    <n v="9"/>
    <n v="55"/>
    <n v="3.1900000000000001E-3"/>
    <n v="0"/>
    <x v="2"/>
    <x v="0"/>
    <n v="3.1900000000000001E-3"/>
  </r>
  <r>
    <s v="SYN4704"/>
    <n v="48"/>
    <x v="1"/>
    <n v="7"/>
    <n v="54"/>
    <n v="1.9400000000000001E-3"/>
    <n v="0"/>
    <x v="2"/>
    <x v="0"/>
    <n v="1.9400000000000001E-3"/>
  </r>
  <r>
    <s v="SYN4705"/>
    <n v="45"/>
    <x v="1"/>
    <n v="16"/>
    <n v="60"/>
    <n v="4.62E-3"/>
    <n v="0"/>
    <x v="0"/>
    <x v="2"/>
    <n v="4.62E-3"/>
  </r>
  <r>
    <s v="SYN4706"/>
    <n v="49"/>
    <x v="1"/>
    <n v="24"/>
    <n v="72"/>
    <n v="1.7170000000000001E-2"/>
    <n v="0"/>
    <x v="5"/>
    <x v="1"/>
    <n v="1.7170000000000001E-2"/>
  </r>
  <r>
    <s v="SYN4707"/>
    <n v="30"/>
    <x v="0"/>
    <n v="30"/>
    <n v="59"/>
    <n v="4.0499999999999998E-3"/>
    <n v="0"/>
    <x v="2"/>
    <x v="3"/>
    <n v="4.0499999999999998E-3"/>
  </r>
  <r>
    <s v="SYN4708"/>
    <n v="30"/>
    <x v="0"/>
    <n v="21"/>
    <n v="50"/>
    <n v="2.5200000000000001E-3"/>
    <n v="0"/>
    <x v="2"/>
    <x v="1"/>
    <n v="2.5200000000000001E-3"/>
  </r>
  <r>
    <s v="SYN4709"/>
    <n v="57"/>
    <x v="1"/>
    <n v="18"/>
    <n v="74"/>
    <n v="1.968E-2"/>
    <n v="0"/>
    <x v="5"/>
    <x v="2"/>
    <n v="1.968E-2"/>
  </r>
  <r>
    <s v="SYN4710"/>
    <n v="32"/>
    <x v="1"/>
    <n v="9"/>
    <n v="40"/>
    <n v="6.9999999999999999E-4"/>
    <n v="0"/>
    <x v="3"/>
    <x v="0"/>
    <n v="6.9999999999999999E-4"/>
  </r>
  <r>
    <s v="SYN4711"/>
    <n v="30"/>
    <x v="1"/>
    <n v="19"/>
    <n v="48"/>
    <n v="1.64E-3"/>
    <n v="0"/>
    <x v="3"/>
    <x v="2"/>
    <n v="1.64E-3"/>
  </r>
  <r>
    <s v="SYN4712"/>
    <n v="51"/>
    <x v="1"/>
    <n v="26"/>
    <n v="76"/>
    <n v="2.58E-2"/>
    <n v="0"/>
    <x v="5"/>
    <x v="1"/>
    <n v="2.58E-2"/>
  </r>
  <r>
    <s v="SYN4713"/>
    <n v="34"/>
    <x v="0"/>
    <n v="25"/>
    <n v="58"/>
    <n v="5.2199999999999998E-3"/>
    <n v="0"/>
    <x v="2"/>
    <x v="1"/>
    <n v="5.2199999999999998E-3"/>
  </r>
  <r>
    <s v="SYN4714"/>
    <n v="54"/>
    <x v="1"/>
    <n v="8"/>
    <n v="61"/>
    <n v="3.9899999999999996E-3"/>
    <n v="0"/>
    <x v="0"/>
    <x v="0"/>
    <n v="3.9899999999999996E-3"/>
  </r>
  <r>
    <s v="SYN4715"/>
    <n v="31"/>
    <x v="1"/>
    <n v="18"/>
    <n v="48"/>
    <n v="1.6100000000000001E-3"/>
    <n v="0"/>
    <x v="3"/>
    <x v="2"/>
    <n v="1.6100000000000001E-3"/>
  </r>
  <r>
    <s v="SYN4716"/>
    <n v="21"/>
    <x v="0"/>
    <n v="11"/>
    <n v="31"/>
    <n v="6.8000000000000005E-4"/>
    <n v="0"/>
    <x v="1"/>
    <x v="2"/>
    <n v="6.8000000000000005E-4"/>
  </r>
  <r>
    <s v="SYN4717"/>
    <n v="21"/>
    <x v="1"/>
    <n v="16"/>
    <n v="36"/>
    <n v="7.2999999999999996E-4"/>
    <n v="0"/>
    <x v="1"/>
    <x v="2"/>
    <n v="7.2999999999999996E-4"/>
  </r>
  <r>
    <s v="SYN4718"/>
    <n v="60"/>
    <x v="0"/>
    <n v="14"/>
    <n v="73"/>
    <n v="2.3050000000000001E-2"/>
    <n v="0"/>
    <x v="5"/>
    <x v="2"/>
    <n v="2.3050000000000001E-2"/>
  </r>
  <r>
    <s v="SYN4719"/>
    <n v="27"/>
    <x v="0"/>
    <n v="15"/>
    <n v="41"/>
    <n v="1.32E-3"/>
    <n v="0"/>
    <x v="3"/>
    <x v="2"/>
    <n v="1.32E-3"/>
  </r>
  <r>
    <s v="SYN4720"/>
    <n v="51"/>
    <x v="1"/>
    <n v="8"/>
    <n v="58"/>
    <n v="2.9199999999999999E-3"/>
    <n v="0"/>
    <x v="2"/>
    <x v="0"/>
    <n v="2.9199999999999999E-3"/>
  </r>
  <r>
    <s v="SYN4721"/>
    <n v="29"/>
    <x v="1"/>
    <n v="28"/>
    <n v="56"/>
    <n v="2.82E-3"/>
    <n v="0"/>
    <x v="2"/>
    <x v="1"/>
    <n v="2.82E-3"/>
  </r>
  <r>
    <s v="SYN4722"/>
    <n v="20"/>
    <x v="1"/>
    <n v="13"/>
    <n v="32"/>
    <n v="4.4000000000000002E-4"/>
    <n v="0"/>
    <x v="1"/>
    <x v="2"/>
    <n v="4.4000000000000002E-4"/>
  </r>
  <r>
    <s v="SYN4723"/>
    <n v="30"/>
    <x v="0"/>
    <n v="6"/>
    <n v="35"/>
    <n v="5.2999999999999998E-4"/>
    <n v="0"/>
    <x v="1"/>
    <x v="0"/>
    <n v="5.2999999999999998E-4"/>
  </r>
  <r>
    <s v="SYN4724"/>
    <n v="63"/>
    <x v="0"/>
    <n v="6"/>
    <n v="68"/>
    <n v="9.8899999999999995E-3"/>
    <n v="0"/>
    <x v="0"/>
    <x v="0"/>
    <n v="9.8899999999999995E-3"/>
  </r>
  <r>
    <s v="SYN4725"/>
    <n v="62"/>
    <x v="0"/>
    <n v="12"/>
    <n v="73"/>
    <n v="2.103E-2"/>
    <n v="0"/>
    <x v="5"/>
    <x v="2"/>
    <n v="2.103E-2"/>
  </r>
  <r>
    <s v="SYN4726"/>
    <n v="48"/>
    <x v="0"/>
    <n v="30"/>
    <n v="77"/>
    <n v="2.3939999999999999E-2"/>
    <n v="0"/>
    <x v="5"/>
    <x v="3"/>
    <n v="2.3939999999999999E-2"/>
  </r>
  <r>
    <s v="SYN4727"/>
    <n v="56"/>
    <x v="1"/>
    <n v="5"/>
    <n v="60"/>
    <n v="3.2299999999999998E-3"/>
    <n v="0"/>
    <x v="0"/>
    <x v="0"/>
    <n v="3.2299999999999998E-3"/>
  </r>
  <r>
    <s v="SYN4728"/>
    <n v="31"/>
    <x v="1"/>
    <n v="3"/>
    <n v="33"/>
    <n v="2.3000000000000001E-4"/>
    <n v="0"/>
    <x v="1"/>
    <x v="0"/>
    <n v="2.3000000000000001E-4"/>
  </r>
  <r>
    <s v="SYN4729"/>
    <n v="56"/>
    <x v="1"/>
    <n v="13"/>
    <n v="68"/>
    <n v="9.1299999999999992E-3"/>
    <n v="0"/>
    <x v="0"/>
    <x v="2"/>
    <n v="9.1299999999999992E-3"/>
  </r>
  <r>
    <s v="SYN4730"/>
    <n v="22"/>
    <x v="1"/>
    <n v="18"/>
    <n v="39"/>
    <n v="1E-3"/>
    <n v="0"/>
    <x v="1"/>
    <x v="2"/>
    <n v="1E-3"/>
  </r>
  <r>
    <s v="SYN4731"/>
    <n v="37"/>
    <x v="0"/>
    <n v="8"/>
    <n v="44"/>
    <n v="1.17E-3"/>
    <n v="0"/>
    <x v="3"/>
    <x v="0"/>
    <n v="1.17E-3"/>
  </r>
  <r>
    <s v="SYN4732"/>
    <n v="38"/>
    <x v="1"/>
    <n v="26"/>
    <n v="63"/>
    <n v="6.7200000000000003E-3"/>
    <n v="0"/>
    <x v="0"/>
    <x v="1"/>
    <n v="6.7200000000000003E-3"/>
  </r>
  <r>
    <s v="SYN4733"/>
    <n v="30"/>
    <x v="1"/>
    <n v="5"/>
    <n v="34"/>
    <n v="2.9E-4"/>
    <n v="0"/>
    <x v="1"/>
    <x v="0"/>
    <n v="2.9E-4"/>
  </r>
  <r>
    <s v="SYN4734"/>
    <n v="41"/>
    <x v="0"/>
    <n v="26"/>
    <n v="66"/>
    <n v="1.1730000000000001E-2"/>
    <n v="0"/>
    <x v="0"/>
    <x v="1"/>
    <n v="1.1730000000000001E-2"/>
  </r>
  <r>
    <s v="SYN4735"/>
    <n v="34"/>
    <x v="1"/>
    <n v="22"/>
    <n v="55"/>
    <n v="3.0799999999999998E-3"/>
    <n v="0"/>
    <x v="2"/>
    <x v="1"/>
    <n v="3.0799999999999998E-3"/>
  </r>
  <r>
    <s v="SYN4736"/>
    <n v="58"/>
    <x v="1"/>
    <n v="23"/>
    <n v="80"/>
    <n v="3.986E-2"/>
    <n v="0"/>
    <x v="4"/>
    <x v="1"/>
    <n v="3.986E-2"/>
  </r>
  <r>
    <s v="SYN4737"/>
    <n v="38"/>
    <x v="0"/>
    <n v="21"/>
    <n v="58"/>
    <n v="5.2199999999999998E-3"/>
    <n v="0"/>
    <x v="2"/>
    <x v="1"/>
    <n v="5.2199999999999998E-3"/>
  </r>
  <r>
    <s v="SYN4738"/>
    <n v="41"/>
    <x v="1"/>
    <n v="28"/>
    <n v="68"/>
    <n v="9.2399999999999999E-3"/>
    <n v="0"/>
    <x v="0"/>
    <x v="1"/>
    <n v="9.2399999999999999E-3"/>
  </r>
  <r>
    <s v="SYN4739"/>
    <n v="60"/>
    <x v="1"/>
    <n v="3"/>
    <n v="62"/>
    <n v="2.5300000000000001E-3"/>
    <n v="0"/>
    <x v="0"/>
    <x v="0"/>
    <n v="2.5300000000000001E-3"/>
  </r>
  <r>
    <s v="SYN4740"/>
    <n v="48"/>
    <x v="1"/>
    <n v="21"/>
    <n v="68"/>
    <n v="1.141E-2"/>
    <n v="0"/>
    <x v="0"/>
    <x v="1"/>
    <n v="1.141E-2"/>
  </r>
  <r>
    <s v="SYN4741"/>
    <n v="22"/>
    <x v="1"/>
    <n v="23"/>
    <n v="44"/>
    <n v="1.33E-3"/>
    <n v="0"/>
    <x v="3"/>
    <x v="1"/>
    <n v="1.33E-3"/>
  </r>
  <r>
    <s v="SYN4742"/>
    <n v="31"/>
    <x v="1"/>
    <n v="8"/>
    <n v="38"/>
    <n v="5.6999999999999998E-4"/>
    <n v="0"/>
    <x v="1"/>
    <x v="0"/>
    <n v="5.6999999999999998E-4"/>
  </r>
  <r>
    <s v="SYN4743"/>
    <n v="44"/>
    <x v="0"/>
    <n v="16"/>
    <n v="59"/>
    <n v="5.6100000000000004E-3"/>
    <n v="0"/>
    <x v="2"/>
    <x v="2"/>
    <n v="5.6100000000000004E-3"/>
  </r>
  <r>
    <s v="SYN4744"/>
    <n v="62"/>
    <x v="0"/>
    <n v="6"/>
    <n v="67"/>
    <n v="9.2800000000000001E-3"/>
    <n v="0"/>
    <x v="0"/>
    <x v="0"/>
    <n v="9.2800000000000001E-3"/>
  </r>
  <r>
    <s v="SYN4745"/>
    <n v="37"/>
    <x v="1"/>
    <n v="13"/>
    <n v="49"/>
    <n v="1.5900000000000001E-3"/>
    <n v="0"/>
    <x v="3"/>
    <x v="2"/>
    <n v="1.5900000000000001E-3"/>
  </r>
  <r>
    <s v="SYN4746"/>
    <n v="24"/>
    <x v="1"/>
    <n v="24"/>
    <n v="47"/>
    <n v="1.6000000000000001E-3"/>
    <n v="0"/>
    <x v="3"/>
    <x v="1"/>
    <n v="1.6000000000000001E-3"/>
  </r>
  <r>
    <s v="SYN4747"/>
    <n v="51"/>
    <x v="1"/>
    <n v="20"/>
    <n v="70"/>
    <n v="1.3610000000000001E-2"/>
    <n v="0"/>
    <x v="5"/>
    <x v="1"/>
    <n v="1.3610000000000001E-2"/>
  </r>
  <r>
    <s v="SYN4748"/>
    <n v="29"/>
    <x v="1"/>
    <n v="28"/>
    <n v="56"/>
    <n v="2.82E-3"/>
    <n v="0"/>
    <x v="2"/>
    <x v="1"/>
    <n v="2.82E-3"/>
  </r>
  <r>
    <s v="SYN4749"/>
    <n v="52"/>
    <x v="1"/>
    <n v="16"/>
    <n v="67"/>
    <n v="9.4000000000000004E-3"/>
    <n v="0"/>
    <x v="0"/>
    <x v="2"/>
    <n v="9.4000000000000004E-3"/>
  </r>
  <r>
    <s v="SYN4750"/>
    <n v="28"/>
    <x v="1"/>
    <n v="11"/>
    <n v="38"/>
    <n v="6.7000000000000002E-4"/>
    <n v="0"/>
    <x v="1"/>
    <x v="2"/>
    <n v="6.7000000000000002E-4"/>
  </r>
  <r>
    <s v="SYN4751"/>
    <n v="22"/>
    <x v="1"/>
    <n v="26"/>
    <n v="47"/>
    <n v="1.6000000000000001E-3"/>
    <n v="0"/>
    <x v="3"/>
    <x v="1"/>
    <n v="1.6000000000000001E-3"/>
  </r>
  <r>
    <s v="SYN4752"/>
    <n v="53"/>
    <x v="0"/>
    <n v="1"/>
    <n v="53"/>
    <n v="9.5E-4"/>
    <n v="0"/>
    <x v="2"/>
    <x v="0"/>
    <n v="9.5E-4"/>
  </r>
  <r>
    <s v="SYN4753"/>
    <n v="60"/>
    <x v="0"/>
    <n v="26"/>
    <n v="85"/>
    <n v="9.1270000000000004E-2"/>
    <n v="1"/>
    <x v="4"/>
    <x v="1"/>
    <n v="9.1270000000000004E-2"/>
  </r>
  <r>
    <s v="SYN4754"/>
    <n v="37"/>
    <x v="0"/>
    <n v="29"/>
    <n v="65"/>
    <n v="7.79E-3"/>
    <n v="0"/>
    <x v="0"/>
    <x v="1"/>
    <n v="7.79E-3"/>
  </r>
  <r>
    <s v="SYN4755"/>
    <n v="43"/>
    <x v="1"/>
    <n v="25"/>
    <n v="67"/>
    <n v="1.027E-2"/>
    <n v="0"/>
    <x v="0"/>
    <x v="1"/>
    <n v="1.027E-2"/>
  </r>
  <r>
    <s v="SYN4756"/>
    <n v="59"/>
    <x v="1"/>
    <n v="11"/>
    <n v="69"/>
    <n v="8.6400000000000001E-3"/>
    <n v="0"/>
    <x v="0"/>
    <x v="2"/>
    <n v="8.6400000000000001E-3"/>
  </r>
  <r>
    <s v="SYN4757"/>
    <n v="21"/>
    <x v="0"/>
    <n v="22"/>
    <n v="42"/>
    <n v="1.99E-3"/>
    <n v="0"/>
    <x v="3"/>
    <x v="1"/>
    <n v="1.99E-3"/>
  </r>
  <r>
    <s v="SYN4758"/>
    <n v="54"/>
    <x v="1"/>
    <n v="6"/>
    <n v="59"/>
    <n v="3.0400000000000002E-3"/>
    <n v="0"/>
    <x v="2"/>
    <x v="0"/>
    <n v="3.0400000000000002E-3"/>
  </r>
  <r>
    <s v="SYN4759"/>
    <n v="43"/>
    <x v="0"/>
    <n v="9"/>
    <n v="51"/>
    <n v="2.1900000000000001E-3"/>
    <n v="0"/>
    <x v="2"/>
    <x v="0"/>
    <n v="2.1900000000000001E-3"/>
  </r>
  <r>
    <s v="SYN4760"/>
    <n v="45"/>
    <x v="1"/>
    <n v="15"/>
    <n v="59"/>
    <n v="4.1200000000000004E-3"/>
    <n v="0"/>
    <x v="2"/>
    <x v="2"/>
    <n v="4.1200000000000004E-3"/>
  </r>
  <r>
    <s v="SYN4761"/>
    <n v="42"/>
    <x v="1"/>
    <n v="27"/>
    <n v="68"/>
    <n v="1.027E-2"/>
    <n v="0"/>
    <x v="0"/>
    <x v="1"/>
    <n v="1.027E-2"/>
  </r>
  <r>
    <s v="SYN4762"/>
    <n v="60"/>
    <x v="1"/>
    <n v="8"/>
    <n v="67"/>
    <n v="6.8100000000000001E-3"/>
    <n v="0"/>
    <x v="0"/>
    <x v="0"/>
    <n v="6.8100000000000001E-3"/>
  </r>
  <r>
    <s v="SYN4763"/>
    <n v="54"/>
    <x v="1"/>
    <n v="24"/>
    <n v="77"/>
    <n v="2.8719999999999999E-2"/>
    <n v="0"/>
    <x v="5"/>
    <x v="1"/>
    <n v="2.8719999999999999E-2"/>
  </r>
  <r>
    <s v="SYN4764"/>
    <n v="45"/>
    <x v="1"/>
    <n v="27"/>
    <n v="71"/>
    <n v="1.404E-2"/>
    <n v="0"/>
    <x v="5"/>
    <x v="1"/>
    <n v="1.404E-2"/>
  </r>
  <r>
    <s v="SYN4765"/>
    <n v="32"/>
    <x v="1"/>
    <n v="18"/>
    <n v="49"/>
    <n v="1.73E-3"/>
    <n v="0"/>
    <x v="3"/>
    <x v="2"/>
    <n v="1.73E-3"/>
  </r>
  <r>
    <s v="SYN4766"/>
    <n v="26"/>
    <x v="0"/>
    <n v="11"/>
    <n v="36"/>
    <n v="7.6999999999999996E-4"/>
    <n v="0"/>
    <x v="1"/>
    <x v="2"/>
    <n v="7.6999999999999996E-4"/>
  </r>
  <r>
    <s v="SYN4767"/>
    <n v="63"/>
    <x v="1"/>
    <n v="22"/>
    <n v="84"/>
    <n v="6.4490000000000006E-2"/>
    <n v="0"/>
    <x v="4"/>
    <x v="1"/>
    <n v="6.4490000000000006E-2"/>
  </r>
  <r>
    <s v="SYN4768"/>
    <n v="41"/>
    <x v="1"/>
    <n v="24"/>
    <n v="64"/>
    <n v="7.4700000000000001E-3"/>
    <n v="0"/>
    <x v="0"/>
    <x v="1"/>
    <n v="7.4700000000000001E-3"/>
  </r>
  <r>
    <s v="SYN4769"/>
    <n v="41"/>
    <x v="0"/>
    <n v="13"/>
    <n v="53"/>
    <n v="2.9099999999999998E-3"/>
    <n v="0"/>
    <x v="2"/>
    <x v="2"/>
    <n v="2.9099999999999998E-3"/>
  </r>
  <r>
    <s v="SYN4770"/>
    <n v="45"/>
    <x v="0"/>
    <n v="19"/>
    <n v="63"/>
    <n v="8.4899999999999993E-3"/>
    <n v="0"/>
    <x v="0"/>
    <x v="2"/>
    <n v="8.4899999999999993E-3"/>
  </r>
  <r>
    <s v="SYN4771"/>
    <n v="41"/>
    <x v="1"/>
    <n v="17"/>
    <n v="57"/>
    <n v="3.4499999999999999E-3"/>
    <n v="0"/>
    <x v="2"/>
    <x v="2"/>
    <n v="3.4499999999999999E-3"/>
  </r>
  <r>
    <s v="SYN4772"/>
    <n v="26"/>
    <x v="1"/>
    <n v="8"/>
    <n v="33"/>
    <n v="3.8000000000000002E-4"/>
    <n v="0"/>
    <x v="1"/>
    <x v="0"/>
    <n v="3.8000000000000002E-4"/>
  </r>
  <r>
    <s v="SYN4773"/>
    <n v="26"/>
    <x v="1"/>
    <n v="18"/>
    <n v="43"/>
    <n v="1.1800000000000001E-3"/>
    <n v="0"/>
    <x v="3"/>
    <x v="2"/>
    <n v="1.1800000000000001E-3"/>
  </r>
  <r>
    <s v="SYN4774"/>
    <n v="21"/>
    <x v="0"/>
    <n v="21"/>
    <n v="41"/>
    <n v="1.8400000000000001E-3"/>
    <n v="0"/>
    <x v="3"/>
    <x v="1"/>
    <n v="1.8400000000000001E-3"/>
  </r>
  <r>
    <s v="SYN4775"/>
    <n v="44"/>
    <x v="1"/>
    <n v="28"/>
    <n v="71"/>
    <n v="1.2659999999999999E-2"/>
    <n v="0"/>
    <x v="5"/>
    <x v="1"/>
    <n v="1.2659999999999999E-2"/>
  </r>
  <r>
    <s v="SYN4776"/>
    <n v="40"/>
    <x v="0"/>
    <n v="25"/>
    <n v="64"/>
    <n v="9.5899999999999996E-3"/>
    <n v="0"/>
    <x v="0"/>
    <x v="1"/>
    <n v="9.5899999999999996E-3"/>
  </r>
  <r>
    <s v="SYN4777"/>
    <n v="36"/>
    <x v="0"/>
    <n v="8"/>
    <n v="43"/>
    <n v="1.1000000000000001E-3"/>
    <n v="0"/>
    <x v="3"/>
    <x v="0"/>
    <n v="1.1000000000000001E-3"/>
  </r>
  <r>
    <s v="SYN4778"/>
    <n v="59"/>
    <x v="1"/>
    <n v="4"/>
    <n v="62"/>
    <n v="3.4499999999999999E-3"/>
    <n v="0"/>
    <x v="0"/>
    <x v="0"/>
    <n v="3.4499999999999999E-3"/>
  </r>
  <r>
    <s v="SYN4779"/>
    <n v="56"/>
    <x v="1"/>
    <n v="3"/>
    <n v="58"/>
    <n v="1.9300000000000001E-3"/>
    <n v="0"/>
    <x v="2"/>
    <x v="0"/>
    <n v="1.9300000000000001E-3"/>
  </r>
  <r>
    <s v="SYN4780"/>
    <n v="50"/>
    <x v="0"/>
    <n v="20"/>
    <n v="69"/>
    <n v="1.5259999999999999E-2"/>
    <n v="0"/>
    <x v="0"/>
    <x v="1"/>
    <n v="1.5259999999999999E-2"/>
  </r>
  <r>
    <s v="SYN4781"/>
    <n v="53"/>
    <x v="1"/>
    <n v="27"/>
    <n v="79"/>
    <n v="3.1989999999999998E-2"/>
    <n v="0"/>
    <x v="5"/>
    <x v="1"/>
    <n v="3.1989999999999998E-2"/>
  </r>
  <r>
    <s v="SYN4782"/>
    <n v="37"/>
    <x v="0"/>
    <n v="26"/>
    <n v="62"/>
    <n v="7.79E-3"/>
    <n v="0"/>
    <x v="0"/>
    <x v="1"/>
    <n v="7.79E-3"/>
  </r>
  <r>
    <s v="SYN4783"/>
    <n v="33"/>
    <x v="0"/>
    <n v="13"/>
    <n v="45"/>
    <n v="1.4499999999999999E-3"/>
    <n v="0"/>
    <x v="3"/>
    <x v="2"/>
    <n v="1.4499999999999999E-3"/>
  </r>
  <r>
    <s v="SYN4784"/>
    <n v="49"/>
    <x v="0"/>
    <n v="4"/>
    <n v="52"/>
    <n v="1.9400000000000001E-3"/>
    <n v="0"/>
    <x v="2"/>
    <x v="0"/>
    <n v="1.9400000000000001E-3"/>
  </r>
  <r>
    <s v="SYN4785"/>
    <n v="26"/>
    <x v="1"/>
    <n v="7"/>
    <n v="32"/>
    <n v="3.3E-4"/>
    <n v="0"/>
    <x v="1"/>
    <x v="0"/>
    <n v="3.3E-4"/>
  </r>
  <r>
    <s v="SYN4786"/>
    <n v="33"/>
    <x v="0"/>
    <n v="27"/>
    <n v="59"/>
    <n v="5.2199999999999998E-3"/>
    <n v="0"/>
    <x v="2"/>
    <x v="1"/>
    <n v="5.2199999999999998E-3"/>
  </r>
  <r>
    <s v="SYN4787"/>
    <n v="53"/>
    <x v="0"/>
    <n v="4"/>
    <n v="56"/>
    <n v="3.0899999999999999E-3"/>
    <n v="0"/>
    <x v="2"/>
    <x v="0"/>
    <n v="3.0899999999999999E-3"/>
  </r>
  <r>
    <s v="SYN4788"/>
    <n v="40"/>
    <x v="0"/>
    <n v="2"/>
    <n v="41"/>
    <n v="5.4000000000000001E-4"/>
    <n v="0"/>
    <x v="3"/>
    <x v="0"/>
    <n v="5.4000000000000001E-4"/>
  </r>
  <r>
    <s v="SYN4789"/>
    <n v="29"/>
    <x v="1"/>
    <n v="23"/>
    <n v="51"/>
    <n v="2.1900000000000001E-3"/>
    <n v="0"/>
    <x v="2"/>
    <x v="1"/>
    <n v="2.1900000000000001E-3"/>
  </r>
  <r>
    <s v="SYN4790"/>
    <n v="38"/>
    <x v="1"/>
    <n v="25"/>
    <n v="62"/>
    <n v="6.0499999999999998E-3"/>
    <n v="0"/>
    <x v="0"/>
    <x v="1"/>
    <n v="6.0499999999999998E-3"/>
  </r>
  <r>
    <s v="SYN4791"/>
    <n v="42"/>
    <x v="0"/>
    <n v="6"/>
    <n v="47"/>
    <n v="1.33E-3"/>
    <n v="0"/>
    <x v="3"/>
    <x v="0"/>
    <n v="1.33E-3"/>
  </r>
  <r>
    <s v="SYN4792"/>
    <n v="27"/>
    <x v="1"/>
    <n v="23"/>
    <n v="49"/>
    <n v="1.8699999999999999E-3"/>
    <n v="0"/>
    <x v="3"/>
    <x v="1"/>
    <n v="1.8699999999999999E-3"/>
  </r>
  <r>
    <s v="SYN4793"/>
    <n v="23"/>
    <x v="1"/>
    <n v="20"/>
    <n v="42"/>
    <n v="1.23E-3"/>
    <n v="0"/>
    <x v="3"/>
    <x v="1"/>
    <n v="1.23E-3"/>
  </r>
  <r>
    <s v="SYN4794"/>
    <n v="50"/>
    <x v="0"/>
    <n v="1"/>
    <n v="50"/>
    <n v="8.1999999999999998E-4"/>
    <n v="0"/>
    <x v="2"/>
    <x v="0"/>
    <n v="8.1999999999999998E-4"/>
  </r>
  <r>
    <s v="SYN4795"/>
    <n v="52"/>
    <x v="1"/>
    <n v="17"/>
    <n v="68"/>
    <n v="1.056E-2"/>
    <n v="0"/>
    <x v="0"/>
    <x v="2"/>
    <n v="1.056E-2"/>
  </r>
  <r>
    <s v="SYN4796"/>
    <n v="45"/>
    <x v="1"/>
    <n v="6"/>
    <n v="50"/>
    <n v="1.2800000000000001E-3"/>
    <n v="0"/>
    <x v="2"/>
    <x v="0"/>
    <n v="1.2800000000000001E-3"/>
  </r>
  <r>
    <s v="SYN4797"/>
    <n v="55"/>
    <x v="1"/>
    <n v="26"/>
    <n v="80"/>
    <n v="3.986E-2"/>
    <n v="0"/>
    <x v="4"/>
    <x v="1"/>
    <n v="3.986E-2"/>
  </r>
  <r>
    <s v="SYN4798"/>
    <n v="46"/>
    <x v="1"/>
    <n v="2"/>
    <n v="47"/>
    <n v="4.6000000000000001E-4"/>
    <n v="0"/>
    <x v="3"/>
    <x v="0"/>
    <n v="4.6000000000000001E-4"/>
  </r>
  <r>
    <s v="SYN4799"/>
    <n v="57"/>
    <x v="0"/>
    <n v="17"/>
    <n v="73"/>
    <n v="2.3859999999999999E-2"/>
    <n v="0"/>
    <x v="5"/>
    <x v="2"/>
    <n v="2.3859999999999999E-2"/>
  </r>
  <r>
    <s v="SYN4800"/>
    <n v="54"/>
    <x v="0"/>
    <n v="15"/>
    <n v="68"/>
    <n v="1.3690000000000001E-2"/>
    <n v="0"/>
    <x v="0"/>
    <x v="2"/>
    <n v="1.3690000000000001E-2"/>
  </r>
  <r>
    <s v="SYN4801"/>
    <n v="28"/>
    <x v="1"/>
    <n v="16"/>
    <n v="43"/>
    <n v="1.09E-3"/>
    <n v="0"/>
    <x v="3"/>
    <x v="2"/>
    <n v="1.09E-3"/>
  </r>
  <r>
    <s v="SYN4802"/>
    <n v="62"/>
    <x v="1"/>
    <n v="9"/>
    <n v="70"/>
    <n v="8.6499999999999997E-3"/>
    <n v="0"/>
    <x v="5"/>
    <x v="0"/>
    <n v="8.6499999999999997E-3"/>
  </r>
  <r>
    <s v="SYN4803"/>
    <n v="57"/>
    <x v="1"/>
    <n v="14"/>
    <n v="70"/>
    <n v="1.1520000000000001E-2"/>
    <n v="0"/>
    <x v="5"/>
    <x v="2"/>
    <n v="1.1520000000000001E-2"/>
  </r>
  <r>
    <s v="SYN4804"/>
    <n v="40"/>
    <x v="1"/>
    <n v="26"/>
    <n v="65"/>
    <n v="8.3099999999999997E-3"/>
    <n v="0"/>
    <x v="0"/>
    <x v="1"/>
    <n v="8.3099999999999997E-3"/>
  </r>
  <r>
    <s v="SYN4805"/>
    <n v="31"/>
    <x v="0"/>
    <n v="17"/>
    <n v="47"/>
    <n v="1.97E-3"/>
    <n v="0"/>
    <x v="3"/>
    <x v="2"/>
    <n v="1.97E-3"/>
  </r>
  <r>
    <s v="SYN4806"/>
    <n v="27"/>
    <x v="1"/>
    <n v="3"/>
    <n v="29"/>
    <n v="2.0000000000000001E-4"/>
    <n v="0"/>
    <x v="6"/>
    <x v="0"/>
    <n v="2.0000000000000001E-4"/>
  </r>
  <r>
    <s v="SYN4807"/>
    <n v="41"/>
    <x v="0"/>
    <n v="1"/>
    <n v="41"/>
    <n v="3.5E-4"/>
    <n v="0"/>
    <x v="3"/>
    <x v="0"/>
    <n v="3.5E-4"/>
  </r>
  <r>
    <s v="SYN4808"/>
    <n v="22"/>
    <x v="0"/>
    <n v="2"/>
    <n v="23"/>
    <n v="6.0999999999999997E-4"/>
    <n v="0"/>
    <x v="6"/>
    <x v="0"/>
    <n v="6.0999999999999997E-4"/>
  </r>
  <r>
    <s v="SYN4809"/>
    <n v="60"/>
    <x v="1"/>
    <n v="8"/>
    <n v="67"/>
    <n v="6.8100000000000001E-3"/>
    <n v="0"/>
    <x v="0"/>
    <x v="0"/>
    <n v="6.8100000000000001E-3"/>
  </r>
  <r>
    <s v="SYN4810"/>
    <n v="24"/>
    <x v="0"/>
    <n v="8"/>
    <n v="31"/>
    <n v="5.2999999999999998E-4"/>
    <n v="0"/>
    <x v="1"/>
    <x v="0"/>
    <n v="5.2999999999999998E-4"/>
  </r>
  <r>
    <s v="SYN4811"/>
    <n v="27"/>
    <x v="0"/>
    <n v="26"/>
    <n v="52"/>
    <n v="3.2799999999999999E-3"/>
    <n v="0"/>
    <x v="2"/>
    <x v="1"/>
    <n v="3.2799999999999999E-3"/>
  </r>
  <r>
    <s v="SYN4812"/>
    <n v="33"/>
    <x v="0"/>
    <n v="1"/>
    <n v="33"/>
    <n v="2.4000000000000001E-4"/>
    <n v="0"/>
    <x v="1"/>
    <x v="0"/>
    <n v="2.4000000000000001E-4"/>
  </r>
  <r>
    <s v="SYN4813"/>
    <n v="53"/>
    <x v="1"/>
    <n v="7"/>
    <n v="59"/>
    <n v="3.13E-3"/>
    <n v="0"/>
    <x v="2"/>
    <x v="0"/>
    <n v="3.13E-3"/>
  </r>
  <r>
    <s v="SYN4814"/>
    <n v="31"/>
    <x v="0"/>
    <n v="22"/>
    <n v="52"/>
    <n v="3.0200000000000001E-3"/>
    <n v="0"/>
    <x v="2"/>
    <x v="1"/>
    <n v="3.0200000000000001E-3"/>
  </r>
  <r>
    <s v="SYN4815"/>
    <n v="53"/>
    <x v="1"/>
    <n v="17"/>
    <n v="69"/>
    <n v="1.159E-2"/>
    <n v="0"/>
    <x v="0"/>
    <x v="2"/>
    <n v="1.159E-2"/>
  </r>
  <r>
    <s v="SYN4816"/>
    <n v="59"/>
    <x v="0"/>
    <n v="23"/>
    <n v="81"/>
    <n v="5.6829999999999999E-2"/>
    <n v="0"/>
    <x v="4"/>
    <x v="1"/>
    <n v="5.6829999999999999E-2"/>
  </r>
  <r>
    <s v="SYN4817"/>
    <n v="64"/>
    <x v="0"/>
    <n v="30"/>
    <n v="93"/>
    <n v="0.14893999999999999"/>
    <n v="0"/>
    <x v="7"/>
    <x v="3"/>
    <n v="0.14893999999999999"/>
  </r>
  <r>
    <s v="SYN4818"/>
    <n v="60"/>
    <x v="0"/>
    <n v="26"/>
    <n v="85"/>
    <n v="9.1270000000000004E-2"/>
    <n v="0"/>
    <x v="4"/>
    <x v="1"/>
    <n v="9.1270000000000004E-2"/>
  </r>
  <r>
    <s v="SYN4819"/>
    <n v="61"/>
    <x v="0"/>
    <n v="14"/>
    <n v="74"/>
    <n v="2.4910000000000002E-2"/>
    <n v="1"/>
    <x v="5"/>
    <x v="2"/>
    <n v="2.4910000000000002E-2"/>
  </r>
  <r>
    <s v="SYN4820"/>
    <n v="43"/>
    <x v="1"/>
    <n v="28"/>
    <n v="70"/>
    <n v="1.141E-2"/>
    <n v="0"/>
    <x v="5"/>
    <x v="1"/>
    <n v="1.141E-2"/>
  </r>
  <r>
    <s v="SYN4821"/>
    <n v="30"/>
    <x v="0"/>
    <n v="30"/>
    <n v="59"/>
    <n v="4.0499999999999998E-3"/>
    <n v="0"/>
    <x v="2"/>
    <x v="3"/>
    <n v="4.0499999999999998E-3"/>
  </r>
  <r>
    <s v="SYN4822"/>
    <n v="24"/>
    <x v="0"/>
    <n v="17"/>
    <n v="40"/>
    <n v="1.3600000000000001E-3"/>
    <n v="0"/>
    <x v="3"/>
    <x v="2"/>
    <n v="1.3600000000000001E-3"/>
  </r>
  <r>
    <s v="SYN4823"/>
    <n v="65"/>
    <x v="1"/>
    <n v="18"/>
    <n v="82"/>
    <n v="4.897E-2"/>
    <n v="0"/>
    <x v="4"/>
    <x v="2"/>
    <n v="4.897E-2"/>
  </r>
  <r>
    <s v="SYN4824"/>
    <n v="28"/>
    <x v="1"/>
    <n v="7"/>
    <n v="34"/>
    <n v="3.6000000000000002E-4"/>
    <n v="0"/>
    <x v="1"/>
    <x v="0"/>
    <n v="3.6000000000000002E-4"/>
  </r>
  <r>
    <s v="SYN4825"/>
    <n v="58"/>
    <x v="1"/>
    <n v="5"/>
    <n v="62"/>
    <n v="4.0299999999999997E-3"/>
    <n v="0"/>
    <x v="0"/>
    <x v="0"/>
    <n v="4.0299999999999997E-3"/>
  </r>
  <r>
    <s v="SYN4826"/>
    <n v="60"/>
    <x v="1"/>
    <n v="10"/>
    <n v="69"/>
    <n v="8.3300000000000006E-3"/>
    <n v="0"/>
    <x v="0"/>
    <x v="2"/>
    <n v="8.3300000000000006E-3"/>
  </r>
  <r>
    <s v="SYN4827"/>
    <n v="20"/>
    <x v="0"/>
    <n v="29"/>
    <n v="48"/>
    <n v="2.5400000000000002E-3"/>
    <n v="0"/>
    <x v="3"/>
    <x v="1"/>
    <n v="2.5400000000000002E-3"/>
  </r>
  <r>
    <s v="SYN4828"/>
    <n v="36"/>
    <x v="0"/>
    <n v="16"/>
    <n v="51"/>
    <n v="2.5799999999999998E-3"/>
    <n v="0"/>
    <x v="2"/>
    <x v="2"/>
    <n v="2.5799999999999998E-3"/>
  </r>
  <r>
    <s v="SYN4829"/>
    <n v="49"/>
    <x v="0"/>
    <n v="12"/>
    <n v="60"/>
    <n v="5.9199999999999999E-3"/>
    <n v="0"/>
    <x v="0"/>
    <x v="2"/>
    <n v="5.9199999999999999E-3"/>
  </r>
  <r>
    <s v="SYN4830"/>
    <n v="50"/>
    <x v="1"/>
    <n v="13"/>
    <n v="62"/>
    <n v="5.3499999999999997E-3"/>
    <n v="0"/>
    <x v="0"/>
    <x v="2"/>
    <n v="5.3499999999999997E-3"/>
  </r>
  <r>
    <s v="SYN4831"/>
    <n v="49"/>
    <x v="1"/>
    <n v="6"/>
    <n v="54"/>
    <n v="1.8600000000000001E-3"/>
    <n v="0"/>
    <x v="2"/>
    <x v="0"/>
    <n v="1.8600000000000001E-3"/>
  </r>
  <r>
    <s v="SYN4832"/>
    <n v="50"/>
    <x v="0"/>
    <n v="15"/>
    <n v="64"/>
    <n v="9.11E-3"/>
    <n v="0"/>
    <x v="0"/>
    <x v="2"/>
    <n v="9.11E-3"/>
  </r>
  <r>
    <s v="SYN4833"/>
    <n v="43"/>
    <x v="1"/>
    <n v="18"/>
    <n v="60"/>
    <n v="4.7299999999999998E-3"/>
    <n v="0"/>
    <x v="0"/>
    <x v="2"/>
    <n v="4.7299999999999998E-3"/>
  </r>
  <r>
    <s v="SYN4834"/>
    <n v="44"/>
    <x v="1"/>
    <n v="5"/>
    <n v="48"/>
    <n v="1.0300000000000001E-3"/>
    <n v="0"/>
    <x v="3"/>
    <x v="0"/>
    <n v="1.0300000000000001E-3"/>
  </r>
  <r>
    <s v="SYN4835"/>
    <n v="40"/>
    <x v="1"/>
    <n v="5"/>
    <n v="44"/>
    <n v="7.6000000000000004E-4"/>
    <n v="0"/>
    <x v="3"/>
    <x v="0"/>
    <n v="7.6000000000000004E-4"/>
  </r>
  <r>
    <s v="SYN4836"/>
    <n v="62"/>
    <x v="0"/>
    <n v="24"/>
    <n v="85"/>
    <n v="9.1270000000000004E-2"/>
    <n v="0"/>
    <x v="4"/>
    <x v="1"/>
    <n v="9.1270000000000004E-2"/>
  </r>
  <r>
    <s v="SYN4837"/>
    <n v="55"/>
    <x v="1"/>
    <n v="8"/>
    <n v="62"/>
    <n v="4.4600000000000004E-3"/>
    <n v="0"/>
    <x v="0"/>
    <x v="0"/>
    <n v="4.4600000000000004E-3"/>
  </r>
  <r>
    <s v="SYN4838"/>
    <n v="55"/>
    <x v="0"/>
    <n v="28"/>
    <n v="82"/>
    <n v="5.0909999999999997E-2"/>
    <n v="0"/>
    <x v="4"/>
    <x v="1"/>
    <n v="5.0909999999999997E-2"/>
  </r>
  <r>
    <s v="SYN4839"/>
    <n v="27"/>
    <x v="0"/>
    <n v="21"/>
    <n v="47"/>
    <n v="2.0799999999999998E-3"/>
    <n v="0"/>
    <x v="3"/>
    <x v="1"/>
    <n v="2.0799999999999998E-3"/>
  </r>
  <r>
    <s v="SYN4840"/>
    <n v="63"/>
    <x v="0"/>
    <n v="7"/>
    <n v="69"/>
    <n v="1.0999999999999999E-2"/>
    <n v="0"/>
    <x v="0"/>
    <x v="0"/>
    <n v="1.0999999999999999E-2"/>
  </r>
  <r>
    <s v="SYN4841"/>
    <n v="33"/>
    <x v="1"/>
    <n v="30"/>
    <n v="62"/>
    <n v="4.0499999999999998E-3"/>
    <n v="0"/>
    <x v="0"/>
    <x v="3"/>
    <n v="4.0499999999999998E-3"/>
  </r>
  <r>
    <s v="SYN4842"/>
    <n v="31"/>
    <x v="1"/>
    <n v="27"/>
    <n v="57"/>
    <n v="3.3700000000000002E-3"/>
    <n v="0"/>
    <x v="2"/>
    <x v="1"/>
    <n v="3.3700000000000002E-3"/>
  </r>
  <r>
    <s v="SYN4843"/>
    <n v="31"/>
    <x v="1"/>
    <n v="5"/>
    <n v="35"/>
    <n v="3.2000000000000003E-4"/>
    <n v="0"/>
    <x v="1"/>
    <x v="0"/>
    <n v="3.2000000000000003E-4"/>
  </r>
  <r>
    <s v="SYN4844"/>
    <n v="59"/>
    <x v="1"/>
    <n v="7"/>
    <n v="65"/>
    <n v="5.79E-3"/>
    <n v="0"/>
    <x v="0"/>
    <x v="0"/>
    <n v="5.79E-3"/>
  </r>
  <r>
    <s v="SYN4845"/>
    <n v="26"/>
    <x v="0"/>
    <n v="24"/>
    <n v="49"/>
    <n v="2.5999999999999999E-3"/>
    <n v="0"/>
    <x v="3"/>
    <x v="1"/>
    <n v="2.5999999999999999E-3"/>
  </r>
  <r>
    <s v="SYN4846"/>
    <n v="57"/>
    <x v="1"/>
    <n v="3"/>
    <n v="59"/>
    <n v="2E-3"/>
    <n v="0"/>
    <x v="2"/>
    <x v="0"/>
    <n v="2E-3"/>
  </r>
  <r>
    <s v="SYN4847"/>
    <n v="55"/>
    <x v="0"/>
    <n v="5"/>
    <n v="59"/>
    <n v="4.4799999999999996E-3"/>
    <n v="0"/>
    <x v="2"/>
    <x v="0"/>
    <n v="4.4799999999999996E-3"/>
  </r>
  <r>
    <s v="SYN4848"/>
    <n v="61"/>
    <x v="1"/>
    <n v="12"/>
    <n v="72"/>
    <n v="1.226E-2"/>
    <n v="0"/>
    <x v="5"/>
    <x v="2"/>
    <n v="1.226E-2"/>
  </r>
  <r>
    <s v="SYN4849"/>
    <n v="56"/>
    <x v="1"/>
    <n v="28"/>
    <n v="83"/>
    <n v="4.4880000000000003E-2"/>
    <n v="0"/>
    <x v="4"/>
    <x v="1"/>
    <n v="4.4880000000000003E-2"/>
  </r>
  <r>
    <s v="SYN4850"/>
    <n v="55"/>
    <x v="0"/>
    <n v="10"/>
    <n v="64"/>
    <n v="8.8699999999999994E-3"/>
    <n v="0"/>
    <x v="0"/>
    <x v="2"/>
    <n v="8.8699999999999994E-3"/>
  </r>
  <r>
    <s v="SYN4851"/>
    <n v="61"/>
    <x v="1"/>
    <n v="15"/>
    <n v="75"/>
    <n v="1.9740000000000001E-2"/>
    <n v="0"/>
    <x v="5"/>
    <x v="2"/>
    <n v="1.9740000000000001E-2"/>
  </r>
  <r>
    <s v="SYN4852"/>
    <n v="34"/>
    <x v="1"/>
    <n v="6"/>
    <n v="39"/>
    <n v="5.4000000000000001E-4"/>
    <n v="0"/>
    <x v="1"/>
    <x v="0"/>
    <n v="5.4000000000000001E-4"/>
  </r>
  <r>
    <s v="SYN4853"/>
    <n v="21"/>
    <x v="0"/>
    <n v="19"/>
    <n v="39"/>
    <n v="1.48E-3"/>
    <n v="0"/>
    <x v="1"/>
    <x v="2"/>
    <n v="1.48E-3"/>
  </r>
  <r>
    <s v="SYN4854"/>
    <n v="56"/>
    <x v="1"/>
    <n v="26"/>
    <n v="81"/>
    <n v="4.4880000000000003E-2"/>
    <n v="0"/>
    <x v="4"/>
    <x v="1"/>
    <n v="4.4880000000000003E-2"/>
  </r>
  <r>
    <s v="SYN4855"/>
    <n v="65"/>
    <x v="0"/>
    <n v="24"/>
    <n v="88"/>
    <n v="0.13236000000000001"/>
    <n v="0"/>
    <x v="4"/>
    <x v="1"/>
    <n v="0.13236000000000001"/>
  </r>
  <r>
    <s v="SYN4856"/>
    <n v="58"/>
    <x v="1"/>
    <n v="27"/>
    <n v="84"/>
    <n v="5.704E-2"/>
    <n v="0"/>
    <x v="4"/>
    <x v="1"/>
    <n v="5.704E-2"/>
  </r>
  <r>
    <s v="SYN4857"/>
    <n v="20"/>
    <x v="1"/>
    <n v="6"/>
    <n v="25"/>
    <n v="3.2000000000000003E-4"/>
    <n v="0"/>
    <x v="6"/>
    <x v="0"/>
    <n v="3.2000000000000003E-4"/>
  </r>
  <r>
    <s v="SYN4858"/>
    <n v="30"/>
    <x v="0"/>
    <n v="2"/>
    <n v="31"/>
    <n v="2.9E-4"/>
    <n v="0"/>
    <x v="1"/>
    <x v="0"/>
    <n v="2.9E-4"/>
  </r>
  <r>
    <s v="SYN4859"/>
    <n v="58"/>
    <x v="1"/>
    <n v="15"/>
    <n v="72"/>
    <n v="1.46E-2"/>
    <n v="0"/>
    <x v="5"/>
    <x v="2"/>
    <n v="1.46E-2"/>
  </r>
  <r>
    <s v="SYN4860"/>
    <n v="27"/>
    <x v="0"/>
    <n v="7"/>
    <n v="33"/>
    <n v="5.0000000000000001E-4"/>
    <n v="0"/>
    <x v="1"/>
    <x v="0"/>
    <n v="5.0000000000000001E-4"/>
  </r>
  <r>
    <s v="SYN4861"/>
    <n v="40"/>
    <x v="1"/>
    <n v="5"/>
    <n v="44"/>
    <n v="7.6000000000000004E-4"/>
    <n v="0"/>
    <x v="3"/>
    <x v="0"/>
    <n v="7.6000000000000004E-4"/>
  </r>
  <r>
    <s v="SYN4862"/>
    <n v="53"/>
    <x v="0"/>
    <n v="8"/>
    <n v="60"/>
    <n v="5.5100000000000001E-3"/>
    <n v="0"/>
    <x v="0"/>
    <x v="0"/>
    <n v="5.5100000000000001E-3"/>
  </r>
  <r>
    <s v="SYN4863"/>
    <n v="63"/>
    <x v="1"/>
    <n v="25"/>
    <n v="87"/>
    <n v="9.3240000000000003E-2"/>
    <n v="0"/>
    <x v="4"/>
    <x v="1"/>
    <n v="9.3240000000000003E-2"/>
  </r>
  <r>
    <s v="SYN4864"/>
    <n v="43"/>
    <x v="1"/>
    <n v="13"/>
    <n v="55"/>
    <n v="2.6800000000000001E-3"/>
    <n v="0"/>
    <x v="2"/>
    <x v="2"/>
    <n v="2.6800000000000001E-3"/>
  </r>
  <r>
    <s v="SYN4865"/>
    <n v="23"/>
    <x v="0"/>
    <n v="18"/>
    <n v="40"/>
    <n v="1.4599999999999999E-3"/>
    <n v="0"/>
    <x v="3"/>
    <x v="2"/>
    <n v="1.4599999999999999E-3"/>
  </r>
  <r>
    <s v="SYN4866"/>
    <n v="22"/>
    <x v="1"/>
    <n v="9"/>
    <n v="30"/>
    <n v="3.6999999999999999E-4"/>
    <n v="0"/>
    <x v="1"/>
    <x v="0"/>
    <n v="3.6999999999999999E-4"/>
  </r>
  <r>
    <s v="SYN4867"/>
    <n v="63"/>
    <x v="0"/>
    <n v="29"/>
    <n v="91"/>
    <n v="0.13258"/>
    <n v="0"/>
    <x v="7"/>
    <x v="1"/>
    <n v="0.13258"/>
  </r>
  <r>
    <s v="SYN4868"/>
    <n v="56"/>
    <x v="0"/>
    <n v="15"/>
    <n v="70"/>
    <n v="1.6750000000000001E-2"/>
    <n v="0"/>
    <x v="5"/>
    <x v="2"/>
    <n v="1.6750000000000001E-2"/>
  </r>
  <r>
    <s v="SYN4869"/>
    <n v="65"/>
    <x v="0"/>
    <n v="29"/>
    <n v="93"/>
    <n v="0.16611999999999999"/>
    <n v="0"/>
    <x v="7"/>
    <x v="1"/>
    <n v="0.16611999999999999"/>
  </r>
  <r>
    <s v="SYN4870"/>
    <n v="31"/>
    <x v="1"/>
    <n v="8"/>
    <n v="38"/>
    <n v="5.6999999999999998E-4"/>
    <n v="0"/>
    <x v="1"/>
    <x v="0"/>
    <n v="5.6999999999999998E-4"/>
  </r>
  <r>
    <s v="SYN4871"/>
    <n v="23"/>
    <x v="1"/>
    <n v="26"/>
    <n v="48"/>
    <n v="1.73E-3"/>
    <n v="0"/>
    <x v="3"/>
    <x v="1"/>
    <n v="1.73E-3"/>
  </r>
  <r>
    <s v="SYN4872"/>
    <n v="22"/>
    <x v="0"/>
    <n v="7"/>
    <n v="28"/>
    <n v="5.9999999999999995E-4"/>
    <n v="0"/>
    <x v="6"/>
    <x v="0"/>
    <n v="5.9999999999999995E-4"/>
  </r>
  <r>
    <s v="SYN4873"/>
    <n v="35"/>
    <x v="0"/>
    <n v="30"/>
    <n v="64"/>
    <n v="6.3299999999999997E-3"/>
    <n v="0"/>
    <x v="0"/>
    <x v="3"/>
    <n v="6.3299999999999997E-3"/>
  </r>
  <r>
    <s v="SYN4874"/>
    <n v="56"/>
    <x v="1"/>
    <n v="28"/>
    <n v="83"/>
    <n v="4.4880000000000003E-2"/>
    <n v="0"/>
    <x v="4"/>
    <x v="1"/>
    <n v="4.4880000000000003E-2"/>
  </r>
  <r>
    <s v="SYN4875"/>
    <n v="49"/>
    <x v="0"/>
    <n v="3"/>
    <n v="51"/>
    <n v="1.5399999999999999E-3"/>
    <n v="0"/>
    <x v="2"/>
    <x v="0"/>
    <n v="1.5399999999999999E-3"/>
  </r>
  <r>
    <s v="SYN4876"/>
    <n v="33"/>
    <x v="1"/>
    <n v="28"/>
    <n v="60"/>
    <n v="4.0499999999999998E-3"/>
    <n v="0"/>
    <x v="0"/>
    <x v="1"/>
    <n v="4.0499999999999998E-3"/>
  </r>
  <r>
    <s v="SYN4877"/>
    <n v="25"/>
    <x v="1"/>
    <n v="1"/>
    <n v="25"/>
    <n v="1.6000000000000001E-4"/>
    <n v="0"/>
    <x v="6"/>
    <x v="0"/>
    <n v="1.6000000000000001E-4"/>
  </r>
  <r>
    <s v="SYN4878"/>
    <n v="30"/>
    <x v="1"/>
    <n v="25"/>
    <n v="54"/>
    <n v="2.82E-3"/>
    <n v="0"/>
    <x v="2"/>
    <x v="1"/>
    <n v="2.82E-3"/>
  </r>
  <r>
    <s v="SYN4879"/>
    <n v="42"/>
    <x v="0"/>
    <n v="22"/>
    <n v="63"/>
    <n v="8.5000000000000006E-3"/>
    <n v="0"/>
    <x v="0"/>
    <x v="1"/>
    <n v="8.5000000000000006E-3"/>
  </r>
  <r>
    <s v="SYN4880"/>
    <n v="50"/>
    <x v="1"/>
    <n v="9"/>
    <n v="58"/>
    <n v="3.0200000000000001E-3"/>
    <n v="0"/>
    <x v="2"/>
    <x v="0"/>
    <n v="3.0200000000000001E-3"/>
  </r>
  <r>
    <s v="SYN4881"/>
    <n v="32"/>
    <x v="1"/>
    <n v="2"/>
    <n v="33"/>
    <n v="2.0000000000000001E-4"/>
    <n v="0"/>
    <x v="1"/>
    <x v="0"/>
    <n v="2.0000000000000001E-4"/>
  </r>
  <r>
    <s v="SYN4882"/>
    <n v="20"/>
    <x v="0"/>
    <n v="19"/>
    <n v="38"/>
    <n v="1.4E-3"/>
    <n v="0"/>
    <x v="1"/>
    <x v="2"/>
    <n v="1.4E-3"/>
  </r>
  <r>
    <s v="SYN4883"/>
    <n v="33"/>
    <x v="1"/>
    <n v="22"/>
    <n v="54"/>
    <n v="2.82E-3"/>
    <n v="0"/>
    <x v="2"/>
    <x v="1"/>
    <n v="2.82E-3"/>
  </r>
  <r>
    <s v="SYN4884"/>
    <n v="27"/>
    <x v="0"/>
    <n v="5"/>
    <n v="31"/>
    <n v="4.0000000000000002E-4"/>
    <n v="0"/>
    <x v="1"/>
    <x v="0"/>
    <n v="4.0000000000000002E-4"/>
  </r>
  <r>
    <s v="SYN4885"/>
    <n v="29"/>
    <x v="0"/>
    <n v="4"/>
    <n v="32"/>
    <n v="4.0999999999999999E-4"/>
    <n v="0"/>
    <x v="1"/>
    <x v="0"/>
    <n v="4.0999999999999999E-4"/>
  </r>
  <r>
    <s v="SYN4886"/>
    <n v="63"/>
    <x v="1"/>
    <n v="30"/>
    <n v="92"/>
    <n v="0.10484"/>
    <n v="0"/>
    <x v="7"/>
    <x v="3"/>
    <n v="0.10484"/>
  </r>
  <r>
    <s v="SYN4887"/>
    <n v="49"/>
    <x v="1"/>
    <n v="25"/>
    <n v="73"/>
    <n v="1.8970000000000001E-2"/>
    <n v="0"/>
    <x v="5"/>
    <x v="1"/>
    <n v="1.8970000000000001E-2"/>
  </r>
  <r>
    <s v="SYN4888"/>
    <n v="58"/>
    <x v="1"/>
    <n v="25"/>
    <n v="82"/>
    <n v="5.0599999999999999E-2"/>
    <n v="0"/>
    <x v="4"/>
    <x v="1"/>
    <n v="5.0599999999999999E-2"/>
  </r>
  <r>
    <s v="SYN4889"/>
    <n v="27"/>
    <x v="0"/>
    <n v="13"/>
    <n v="39"/>
    <n v="1.0300000000000001E-3"/>
    <n v="0"/>
    <x v="1"/>
    <x v="2"/>
    <n v="1.0300000000000001E-3"/>
  </r>
  <r>
    <s v="SYN4890"/>
    <n v="31"/>
    <x v="0"/>
    <n v="2"/>
    <n v="32"/>
    <n v="2.9E-4"/>
    <n v="0"/>
    <x v="1"/>
    <x v="0"/>
    <n v="2.9E-4"/>
  </r>
  <r>
    <s v="SYN4891"/>
    <n v="48"/>
    <x v="1"/>
    <n v="5"/>
    <n v="52"/>
    <n v="1.47E-3"/>
    <n v="0"/>
    <x v="2"/>
    <x v="0"/>
    <n v="1.47E-3"/>
  </r>
  <r>
    <s v="SYN4892"/>
    <n v="53"/>
    <x v="0"/>
    <n v="25"/>
    <n v="77"/>
    <n v="3.7039999999999997E-2"/>
    <n v="0"/>
    <x v="5"/>
    <x v="1"/>
    <n v="3.7039999999999997E-2"/>
  </r>
  <r>
    <s v="SYN4893"/>
    <n v="59"/>
    <x v="1"/>
    <n v="24"/>
    <n v="82"/>
    <n v="5.0599999999999999E-2"/>
    <n v="1"/>
    <x v="4"/>
    <x v="1"/>
    <n v="5.0599999999999999E-2"/>
  </r>
  <r>
    <s v="SYN4894"/>
    <n v="56"/>
    <x v="0"/>
    <n v="7"/>
    <n v="62"/>
    <n v="6.5399999999999998E-3"/>
    <n v="0"/>
    <x v="0"/>
    <x v="0"/>
    <n v="6.5399999999999998E-3"/>
  </r>
  <r>
    <s v="SYN4895"/>
    <n v="54"/>
    <x v="1"/>
    <n v="1"/>
    <n v="54"/>
    <n v="5.1000000000000004E-4"/>
    <n v="0"/>
    <x v="2"/>
    <x v="0"/>
    <n v="5.1000000000000004E-4"/>
  </r>
  <r>
    <s v="SYN4896"/>
    <n v="62"/>
    <x v="0"/>
    <n v="26"/>
    <n v="87"/>
    <n v="0.11724"/>
    <n v="0"/>
    <x v="4"/>
    <x v="1"/>
    <n v="0.11724"/>
  </r>
  <r>
    <s v="SYN4897"/>
    <n v="29"/>
    <x v="1"/>
    <n v="25"/>
    <n v="53"/>
    <n v="2.5899999999999999E-3"/>
    <n v="0"/>
    <x v="2"/>
    <x v="1"/>
    <n v="2.5899999999999999E-3"/>
  </r>
  <r>
    <s v="SYN4898"/>
    <n v="25"/>
    <x v="0"/>
    <n v="10"/>
    <n v="34"/>
    <n v="6.6E-4"/>
    <n v="0"/>
    <x v="1"/>
    <x v="2"/>
    <n v="6.6E-4"/>
  </r>
  <r>
    <s v="SYN4899"/>
    <n v="45"/>
    <x v="1"/>
    <n v="21"/>
    <n v="65"/>
    <n v="8.3099999999999997E-3"/>
    <n v="0"/>
    <x v="0"/>
    <x v="1"/>
    <n v="8.3099999999999997E-3"/>
  </r>
  <r>
    <s v="SYN4900"/>
    <n v="20"/>
    <x v="1"/>
    <n v="19"/>
    <n v="38"/>
    <n v="1E-3"/>
    <n v="0"/>
    <x v="1"/>
    <x v="2"/>
    <n v="1E-3"/>
  </r>
  <r>
    <s v="SYN4901"/>
    <n v="29"/>
    <x v="0"/>
    <n v="20"/>
    <n v="48"/>
    <n v="2.15E-3"/>
    <n v="0"/>
    <x v="3"/>
    <x v="1"/>
    <n v="2.15E-3"/>
  </r>
  <r>
    <s v="SYN4902"/>
    <n v="57"/>
    <x v="1"/>
    <n v="7"/>
    <n v="63"/>
    <n v="4.81E-3"/>
    <n v="0"/>
    <x v="0"/>
    <x v="0"/>
    <n v="4.81E-3"/>
  </r>
  <r>
    <s v="SYN4903"/>
    <n v="42"/>
    <x v="0"/>
    <n v="24"/>
    <n v="65"/>
    <n v="1.0449999999999999E-2"/>
    <n v="0"/>
    <x v="0"/>
    <x v="1"/>
    <n v="1.0449999999999999E-2"/>
  </r>
  <r>
    <s v="SYN4904"/>
    <n v="61"/>
    <x v="1"/>
    <n v="1"/>
    <n v="61"/>
    <n v="8.3000000000000001E-4"/>
    <n v="0"/>
    <x v="0"/>
    <x v="0"/>
    <n v="8.3000000000000001E-4"/>
  </r>
  <r>
    <s v="SYN4905"/>
    <n v="62"/>
    <x v="1"/>
    <n v="19"/>
    <n v="80"/>
    <n v="3.8629999999999998E-2"/>
    <n v="0"/>
    <x v="4"/>
    <x v="2"/>
    <n v="3.8629999999999998E-2"/>
  </r>
  <r>
    <s v="SYN4906"/>
    <n v="64"/>
    <x v="0"/>
    <n v="19"/>
    <n v="82"/>
    <n v="6.2700000000000006E-2"/>
    <n v="1"/>
    <x v="4"/>
    <x v="2"/>
    <n v="6.2700000000000006E-2"/>
  </r>
  <r>
    <s v="SYN4907"/>
    <n v="26"/>
    <x v="1"/>
    <n v="8"/>
    <n v="33"/>
    <n v="3.8000000000000002E-4"/>
    <n v="0"/>
    <x v="1"/>
    <x v="0"/>
    <n v="3.8000000000000002E-4"/>
  </r>
  <r>
    <s v="SYN4908"/>
    <n v="37"/>
    <x v="0"/>
    <n v="7"/>
    <n v="43"/>
    <n v="1.0399999999999999E-3"/>
    <n v="0"/>
    <x v="3"/>
    <x v="0"/>
    <n v="1.0399999999999999E-3"/>
  </r>
  <r>
    <s v="SYN4909"/>
    <n v="40"/>
    <x v="0"/>
    <n v="18"/>
    <n v="57"/>
    <n v="4.5900000000000003E-3"/>
    <n v="0"/>
    <x v="2"/>
    <x v="2"/>
    <n v="4.5900000000000003E-3"/>
  </r>
  <r>
    <s v="SYN4910"/>
    <n v="28"/>
    <x v="1"/>
    <n v="7"/>
    <n v="34"/>
    <n v="3.6000000000000002E-4"/>
    <n v="0"/>
    <x v="1"/>
    <x v="0"/>
    <n v="3.6000000000000002E-4"/>
  </r>
  <r>
    <s v="SYN4911"/>
    <n v="24"/>
    <x v="1"/>
    <n v="29"/>
    <n v="52"/>
    <n v="1.8699999999999999E-3"/>
    <n v="0"/>
    <x v="2"/>
    <x v="1"/>
    <n v="1.8699999999999999E-3"/>
  </r>
  <r>
    <s v="SYN4912"/>
    <n v="29"/>
    <x v="1"/>
    <n v="16"/>
    <n v="44"/>
    <n v="1.15E-3"/>
    <n v="0"/>
    <x v="3"/>
    <x v="2"/>
    <n v="1.15E-3"/>
  </r>
  <r>
    <s v="SYN4913"/>
    <n v="43"/>
    <x v="0"/>
    <n v="20"/>
    <n v="62"/>
    <n v="7.7400000000000004E-3"/>
    <n v="0"/>
    <x v="0"/>
    <x v="1"/>
    <n v="7.7400000000000004E-3"/>
  </r>
  <r>
    <s v="SYN4914"/>
    <n v="51"/>
    <x v="0"/>
    <n v="9"/>
    <n v="59"/>
    <n v="5.1599999999999997E-3"/>
    <n v="0"/>
    <x v="2"/>
    <x v="0"/>
    <n v="5.1599999999999997E-3"/>
  </r>
  <r>
    <s v="SYN4915"/>
    <n v="23"/>
    <x v="1"/>
    <n v="15"/>
    <n v="37"/>
    <n v="7.6000000000000004E-4"/>
    <n v="0"/>
    <x v="1"/>
    <x v="2"/>
    <n v="7.6000000000000004E-4"/>
  </r>
  <r>
    <s v="SYN4916"/>
    <n v="47"/>
    <x v="1"/>
    <n v="14"/>
    <n v="60"/>
    <n v="4.5199999999999997E-3"/>
    <n v="0"/>
    <x v="0"/>
    <x v="2"/>
    <n v="4.5199999999999997E-3"/>
  </r>
  <r>
    <s v="SYN4917"/>
    <n v="34"/>
    <x v="0"/>
    <n v="5"/>
    <n v="38"/>
    <n v="6.0999999999999997E-4"/>
    <n v="0"/>
    <x v="1"/>
    <x v="0"/>
    <n v="6.0999999999999997E-4"/>
  </r>
  <r>
    <s v="SYN4918"/>
    <n v="61"/>
    <x v="0"/>
    <n v="29"/>
    <n v="89"/>
    <n v="0.10347000000000001"/>
    <n v="0"/>
    <x v="4"/>
    <x v="1"/>
    <n v="0.10347000000000001"/>
  </r>
  <r>
    <s v="SYN4919"/>
    <n v="30"/>
    <x v="1"/>
    <n v="27"/>
    <n v="56"/>
    <n v="3.0799999999999998E-3"/>
    <n v="0"/>
    <x v="2"/>
    <x v="1"/>
    <n v="3.0799999999999998E-3"/>
  </r>
  <r>
    <s v="SYN4920"/>
    <n v="20"/>
    <x v="1"/>
    <n v="8"/>
    <n v="27"/>
    <n v="3.2000000000000003E-4"/>
    <n v="0"/>
    <x v="6"/>
    <x v="0"/>
    <n v="3.2000000000000003E-4"/>
  </r>
  <r>
    <s v="SYN4921"/>
    <n v="22"/>
    <x v="0"/>
    <n v="8"/>
    <n v="29"/>
    <n v="5.9000000000000003E-4"/>
    <n v="0"/>
    <x v="6"/>
    <x v="0"/>
    <n v="5.9000000000000003E-4"/>
  </r>
  <r>
    <s v="SYN4922"/>
    <n v="43"/>
    <x v="1"/>
    <n v="30"/>
    <n v="72"/>
    <n v="1.141E-2"/>
    <n v="0"/>
    <x v="5"/>
    <x v="3"/>
    <n v="1.141E-2"/>
  </r>
  <r>
    <s v="SYN4923"/>
    <n v="56"/>
    <x v="1"/>
    <n v="30"/>
    <n v="85"/>
    <n v="4.4880000000000003E-2"/>
    <n v="0"/>
    <x v="4"/>
    <x v="3"/>
    <n v="4.4880000000000003E-2"/>
  </r>
  <r>
    <s v="SYN4924"/>
    <n v="47"/>
    <x v="1"/>
    <n v="29"/>
    <n v="75"/>
    <n v="1.7170000000000001E-2"/>
    <n v="0"/>
    <x v="5"/>
    <x v="1"/>
    <n v="1.7170000000000001E-2"/>
  </r>
  <r>
    <s v="SYN4925"/>
    <n v="43"/>
    <x v="1"/>
    <n v="15"/>
    <n v="57"/>
    <n v="3.3700000000000002E-3"/>
    <n v="0"/>
    <x v="2"/>
    <x v="2"/>
    <n v="3.3700000000000002E-3"/>
  </r>
  <r>
    <s v="SYN4926"/>
    <n v="42"/>
    <x v="0"/>
    <n v="12"/>
    <n v="53"/>
    <n v="2.8300000000000001E-3"/>
    <n v="0"/>
    <x v="2"/>
    <x v="2"/>
    <n v="2.8300000000000001E-3"/>
  </r>
  <r>
    <s v="SYN4927"/>
    <n v="35"/>
    <x v="0"/>
    <n v="9"/>
    <n v="43"/>
    <n v="1.16E-3"/>
    <n v="0"/>
    <x v="3"/>
    <x v="0"/>
    <n v="1.16E-3"/>
  </r>
  <r>
    <s v="SYN4928"/>
    <n v="36"/>
    <x v="0"/>
    <n v="15"/>
    <n v="50"/>
    <n v="2.3E-3"/>
    <n v="0"/>
    <x v="2"/>
    <x v="2"/>
    <n v="2.3E-3"/>
  </r>
  <r>
    <s v="SYN4929"/>
    <n v="55"/>
    <x v="1"/>
    <n v="2"/>
    <n v="56"/>
    <n v="1.2600000000000001E-3"/>
    <n v="0"/>
    <x v="2"/>
    <x v="0"/>
    <n v="1.2600000000000001E-3"/>
  </r>
  <r>
    <s v="SYN4930"/>
    <n v="52"/>
    <x v="0"/>
    <n v="4"/>
    <n v="55"/>
    <n v="2.7299999999999998E-3"/>
    <n v="0"/>
    <x v="2"/>
    <x v="0"/>
    <n v="2.7299999999999998E-3"/>
  </r>
  <r>
    <s v="SYN4931"/>
    <n v="46"/>
    <x v="0"/>
    <n v="18"/>
    <n v="63"/>
    <n v="8.4899999999999993E-3"/>
    <n v="0"/>
    <x v="0"/>
    <x v="2"/>
    <n v="8.4899999999999993E-3"/>
  </r>
  <r>
    <s v="SYN4932"/>
    <n v="37"/>
    <x v="1"/>
    <n v="25"/>
    <n v="61"/>
    <n v="5.4599999999999996E-3"/>
    <n v="0"/>
    <x v="0"/>
    <x v="1"/>
    <n v="5.4599999999999996E-3"/>
  </r>
  <r>
    <s v="SYN4933"/>
    <n v="47"/>
    <x v="0"/>
    <n v="17"/>
    <n v="63"/>
    <n v="8.4899999999999993E-3"/>
    <n v="0"/>
    <x v="0"/>
    <x v="2"/>
    <n v="8.4899999999999993E-3"/>
  </r>
  <r>
    <s v="SYN4934"/>
    <n v="26"/>
    <x v="1"/>
    <n v="26"/>
    <n v="51"/>
    <n v="2.1900000000000001E-3"/>
    <n v="0"/>
    <x v="2"/>
    <x v="1"/>
    <n v="2.1900000000000001E-3"/>
  </r>
  <r>
    <s v="SYN4935"/>
    <n v="26"/>
    <x v="1"/>
    <n v="5"/>
    <n v="30"/>
    <n v="2.5000000000000001E-4"/>
    <n v="0"/>
    <x v="1"/>
    <x v="0"/>
    <n v="2.5000000000000001E-4"/>
  </r>
  <r>
    <s v="SYN4936"/>
    <n v="26"/>
    <x v="1"/>
    <n v="11"/>
    <n v="36"/>
    <n v="5.5999999999999995E-4"/>
    <n v="0"/>
    <x v="1"/>
    <x v="2"/>
    <n v="5.5999999999999995E-4"/>
  </r>
  <r>
    <s v="SYN4937"/>
    <n v="32"/>
    <x v="0"/>
    <n v="17"/>
    <n v="48"/>
    <n v="2.1199999999999999E-3"/>
    <n v="0"/>
    <x v="3"/>
    <x v="2"/>
    <n v="2.1199999999999999E-3"/>
  </r>
  <r>
    <s v="SYN4938"/>
    <n v="35"/>
    <x v="0"/>
    <n v="2"/>
    <n v="36"/>
    <n v="3.4000000000000002E-4"/>
    <n v="0"/>
    <x v="1"/>
    <x v="0"/>
    <n v="3.4000000000000002E-4"/>
  </r>
  <r>
    <s v="SYN4939"/>
    <n v="25"/>
    <x v="1"/>
    <n v="2"/>
    <n v="26"/>
    <n v="1.9000000000000001E-4"/>
    <n v="0"/>
    <x v="6"/>
    <x v="0"/>
    <n v="1.9000000000000001E-4"/>
  </r>
  <r>
    <s v="SYN4940"/>
    <n v="53"/>
    <x v="0"/>
    <n v="9"/>
    <n v="61"/>
    <n v="6.4200000000000004E-3"/>
    <n v="0"/>
    <x v="0"/>
    <x v="0"/>
    <n v="6.4200000000000004E-3"/>
  </r>
  <r>
    <s v="SYN4941"/>
    <n v="45"/>
    <x v="0"/>
    <n v="6"/>
    <n v="50"/>
    <n v="1.74E-3"/>
    <n v="0"/>
    <x v="2"/>
    <x v="0"/>
    <n v="1.74E-3"/>
  </r>
  <r>
    <s v="SYN4942"/>
    <n v="21"/>
    <x v="0"/>
    <n v="19"/>
    <n v="39"/>
    <n v="1.48E-3"/>
    <n v="0"/>
    <x v="1"/>
    <x v="2"/>
    <n v="1.48E-3"/>
  </r>
  <r>
    <s v="SYN4943"/>
    <n v="53"/>
    <x v="0"/>
    <n v="22"/>
    <n v="74"/>
    <n v="2.657E-2"/>
    <n v="0"/>
    <x v="5"/>
    <x v="1"/>
    <n v="2.657E-2"/>
  </r>
  <r>
    <s v="SYN4944"/>
    <n v="47"/>
    <x v="0"/>
    <n v="20"/>
    <n v="66"/>
    <n v="1.128E-2"/>
    <n v="0"/>
    <x v="0"/>
    <x v="1"/>
    <n v="1.128E-2"/>
  </r>
  <r>
    <s v="SYN4945"/>
    <n v="27"/>
    <x v="0"/>
    <n v="18"/>
    <n v="44"/>
    <n v="1.7600000000000001E-3"/>
    <n v="0"/>
    <x v="3"/>
    <x v="2"/>
    <n v="1.7600000000000001E-3"/>
  </r>
  <r>
    <s v="SYN4946"/>
    <n v="62"/>
    <x v="1"/>
    <n v="26"/>
    <n v="87"/>
    <n v="9.3240000000000003E-2"/>
    <n v="0"/>
    <x v="4"/>
    <x v="1"/>
    <n v="9.3240000000000003E-2"/>
  </r>
  <r>
    <s v="SYN4947"/>
    <n v="45"/>
    <x v="1"/>
    <n v="6"/>
    <n v="50"/>
    <n v="1.2800000000000001E-3"/>
    <n v="0"/>
    <x v="2"/>
    <x v="0"/>
    <n v="1.2800000000000001E-3"/>
  </r>
  <r>
    <s v="SYN4948"/>
    <n v="48"/>
    <x v="0"/>
    <n v="30"/>
    <n v="77"/>
    <n v="2.3939999999999999E-2"/>
    <n v="0"/>
    <x v="5"/>
    <x v="3"/>
    <n v="2.3939999999999999E-2"/>
  </r>
  <r>
    <s v="SYN4949"/>
    <n v="45"/>
    <x v="1"/>
    <n v="14"/>
    <n v="58"/>
    <n v="3.6800000000000001E-3"/>
    <n v="0"/>
    <x v="2"/>
    <x v="2"/>
    <n v="3.6800000000000001E-3"/>
  </r>
  <r>
    <s v="SYN4950"/>
    <n v="57"/>
    <x v="1"/>
    <n v="3"/>
    <n v="59"/>
    <n v="2E-3"/>
    <n v="0"/>
    <x v="2"/>
    <x v="0"/>
    <n v="2E-3"/>
  </r>
  <r>
    <s v="SYN4951"/>
    <n v="64"/>
    <x v="0"/>
    <n v="28"/>
    <n v="91"/>
    <n v="0.14893999999999999"/>
    <n v="1"/>
    <x v="7"/>
    <x v="1"/>
    <n v="0.14893999999999999"/>
  </r>
  <r>
    <s v="SYN4952"/>
    <n v="37"/>
    <x v="0"/>
    <n v="13"/>
    <n v="49"/>
    <n v="2E-3"/>
    <n v="0"/>
    <x v="3"/>
    <x v="2"/>
    <n v="2E-3"/>
  </r>
  <r>
    <s v="SYN4953"/>
    <n v="41"/>
    <x v="1"/>
    <n v="21"/>
    <n v="61"/>
    <n v="5.4599999999999996E-3"/>
    <n v="0"/>
    <x v="0"/>
    <x v="1"/>
    <n v="5.4599999999999996E-3"/>
  </r>
  <r>
    <s v="SYN4954"/>
    <n v="27"/>
    <x v="0"/>
    <n v="2"/>
    <n v="28"/>
    <n v="3.4000000000000002E-4"/>
    <n v="0"/>
    <x v="6"/>
    <x v="0"/>
    <n v="3.4000000000000002E-4"/>
  </r>
  <r>
    <s v="SYN4955"/>
    <n v="49"/>
    <x v="1"/>
    <n v="4"/>
    <n v="52"/>
    <n v="1.4E-3"/>
    <n v="0"/>
    <x v="2"/>
    <x v="0"/>
    <n v="1.4E-3"/>
  </r>
  <r>
    <s v="SYN4956"/>
    <n v="61"/>
    <x v="1"/>
    <n v="9"/>
    <n v="69"/>
    <n v="8.0199999999999994E-3"/>
    <n v="0"/>
    <x v="0"/>
    <x v="0"/>
    <n v="8.0199999999999994E-3"/>
  </r>
  <r>
    <s v="SYN4957"/>
    <n v="55"/>
    <x v="1"/>
    <n v="3"/>
    <n v="57"/>
    <n v="1.8500000000000001E-3"/>
    <n v="0"/>
    <x v="2"/>
    <x v="0"/>
    <n v="1.8500000000000001E-3"/>
  </r>
  <r>
    <s v="SYN4958"/>
    <n v="64"/>
    <x v="1"/>
    <n v="28"/>
    <n v="91"/>
    <n v="0.11754000000000001"/>
    <n v="0"/>
    <x v="7"/>
    <x v="1"/>
    <n v="0.11754000000000001"/>
  </r>
  <r>
    <s v="SYN4959"/>
    <n v="56"/>
    <x v="0"/>
    <n v="1"/>
    <n v="56"/>
    <n v="1.1900000000000001E-3"/>
    <n v="0"/>
    <x v="2"/>
    <x v="0"/>
    <n v="1.1900000000000001E-3"/>
  </r>
  <r>
    <s v="SYN4960"/>
    <n v="65"/>
    <x v="0"/>
    <n v="3"/>
    <n v="67"/>
    <n v="6.3400000000000001E-3"/>
    <n v="0"/>
    <x v="0"/>
    <x v="0"/>
    <n v="6.3400000000000001E-3"/>
  </r>
  <r>
    <s v="SYN4961"/>
    <n v="36"/>
    <x v="1"/>
    <n v="20"/>
    <n v="55"/>
    <n v="3.0200000000000001E-3"/>
    <n v="0"/>
    <x v="2"/>
    <x v="1"/>
    <n v="3.0200000000000001E-3"/>
  </r>
  <r>
    <s v="SYN4962"/>
    <n v="57"/>
    <x v="1"/>
    <n v="10"/>
    <n v="66"/>
    <n v="6.79E-3"/>
    <n v="0"/>
    <x v="0"/>
    <x v="2"/>
    <n v="6.79E-3"/>
  </r>
  <r>
    <s v="SYN4963"/>
    <n v="51"/>
    <x v="1"/>
    <n v="30"/>
    <n v="80"/>
    <n v="2.58E-2"/>
    <n v="0"/>
    <x v="4"/>
    <x v="3"/>
    <n v="2.58E-2"/>
  </r>
  <r>
    <s v="SYN4964"/>
    <n v="53"/>
    <x v="1"/>
    <n v="16"/>
    <n v="68"/>
    <n v="1.03E-2"/>
    <n v="0"/>
    <x v="0"/>
    <x v="2"/>
    <n v="1.03E-2"/>
  </r>
  <r>
    <s v="SYN4965"/>
    <n v="32"/>
    <x v="1"/>
    <n v="15"/>
    <n v="46"/>
    <n v="1.2600000000000001E-3"/>
    <n v="0"/>
    <x v="3"/>
    <x v="2"/>
    <n v="1.2600000000000001E-3"/>
  </r>
  <r>
    <s v="SYN4966"/>
    <n v="46"/>
    <x v="1"/>
    <n v="13"/>
    <n v="58"/>
    <n v="3.5999999999999999E-3"/>
    <n v="0"/>
    <x v="2"/>
    <x v="2"/>
    <n v="3.5999999999999999E-3"/>
  </r>
  <r>
    <s v="SYN4967"/>
    <n v="26"/>
    <x v="1"/>
    <n v="14"/>
    <n v="39"/>
    <n v="8.5999999999999998E-4"/>
    <n v="0"/>
    <x v="1"/>
    <x v="2"/>
    <n v="8.5999999999999998E-4"/>
  </r>
  <r>
    <s v="SYN4968"/>
    <n v="29"/>
    <x v="0"/>
    <n v="7"/>
    <n v="35"/>
    <n v="5.5999999999999995E-4"/>
    <n v="0"/>
    <x v="1"/>
    <x v="0"/>
    <n v="5.5999999999999995E-4"/>
  </r>
  <r>
    <s v="SYN4969"/>
    <n v="51"/>
    <x v="1"/>
    <n v="16"/>
    <n v="66"/>
    <n v="8.5400000000000007E-3"/>
    <n v="0"/>
    <x v="0"/>
    <x v="2"/>
    <n v="8.5400000000000007E-3"/>
  </r>
  <r>
    <s v="SYN4970"/>
    <n v="31"/>
    <x v="0"/>
    <n v="25"/>
    <n v="55"/>
    <n v="4.0499999999999998E-3"/>
    <n v="0"/>
    <x v="2"/>
    <x v="1"/>
    <n v="4.0499999999999998E-3"/>
  </r>
  <r>
    <s v="SYN4971"/>
    <n v="64"/>
    <x v="1"/>
    <n v="17"/>
    <n v="80"/>
    <n v="3.73E-2"/>
    <n v="0"/>
    <x v="4"/>
    <x v="2"/>
    <n v="3.73E-2"/>
  </r>
  <r>
    <s v="SYN4972"/>
    <n v="57"/>
    <x v="1"/>
    <n v="19"/>
    <n v="75"/>
    <n v="2.2349999999999998E-2"/>
    <n v="0"/>
    <x v="5"/>
    <x v="2"/>
    <n v="2.2349999999999998E-2"/>
  </r>
  <r>
    <s v="SYN4973"/>
    <n v="48"/>
    <x v="0"/>
    <n v="26"/>
    <n v="73"/>
    <n v="2.3939999999999999E-2"/>
    <n v="0"/>
    <x v="5"/>
    <x v="1"/>
    <n v="2.3939999999999999E-2"/>
  </r>
  <r>
    <s v="SYN4974"/>
    <n v="36"/>
    <x v="1"/>
    <n v="6"/>
    <n v="41"/>
    <n v="6.4999999999999997E-4"/>
    <n v="0"/>
    <x v="3"/>
    <x v="0"/>
    <n v="6.4999999999999997E-4"/>
  </r>
  <r>
    <s v="SYN4975"/>
    <n v="62"/>
    <x v="0"/>
    <n v="5"/>
    <n v="66"/>
    <n v="7.9399999999999991E-3"/>
    <n v="0"/>
    <x v="0"/>
    <x v="0"/>
    <n v="7.9399999999999991E-3"/>
  </r>
  <r>
    <s v="SYN4976"/>
    <n v="52"/>
    <x v="1"/>
    <n v="15"/>
    <n v="66"/>
    <n v="8.2400000000000008E-3"/>
    <n v="0"/>
    <x v="0"/>
    <x v="2"/>
    <n v="8.2400000000000008E-3"/>
  </r>
  <r>
    <s v="SYN4977"/>
    <n v="30"/>
    <x v="0"/>
    <n v="4"/>
    <n v="33"/>
    <n v="4.2999999999999999E-4"/>
    <n v="0"/>
    <x v="1"/>
    <x v="0"/>
    <n v="4.2999999999999999E-4"/>
  </r>
  <r>
    <s v="SYN4978"/>
    <n v="30"/>
    <x v="1"/>
    <n v="22"/>
    <n v="51"/>
    <n v="2.1900000000000001E-3"/>
    <n v="0"/>
    <x v="2"/>
    <x v="1"/>
    <n v="2.1900000000000001E-3"/>
  </r>
  <r>
    <s v="SYN4979"/>
    <n v="62"/>
    <x v="0"/>
    <n v="21"/>
    <n v="82"/>
    <n v="6.3329999999999997E-2"/>
    <n v="0"/>
    <x v="4"/>
    <x v="1"/>
    <n v="6.3329999999999997E-2"/>
  </r>
  <r>
    <s v="SYN4980"/>
    <n v="54"/>
    <x v="0"/>
    <n v="26"/>
    <n v="79"/>
    <n v="4.5769999999999998E-2"/>
    <n v="0"/>
    <x v="5"/>
    <x v="1"/>
    <n v="4.5769999999999998E-2"/>
  </r>
  <r>
    <s v="SYN4981"/>
    <n v="64"/>
    <x v="1"/>
    <n v="25"/>
    <n v="88"/>
    <n v="0.10484"/>
    <n v="0"/>
    <x v="4"/>
    <x v="1"/>
    <n v="0.10484"/>
  </r>
  <r>
    <s v="SYN4982"/>
    <n v="52"/>
    <x v="1"/>
    <n v="29"/>
    <n v="80"/>
    <n v="2.8719999999999999E-2"/>
    <n v="0"/>
    <x v="4"/>
    <x v="1"/>
    <n v="2.8719999999999999E-2"/>
  </r>
  <r>
    <s v="SYN4983"/>
    <n v="29"/>
    <x v="0"/>
    <n v="29"/>
    <n v="57"/>
    <n v="3.7499999999999999E-3"/>
    <n v="0"/>
    <x v="2"/>
    <x v="1"/>
    <n v="3.7499999999999999E-3"/>
  </r>
  <r>
    <s v="SYN4984"/>
    <n v="21"/>
    <x v="1"/>
    <n v="24"/>
    <n v="44"/>
    <n v="1.33E-3"/>
    <n v="0"/>
    <x v="3"/>
    <x v="1"/>
    <n v="1.33E-3"/>
  </r>
  <r>
    <s v="SYN4985"/>
    <n v="57"/>
    <x v="1"/>
    <n v="10"/>
    <n v="66"/>
    <n v="6.79E-3"/>
    <n v="0"/>
    <x v="0"/>
    <x v="2"/>
    <n v="6.79E-3"/>
  </r>
  <r>
    <s v="SYN4986"/>
    <n v="24"/>
    <x v="1"/>
    <n v="18"/>
    <n v="41"/>
    <n v="1.08E-3"/>
    <n v="0"/>
    <x v="3"/>
    <x v="2"/>
    <n v="1.08E-3"/>
  </r>
  <r>
    <s v="SYN4987"/>
    <n v="39"/>
    <x v="0"/>
    <n v="18"/>
    <n v="56"/>
    <n v="4.13E-3"/>
    <n v="0"/>
    <x v="2"/>
    <x v="2"/>
    <n v="4.13E-3"/>
  </r>
  <r>
    <s v="SYN4988"/>
    <n v="48"/>
    <x v="1"/>
    <n v="29"/>
    <n v="76"/>
    <n v="1.8970000000000001E-2"/>
    <n v="0"/>
    <x v="5"/>
    <x v="1"/>
    <n v="1.8970000000000001E-2"/>
  </r>
  <r>
    <s v="SYN4989"/>
    <n v="34"/>
    <x v="1"/>
    <n v="19"/>
    <n v="52"/>
    <n v="2.2300000000000002E-3"/>
    <n v="0"/>
    <x v="2"/>
    <x v="2"/>
    <n v="2.2300000000000002E-3"/>
  </r>
  <r>
    <s v="SYN4990"/>
    <n v="43"/>
    <x v="1"/>
    <n v="15"/>
    <n v="57"/>
    <n v="3.3700000000000002E-3"/>
    <n v="0"/>
    <x v="2"/>
    <x v="2"/>
    <n v="3.3700000000000002E-3"/>
  </r>
  <r>
    <s v="SYN4991"/>
    <n v="23"/>
    <x v="0"/>
    <n v="26"/>
    <n v="48"/>
    <n v="2.7399999999999998E-3"/>
    <n v="0"/>
    <x v="3"/>
    <x v="1"/>
    <n v="2.7399999999999998E-3"/>
  </r>
  <r>
    <s v="SYN4992"/>
    <n v="46"/>
    <x v="0"/>
    <n v="16"/>
    <n v="61"/>
    <n v="6.9199999999999999E-3"/>
    <n v="0"/>
    <x v="0"/>
    <x v="2"/>
    <n v="6.9199999999999999E-3"/>
  </r>
  <r>
    <s v="SYN4993"/>
    <n v="31"/>
    <x v="0"/>
    <n v="27"/>
    <n v="57"/>
    <n v="4.3899999999999998E-3"/>
    <n v="0"/>
    <x v="2"/>
    <x v="1"/>
    <n v="4.3899999999999998E-3"/>
  </r>
  <r>
    <s v="SYN4994"/>
    <n v="39"/>
    <x v="0"/>
    <n v="20"/>
    <n v="58"/>
    <n v="5.2199999999999998E-3"/>
    <n v="0"/>
    <x v="2"/>
    <x v="1"/>
    <n v="5.2199999999999998E-3"/>
  </r>
  <r>
    <s v="SYN4995"/>
    <n v="62"/>
    <x v="1"/>
    <n v="3"/>
    <n v="64"/>
    <n v="3.3300000000000001E-3"/>
    <n v="0"/>
    <x v="0"/>
    <x v="0"/>
    <n v="3.3300000000000001E-3"/>
  </r>
  <r>
    <s v="SYN4996"/>
    <n v="51"/>
    <x v="1"/>
    <n v="22"/>
    <n v="72"/>
    <n v="1.7170000000000001E-2"/>
    <n v="0"/>
    <x v="5"/>
    <x v="1"/>
    <n v="1.7170000000000001E-2"/>
  </r>
  <r>
    <s v="SYN4997"/>
    <n v="30"/>
    <x v="1"/>
    <n v="20"/>
    <n v="49"/>
    <n v="1.83E-3"/>
    <n v="0"/>
    <x v="3"/>
    <x v="1"/>
    <n v="1.83E-3"/>
  </r>
  <r>
    <s v="SYN4998"/>
    <n v="52"/>
    <x v="0"/>
    <n v="5"/>
    <n v="56"/>
    <n v="3.2100000000000002E-3"/>
    <n v="0"/>
    <x v="2"/>
    <x v="0"/>
    <n v="3.2100000000000002E-3"/>
  </r>
  <r>
    <s v="SYN4999"/>
    <n v="57"/>
    <x v="1"/>
    <n v="22"/>
    <n v="78"/>
    <n v="3.1989999999999998E-2"/>
    <n v="0"/>
    <x v="5"/>
    <x v="1"/>
    <n v="3.1989999999999998E-2"/>
  </r>
  <r>
    <s v="SYN5000"/>
    <n v="60"/>
    <x v="0"/>
    <n v="2"/>
    <n v="61"/>
    <n v="2.8600000000000001E-3"/>
    <n v="0"/>
    <x v="0"/>
    <x v="0"/>
    <n v="2.8600000000000001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90EF4-3635-4F4F-BF05-8B7C8F297F3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P14" firstHeaderRow="1" firstDataRow="3" firstDataCol="1"/>
  <pivotFields count="11">
    <pivotField showAll="0"/>
    <pivotField showAll="0"/>
    <pivotField showAll="0">
      <items count="3">
        <item x="1"/>
        <item x="0"/>
        <item t="default"/>
      </items>
    </pivotField>
    <pivotField showAll="0"/>
    <pivotField showAll="0"/>
    <pivotField showAll="0"/>
    <pivotField dataField="1" showAll="0"/>
    <pivotField axis="axisRow" showAll="0">
      <items count="9">
        <item x="6"/>
        <item x="1"/>
        <item x="3"/>
        <item x="2"/>
        <item x="0"/>
        <item x="5"/>
        <item x="4"/>
        <item x="7"/>
        <item t="default"/>
      </items>
    </pivotField>
    <pivotField axis="axisCol" showAll="0">
      <items count="5">
        <item x="0"/>
        <item x="2"/>
        <item x="1"/>
        <item x="3"/>
        <item t="default"/>
      </items>
    </pivotField>
    <pivotField dataField="1" showAll="0"/>
    <pivotField dataField="1" dragToRow="0" dragToCol="0" dragToPage="0" showAll="0" defaultSubtotal="0"/>
  </pivotFields>
  <rowFields count="1">
    <field x="7"/>
  </rowFields>
  <rowItems count="9">
    <i>
      <x/>
    </i>
    <i>
      <x v="1"/>
    </i>
    <i>
      <x v="2"/>
    </i>
    <i>
      <x v="3"/>
    </i>
    <i>
      <x v="4"/>
    </i>
    <i>
      <x v="5"/>
    </i>
    <i>
      <x v="6"/>
    </i>
    <i>
      <x v="7"/>
    </i>
    <i t="grand">
      <x/>
    </i>
  </rowItems>
  <colFields count="2">
    <field x="8"/>
    <field x="-2"/>
  </colFields>
  <colItems count="15">
    <i>
      <x/>
      <x/>
    </i>
    <i r="1" i="1">
      <x v="1"/>
    </i>
    <i r="1" i="2">
      <x v="2"/>
    </i>
    <i>
      <x v="1"/>
      <x/>
    </i>
    <i r="1" i="1">
      <x v="1"/>
    </i>
    <i r="1" i="2">
      <x v="2"/>
    </i>
    <i>
      <x v="2"/>
      <x/>
    </i>
    <i r="1" i="1">
      <x v="1"/>
    </i>
    <i r="1" i="2">
      <x v="2"/>
    </i>
    <i>
      <x v="3"/>
      <x/>
    </i>
    <i r="1" i="1">
      <x v="1"/>
    </i>
    <i r="1" i="2">
      <x v="2"/>
    </i>
    <i t="grand">
      <x/>
    </i>
    <i t="grand" i="1">
      <x/>
    </i>
    <i t="grand" i="2">
      <x/>
    </i>
  </colItems>
  <dataFields count="3">
    <dataField name="Sum of Expected Deaths" fld="9" baseField="0" baseItem="0"/>
    <dataField name="Sum of Actual Death (0/1)" fld="6" baseField="0" baseItem="0"/>
    <dataField name="AERatio" fld="10" baseField="0" baseItem="0"/>
  </dataFields>
  <conditionalFormats count="10">
    <conditionalFormat priority="12">
      <pivotAreas count="1">
        <pivotArea type="data" outline="0" collapsedLevelsAreSubtotals="1" fieldPosition="0">
          <references count="2">
            <reference field="4294967294" count="1" selected="0">
              <x v="2"/>
            </reference>
            <reference field="8" count="1" selected="0">
              <x v="1"/>
            </reference>
          </references>
        </pivotArea>
      </pivotAreas>
    </conditionalFormat>
    <conditionalFormat priority="11">
      <pivotAreas count="1">
        <pivotArea type="data" outline="0" collapsedLevelsAreSubtotals="1" fieldPosition="0">
          <references count="2">
            <reference field="4294967294" count="1" selected="0">
              <x v="2"/>
            </reference>
            <reference field="8" count="1" selected="0">
              <x v="1"/>
            </reference>
          </references>
        </pivotArea>
      </pivotAreas>
    </conditionalFormat>
    <conditionalFormat priority="10">
      <pivotAreas count="1">
        <pivotArea type="data" outline="0" collapsedLevelsAreSubtotals="1" fieldPosition="0">
          <references count="2">
            <reference field="4294967294" count="1" selected="0">
              <x v="2"/>
            </reference>
            <reference field="8" count="1" selected="0">
              <x v="2"/>
            </reference>
          </references>
        </pivotArea>
      </pivotAreas>
    </conditionalFormat>
    <conditionalFormat priority="9">
      <pivotAreas count="1">
        <pivotArea type="data" outline="0" collapsedLevelsAreSubtotals="1" fieldPosition="0">
          <references count="2">
            <reference field="4294967294" count="1" selected="0">
              <x v="2"/>
            </reference>
            <reference field="8" count="1" selected="0">
              <x v="2"/>
            </reference>
          </references>
        </pivotArea>
      </pivotAreas>
    </conditionalFormat>
    <conditionalFormat priority="8">
      <pivotAreas count="1">
        <pivotArea type="data" outline="0" collapsedLevelsAreSubtotals="1" fieldPosition="0">
          <references count="2">
            <reference field="4294967294" count="1" selected="0">
              <x v="2"/>
            </reference>
            <reference field="8" count="1" selected="0">
              <x v="3"/>
            </reference>
          </references>
        </pivotArea>
      </pivotAreas>
    </conditionalFormat>
    <conditionalFormat priority="7">
      <pivotAreas count="1">
        <pivotArea type="data" outline="0" collapsedLevelsAreSubtotals="1" fieldPosition="0">
          <references count="2">
            <reference field="4294967294" count="1" selected="0">
              <x v="2"/>
            </reference>
            <reference field="8" count="1" selected="0">
              <x v="3"/>
            </reference>
          </references>
        </pivotArea>
      </pivotAreas>
    </conditionalFormat>
    <conditionalFormat priority="6">
      <pivotAreas count="1">
        <pivotArea type="data" grandCol="1" outline="0" collapsedLevelsAreSubtotals="1" fieldPosition="0">
          <references count="1">
            <reference field="4294967294" count="1" selected="0">
              <x v="2"/>
            </reference>
          </references>
        </pivotArea>
      </pivotAreas>
    </conditionalFormat>
    <conditionalFormat priority="5">
      <pivotAreas count="1">
        <pivotArea type="data" grandCol="1"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2">
            <reference field="4294967294" count="1" selected="0">
              <x v="2"/>
            </reference>
            <reference field="8" count="1" selected="0">
              <x v="0"/>
            </reference>
          </references>
        </pivotArea>
      </pivotAreas>
    </conditionalFormat>
    <conditionalFormat priority="1">
      <pivotAreas count="1">
        <pivotArea type="data" outline="0" collapsedLevelsAreSubtotals="1" fieldPosition="0">
          <references count="2">
            <reference field="4294967294" count="1" selected="0">
              <x v="2"/>
            </reference>
            <reference field="8" count="1" selected="0">
              <x v="0"/>
            </reference>
          </references>
        </pivotArea>
      </pivotAreas>
    </conditionalFormat>
  </conditionalFormats>
  <chartFormats count="24">
    <chartFormat chart="0" format="1" series="1">
      <pivotArea type="data" outline="0" fieldPosition="0">
        <references count="2">
          <reference field="4294967294" count="1" selected="0">
            <x v="1"/>
          </reference>
          <reference field="8" count="1" selected="0">
            <x v="0"/>
          </reference>
        </references>
      </pivotArea>
    </chartFormat>
    <chartFormat chart="0" format="2" series="1">
      <pivotArea type="data" outline="0" fieldPosition="0">
        <references count="2">
          <reference field="4294967294" count="1" selected="0">
            <x v="2"/>
          </reference>
          <reference field="8" count="1" selected="0">
            <x v="0"/>
          </reference>
        </references>
      </pivotArea>
    </chartFormat>
    <chartFormat chart="0" format="4" series="1">
      <pivotArea type="data" outline="0" fieldPosition="0">
        <references count="2">
          <reference field="4294967294" count="1" selected="0">
            <x v="1"/>
          </reference>
          <reference field="8" count="1" selected="0">
            <x v="1"/>
          </reference>
        </references>
      </pivotArea>
    </chartFormat>
    <chartFormat chart="0" format="5" series="1">
      <pivotArea type="data" outline="0" fieldPosition="0">
        <references count="2">
          <reference field="4294967294" count="1" selected="0">
            <x v="2"/>
          </reference>
          <reference field="8" count="1" selected="0">
            <x v="1"/>
          </reference>
        </references>
      </pivotArea>
    </chartFormat>
    <chartFormat chart="0" format="7" series="1">
      <pivotArea type="data" outline="0" fieldPosition="0">
        <references count="2">
          <reference field="4294967294" count="1" selected="0">
            <x v="1"/>
          </reference>
          <reference field="8" count="1" selected="0">
            <x v="2"/>
          </reference>
        </references>
      </pivotArea>
    </chartFormat>
    <chartFormat chart="0" format="8" series="1">
      <pivotArea type="data" outline="0" fieldPosition="0">
        <references count="2">
          <reference field="4294967294" count="1" selected="0">
            <x v="2"/>
          </reference>
          <reference field="8" count="1" selected="0">
            <x v="2"/>
          </reference>
        </references>
      </pivotArea>
    </chartFormat>
    <chartFormat chart="0" format="10" series="1">
      <pivotArea type="data" outline="0" fieldPosition="0">
        <references count="2">
          <reference field="4294967294" count="1" selected="0">
            <x v="1"/>
          </reference>
          <reference field="8" count="1" selected="0">
            <x v="3"/>
          </reference>
        </references>
      </pivotArea>
    </chartFormat>
    <chartFormat chart="0" format="11" series="1">
      <pivotArea type="data" outline="0" fieldPosition="0">
        <references count="2">
          <reference field="4294967294" count="1" selected="0">
            <x v="2"/>
          </reference>
          <reference field="8" count="1" selected="0">
            <x v="3"/>
          </reference>
        </references>
      </pivotArea>
    </chartFormat>
    <chartFormat chart="1" format="0" series="1">
      <pivotArea type="data" outline="0" fieldPosition="0">
        <references count="2">
          <reference field="4294967294" count="1" selected="0">
            <x v="1"/>
          </reference>
          <reference field="8" count="1" selected="0">
            <x v="0"/>
          </reference>
        </references>
      </pivotArea>
    </chartFormat>
    <chartFormat chart="1" format="1" series="1">
      <pivotArea type="data" outline="0" fieldPosition="0">
        <references count="2">
          <reference field="4294967294" count="1" selected="0">
            <x v="2"/>
          </reference>
          <reference field="8" count="1" selected="0">
            <x v="0"/>
          </reference>
        </references>
      </pivotArea>
    </chartFormat>
    <chartFormat chart="1" format="2" series="1">
      <pivotArea type="data" outline="0" fieldPosition="0">
        <references count="2">
          <reference field="4294967294" count="1" selected="0">
            <x v="1"/>
          </reference>
          <reference field="8" count="1" selected="0">
            <x v="1"/>
          </reference>
        </references>
      </pivotArea>
    </chartFormat>
    <chartFormat chart="1" format="3" series="1">
      <pivotArea type="data" outline="0" fieldPosition="0">
        <references count="2">
          <reference field="4294967294" count="1" selected="0">
            <x v="2"/>
          </reference>
          <reference field="8" count="1" selected="0">
            <x v="1"/>
          </reference>
        </references>
      </pivotArea>
    </chartFormat>
    <chartFormat chart="1" format="4" series="1">
      <pivotArea type="data" outline="0" fieldPosition="0">
        <references count="2">
          <reference field="4294967294" count="1" selected="0">
            <x v="1"/>
          </reference>
          <reference field="8" count="1" selected="0">
            <x v="2"/>
          </reference>
        </references>
      </pivotArea>
    </chartFormat>
    <chartFormat chart="1" format="5" series="1">
      <pivotArea type="data" outline="0" fieldPosition="0">
        <references count="2">
          <reference field="4294967294" count="1" selected="0">
            <x v="2"/>
          </reference>
          <reference field="8" count="1" selected="0">
            <x v="2"/>
          </reference>
        </references>
      </pivotArea>
    </chartFormat>
    <chartFormat chart="1" format="6" series="1">
      <pivotArea type="data" outline="0" fieldPosition="0">
        <references count="2">
          <reference field="4294967294" count="1" selected="0">
            <x v="1"/>
          </reference>
          <reference field="8" count="1" selected="0">
            <x v="3"/>
          </reference>
        </references>
      </pivotArea>
    </chartFormat>
    <chartFormat chart="1" format="7" series="1">
      <pivotArea type="data" outline="0" fieldPosition="0">
        <references count="2">
          <reference field="4294967294" count="1" selected="0">
            <x v="2"/>
          </reference>
          <reference field="8" count="1" selected="0">
            <x v="3"/>
          </reference>
        </references>
      </pivotArea>
    </chartFormat>
    <chartFormat chart="1" format="12" series="1">
      <pivotArea type="data" outline="0" fieldPosition="0">
        <references count="2">
          <reference field="4294967294" count="1" selected="0">
            <x v="0"/>
          </reference>
          <reference field="8" count="1" selected="0">
            <x v="3"/>
          </reference>
        </references>
      </pivotArea>
    </chartFormat>
    <chartFormat chart="1" format="13" series="1">
      <pivotArea type="data" outline="0" fieldPosition="0">
        <references count="2">
          <reference field="4294967294" count="1" selected="0">
            <x v="0"/>
          </reference>
          <reference field="8" count="1" selected="0">
            <x v="0"/>
          </reference>
        </references>
      </pivotArea>
    </chartFormat>
    <chartFormat chart="1" format="14" series="1">
      <pivotArea type="data" outline="0" fieldPosition="0">
        <references count="2">
          <reference field="4294967294" count="1" selected="0">
            <x v="0"/>
          </reference>
          <reference field="8" count="1" selected="0">
            <x v="1"/>
          </reference>
        </references>
      </pivotArea>
    </chartFormat>
    <chartFormat chart="1" format="15" series="1">
      <pivotArea type="data" outline="0" fieldPosition="0">
        <references count="2">
          <reference field="4294967294" count="1" selected="0">
            <x v="0"/>
          </reference>
          <reference field="8" count="1" selected="0">
            <x v="2"/>
          </reference>
        </references>
      </pivotArea>
    </chartFormat>
    <chartFormat chart="0" format="16" series="1">
      <pivotArea type="data" outline="0" fieldPosition="0">
        <references count="2">
          <reference field="4294967294" count="1" selected="0">
            <x v="0"/>
          </reference>
          <reference field="8" count="1" selected="0">
            <x v="3"/>
          </reference>
        </references>
      </pivotArea>
    </chartFormat>
    <chartFormat chart="0" format="17" series="1">
      <pivotArea type="data" outline="0" fieldPosition="0">
        <references count="2">
          <reference field="4294967294" count="1" selected="0">
            <x v="0"/>
          </reference>
          <reference field="8" count="1" selected="0">
            <x v="0"/>
          </reference>
        </references>
      </pivotArea>
    </chartFormat>
    <chartFormat chart="0" format="18" series="1">
      <pivotArea type="data" outline="0" fieldPosition="0">
        <references count="2">
          <reference field="4294967294" count="1" selected="0">
            <x v="0"/>
          </reference>
          <reference field="8" count="1" selected="0">
            <x v="1"/>
          </reference>
        </references>
      </pivotArea>
    </chartFormat>
    <chartFormat chart="0" format="19"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83F4D37-3873-3149-BD0E-EE626172E0A8}" sourceName="Gender">
  <pivotTables>
    <pivotTable tabId="12" name="PivotTable1"/>
  </pivotTables>
  <data>
    <tabular pivotCacheId="19396292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D6DE04E-954F-7043-9A09-C6E29222D1C6}" cache="Slicer_Gender" caption="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0BD8D8-C869-F940-8369-3F93127AC47D}" name="Table3" displayName="Table3" ref="A3:J1536" totalsRowShown="0">
  <autoFilter ref="A3:J1536" xr:uid="{1D0BD8D8-C869-F940-8369-3F93127AC47D}"/>
  <tableColumns count="10">
    <tableColumn id="1" xr3:uid="{D186B0D9-1BAB-8E45-B518-AD76EB76EEE2}" name="Policy ID"/>
    <tableColumn id="2" xr3:uid="{25D6CEDA-83FC-FC4F-9404-3F637FBD827E}" name="Issue Age"/>
    <tableColumn id="3" xr3:uid="{8E87E0E4-82A1-3141-80C8-0AF9FA328C4D}" name="Gender"/>
    <tableColumn id="4" xr3:uid="{5533A3A5-4542-BE45-8768-23FB5F8A8228}" name="Duration (Yr)"/>
    <tableColumn id="5" xr3:uid="{681D8951-F9B8-4648-9982-0318BD136117}" name="Attained Age"/>
    <tableColumn id="6" xr3:uid="{3BF8ADB4-8C97-0747-A798-4D68FEA48C41}" name="Expected qx"/>
    <tableColumn id="7" xr3:uid="{F8D29B07-B191-534F-A977-6F40346966C3}" name="Actual Death (0/1)"/>
    <tableColumn id="8" xr3:uid="{4C621375-DEA6-634A-AFB9-4EB083196B8F}" name="Age Band"/>
    <tableColumn id="9" xr3:uid="{A3F09D5F-FE43-D848-A79D-B8E3D06F0C0F}" name="Duration Band"/>
    <tableColumn id="10" xr3:uid="{150454DF-B4EA-114F-B55F-E18A12F5153E}" name="Expected Death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workbookViewId="0"/>
  </sheetViews>
  <sheetFormatPr baseColWidth="10" defaultColWidth="10.5" defaultRowHeight="16"/>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1"/>
  <sheetViews>
    <sheetView zoomScaleNormal="100" workbookViewId="0">
      <selection activeCell="D37" sqref="D37"/>
    </sheetView>
  </sheetViews>
  <sheetFormatPr baseColWidth="10" defaultColWidth="10.5" defaultRowHeight="16"/>
  <sheetData>
    <row r="1" spans="1:28">
      <c r="A1" s="1" t="s">
        <v>18</v>
      </c>
      <c r="B1" s="2">
        <v>1</v>
      </c>
      <c r="C1" s="2">
        <v>2</v>
      </c>
      <c r="D1" s="2">
        <v>3</v>
      </c>
      <c r="E1" s="2">
        <v>4</v>
      </c>
      <c r="F1" s="2">
        <v>5</v>
      </c>
      <c r="G1" s="2">
        <v>6</v>
      </c>
      <c r="H1" s="2">
        <v>7</v>
      </c>
      <c r="I1" s="2">
        <v>8</v>
      </c>
      <c r="J1" s="2">
        <v>9</v>
      </c>
      <c r="K1" s="2">
        <v>10</v>
      </c>
      <c r="L1" s="2">
        <v>11</v>
      </c>
      <c r="M1" s="2">
        <v>12</v>
      </c>
      <c r="N1" s="2">
        <v>13</v>
      </c>
      <c r="O1" s="2">
        <v>14</v>
      </c>
      <c r="P1" s="2">
        <v>15</v>
      </c>
      <c r="Q1" s="2">
        <v>16</v>
      </c>
      <c r="R1" s="2">
        <v>17</v>
      </c>
      <c r="S1" s="2">
        <v>18</v>
      </c>
      <c r="T1" s="2">
        <v>19</v>
      </c>
      <c r="U1" s="2">
        <v>20</v>
      </c>
      <c r="V1" s="2">
        <v>21</v>
      </c>
      <c r="W1" s="2">
        <v>22</v>
      </c>
      <c r="X1" s="2">
        <v>23</v>
      </c>
      <c r="Y1" s="2">
        <v>24</v>
      </c>
      <c r="Z1" s="2">
        <v>25</v>
      </c>
      <c r="AA1" s="2" t="s">
        <v>19</v>
      </c>
      <c r="AB1" s="1" t="s">
        <v>20</v>
      </c>
    </row>
    <row r="2" spans="1:28">
      <c r="A2" s="3">
        <v>0</v>
      </c>
      <c r="B2">
        <v>2.7999999999999998E-4</v>
      </c>
      <c r="C2">
        <v>1.6000000000000001E-4</v>
      </c>
      <c r="D2">
        <v>1.3999999999999999E-4</v>
      </c>
      <c r="E2">
        <v>1.2E-4</v>
      </c>
      <c r="F2">
        <v>1.1E-4</v>
      </c>
      <c r="G2">
        <v>1E-4</v>
      </c>
      <c r="H2">
        <v>1E-4</v>
      </c>
      <c r="I2">
        <v>1E-4</v>
      </c>
      <c r="J2">
        <v>9.0000000000000006E-5</v>
      </c>
      <c r="K2">
        <v>9.0000000000000006E-5</v>
      </c>
      <c r="L2">
        <v>9.0000000000000006E-5</v>
      </c>
      <c r="M2">
        <v>1E-4</v>
      </c>
      <c r="N2">
        <v>1.2E-4</v>
      </c>
      <c r="O2">
        <v>1.6000000000000001E-4</v>
      </c>
      <c r="P2">
        <v>2.3000000000000001E-4</v>
      </c>
      <c r="Q2">
        <v>3.5E-4</v>
      </c>
      <c r="R2">
        <v>5.0000000000000001E-4</v>
      </c>
      <c r="S2">
        <v>6.8999999999999997E-4</v>
      </c>
      <c r="T2">
        <v>8.3000000000000001E-4</v>
      </c>
      <c r="U2">
        <v>8.5999999999999998E-4</v>
      </c>
      <c r="V2">
        <v>8.9999999999999998E-4</v>
      </c>
      <c r="W2">
        <v>9.3000000000000005E-4</v>
      </c>
      <c r="X2">
        <v>9.6000000000000002E-4</v>
      </c>
      <c r="Y2">
        <v>9.8999999999999999E-4</v>
      </c>
      <c r="Z2">
        <v>1.0200000000000001E-3</v>
      </c>
      <c r="AA2">
        <v>1.0499999999999999E-3</v>
      </c>
      <c r="AB2" s="4">
        <v>25</v>
      </c>
    </row>
    <row r="3" spans="1:28">
      <c r="A3" s="3">
        <v>1</v>
      </c>
      <c r="B3">
        <v>1.6000000000000001E-4</v>
      </c>
      <c r="C3">
        <v>1.3999999999999999E-4</v>
      </c>
      <c r="D3">
        <v>1.2E-4</v>
      </c>
      <c r="E3">
        <v>1.1E-4</v>
      </c>
      <c r="F3">
        <v>1E-4</v>
      </c>
      <c r="G3">
        <v>1E-4</v>
      </c>
      <c r="H3">
        <v>1E-4</v>
      </c>
      <c r="I3">
        <v>9.0000000000000006E-5</v>
      </c>
      <c r="J3">
        <v>9.0000000000000006E-5</v>
      </c>
      <c r="K3">
        <v>9.0000000000000006E-5</v>
      </c>
      <c r="L3">
        <v>1E-4</v>
      </c>
      <c r="M3">
        <v>1.2E-4</v>
      </c>
      <c r="N3">
        <v>1.6000000000000001E-4</v>
      </c>
      <c r="O3">
        <v>2.3000000000000001E-4</v>
      </c>
      <c r="P3">
        <v>3.5E-4</v>
      </c>
      <c r="Q3">
        <v>5.0000000000000001E-4</v>
      </c>
      <c r="R3">
        <v>6.8999999999999997E-4</v>
      </c>
      <c r="S3">
        <v>8.3000000000000001E-4</v>
      </c>
      <c r="T3">
        <v>8.5999999999999998E-4</v>
      </c>
      <c r="U3">
        <v>8.9999999999999998E-4</v>
      </c>
      <c r="V3">
        <v>9.3000000000000005E-4</v>
      </c>
      <c r="W3">
        <v>9.6000000000000002E-4</v>
      </c>
      <c r="X3">
        <v>9.8999999999999999E-4</v>
      </c>
      <c r="Y3">
        <v>1.0200000000000001E-3</v>
      </c>
      <c r="Z3">
        <v>1.0499999999999999E-3</v>
      </c>
      <c r="AA3">
        <v>1.0499999999999999E-3</v>
      </c>
      <c r="AB3" s="4">
        <v>26</v>
      </c>
    </row>
    <row r="4" spans="1:28">
      <c r="A4" s="3">
        <v>2</v>
      </c>
      <c r="B4">
        <v>1.3999999999999999E-4</v>
      </c>
      <c r="C4">
        <v>1.2E-4</v>
      </c>
      <c r="D4">
        <v>1.1E-4</v>
      </c>
      <c r="E4">
        <v>1E-4</v>
      </c>
      <c r="F4">
        <v>1E-4</v>
      </c>
      <c r="G4">
        <v>1E-4</v>
      </c>
      <c r="H4">
        <v>9.0000000000000006E-5</v>
      </c>
      <c r="I4">
        <v>9.0000000000000006E-5</v>
      </c>
      <c r="J4">
        <v>9.0000000000000006E-5</v>
      </c>
      <c r="K4">
        <v>1E-4</v>
      </c>
      <c r="L4">
        <v>1.2E-4</v>
      </c>
      <c r="M4">
        <v>1.6000000000000001E-4</v>
      </c>
      <c r="N4">
        <v>2.3000000000000001E-4</v>
      </c>
      <c r="O4">
        <v>3.5E-4</v>
      </c>
      <c r="P4">
        <v>5.0000000000000001E-4</v>
      </c>
      <c r="Q4">
        <v>6.8999999999999997E-4</v>
      </c>
      <c r="R4">
        <v>8.3000000000000001E-4</v>
      </c>
      <c r="S4">
        <v>8.5999999999999998E-4</v>
      </c>
      <c r="T4">
        <v>8.9999999999999998E-4</v>
      </c>
      <c r="U4">
        <v>9.3000000000000005E-4</v>
      </c>
      <c r="V4">
        <v>9.6000000000000002E-4</v>
      </c>
      <c r="W4">
        <v>9.8999999999999999E-4</v>
      </c>
      <c r="X4">
        <v>1.0200000000000001E-3</v>
      </c>
      <c r="Y4">
        <v>1.0499999999999999E-3</v>
      </c>
      <c r="Z4">
        <v>1.0499999999999999E-3</v>
      </c>
      <c r="AA4">
        <v>1.0300000000000001E-3</v>
      </c>
      <c r="AB4" s="4">
        <v>27</v>
      </c>
    </row>
    <row r="5" spans="1:28">
      <c r="A5" s="3">
        <v>3</v>
      </c>
      <c r="B5">
        <v>1.2E-4</v>
      </c>
      <c r="C5">
        <v>1.1E-4</v>
      </c>
      <c r="D5">
        <v>1E-4</v>
      </c>
      <c r="E5">
        <v>1E-4</v>
      </c>
      <c r="F5">
        <v>1E-4</v>
      </c>
      <c r="G5">
        <v>9.0000000000000006E-5</v>
      </c>
      <c r="H5">
        <v>9.0000000000000006E-5</v>
      </c>
      <c r="I5">
        <v>9.0000000000000006E-5</v>
      </c>
      <c r="J5">
        <v>1E-4</v>
      </c>
      <c r="K5">
        <v>1.2E-4</v>
      </c>
      <c r="L5">
        <v>1.6000000000000001E-4</v>
      </c>
      <c r="M5">
        <v>2.3000000000000001E-4</v>
      </c>
      <c r="N5">
        <v>3.5E-4</v>
      </c>
      <c r="O5">
        <v>5.0000000000000001E-4</v>
      </c>
      <c r="P5">
        <v>6.8999999999999997E-4</v>
      </c>
      <c r="Q5">
        <v>8.3000000000000001E-4</v>
      </c>
      <c r="R5">
        <v>8.5999999999999998E-4</v>
      </c>
      <c r="S5">
        <v>8.9999999999999998E-4</v>
      </c>
      <c r="T5">
        <v>9.3000000000000005E-4</v>
      </c>
      <c r="U5">
        <v>9.6000000000000002E-4</v>
      </c>
      <c r="V5">
        <v>9.8999999999999999E-4</v>
      </c>
      <c r="W5">
        <v>1.0200000000000001E-3</v>
      </c>
      <c r="X5">
        <v>1.0499999999999999E-3</v>
      </c>
      <c r="Y5">
        <v>1.0499999999999999E-3</v>
      </c>
      <c r="Z5">
        <v>1.0300000000000001E-3</v>
      </c>
      <c r="AA5">
        <v>1.01E-3</v>
      </c>
      <c r="AB5" s="4">
        <v>28</v>
      </c>
    </row>
    <row r="6" spans="1:28">
      <c r="A6" s="3">
        <v>4</v>
      </c>
      <c r="B6">
        <v>1.1E-4</v>
      </c>
      <c r="C6">
        <v>1E-4</v>
      </c>
      <c r="D6">
        <v>1E-4</v>
      </c>
      <c r="E6">
        <v>1E-4</v>
      </c>
      <c r="F6">
        <v>9.0000000000000006E-5</v>
      </c>
      <c r="G6">
        <v>9.0000000000000006E-5</v>
      </c>
      <c r="H6">
        <v>9.0000000000000006E-5</v>
      </c>
      <c r="I6">
        <v>1E-4</v>
      </c>
      <c r="J6">
        <v>1.2E-4</v>
      </c>
      <c r="K6">
        <v>1.6000000000000001E-4</v>
      </c>
      <c r="L6">
        <v>2.3000000000000001E-4</v>
      </c>
      <c r="M6">
        <v>3.5E-4</v>
      </c>
      <c r="N6">
        <v>5.0000000000000001E-4</v>
      </c>
      <c r="O6">
        <v>6.8999999999999997E-4</v>
      </c>
      <c r="P6">
        <v>8.3000000000000001E-4</v>
      </c>
      <c r="Q6">
        <v>8.5999999999999998E-4</v>
      </c>
      <c r="R6">
        <v>8.9999999999999998E-4</v>
      </c>
      <c r="S6">
        <v>9.3000000000000005E-4</v>
      </c>
      <c r="T6">
        <v>9.6000000000000002E-4</v>
      </c>
      <c r="U6">
        <v>9.8999999999999999E-4</v>
      </c>
      <c r="V6">
        <v>1.0200000000000001E-3</v>
      </c>
      <c r="W6">
        <v>1.0499999999999999E-3</v>
      </c>
      <c r="X6">
        <v>1.0499999999999999E-3</v>
      </c>
      <c r="Y6">
        <v>1.0300000000000001E-3</v>
      </c>
      <c r="Z6">
        <v>1.01E-3</v>
      </c>
      <c r="AA6">
        <v>1E-3</v>
      </c>
      <c r="AB6" s="4">
        <v>29</v>
      </c>
    </row>
    <row r="7" spans="1:28">
      <c r="A7" s="3">
        <v>5</v>
      </c>
      <c r="B7">
        <v>1E-4</v>
      </c>
      <c r="C7">
        <v>1E-4</v>
      </c>
      <c r="D7">
        <v>1E-4</v>
      </c>
      <c r="E7">
        <v>9.0000000000000006E-5</v>
      </c>
      <c r="F7">
        <v>9.0000000000000006E-5</v>
      </c>
      <c r="G7">
        <v>9.0000000000000006E-5</v>
      </c>
      <c r="H7">
        <v>1E-4</v>
      </c>
      <c r="I7">
        <v>1.2E-4</v>
      </c>
      <c r="J7">
        <v>1.6000000000000001E-4</v>
      </c>
      <c r="K7">
        <v>2.3000000000000001E-4</v>
      </c>
      <c r="L7">
        <v>3.5E-4</v>
      </c>
      <c r="M7">
        <v>5.0000000000000001E-4</v>
      </c>
      <c r="N7">
        <v>6.8999999999999997E-4</v>
      </c>
      <c r="O7">
        <v>8.3000000000000001E-4</v>
      </c>
      <c r="P7">
        <v>8.5999999999999998E-4</v>
      </c>
      <c r="Q7">
        <v>8.9999999999999998E-4</v>
      </c>
      <c r="R7">
        <v>9.3000000000000005E-4</v>
      </c>
      <c r="S7">
        <v>9.6000000000000002E-4</v>
      </c>
      <c r="T7">
        <v>9.8999999999999999E-4</v>
      </c>
      <c r="U7">
        <v>1.0200000000000001E-3</v>
      </c>
      <c r="V7">
        <v>1.0499999999999999E-3</v>
      </c>
      <c r="W7">
        <v>1.0499999999999999E-3</v>
      </c>
      <c r="X7">
        <v>1.0300000000000001E-3</v>
      </c>
      <c r="Y7">
        <v>1.01E-3</v>
      </c>
      <c r="Z7">
        <v>1E-3</v>
      </c>
      <c r="AA7">
        <v>1E-3</v>
      </c>
      <c r="AB7" s="4">
        <v>30</v>
      </c>
    </row>
    <row r="8" spans="1:28">
      <c r="A8" s="3">
        <v>6</v>
      </c>
      <c r="B8">
        <v>1E-4</v>
      </c>
      <c r="C8">
        <v>1E-4</v>
      </c>
      <c r="D8">
        <v>9.0000000000000006E-5</v>
      </c>
      <c r="E8">
        <v>9.0000000000000006E-5</v>
      </c>
      <c r="F8">
        <v>9.0000000000000006E-5</v>
      </c>
      <c r="G8">
        <v>1E-4</v>
      </c>
      <c r="H8">
        <v>1.2E-4</v>
      </c>
      <c r="I8">
        <v>1.6000000000000001E-4</v>
      </c>
      <c r="J8">
        <v>2.3000000000000001E-4</v>
      </c>
      <c r="K8">
        <v>3.5E-4</v>
      </c>
      <c r="L8">
        <v>5.0000000000000001E-4</v>
      </c>
      <c r="M8">
        <v>6.8999999999999997E-4</v>
      </c>
      <c r="N8">
        <v>8.3000000000000001E-4</v>
      </c>
      <c r="O8">
        <v>8.5999999999999998E-4</v>
      </c>
      <c r="P8">
        <v>8.9999999999999998E-4</v>
      </c>
      <c r="Q8">
        <v>9.3000000000000005E-4</v>
      </c>
      <c r="R8">
        <v>9.6000000000000002E-4</v>
      </c>
      <c r="S8">
        <v>9.8999999999999999E-4</v>
      </c>
      <c r="T8">
        <v>1.0200000000000001E-3</v>
      </c>
      <c r="U8">
        <v>1.0499999999999999E-3</v>
      </c>
      <c r="V8">
        <v>1.0499999999999999E-3</v>
      </c>
      <c r="W8">
        <v>1.0300000000000001E-3</v>
      </c>
      <c r="X8">
        <v>1.01E-3</v>
      </c>
      <c r="Y8">
        <v>1E-3</v>
      </c>
      <c r="Z8">
        <v>1E-3</v>
      </c>
      <c r="AA8">
        <v>1.0399999999999999E-3</v>
      </c>
      <c r="AB8" s="4">
        <v>31</v>
      </c>
    </row>
    <row r="9" spans="1:28">
      <c r="A9" s="3">
        <v>7</v>
      </c>
      <c r="B9">
        <v>1E-4</v>
      </c>
      <c r="C9">
        <v>9.0000000000000006E-5</v>
      </c>
      <c r="D9">
        <v>9.0000000000000006E-5</v>
      </c>
      <c r="E9">
        <v>9.0000000000000006E-5</v>
      </c>
      <c r="F9">
        <v>1E-4</v>
      </c>
      <c r="G9">
        <v>1.2E-4</v>
      </c>
      <c r="H9">
        <v>1.6000000000000001E-4</v>
      </c>
      <c r="I9">
        <v>2.3000000000000001E-4</v>
      </c>
      <c r="J9">
        <v>3.5E-4</v>
      </c>
      <c r="K9">
        <v>5.0000000000000001E-4</v>
      </c>
      <c r="L9">
        <v>6.8999999999999997E-4</v>
      </c>
      <c r="M9">
        <v>8.3000000000000001E-4</v>
      </c>
      <c r="N9">
        <v>8.5999999999999998E-4</v>
      </c>
      <c r="O9">
        <v>8.9999999999999998E-4</v>
      </c>
      <c r="P9">
        <v>9.3000000000000005E-4</v>
      </c>
      <c r="Q9">
        <v>9.6000000000000002E-4</v>
      </c>
      <c r="R9">
        <v>9.8999999999999999E-4</v>
      </c>
      <c r="S9">
        <v>1.0200000000000001E-3</v>
      </c>
      <c r="T9">
        <v>1.0499999999999999E-3</v>
      </c>
      <c r="U9">
        <v>1.0499999999999999E-3</v>
      </c>
      <c r="V9">
        <v>1.0300000000000001E-3</v>
      </c>
      <c r="W9">
        <v>1.01E-3</v>
      </c>
      <c r="X9">
        <v>1E-3</v>
      </c>
      <c r="Y9">
        <v>1E-3</v>
      </c>
      <c r="Z9">
        <v>1.0399999999999999E-3</v>
      </c>
      <c r="AA9">
        <v>1.1100000000000001E-3</v>
      </c>
      <c r="AB9" s="4">
        <v>32</v>
      </c>
    </row>
    <row r="10" spans="1:28">
      <c r="A10" s="3">
        <v>8</v>
      </c>
      <c r="B10">
        <v>9.0000000000000006E-5</v>
      </c>
      <c r="C10">
        <v>9.0000000000000006E-5</v>
      </c>
      <c r="D10">
        <v>9.0000000000000006E-5</v>
      </c>
      <c r="E10">
        <v>1E-4</v>
      </c>
      <c r="F10">
        <v>1.2E-4</v>
      </c>
      <c r="G10">
        <v>1.6000000000000001E-4</v>
      </c>
      <c r="H10">
        <v>2.3000000000000001E-4</v>
      </c>
      <c r="I10">
        <v>3.5E-4</v>
      </c>
      <c r="J10">
        <v>5.0000000000000001E-4</v>
      </c>
      <c r="K10">
        <v>6.8999999999999997E-4</v>
      </c>
      <c r="L10">
        <v>8.3000000000000001E-4</v>
      </c>
      <c r="M10">
        <v>8.5999999999999998E-4</v>
      </c>
      <c r="N10">
        <v>8.9999999999999998E-4</v>
      </c>
      <c r="O10">
        <v>9.3000000000000005E-4</v>
      </c>
      <c r="P10">
        <v>9.6000000000000002E-4</v>
      </c>
      <c r="Q10">
        <v>9.8999999999999999E-4</v>
      </c>
      <c r="R10">
        <v>1.0200000000000001E-3</v>
      </c>
      <c r="S10">
        <v>1.0499999999999999E-3</v>
      </c>
      <c r="T10">
        <v>1.0499999999999999E-3</v>
      </c>
      <c r="U10">
        <v>1.0300000000000001E-3</v>
      </c>
      <c r="V10">
        <v>1.01E-3</v>
      </c>
      <c r="W10">
        <v>1E-3</v>
      </c>
      <c r="X10">
        <v>1E-3</v>
      </c>
      <c r="Y10">
        <v>1.0399999999999999E-3</v>
      </c>
      <c r="Z10">
        <v>1.1100000000000001E-3</v>
      </c>
      <c r="AA10">
        <v>1.1900000000000001E-3</v>
      </c>
      <c r="AB10" s="4">
        <v>33</v>
      </c>
    </row>
    <row r="11" spans="1:28">
      <c r="A11" s="3">
        <v>9</v>
      </c>
      <c r="B11">
        <v>9.0000000000000006E-5</v>
      </c>
      <c r="C11">
        <v>9.0000000000000006E-5</v>
      </c>
      <c r="D11">
        <v>1E-4</v>
      </c>
      <c r="E11">
        <v>1.2E-4</v>
      </c>
      <c r="F11">
        <v>1.6000000000000001E-4</v>
      </c>
      <c r="G11">
        <v>2.3000000000000001E-4</v>
      </c>
      <c r="H11">
        <v>3.5E-4</v>
      </c>
      <c r="I11">
        <v>5.0000000000000001E-4</v>
      </c>
      <c r="J11">
        <v>6.8999999999999997E-4</v>
      </c>
      <c r="K11">
        <v>8.3000000000000001E-4</v>
      </c>
      <c r="L11">
        <v>8.5999999999999998E-4</v>
      </c>
      <c r="M11">
        <v>8.9999999999999998E-4</v>
      </c>
      <c r="N11">
        <v>9.3000000000000005E-4</v>
      </c>
      <c r="O11">
        <v>9.6000000000000002E-4</v>
      </c>
      <c r="P11">
        <v>9.8999999999999999E-4</v>
      </c>
      <c r="Q11">
        <v>1.0200000000000001E-3</v>
      </c>
      <c r="R11">
        <v>1.0499999999999999E-3</v>
      </c>
      <c r="S11">
        <v>1.0499999999999999E-3</v>
      </c>
      <c r="T11">
        <v>1.0300000000000001E-3</v>
      </c>
      <c r="U11">
        <v>1.01E-3</v>
      </c>
      <c r="V11">
        <v>1E-3</v>
      </c>
      <c r="W11">
        <v>1E-3</v>
      </c>
      <c r="X11">
        <v>1.0399999999999999E-3</v>
      </c>
      <c r="Y11">
        <v>1.1100000000000001E-3</v>
      </c>
      <c r="Z11">
        <v>1.1900000000000001E-3</v>
      </c>
      <c r="AA11">
        <v>1.2800000000000001E-3</v>
      </c>
      <c r="AB11" s="4">
        <v>34</v>
      </c>
    </row>
    <row r="12" spans="1:28">
      <c r="A12" s="3">
        <v>10</v>
      </c>
      <c r="B12">
        <v>9.0000000000000006E-5</v>
      </c>
      <c r="C12">
        <v>1E-4</v>
      </c>
      <c r="D12">
        <v>1.2E-4</v>
      </c>
      <c r="E12">
        <v>1.6000000000000001E-4</v>
      </c>
      <c r="F12">
        <v>2.3000000000000001E-4</v>
      </c>
      <c r="G12">
        <v>3.5E-4</v>
      </c>
      <c r="H12">
        <v>5.0000000000000001E-4</v>
      </c>
      <c r="I12">
        <v>6.8999999999999997E-4</v>
      </c>
      <c r="J12">
        <v>8.3000000000000001E-4</v>
      </c>
      <c r="K12">
        <v>8.5999999999999998E-4</v>
      </c>
      <c r="L12">
        <v>8.9999999999999998E-4</v>
      </c>
      <c r="M12">
        <v>9.3000000000000005E-4</v>
      </c>
      <c r="N12">
        <v>9.6000000000000002E-4</v>
      </c>
      <c r="O12">
        <v>9.8999999999999999E-4</v>
      </c>
      <c r="P12">
        <v>1.0200000000000001E-3</v>
      </c>
      <c r="Q12">
        <v>1.0499999999999999E-3</v>
      </c>
      <c r="R12">
        <v>1.0499999999999999E-3</v>
      </c>
      <c r="S12">
        <v>1.0300000000000001E-3</v>
      </c>
      <c r="T12">
        <v>1.01E-3</v>
      </c>
      <c r="U12">
        <v>1E-3</v>
      </c>
      <c r="V12">
        <v>1E-3</v>
      </c>
      <c r="W12">
        <v>1.0399999999999999E-3</v>
      </c>
      <c r="X12">
        <v>1.1100000000000001E-3</v>
      </c>
      <c r="Y12">
        <v>1.1900000000000001E-3</v>
      </c>
      <c r="Z12">
        <v>1.2800000000000001E-3</v>
      </c>
      <c r="AA12">
        <v>1.3699999999999999E-3</v>
      </c>
      <c r="AB12" s="4">
        <v>35</v>
      </c>
    </row>
    <row r="13" spans="1:28">
      <c r="A13" s="3">
        <v>11</v>
      </c>
      <c r="B13">
        <v>1E-4</v>
      </c>
      <c r="C13">
        <v>1.2E-4</v>
      </c>
      <c r="D13">
        <v>1.6000000000000001E-4</v>
      </c>
      <c r="E13">
        <v>2.3000000000000001E-4</v>
      </c>
      <c r="F13">
        <v>3.5E-4</v>
      </c>
      <c r="G13">
        <v>5.0000000000000001E-4</v>
      </c>
      <c r="H13">
        <v>6.8999999999999997E-4</v>
      </c>
      <c r="I13">
        <v>8.3000000000000001E-4</v>
      </c>
      <c r="J13">
        <v>8.5999999999999998E-4</v>
      </c>
      <c r="K13">
        <v>8.9999999999999998E-4</v>
      </c>
      <c r="L13">
        <v>9.3000000000000005E-4</v>
      </c>
      <c r="M13">
        <v>9.6000000000000002E-4</v>
      </c>
      <c r="N13">
        <v>9.8999999999999999E-4</v>
      </c>
      <c r="O13">
        <v>1.0200000000000001E-3</v>
      </c>
      <c r="P13">
        <v>1.0499999999999999E-3</v>
      </c>
      <c r="Q13">
        <v>1.0499999999999999E-3</v>
      </c>
      <c r="R13">
        <v>1.0300000000000001E-3</v>
      </c>
      <c r="S13">
        <v>1.01E-3</v>
      </c>
      <c r="T13">
        <v>1E-3</v>
      </c>
      <c r="U13">
        <v>1E-3</v>
      </c>
      <c r="V13">
        <v>1.0399999999999999E-3</v>
      </c>
      <c r="W13">
        <v>1.1100000000000001E-3</v>
      </c>
      <c r="X13">
        <v>1.1900000000000001E-3</v>
      </c>
      <c r="Y13">
        <v>1.2800000000000001E-3</v>
      </c>
      <c r="Z13">
        <v>1.3699999999999999E-3</v>
      </c>
      <c r="AA13">
        <v>1.5E-3</v>
      </c>
      <c r="AB13" s="4">
        <v>36</v>
      </c>
    </row>
    <row r="14" spans="1:28">
      <c r="A14" s="3">
        <v>12</v>
      </c>
      <c r="B14">
        <v>1.2E-4</v>
      </c>
      <c r="C14">
        <v>1.6000000000000001E-4</v>
      </c>
      <c r="D14">
        <v>2.3000000000000001E-4</v>
      </c>
      <c r="E14">
        <v>3.5E-4</v>
      </c>
      <c r="F14">
        <v>5.0000000000000001E-4</v>
      </c>
      <c r="G14">
        <v>6.8999999999999997E-4</v>
      </c>
      <c r="H14">
        <v>8.3000000000000001E-4</v>
      </c>
      <c r="I14">
        <v>8.5999999999999998E-4</v>
      </c>
      <c r="J14">
        <v>8.9999999999999998E-4</v>
      </c>
      <c r="K14">
        <v>9.3000000000000005E-4</v>
      </c>
      <c r="L14">
        <v>9.6000000000000002E-4</v>
      </c>
      <c r="M14">
        <v>9.8999999999999999E-4</v>
      </c>
      <c r="N14">
        <v>1.0200000000000001E-3</v>
      </c>
      <c r="O14">
        <v>1.0499999999999999E-3</v>
      </c>
      <c r="P14">
        <v>1.0499999999999999E-3</v>
      </c>
      <c r="Q14">
        <v>1.0300000000000001E-3</v>
      </c>
      <c r="R14">
        <v>1.01E-3</v>
      </c>
      <c r="S14">
        <v>1E-3</v>
      </c>
      <c r="T14">
        <v>1E-3</v>
      </c>
      <c r="U14">
        <v>1.0399999999999999E-3</v>
      </c>
      <c r="V14">
        <v>1.1100000000000001E-3</v>
      </c>
      <c r="W14">
        <v>1.1900000000000001E-3</v>
      </c>
      <c r="X14">
        <v>1.2800000000000001E-3</v>
      </c>
      <c r="Y14">
        <v>1.3699999999999999E-3</v>
      </c>
      <c r="Z14">
        <v>1.5E-3</v>
      </c>
      <c r="AA14">
        <v>1.6199999999999999E-3</v>
      </c>
      <c r="AB14" s="4">
        <v>37</v>
      </c>
    </row>
    <row r="15" spans="1:28">
      <c r="A15" s="3">
        <v>13</v>
      </c>
      <c r="B15">
        <v>1.6000000000000001E-4</v>
      </c>
      <c r="C15">
        <v>2.3000000000000001E-4</v>
      </c>
      <c r="D15">
        <v>3.5E-4</v>
      </c>
      <c r="E15">
        <v>5.0000000000000001E-4</v>
      </c>
      <c r="F15">
        <v>6.8999999999999997E-4</v>
      </c>
      <c r="G15">
        <v>8.3000000000000001E-4</v>
      </c>
      <c r="H15">
        <v>8.5999999999999998E-4</v>
      </c>
      <c r="I15">
        <v>8.9999999999999998E-4</v>
      </c>
      <c r="J15">
        <v>9.3000000000000005E-4</v>
      </c>
      <c r="K15">
        <v>9.6000000000000002E-4</v>
      </c>
      <c r="L15">
        <v>9.8999999999999999E-4</v>
      </c>
      <c r="M15">
        <v>1.0200000000000001E-3</v>
      </c>
      <c r="N15">
        <v>1.0499999999999999E-3</v>
      </c>
      <c r="O15">
        <v>1.0499999999999999E-3</v>
      </c>
      <c r="P15">
        <v>1.0300000000000001E-3</v>
      </c>
      <c r="Q15">
        <v>1.01E-3</v>
      </c>
      <c r="R15">
        <v>1E-3</v>
      </c>
      <c r="S15">
        <v>1E-3</v>
      </c>
      <c r="T15">
        <v>1.0399999999999999E-3</v>
      </c>
      <c r="U15">
        <v>1.1100000000000001E-3</v>
      </c>
      <c r="V15">
        <v>1.1900000000000001E-3</v>
      </c>
      <c r="W15">
        <v>1.2800000000000001E-3</v>
      </c>
      <c r="X15">
        <v>1.3699999999999999E-3</v>
      </c>
      <c r="Y15">
        <v>1.5E-3</v>
      </c>
      <c r="Z15">
        <v>1.6199999999999999E-3</v>
      </c>
      <c r="AA15">
        <v>1.7600000000000001E-3</v>
      </c>
      <c r="AB15" s="4">
        <v>38</v>
      </c>
    </row>
    <row r="16" spans="1:28">
      <c r="A16" s="3">
        <v>14</v>
      </c>
      <c r="B16">
        <v>2.3000000000000001E-4</v>
      </c>
      <c r="C16">
        <v>3.5E-4</v>
      </c>
      <c r="D16">
        <v>5.0000000000000001E-4</v>
      </c>
      <c r="E16">
        <v>6.8999999999999997E-4</v>
      </c>
      <c r="F16">
        <v>8.3000000000000001E-4</v>
      </c>
      <c r="G16">
        <v>8.5999999999999998E-4</v>
      </c>
      <c r="H16">
        <v>8.9999999999999998E-4</v>
      </c>
      <c r="I16">
        <v>9.3000000000000005E-4</v>
      </c>
      <c r="J16">
        <v>9.6000000000000002E-4</v>
      </c>
      <c r="K16">
        <v>9.8999999999999999E-4</v>
      </c>
      <c r="L16">
        <v>1.0200000000000001E-3</v>
      </c>
      <c r="M16">
        <v>1.0499999999999999E-3</v>
      </c>
      <c r="N16">
        <v>1.0499999999999999E-3</v>
      </c>
      <c r="O16">
        <v>1.0300000000000001E-3</v>
      </c>
      <c r="P16">
        <v>1.01E-3</v>
      </c>
      <c r="Q16">
        <v>1E-3</v>
      </c>
      <c r="R16">
        <v>1E-3</v>
      </c>
      <c r="S16">
        <v>1.0399999999999999E-3</v>
      </c>
      <c r="T16">
        <v>1.1100000000000001E-3</v>
      </c>
      <c r="U16">
        <v>1.1900000000000001E-3</v>
      </c>
      <c r="V16">
        <v>1.2800000000000001E-3</v>
      </c>
      <c r="W16">
        <v>1.3699999999999999E-3</v>
      </c>
      <c r="X16">
        <v>1.5E-3</v>
      </c>
      <c r="Y16">
        <v>1.6199999999999999E-3</v>
      </c>
      <c r="Z16">
        <v>1.7600000000000001E-3</v>
      </c>
      <c r="AA16">
        <v>1.9E-3</v>
      </c>
      <c r="AB16" s="4">
        <v>39</v>
      </c>
    </row>
    <row r="17" spans="1:28">
      <c r="A17" s="3">
        <v>15</v>
      </c>
      <c r="B17">
        <v>3.5E-4</v>
      </c>
      <c r="C17">
        <v>5.0000000000000001E-4</v>
      </c>
      <c r="D17">
        <v>6.8999999999999997E-4</v>
      </c>
      <c r="E17">
        <v>8.3000000000000001E-4</v>
      </c>
      <c r="F17">
        <v>8.5999999999999998E-4</v>
      </c>
      <c r="G17">
        <v>8.9999999999999998E-4</v>
      </c>
      <c r="H17">
        <v>9.3000000000000005E-4</v>
      </c>
      <c r="I17">
        <v>9.6000000000000002E-4</v>
      </c>
      <c r="J17">
        <v>9.8999999999999999E-4</v>
      </c>
      <c r="K17">
        <v>1.0200000000000001E-3</v>
      </c>
      <c r="L17">
        <v>1.0499999999999999E-3</v>
      </c>
      <c r="M17">
        <v>1.0499999999999999E-3</v>
      </c>
      <c r="N17">
        <v>1.0300000000000001E-3</v>
      </c>
      <c r="O17">
        <v>1.01E-3</v>
      </c>
      <c r="P17">
        <v>1E-3</v>
      </c>
      <c r="Q17">
        <v>1E-3</v>
      </c>
      <c r="R17">
        <v>1.0399999999999999E-3</v>
      </c>
      <c r="S17">
        <v>1.1100000000000001E-3</v>
      </c>
      <c r="T17">
        <v>1.1900000000000001E-3</v>
      </c>
      <c r="U17">
        <v>1.2800000000000001E-3</v>
      </c>
      <c r="V17">
        <v>1.3699999999999999E-3</v>
      </c>
      <c r="W17">
        <v>1.5E-3</v>
      </c>
      <c r="X17">
        <v>1.6199999999999999E-3</v>
      </c>
      <c r="Y17">
        <v>1.7600000000000001E-3</v>
      </c>
      <c r="Z17">
        <v>1.9E-3</v>
      </c>
      <c r="AA17">
        <v>2.0600000000000002E-3</v>
      </c>
      <c r="AB17" s="4">
        <v>40</v>
      </c>
    </row>
    <row r="18" spans="1:28">
      <c r="A18" s="3">
        <v>16</v>
      </c>
      <c r="B18">
        <v>5.0000000000000001E-4</v>
      </c>
      <c r="C18">
        <v>6.8999999999999997E-4</v>
      </c>
      <c r="D18">
        <v>8.3000000000000001E-4</v>
      </c>
      <c r="E18">
        <v>8.5999999999999998E-4</v>
      </c>
      <c r="F18">
        <v>8.9999999999999998E-4</v>
      </c>
      <c r="G18">
        <v>9.3000000000000005E-4</v>
      </c>
      <c r="H18">
        <v>9.6000000000000002E-4</v>
      </c>
      <c r="I18">
        <v>9.8999999999999999E-4</v>
      </c>
      <c r="J18">
        <v>1.0200000000000001E-3</v>
      </c>
      <c r="K18">
        <v>1.0499999999999999E-3</v>
      </c>
      <c r="L18">
        <v>1.0499999999999999E-3</v>
      </c>
      <c r="M18">
        <v>1.0300000000000001E-3</v>
      </c>
      <c r="N18">
        <v>1.01E-3</v>
      </c>
      <c r="O18">
        <v>1E-3</v>
      </c>
      <c r="P18">
        <v>1E-3</v>
      </c>
      <c r="Q18">
        <v>1.0399999999999999E-3</v>
      </c>
      <c r="R18">
        <v>1.1100000000000001E-3</v>
      </c>
      <c r="S18">
        <v>1.1900000000000001E-3</v>
      </c>
      <c r="T18">
        <v>1.2800000000000001E-3</v>
      </c>
      <c r="U18">
        <v>1.3699999999999999E-3</v>
      </c>
      <c r="V18">
        <v>1.5E-3</v>
      </c>
      <c r="W18">
        <v>1.6199999999999999E-3</v>
      </c>
      <c r="X18">
        <v>1.7600000000000001E-3</v>
      </c>
      <c r="Y18">
        <v>1.9E-3</v>
      </c>
      <c r="Z18">
        <v>2.0600000000000002E-3</v>
      </c>
      <c r="AA18">
        <v>2.2100000000000002E-3</v>
      </c>
      <c r="AB18" s="4">
        <v>41</v>
      </c>
    </row>
    <row r="19" spans="1:28">
      <c r="A19" s="3">
        <v>17</v>
      </c>
      <c r="B19">
        <v>6.8999999999999997E-4</v>
      </c>
      <c r="C19">
        <v>8.3000000000000001E-4</v>
      </c>
      <c r="D19">
        <v>8.5999999999999998E-4</v>
      </c>
      <c r="E19">
        <v>8.9999999999999998E-4</v>
      </c>
      <c r="F19">
        <v>9.3000000000000005E-4</v>
      </c>
      <c r="G19">
        <v>9.6000000000000002E-4</v>
      </c>
      <c r="H19">
        <v>9.8999999999999999E-4</v>
      </c>
      <c r="I19">
        <v>1.0200000000000001E-3</v>
      </c>
      <c r="J19">
        <v>1.0499999999999999E-3</v>
      </c>
      <c r="K19">
        <v>1.0499999999999999E-3</v>
      </c>
      <c r="L19">
        <v>1.0300000000000001E-3</v>
      </c>
      <c r="M19">
        <v>1.01E-3</v>
      </c>
      <c r="N19">
        <v>1E-3</v>
      </c>
      <c r="O19">
        <v>1E-3</v>
      </c>
      <c r="P19">
        <v>1.0399999999999999E-3</v>
      </c>
      <c r="Q19">
        <v>1.1100000000000001E-3</v>
      </c>
      <c r="R19">
        <v>1.1900000000000001E-3</v>
      </c>
      <c r="S19">
        <v>1.2800000000000001E-3</v>
      </c>
      <c r="T19">
        <v>1.3699999999999999E-3</v>
      </c>
      <c r="U19">
        <v>1.5E-3</v>
      </c>
      <c r="V19">
        <v>1.6199999999999999E-3</v>
      </c>
      <c r="W19">
        <v>1.7600000000000001E-3</v>
      </c>
      <c r="X19">
        <v>1.9E-3</v>
      </c>
      <c r="Y19">
        <v>2.0600000000000002E-3</v>
      </c>
      <c r="Z19">
        <v>2.2100000000000002E-3</v>
      </c>
      <c r="AA19">
        <v>2.3400000000000001E-3</v>
      </c>
      <c r="AB19" s="4">
        <v>42</v>
      </c>
    </row>
    <row r="20" spans="1:28">
      <c r="A20" s="3">
        <v>18</v>
      </c>
      <c r="B20">
        <v>8.3000000000000001E-4</v>
      </c>
      <c r="C20">
        <v>8.5999999999999998E-4</v>
      </c>
      <c r="D20">
        <v>8.8999999999999995E-4</v>
      </c>
      <c r="E20">
        <v>9.3000000000000005E-4</v>
      </c>
      <c r="F20">
        <v>9.3000000000000005E-4</v>
      </c>
      <c r="G20">
        <v>9.3000000000000005E-4</v>
      </c>
      <c r="H20">
        <v>9.3999999999999997E-4</v>
      </c>
      <c r="I20">
        <v>9.5E-4</v>
      </c>
      <c r="J20">
        <v>8.8999999999999995E-4</v>
      </c>
      <c r="K20">
        <v>8.5999999999999998E-4</v>
      </c>
      <c r="L20">
        <v>8.1999999999999998E-4</v>
      </c>
      <c r="M20">
        <v>7.9000000000000001E-4</v>
      </c>
      <c r="N20">
        <v>7.7999999999999999E-4</v>
      </c>
      <c r="O20">
        <v>8.0999999999999996E-4</v>
      </c>
      <c r="P20">
        <v>8.4999999999999995E-4</v>
      </c>
      <c r="Q20">
        <v>9.3000000000000005E-4</v>
      </c>
      <c r="R20">
        <v>1.0300000000000001E-3</v>
      </c>
      <c r="S20">
        <v>1.14E-3</v>
      </c>
      <c r="T20">
        <v>1.2800000000000001E-3</v>
      </c>
      <c r="U20">
        <v>1.41E-3</v>
      </c>
      <c r="V20">
        <v>1.5399999999999999E-3</v>
      </c>
      <c r="W20">
        <v>1.6999999999999999E-3</v>
      </c>
      <c r="X20">
        <v>1.8600000000000001E-3</v>
      </c>
      <c r="Y20">
        <v>2.0400000000000001E-3</v>
      </c>
      <c r="Z20">
        <v>2.2300000000000002E-3</v>
      </c>
      <c r="AA20">
        <v>2.3999999999999998E-3</v>
      </c>
      <c r="AB20" s="4">
        <v>43</v>
      </c>
    </row>
    <row r="21" spans="1:28">
      <c r="A21" s="3">
        <v>19</v>
      </c>
      <c r="B21">
        <v>7.6999999999999996E-4</v>
      </c>
      <c r="C21">
        <v>8.0999999999999996E-4</v>
      </c>
      <c r="D21">
        <v>8.3000000000000001E-4</v>
      </c>
      <c r="E21">
        <v>8.1999999999999998E-4</v>
      </c>
      <c r="F21">
        <v>8.3000000000000001E-4</v>
      </c>
      <c r="G21">
        <v>8.5999999999999998E-4</v>
      </c>
      <c r="H21">
        <v>8.7000000000000001E-4</v>
      </c>
      <c r="I21">
        <v>8.4000000000000003E-4</v>
      </c>
      <c r="J21">
        <v>7.9000000000000001E-4</v>
      </c>
      <c r="K21">
        <v>7.3999999999999999E-4</v>
      </c>
      <c r="L21">
        <v>7.5000000000000002E-4</v>
      </c>
      <c r="M21">
        <v>7.3999999999999999E-4</v>
      </c>
      <c r="N21">
        <v>7.6000000000000004E-4</v>
      </c>
      <c r="O21">
        <v>8.0999999999999996E-4</v>
      </c>
      <c r="P21">
        <v>8.8000000000000003E-4</v>
      </c>
      <c r="Q21">
        <v>9.5E-4</v>
      </c>
      <c r="R21">
        <v>1.0499999999999999E-3</v>
      </c>
      <c r="S21">
        <v>1.1800000000000001E-3</v>
      </c>
      <c r="T21">
        <v>1.31E-3</v>
      </c>
      <c r="U21">
        <v>1.47E-3</v>
      </c>
      <c r="V21">
        <v>1.64E-3</v>
      </c>
      <c r="W21">
        <v>1.8E-3</v>
      </c>
      <c r="X21">
        <v>1.98E-3</v>
      </c>
      <c r="Y21">
        <v>2.15E-3</v>
      </c>
      <c r="Z21">
        <v>2.32E-3</v>
      </c>
      <c r="AA21">
        <v>2.47E-3</v>
      </c>
      <c r="AB21" s="4">
        <v>44</v>
      </c>
    </row>
    <row r="22" spans="1:28">
      <c r="A22" s="3">
        <v>20</v>
      </c>
      <c r="B22">
        <v>6.9999999999999999E-4</v>
      </c>
      <c r="C22">
        <v>7.2000000000000005E-4</v>
      </c>
      <c r="D22">
        <v>7.7999999999999999E-4</v>
      </c>
      <c r="E22">
        <v>7.7999999999999999E-4</v>
      </c>
      <c r="F22">
        <v>7.6999999999999996E-4</v>
      </c>
      <c r="G22">
        <v>7.7999999999999999E-4</v>
      </c>
      <c r="H22">
        <v>7.6999999999999996E-4</v>
      </c>
      <c r="I22">
        <v>7.5000000000000002E-4</v>
      </c>
      <c r="J22">
        <v>7.1000000000000002E-4</v>
      </c>
      <c r="K22">
        <v>7.1000000000000002E-4</v>
      </c>
      <c r="L22">
        <v>7.1000000000000002E-4</v>
      </c>
      <c r="M22">
        <v>7.2000000000000005E-4</v>
      </c>
      <c r="N22">
        <v>7.6000000000000004E-4</v>
      </c>
      <c r="O22">
        <v>8.3000000000000001E-4</v>
      </c>
      <c r="P22">
        <v>9.1E-4</v>
      </c>
      <c r="Q22">
        <v>9.7999999999999997E-4</v>
      </c>
      <c r="R22">
        <v>1.09E-3</v>
      </c>
      <c r="S22">
        <v>1.2199999999999999E-3</v>
      </c>
      <c r="T22">
        <v>1.4E-3</v>
      </c>
      <c r="U22">
        <v>1.58E-3</v>
      </c>
      <c r="V22">
        <v>1.7600000000000001E-3</v>
      </c>
      <c r="W22">
        <v>1.92E-3</v>
      </c>
      <c r="X22">
        <v>2.0899999999999998E-3</v>
      </c>
      <c r="Y22">
        <v>2.2499999999999998E-3</v>
      </c>
      <c r="Z22">
        <v>2.3999999999999998E-3</v>
      </c>
      <c r="AA22">
        <v>2.5400000000000002E-3</v>
      </c>
      <c r="AB22" s="4">
        <v>45</v>
      </c>
    </row>
    <row r="23" spans="1:28">
      <c r="A23" s="3">
        <v>21</v>
      </c>
      <c r="B23">
        <v>6.2E-4</v>
      </c>
      <c r="C23">
        <v>6.9999999999999999E-4</v>
      </c>
      <c r="D23">
        <v>6.7000000000000002E-4</v>
      </c>
      <c r="E23">
        <v>6.6E-4</v>
      </c>
      <c r="F23">
        <v>6.7000000000000002E-4</v>
      </c>
      <c r="G23">
        <v>6.8000000000000005E-4</v>
      </c>
      <c r="H23">
        <v>6.8000000000000005E-4</v>
      </c>
      <c r="I23">
        <v>6.6E-4</v>
      </c>
      <c r="J23">
        <v>6.4000000000000005E-4</v>
      </c>
      <c r="K23">
        <v>6.6E-4</v>
      </c>
      <c r="L23">
        <v>6.8000000000000005E-4</v>
      </c>
      <c r="M23">
        <v>7.2999999999999996E-4</v>
      </c>
      <c r="N23">
        <v>7.7999999999999999E-4</v>
      </c>
      <c r="O23">
        <v>8.4999999999999995E-4</v>
      </c>
      <c r="P23">
        <v>9.3000000000000005E-4</v>
      </c>
      <c r="Q23">
        <v>1.01E-3</v>
      </c>
      <c r="R23">
        <v>1.1199999999999999E-3</v>
      </c>
      <c r="S23">
        <v>1.2999999999999999E-3</v>
      </c>
      <c r="T23">
        <v>1.48E-3</v>
      </c>
      <c r="U23">
        <v>1.67E-3</v>
      </c>
      <c r="V23">
        <v>1.8400000000000001E-3</v>
      </c>
      <c r="W23">
        <v>1.99E-3</v>
      </c>
      <c r="X23">
        <v>2.14E-3</v>
      </c>
      <c r="Y23">
        <v>2.2899999999999999E-3</v>
      </c>
      <c r="Z23">
        <v>2.4299999999999999E-3</v>
      </c>
      <c r="AA23">
        <v>2.6099999999999999E-3</v>
      </c>
      <c r="AB23" s="4">
        <v>46</v>
      </c>
    </row>
    <row r="24" spans="1:28">
      <c r="A24" s="3">
        <v>22</v>
      </c>
      <c r="B24">
        <v>5.8E-4</v>
      </c>
      <c r="C24">
        <v>6.0999999999999997E-4</v>
      </c>
      <c r="D24">
        <v>5.8E-4</v>
      </c>
      <c r="E24">
        <v>5.8E-4</v>
      </c>
      <c r="F24">
        <v>5.9000000000000003E-4</v>
      </c>
      <c r="G24">
        <v>5.9000000000000003E-4</v>
      </c>
      <c r="H24">
        <v>5.9999999999999995E-4</v>
      </c>
      <c r="I24">
        <v>5.9000000000000003E-4</v>
      </c>
      <c r="J24">
        <v>5.9000000000000003E-4</v>
      </c>
      <c r="K24">
        <v>6.4000000000000005E-4</v>
      </c>
      <c r="L24">
        <v>6.8000000000000005E-4</v>
      </c>
      <c r="M24">
        <v>7.3999999999999999E-4</v>
      </c>
      <c r="N24">
        <v>7.9000000000000001E-4</v>
      </c>
      <c r="O24">
        <v>8.7000000000000001E-4</v>
      </c>
      <c r="P24">
        <v>9.6000000000000002E-4</v>
      </c>
      <c r="Q24">
        <v>1.0399999999999999E-3</v>
      </c>
      <c r="R24">
        <v>1.2099999999999999E-3</v>
      </c>
      <c r="S24">
        <v>1.3799999999999999E-3</v>
      </c>
      <c r="T24">
        <v>1.57E-3</v>
      </c>
      <c r="U24">
        <v>1.7600000000000001E-3</v>
      </c>
      <c r="V24">
        <v>1.91E-3</v>
      </c>
      <c r="W24">
        <v>2.0400000000000001E-3</v>
      </c>
      <c r="X24">
        <v>2.16E-3</v>
      </c>
      <c r="Y24">
        <v>2.31E-3</v>
      </c>
      <c r="Z24">
        <v>2.49E-3</v>
      </c>
      <c r="AA24">
        <v>2.6700000000000001E-3</v>
      </c>
      <c r="AB24" s="4">
        <v>47</v>
      </c>
    </row>
    <row r="25" spans="1:28">
      <c r="A25" s="3">
        <v>23</v>
      </c>
      <c r="B25">
        <v>5.1000000000000004E-4</v>
      </c>
      <c r="C25">
        <v>5.1999999999999995E-4</v>
      </c>
      <c r="D25">
        <v>5.0000000000000001E-4</v>
      </c>
      <c r="E25">
        <v>5.1000000000000004E-4</v>
      </c>
      <c r="F25">
        <v>5.1999999999999995E-4</v>
      </c>
      <c r="G25">
        <v>5.2999999999999998E-4</v>
      </c>
      <c r="H25">
        <v>5.2999999999999998E-4</v>
      </c>
      <c r="I25">
        <v>5.5000000000000003E-4</v>
      </c>
      <c r="J25">
        <v>5.6999999999999998E-4</v>
      </c>
      <c r="K25">
        <v>6.4000000000000005E-4</v>
      </c>
      <c r="L25">
        <v>6.8999999999999997E-4</v>
      </c>
      <c r="M25">
        <v>7.5000000000000002E-4</v>
      </c>
      <c r="N25">
        <v>8.0999999999999996E-4</v>
      </c>
      <c r="O25">
        <v>9.1E-4</v>
      </c>
      <c r="P25">
        <v>9.8999999999999999E-4</v>
      </c>
      <c r="Q25">
        <v>1.14E-3</v>
      </c>
      <c r="R25">
        <v>1.2800000000000001E-3</v>
      </c>
      <c r="S25">
        <v>1.4599999999999999E-3</v>
      </c>
      <c r="T25">
        <v>1.66E-3</v>
      </c>
      <c r="U25">
        <v>1.82E-3</v>
      </c>
      <c r="V25">
        <v>1.9499999999999999E-3</v>
      </c>
      <c r="W25">
        <v>2.0500000000000002E-3</v>
      </c>
      <c r="X25">
        <v>2.16E-3</v>
      </c>
      <c r="Y25">
        <v>2.3400000000000001E-3</v>
      </c>
      <c r="Z25">
        <v>2.5400000000000002E-3</v>
      </c>
      <c r="AA25">
        <v>2.7399999999999998E-3</v>
      </c>
      <c r="AB25" s="4">
        <v>48</v>
      </c>
    </row>
    <row r="26" spans="1:28">
      <c r="A26" s="3">
        <v>24</v>
      </c>
      <c r="B26">
        <v>4.4000000000000002E-4</v>
      </c>
      <c r="C26">
        <v>4.6000000000000001E-4</v>
      </c>
      <c r="D26">
        <v>4.4999999999999999E-4</v>
      </c>
      <c r="E26">
        <v>4.6000000000000001E-4</v>
      </c>
      <c r="F26">
        <v>4.6999999999999999E-4</v>
      </c>
      <c r="G26">
        <v>4.6999999999999999E-4</v>
      </c>
      <c r="H26">
        <v>4.8999999999999998E-4</v>
      </c>
      <c r="I26">
        <v>5.2999999999999998E-4</v>
      </c>
      <c r="J26">
        <v>5.6999999999999998E-4</v>
      </c>
      <c r="K26">
        <v>6.4999999999999997E-4</v>
      </c>
      <c r="L26">
        <v>7.1000000000000002E-4</v>
      </c>
      <c r="M26">
        <v>7.6999999999999996E-4</v>
      </c>
      <c r="N26">
        <v>8.4999999999999995E-4</v>
      </c>
      <c r="O26">
        <v>9.3999999999999997E-4</v>
      </c>
      <c r="P26">
        <v>1.09E-3</v>
      </c>
      <c r="Q26">
        <v>1.1999999999999999E-3</v>
      </c>
      <c r="R26">
        <v>1.3600000000000001E-3</v>
      </c>
      <c r="S26">
        <v>1.5499999999999999E-3</v>
      </c>
      <c r="T26">
        <v>1.72E-3</v>
      </c>
      <c r="U26">
        <v>1.8500000000000001E-3</v>
      </c>
      <c r="V26">
        <v>1.9599999999999999E-3</v>
      </c>
      <c r="W26">
        <v>2.0699999999999998E-3</v>
      </c>
      <c r="X26">
        <v>2.1700000000000001E-3</v>
      </c>
      <c r="Y26">
        <v>2.3600000000000001E-3</v>
      </c>
      <c r="Z26">
        <v>2.5899999999999999E-3</v>
      </c>
      <c r="AA26">
        <v>2.81E-3</v>
      </c>
      <c r="AB26" s="4">
        <v>49</v>
      </c>
    </row>
    <row r="27" spans="1:28">
      <c r="A27" s="3">
        <v>25</v>
      </c>
      <c r="B27">
        <v>3.8999999999999999E-4</v>
      </c>
      <c r="C27">
        <v>4.2000000000000002E-4</v>
      </c>
      <c r="D27">
        <v>4.0000000000000002E-4</v>
      </c>
      <c r="E27">
        <v>4.0999999999999999E-4</v>
      </c>
      <c r="F27">
        <v>4.2999999999999999E-4</v>
      </c>
      <c r="G27">
        <v>4.4000000000000002E-4</v>
      </c>
      <c r="H27">
        <v>4.8000000000000001E-4</v>
      </c>
      <c r="I27">
        <v>5.2999999999999998E-4</v>
      </c>
      <c r="J27">
        <v>5.8E-4</v>
      </c>
      <c r="K27">
        <v>6.6E-4</v>
      </c>
      <c r="L27">
        <v>7.2999999999999996E-4</v>
      </c>
      <c r="M27">
        <v>8.0999999999999996E-4</v>
      </c>
      <c r="N27">
        <v>8.8000000000000003E-4</v>
      </c>
      <c r="O27">
        <v>1.0300000000000001E-3</v>
      </c>
      <c r="P27">
        <v>1.15E-3</v>
      </c>
      <c r="Q27">
        <v>1.2800000000000001E-3</v>
      </c>
      <c r="R27">
        <v>1.4599999999999999E-3</v>
      </c>
      <c r="S27">
        <v>1.64E-3</v>
      </c>
      <c r="T27">
        <v>1.7799999999999999E-3</v>
      </c>
      <c r="U27">
        <v>1.8799999999999999E-3</v>
      </c>
      <c r="V27">
        <v>1.98E-3</v>
      </c>
      <c r="W27">
        <v>2.0799999999999998E-3</v>
      </c>
      <c r="X27">
        <v>2.2599999999999999E-3</v>
      </c>
      <c r="Y27">
        <v>2.47E-3</v>
      </c>
      <c r="Z27">
        <v>2.7000000000000001E-3</v>
      </c>
      <c r="AA27">
        <v>2.9299999999999999E-3</v>
      </c>
      <c r="AB27" s="4">
        <v>50</v>
      </c>
    </row>
    <row r="28" spans="1:28">
      <c r="A28" s="3">
        <v>26</v>
      </c>
      <c r="B28">
        <v>3.5E-4</v>
      </c>
      <c r="C28">
        <v>3.8000000000000002E-4</v>
      </c>
      <c r="D28">
        <v>3.8000000000000002E-4</v>
      </c>
      <c r="E28">
        <v>3.8999999999999999E-4</v>
      </c>
      <c r="F28">
        <v>4.0999999999999999E-4</v>
      </c>
      <c r="G28">
        <v>4.2999999999999999E-4</v>
      </c>
      <c r="H28">
        <v>4.8000000000000001E-4</v>
      </c>
      <c r="I28">
        <v>5.4000000000000001E-4</v>
      </c>
      <c r="J28">
        <v>5.9999999999999995E-4</v>
      </c>
      <c r="K28">
        <v>6.8999999999999997E-4</v>
      </c>
      <c r="L28">
        <v>7.6999999999999996E-4</v>
      </c>
      <c r="M28">
        <v>8.4999999999999995E-4</v>
      </c>
      <c r="N28">
        <v>9.6000000000000002E-4</v>
      </c>
      <c r="O28">
        <v>1.1000000000000001E-3</v>
      </c>
      <c r="P28">
        <v>1.23E-3</v>
      </c>
      <c r="Q28">
        <v>1.3699999999999999E-3</v>
      </c>
      <c r="R28">
        <v>1.56E-3</v>
      </c>
      <c r="S28">
        <v>1.7099999999999999E-3</v>
      </c>
      <c r="T28">
        <v>1.82E-3</v>
      </c>
      <c r="U28">
        <v>1.89E-3</v>
      </c>
      <c r="V28">
        <v>2.0100000000000001E-3</v>
      </c>
      <c r="W28">
        <v>2.1700000000000001E-3</v>
      </c>
      <c r="X28">
        <v>2.3700000000000001E-3</v>
      </c>
      <c r="Y28">
        <v>2.5999999999999999E-3</v>
      </c>
      <c r="Z28">
        <v>2.8400000000000001E-3</v>
      </c>
      <c r="AA28">
        <v>3.0899999999999999E-3</v>
      </c>
      <c r="AB28" s="4">
        <v>51</v>
      </c>
    </row>
    <row r="29" spans="1:28">
      <c r="A29" s="3">
        <v>27</v>
      </c>
      <c r="B29">
        <v>3.1E-4</v>
      </c>
      <c r="C29">
        <v>3.4000000000000002E-4</v>
      </c>
      <c r="D29">
        <v>3.5E-4</v>
      </c>
      <c r="E29">
        <v>3.6999999999999999E-4</v>
      </c>
      <c r="F29">
        <v>4.0000000000000002E-4</v>
      </c>
      <c r="G29">
        <v>4.4000000000000002E-4</v>
      </c>
      <c r="H29">
        <v>5.0000000000000001E-4</v>
      </c>
      <c r="I29">
        <v>5.5999999999999995E-4</v>
      </c>
      <c r="J29">
        <v>6.2E-4</v>
      </c>
      <c r="K29">
        <v>7.2999999999999996E-4</v>
      </c>
      <c r="L29">
        <v>8.0999999999999996E-4</v>
      </c>
      <c r="M29">
        <v>8.9999999999999998E-4</v>
      </c>
      <c r="N29">
        <v>1.0300000000000001E-3</v>
      </c>
      <c r="O29">
        <v>1.1800000000000001E-3</v>
      </c>
      <c r="P29">
        <v>1.32E-3</v>
      </c>
      <c r="Q29">
        <v>1.4599999999999999E-3</v>
      </c>
      <c r="R29">
        <v>1.6299999999999999E-3</v>
      </c>
      <c r="S29">
        <v>1.7600000000000001E-3</v>
      </c>
      <c r="T29">
        <v>1.8400000000000001E-3</v>
      </c>
      <c r="U29">
        <v>1.9499999999999999E-3</v>
      </c>
      <c r="V29">
        <v>2.0799999999999998E-3</v>
      </c>
      <c r="W29">
        <v>2.2699999999999999E-3</v>
      </c>
      <c r="X29">
        <v>2.49E-3</v>
      </c>
      <c r="Y29">
        <v>2.7299999999999998E-3</v>
      </c>
      <c r="Z29">
        <v>3.0000000000000001E-3</v>
      </c>
      <c r="AA29">
        <v>3.2799999999999999E-3</v>
      </c>
      <c r="AB29" s="4">
        <v>52</v>
      </c>
    </row>
    <row r="30" spans="1:28">
      <c r="A30" s="3">
        <v>28</v>
      </c>
      <c r="B30">
        <v>2.7E-4</v>
      </c>
      <c r="C30">
        <v>3.1E-4</v>
      </c>
      <c r="D30">
        <v>3.4000000000000002E-4</v>
      </c>
      <c r="E30">
        <v>3.8000000000000002E-4</v>
      </c>
      <c r="F30">
        <v>4.2000000000000002E-4</v>
      </c>
      <c r="G30">
        <v>4.6000000000000001E-4</v>
      </c>
      <c r="H30">
        <v>5.1999999999999995E-4</v>
      </c>
      <c r="I30">
        <v>5.9000000000000003E-4</v>
      </c>
      <c r="J30">
        <v>6.4999999999999997E-4</v>
      </c>
      <c r="K30">
        <v>7.6999999999999996E-4</v>
      </c>
      <c r="L30">
        <v>8.7000000000000001E-4</v>
      </c>
      <c r="M30">
        <v>9.7999999999999997E-4</v>
      </c>
      <c r="N30">
        <v>1.1100000000000001E-3</v>
      </c>
      <c r="O30">
        <v>1.2600000000000001E-3</v>
      </c>
      <c r="P30">
        <v>1.41E-3</v>
      </c>
      <c r="Q30">
        <v>1.5399999999999999E-3</v>
      </c>
      <c r="R30">
        <v>1.6900000000000001E-3</v>
      </c>
      <c r="S30">
        <v>1.7899999999999999E-3</v>
      </c>
      <c r="T30">
        <v>1.91E-3</v>
      </c>
      <c r="U30">
        <v>2.0300000000000001E-3</v>
      </c>
      <c r="V30">
        <v>2.1900000000000001E-3</v>
      </c>
      <c r="W30">
        <v>2.3900000000000002E-3</v>
      </c>
      <c r="X30">
        <v>2.63E-3</v>
      </c>
      <c r="Y30">
        <v>2.8900000000000002E-3</v>
      </c>
      <c r="Z30">
        <v>3.1900000000000001E-3</v>
      </c>
      <c r="AA30">
        <v>3.5000000000000001E-3</v>
      </c>
      <c r="AB30" s="4">
        <v>53</v>
      </c>
    </row>
    <row r="31" spans="1:28">
      <c r="A31" s="3">
        <v>29</v>
      </c>
      <c r="B31">
        <v>2.5000000000000001E-4</v>
      </c>
      <c r="C31">
        <v>3.1E-4</v>
      </c>
      <c r="D31">
        <v>3.5E-4</v>
      </c>
      <c r="E31">
        <v>4.0999999999999999E-4</v>
      </c>
      <c r="F31">
        <v>4.6000000000000001E-4</v>
      </c>
      <c r="G31">
        <v>5.1000000000000004E-4</v>
      </c>
      <c r="H31">
        <v>5.5999999999999995E-4</v>
      </c>
      <c r="I31">
        <v>6.3000000000000003E-4</v>
      </c>
      <c r="J31">
        <v>6.9999999999999999E-4</v>
      </c>
      <c r="K31">
        <v>8.4000000000000003E-4</v>
      </c>
      <c r="L31">
        <v>9.5E-4</v>
      </c>
      <c r="M31">
        <v>1.06E-3</v>
      </c>
      <c r="N31">
        <v>1.1999999999999999E-3</v>
      </c>
      <c r="O31">
        <v>1.3500000000000001E-3</v>
      </c>
      <c r="P31">
        <v>1.49E-3</v>
      </c>
      <c r="Q31">
        <v>1.6100000000000001E-3</v>
      </c>
      <c r="R31">
        <v>1.74E-3</v>
      </c>
      <c r="S31">
        <v>1.8799999999999999E-3</v>
      </c>
      <c r="T31">
        <v>2.0100000000000001E-3</v>
      </c>
      <c r="U31">
        <v>2.15E-3</v>
      </c>
      <c r="V31">
        <v>2.33E-3</v>
      </c>
      <c r="W31">
        <v>2.5600000000000002E-3</v>
      </c>
      <c r="X31">
        <v>2.82E-3</v>
      </c>
      <c r="Y31">
        <v>3.0999999999999999E-3</v>
      </c>
      <c r="Z31">
        <v>3.4199999999999999E-3</v>
      </c>
      <c r="AA31">
        <v>3.7499999999999999E-3</v>
      </c>
      <c r="AB31" s="4">
        <v>54</v>
      </c>
    </row>
    <row r="32" spans="1:28">
      <c r="A32" s="3">
        <v>30</v>
      </c>
      <c r="B32">
        <v>2.5000000000000001E-4</v>
      </c>
      <c r="C32">
        <v>2.9E-4</v>
      </c>
      <c r="D32">
        <v>3.6999999999999999E-4</v>
      </c>
      <c r="E32">
        <v>4.2999999999999999E-4</v>
      </c>
      <c r="F32">
        <v>4.8000000000000001E-4</v>
      </c>
      <c r="G32">
        <v>5.2999999999999998E-4</v>
      </c>
      <c r="H32">
        <v>5.9000000000000003E-4</v>
      </c>
      <c r="I32">
        <v>6.6E-4</v>
      </c>
      <c r="J32">
        <v>7.5000000000000002E-4</v>
      </c>
      <c r="K32">
        <v>8.8999999999999995E-4</v>
      </c>
      <c r="L32">
        <v>1.01E-3</v>
      </c>
      <c r="M32">
        <v>1.1100000000000001E-3</v>
      </c>
      <c r="N32">
        <v>1.24E-3</v>
      </c>
      <c r="O32">
        <v>1.4E-3</v>
      </c>
      <c r="P32">
        <v>1.5200000000000001E-3</v>
      </c>
      <c r="Q32">
        <v>1.67E-3</v>
      </c>
      <c r="R32">
        <v>1.8500000000000001E-3</v>
      </c>
      <c r="S32">
        <v>1.99E-3</v>
      </c>
      <c r="T32">
        <v>2.14E-3</v>
      </c>
      <c r="U32">
        <v>2.3E-3</v>
      </c>
      <c r="V32">
        <v>2.5200000000000001E-3</v>
      </c>
      <c r="W32">
        <v>2.7699999999999999E-3</v>
      </c>
      <c r="X32">
        <v>3.0500000000000002E-3</v>
      </c>
      <c r="Y32">
        <v>3.3600000000000001E-3</v>
      </c>
      <c r="Z32">
        <v>3.7100000000000002E-3</v>
      </c>
      <c r="AA32">
        <v>4.0499999999999998E-3</v>
      </c>
      <c r="AB32" s="4">
        <v>55</v>
      </c>
    </row>
    <row r="33" spans="1:28">
      <c r="A33" s="3">
        <v>31</v>
      </c>
      <c r="B33">
        <v>2.2000000000000001E-4</v>
      </c>
      <c r="C33">
        <v>2.9E-4</v>
      </c>
      <c r="D33">
        <v>3.8999999999999999E-4</v>
      </c>
      <c r="E33">
        <v>4.6000000000000001E-4</v>
      </c>
      <c r="F33">
        <v>5.1000000000000004E-4</v>
      </c>
      <c r="G33">
        <v>5.5999999999999995E-4</v>
      </c>
      <c r="H33">
        <v>6.0999999999999997E-4</v>
      </c>
      <c r="I33">
        <v>6.9999999999999999E-4</v>
      </c>
      <c r="J33">
        <v>8.1999999999999998E-4</v>
      </c>
      <c r="K33">
        <v>9.6000000000000002E-4</v>
      </c>
      <c r="L33">
        <v>1.07E-3</v>
      </c>
      <c r="M33">
        <v>1.17E-3</v>
      </c>
      <c r="N33">
        <v>1.31E-3</v>
      </c>
      <c r="O33">
        <v>1.4499999999999999E-3</v>
      </c>
      <c r="P33">
        <v>1.58E-3</v>
      </c>
      <c r="Q33">
        <v>1.7799999999999999E-3</v>
      </c>
      <c r="R33">
        <v>1.97E-3</v>
      </c>
      <c r="S33">
        <v>2.1299999999999999E-3</v>
      </c>
      <c r="T33">
        <v>2.3E-3</v>
      </c>
      <c r="U33">
        <v>2.5000000000000001E-3</v>
      </c>
      <c r="V33">
        <v>2.7399999999999998E-3</v>
      </c>
      <c r="W33">
        <v>3.0200000000000001E-3</v>
      </c>
      <c r="X33">
        <v>3.3300000000000001E-3</v>
      </c>
      <c r="Y33">
        <v>3.6800000000000001E-3</v>
      </c>
      <c r="Z33">
        <v>4.0499999999999998E-3</v>
      </c>
      <c r="AA33">
        <v>4.3899999999999998E-3</v>
      </c>
      <c r="AB33" s="4">
        <v>56</v>
      </c>
    </row>
    <row r="34" spans="1:28">
      <c r="A34" s="3">
        <v>32</v>
      </c>
      <c r="B34">
        <v>2.3000000000000001E-4</v>
      </c>
      <c r="C34">
        <v>2.9999999999999997E-4</v>
      </c>
      <c r="D34">
        <v>4.0999999999999999E-4</v>
      </c>
      <c r="E34">
        <v>4.8999999999999998E-4</v>
      </c>
      <c r="F34">
        <v>5.4000000000000001E-4</v>
      </c>
      <c r="G34">
        <v>5.9000000000000003E-4</v>
      </c>
      <c r="H34">
        <v>6.6E-4</v>
      </c>
      <c r="I34">
        <v>7.6000000000000004E-4</v>
      </c>
      <c r="J34">
        <v>9.1E-4</v>
      </c>
      <c r="K34">
        <v>1.06E-3</v>
      </c>
      <c r="L34">
        <v>1.16E-3</v>
      </c>
      <c r="M34">
        <v>1.25E-3</v>
      </c>
      <c r="N34">
        <v>1.39E-3</v>
      </c>
      <c r="O34">
        <v>1.5200000000000001E-3</v>
      </c>
      <c r="P34">
        <v>1.6999999999999999E-3</v>
      </c>
      <c r="Q34">
        <v>1.91E-3</v>
      </c>
      <c r="R34">
        <v>2.1199999999999999E-3</v>
      </c>
      <c r="S34">
        <v>2.3E-3</v>
      </c>
      <c r="T34">
        <v>2.5000000000000001E-3</v>
      </c>
      <c r="U34">
        <v>2.7200000000000002E-3</v>
      </c>
      <c r="V34">
        <v>3.0000000000000001E-3</v>
      </c>
      <c r="W34">
        <v>3.32E-3</v>
      </c>
      <c r="X34">
        <v>3.6700000000000001E-3</v>
      </c>
      <c r="Y34">
        <v>4.0400000000000002E-3</v>
      </c>
      <c r="Z34">
        <v>4.3899999999999998E-3</v>
      </c>
      <c r="AA34">
        <v>4.7800000000000004E-3</v>
      </c>
      <c r="AB34" s="4">
        <v>57</v>
      </c>
    </row>
    <row r="35" spans="1:28">
      <c r="A35" s="3">
        <v>33</v>
      </c>
      <c r="B35">
        <v>2.4000000000000001E-4</v>
      </c>
      <c r="C35">
        <v>3.1E-4</v>
      </c>
      <c r="D35">
        <v>4.4000000000000002E-4</v>
      </c>
      <c r="E35">
        <v>5.1999999999999995E-4</v>
      </c>
      <c r="F35">
        <v>5.8E-4</v>
      </c>
      <c r="G35">
        <v>6.4000000000000005E-4</v>
      </c>
      <c r="H35">
        <v>7.2999999999999996E-4</v>
      </c>
      <c r="I35">
        <v>8.4000000000000003E-4</v>
      </c>
      <c r="J35">
        <v>1E-3</v>
      </c>
      <c r="K35">
        <v>1.14E-3</v>
      </c>
      <c r="L35">
        <v>1.24E-3</v>
      </c>
      <c r="M35">
        <v>1.32E-3</v>
      </c>
      <c r="N35">
        <v>1.4499999999999999E-3</v>
      </c>
      <c r="O35">
        <v>1.6299999999999999E-3</v>
      </c>
      <c r="P35">
        <v>1.83E-3</v>
      </c>
      <c r="Q35">
        <v>2.0500000000000002E-3</v>
      </c>
      <c r="R35">
        <v>2.2799999999999999E-3</v>
      </c>
      <c r="S35">
        <v>2.48E-3</v>
      </c>
      <c r="T35">
        <v>2.7200000000000002E-3</v>
      </c>
      <c r="U35">
        <v>2.97E-3</v>
      </c>
      <c r="V35">
        <v>3.29E-3</v>
      </c>
      <c r="W35">
        <v>3.65E-3</v>
      </c>
      <c r="X35">
        <v>4.0400000000000002E-3</v>
      </c>
      <c r="Y35">
        <v>4.3899999999999998E-3</v>
      </c>
      <c r="Z35">
        <v>4.7800000000000004E-3</v>
      </c>
      <c r="AA35">
        <v>5.2199999999999998E-3</v>
      </c>
      <c r="AB35" s="4">
        <v>58</v>
      </c>
    </row>
    <row r="36" spans="1:28">
      <c r="A36" s="3">
        <v>34</v>
      </c>
      <c r="B36">
        <v>2.4000000000000001E-4</v>
      </c>
      <c r="C36">
        <v>3.3E-4</v>
      </c>
      <c r="D36">
        <v>4.6999999999999999E-4</v>
      </c>
      <c r="E36">
        <v>5.4000000000000001E-4</v>
      </c>
      <c r="F36">
        <v>6.0999999999999997E-4</v>
      </c>
      <c r="G36">
        <v>6.9999999999999999E-4</v>
      </c>
      <c r="H36">
        <v>8.0000000000000004E-4</v>
      </c>
      <c r="I36">
        <v>9.3000000000000005E-4</v>
      </c>
      <c r="J36">
        <v>1.08E-3</v>
      </c>
      <c r="K36">
        <v>1.2199999999999999E-3</v>
      </c>
      <c r="L36">
        <v>1.2800000000000001E-3</v>
      </c>
      <c r="M36">
        <v>1.3799999999999999E-3</v>
      </c>
      <c r="N36">
        <v>1.56E-3</v>
      </c>
      <c r="O36">
        <v>1.7600000000000001E-3</v>
      </c>
      <c r="P36">
        <v>1.97E-3</v>
      </c>
      <c r="Q36">
        <v>2.2100000000000002E-3</v>
      </c>
      <c r="R36">
        <v>2.4599999999999999E-3</v>
      </c>
      <c r="S36">
        <v>2.6900000000000001E-3</v>
      </c>
      <c r="T36">
        <v>2.96E-3</v>
      </c>
      <c r="U36">
        <v>3.2599999999999999E-3</v>
      </c>
      <c r="V36">
        <v>3.62E-3</v>
      </c>
      <c r="W36">
        <v>4.0200000000000001E-3</v>
      </c>
      <c r="X36">
        <v>4.3899999999999998E-3</v>
      </c>
      <c r="Y36">
        <v>4.7800000000000004E-3</v>
      </c>
      <c r="Z36">
        <v>5.2199999999999998E-3</v>
      </c>
      <c r="AA36">
        <v>5.7400000000000003E-3</v>
      </c>
      <c r="AB36" s="4">
        <v>59</v>
      </c>
    </row>
    <row r="37" spans="1:28">
      <c r="A37" s="3">
        <v>35</v>
      </c>
      <c r="B37">
        <v>2.5000000000000001E-4</v>
      </c>
      <c r="C37">
        <v>3.4000000000000002E-4</v>
      </c>
      <c r="D37">
        <v>5.0000000000000001E-4</v>
      </c>
      <c r="E37">
        <v>5.8E-4</v>
      </c>
      <c r="F37">
        <v>6.7000000000000002E-4</v>
      </c>
      <c r="G37">
        <v>7.6000000000000004E-4</v>
      </c>
      <c r="H37">
        <v>8.5999999999999998E-4</v>
      </c>
      <c r="I37">
        <v>1.0200000000000001E-3</v>
      </c>
      <c r="J37">
        <v>1.16E-3</v>
      </c>
      <c r="K37">
        <v>1.2600000000000001E-3</v>
      </c>
      <c r="L37">
        <v>1.34E-3</v>
      </c>
      <c r="M37">
        <v>1.5E-3</v>
      </c>
      <c r="N37">
        <v>1.6900000000000001E-3</v>
      </c>
      <c r="O37">
        <v>1.91E-3</v>
      </c>
      <c r="P37">
        <v>2.1299999999999999E-3</v>
      </c>
      <c r="Q37">
        <v>2.3900000000000002E-3</v>
      </c>
      <c r="R37">
        <v>2.65E-3</v>
      </c>
      <c r="S37">
        <v>2.9099999999999998E-3</v>
      </c>
      <c r="T37">
        <v>3.2200000000000002E-3</v>
      </c>
      <c r="U37">
        <v>3.5599999999999998E-3</v>
      </c>
      <c r="V37">
        <v>3.9699999999999996E-3</v>
      </c>
      <c r="W37">
        <v>4.3899999999999998E-3</v>
      </c>
      <c r="X37">
        <v>4.7800000000000004E-3</v>
      </c>
      <c r="Y37">
        <v>5.2199999999999998E-3</v>
      </c>
      <c r="Z37">
        <v>5.7400000000000003E-3</v>
      </c>
      <c r="AA37">
        <v>6.3299999999999997E-3</v>
      </c>
      <c r="AB37" s="4">
        <v>60</v>
      </c>
    </row>
    <row r="38" spans="1:28">
      <c r="A38" s="3">
        <v>36</v>
      </c>
      <c r="B38">
        <v>2.5000000000000001E-4</v>
      </c>
      <c r="C38">
        <v>3.6000000000000002E-4</v>
      </c>
      <c r="D38">
        <v>5.4000000000000001E-4</v>
      </c>
      <c r="E38">
        <v>6.2E-4</v>
      </c>
      <c r="F38">
        <v>7.2000000000000005E-4</v>
      </c>
      <c r="G38">
        <v>8.3000000000000001E-4</v>
      </c>
      <c r="H38">
        <v>9.5E-4</v>
      </c>
      <c r="I38">
        <v>1.1000000000000001E-3</v>
      </c>
      <c r="J38">
        <v>1.2099999999999999E-3</v>
      </c>
      <c r="K38">
        <v>1.2999999999999999E-3</v>
      </c>
      <c r="L38">
        <v>1.4599999999999999E-3</v>
      </c>
      <c r="M38">
        <v>1.6299999999999999E-3</v>
      </c>
      <c r="N38">
        <v>1.8400000000000001E-3</v>
      </c>
      <c r="O38">
        <v>2.0699999999999998E-3</v>
      </c>
      <c r="P38">
        <v>2.3E-3</v>
      </c>
      <c r="Q38">
        <v>2.5799999999999998E-3</v>
      </c>
      <c r="R38">
        <v>2.8700000000000002E-3</v>
      </c>
      <c r="S38">
        <v>3.16E-3</v>
      </c>
      <c r="T38">
        <v>3.5000000000000001E-3</v>
      </c>
      <c r="U38">
        <v>3.8999999999999998E-3</v>
      </c>
      <c r="V38">
        <v>4.3699999999999998E-3</v>
      </c>
      <c r="W38">
        <v>4.7800000000000004E-3</v>
      </c>
      <c r="X38">
        <v>5.2199999999999998E-3</v>
      </c>
      <c r="Y38">
        <v>5.7400000000000003E-3</v>
      </c>
      <c r="Z38">
        <v>6.3299999999999997E-3</v>
      </c>
      <c r="AA38">
        <v>7.0200000000000002E-3</v>
      </c>
      <c r="AB38" s="4">
        <v>61</v>
      </c>
    </row>
    <row r="39" spans="1:28">
      <c r="A39" s="3">
        <v>37</v>
      </c>
      <c r="B39">
        <v>2.5999999999999998E-4</v>
      </c>
      <c r="C39">
        <v>3.8000000000000002E-4</v>
      </c>
      <c r="D39">
        <v>5.8E-4</v>
      </c>
      <c r="E39">
        <v>6.8999999999999997E-4</v>
      </c>
      <c r="F39">
        <v>8.0000000000000004E-4</v>
      </c>
      <c r="G39">
        <v>8.9999999999999998E-4</v>
      </c>
      <c r="H39">
        <v>1.0399999999999999E-3</v>
      </c>
      <c r="I39">
        <v>1.17E-3</v>
      </c>
      <c r="J39">
        <v>1.25E-3</v>
      </c>
      <c r="K39">
        <v>1.42E-3</v>
      </c>
      <c r="L39">
        <v>1.5900000000000001E-3</v>
      </c>
      <c r="M39">
        <v>1.7700000000000001E-3</v>
      </c>
      <c r="N39">
        <v>2E-3</v>
      </c>
      <c r="O39">
        <v>2.2399999999999998E-3</v>
      </c>
      <c r="P39">
        <v>2.49E-3</v>
      </c>
      <c r="Q39">
        <v>2.7799999999999999E-3</v>
      </c>
      <c r="R39">
        <v>3.0999999999999999E-3</v>
      </c>
      <c r="S39">
        <v>3.4199999999999999E-3</v>
      </c>
      <c r="T39">
        <v>3.82E-3</v>
      </c>
      <c r="U39">
        <v>4.28E-3</v>
      </c>
      <c r="V39">
        <v>4.7800000000000004E-3</v>
      </c>
      <c r="W39">
        <v>5.2199999999999998E-3</v>
      </c>
      <c r="X39">
        <v>5.7400000000000003E-3</v>
      </c>
      <c r="Y39">
        <v>6.3299999999999997E-3</v>
      </c>
      <c r="Z39">
        <v>7.0200000000000002E-3</v>
      </c>
      <c r="AA39">
        <v>7.79E-3</v>
      </c>
      <c r="AB39" s="4">
        <v>62</v>
      </c>
    </row>
    <row r="40" spans="1:28">
      <c r="A40" s="3">
        <v>38</v>
      </c>
      <c r="B40">
        <v>2.7E-4</v>
      </c>
      <c r="C40">
        <v>4.2000000000000002E-4</v>
      </c>
      <c r="D40">
        <v>6.3000000000000003E-4</v>
      </c>
      <c r="E40">
        <v>7.3999999999999999E-4</v>
      </c>
      <c r="F40">
        <v>8.5999999999999998E-4</v>
      </c>
      <c r="G40">
        <v>9.8999999999999999E-4</v>
      </c>
      <c r="H40">
        <v>1.1199999999999999E-3</v>
      </c>
      <c r="I40">
        <v>1.1999999999999999E-3</v>
      </c>
      <c r="J40">
        <v>1.3600000000000001E-3</v>
      </c>
      <c r="K40">
        <v>1.56E-3</v>
      </c>
      <c r="L40">
        <v>1.74E-3</v>
      </c>
      <c r="M40">
        <v>1.9400000000000001E-3</v>
      </c>
      <c r="N40">
        <v>2.1800000000000001E-3</v>
      </c>
      <c r="O40">
        <v>2.4399999999999999E-3</v>
      </c>
      <c r="P40">
        <v>2.7100000000000002E-3</v>
      </c>
      <c r="Q40">
        <v>3.0300000000000001E-3</v>
      </c>
      <c r="R40">
        <v>3.3700000000000002E-3</v>
      </c>
      <c r="S40">
        <v>3.7499999999999999E-3</v>
      </c>
      <c r="T40">
        <v>4.2100000000000002E-3</v>
      </c>
      <c r="U40">
        <v>4.7299999999999998E-3</v>
      </c>
      <c r="V40">
        <v>5.2199999999999998E-3</v>
      </c>
      <c r="W40">
        <v>5.7400000000000003E-3</v>
      </c>
      <c r="X40">
        <v>6.3299999999999997E-3</v>
      </c>
      <c r="Y40">
        <v>7.0200000000000002E-3</v>
      </c>
      <c r="Z40">
        <v>7.77E-3</v>
      </c>
      <c r="AA40">
        <v>8.6599999999999993E-3</v>
      </c>
      <c r="AB40" s="4">
        <v>63</v>
      </c>
    </row>
    <row r="41" spans="1:28">
      <c r="A41" s="3">
        <v>39</v>
      </c>
      <c r="B41">
        <v>2.9E-4</v>
      </c>
      <c r="C41">
        <v>4.8000000000000001E-4</v>
      </c>
      <c r="D41">
        <v>6.8999999999999997E-4</v>
      </c>
      <c r="E41">
        <v>8.0999999999999996E-4</v>
      </c>
      <c r="F41">
        <v>9.3000000000000005E-4</v>
      </c>
      <c r="G41">
        <v>1.06E-3</v>
      </c>
      <c r="H41">
        <v>1.16E-3</v>
      </c>
      <c r="I41">
        <v>1.32E-3</v>
      </c>
      <c r="J41">
        <v>1.5E-3</v>
      </c>
      <c r="K41">
        <v>1.7099999999999999E-3</v>
      </c>
      <c r="L41">
        <v>1.92E-3</v>
      </c>
      <c r="M41">
        <v>2.1299999999999999E-3</v>
      </c>
      <c r="N41">
        <v>2.3999999999999998E-3</v>
      </c>
      <c r="O41">
        <v>2.6800000000000001E-3</v>
      </c>
      <c r="P41">
        <v>2.97E-3</v>
      </c>
      <c r="Q41">
        <v>3.31E-3</v>
      </c>
      <c r="R41">
        <v>3.7000000000000002E-3</v>
      </c>
      <c r="S41">
        <v>4.13E-3</v>
      </c>
      <c r="T41">
        <v>4.6699999999999997E-3</v>
      </c>
      <c r="U41">
        <v>5.2199999999999998E-3</v>
      </c>
      <c r="V41">
        <v>5.7400000000000003E-3</v>
      </c>
      <c r="W41">
        <v>6.3299999999999997E-3</v>
      </c>
      <c r="X41">
        <v>7.0200000000000002E-3</v>
      </c>
      <c r="Y41">
        <v>7.7600000000000004E-3</v>
      </c>
      <c r="Z41">
        <v>8.6499999999999997E-3</v>
      </c>
      <c r="AA41">
        <v>9.6200000000000001E-3</v>
      </c>
      <c r="AB41" s="4">
        <v>64</v>
      </c>
    </row>
    <row r="42" spans="1:28">
      <c r="A42" s="3">
        <v>40</v>
      </c>
      <c r="B42">
        <v>3.1E-4</v>
      </c>
      <c r="C42">
        <v>5.4000000000000001E-4</v>
      </c>
      <c r="D42">
        <v>7.6000000000000004E-4</v>
      </c>
      <c r="E42">
        <v>8.8000000000000003E-4</v>
      </c>
      <c r="F42">
        <v>1.01E-3</v>
      </c>
      <c r="G42">
        <v>1.1199999999999999E-3</v>
      </c>
      <c r="H42">
        <v>1.2700000000000001E-3</v>
      </c>
      <c r="I42">
        <v>1.4400000000000001E-3</v>
      </c>
      <c r="J42">
        <v>1.65E-3</v>
      </c>
      <c r="K42">
        <v>1.89E-3</v>
      </c>
      <c r="L42">
        <v>2.1099999999999999E-3</v>
      </c>
      <c r="M42">
        <v>2.3400000000000001E-3</v>
      </c>
      <c r="N42">
        <v>2.64E-3</v>
      </c>
      <c r="O42">
        <v>2.9499999999999999E-3</v>
      </c>
      <c r="P42">
        <v>3.2699999999999999E-3</v>
      </c>
      <c r="Q42">
        <v>3.64E-3</v>
      </c>
      <c r="R42">
        <v>4.0800000000000003E-3</v>
      </c>
      <c r="S42">
        <v>4.5900000000000003E-3</v>
      </c>
      <c r="T42">
        <v>5.2100000000000002E-3</v>
      </c>
      <c r="U42">
        <v>5.7400000000000003E-3</v>
      </c>
      <c r="V42">
        <v>6.3299999999999997E-3</v>
      </c>
      <c r="W42">
        <v>7.0200000000000002E-3</v>
      </c>
      <c r="X42">
        <v>7.7400000000000004E-3</v>
      </c>
      <c r="Y42">
        <v>8.5900000000000004E-3</v>
      </c>
      <c r="Z42">
        <v>9.5899999999999996E-3</v>
      </c>
      <c r="AA42">
        <v>1.064E-2</v>
      </c>
      <c r="AB42" s="4">
        <v>65</v>
      </c>
    </row>
    <row r="43" spans="1:28">
      <c r="A43" s="3">
        <v>41</v>
      </c>
      <c r="B43">
        <v>3.5E-4</v>
      </c>
      <c r="C43">
        <v>5.9999999999999995E-4</v>
      </c>
      <c r="D43">
        <v>8.1999999999999998E-4</v>
      </c>
      <c r="E43">
        <v>9.5E-4</v>
      </c>
      <c r="F43">
        <v>1.07E-3</v>
      </c>
      <c r="G43">
        <v>1.2199999999999999E-3</v>
      </c>
      <c r="H43">
        <v>1.39E-3</v>
      </c>
      <c r="I43">
        <v>1.58E-3</v>
      </c>
      <c r="J43">
        <v>1.82E-3</v>
      </c>
      <c r="K43">
        <v>2.0799999999999998E-3</v>
      </c>
      <c r="L43">
        <v>2.32E-3</v>
      </c>
      <c r="M43">
        <v>2.5799999999999998E-3</v>
      </c>
      <c r="N43">
        <v>2.9099999999999998E-3</v>
      </c>
      <c r="O43">
        <v>3.2499999999999999E-3</v>
      </c>
      <c r="P43">
        <v>3.6099999999999999E-3</v>
      </c>
      <c r="Q43">
        <v>4.0200000000000001E-3</v>
      </c>
      <c r="R43">
        <v>4.5300000000000002E-3</v>
      </c>
      <c r="S43">
        <v>5.1700000000000001E-3</v>
      </c>
      <c r="T43">
        <v>5.7400000000000003E-3</v>
      </c>
      <c r="U43">
        <v>6.3299999999999997E-3</v>
      </c>
      <c r="V43">
        <v>7.0200000000000002E-3</v>
      </c>
      <c r="W43">
        <v>7.7400000000000004E-3</v>
      </c>
      <c r="X43">
        <v>8.5299999999999994E-3</v>
      </c>
      <c r="Y43">
        <v>9.5200000000000007E-3</v>
      </c>
      <c r="Z43">
        <v>1.057E-2</v>
      </c>
      <c r="AA43">
        <v>1.1730000000000001E-2</v>
      </c>
      <c r="AB43" s="4">
        <v>66</v>
      </c>
    </row>
    <row r="44" spans="1:28">
      <c r="A44" s="3">
        <v>42</v>
      </c>
      <c r="B44">
        <v>3.8999999999999999E-4</v>
      </c>
      <c r="C44">
        <v>6.7000000000000002E-4</v>
      </c>
      <c r="D44">
        <v>8.7000000000000001E-4</v>
      </c>
      <c r="E44">
        <v>1.01E-3</v>
      </c>
      <c r="F44">
        <v>1.17E-3</v>
      </c>
      <c r="G44">
        <v>1.33E-3</v>
      </c>
      <c r="H44">
        <v>1.5200000000000001E-3</v>
      </c>
      <c r="I44">
        <v>1.74E-3</v>
      </c>
      <c r="J44">
        <v>2E-3</v>
      </c>
      <c r="K44">
        <v>2.2799999999999999E-3</v>
      </c>
      <c r="L44">
        <v>2.5400000000000002E-3</v>
      </c>
      <c r="M44">
        <v>2.8300000000000001E-3</v>
      </c>
      <c r="N44">
        <v>3.2100000000000002E-3</v>
      </c>
      <c r="O44">
        <v>3.5899999999999999E-3</v>
      </c>
      <c r="P44">
        <v>3.9899999999999996E-3</v>
      </c>
      <c r="Q44">
        <v>4.47E-3</v>
      </c>
      <c r="R44">
        <v>5.1200000000000004E-3</v>
      </c>
      <c r="S44">
        <v>5.7400000000000003E-3</v>
      </c>
      <c r="T44">
        <v>6.3299999999999997E-3</v>
      </c>
      <c r="U44">
        <v>7.0200000000000002E-3</v>
      </c>
      <c r="V44">
        <v>7.7400000000000004E-3</v>
      </c>
      <c r="W44">
        <v>8.5000000000000006E-3</v>
      </c>
      <c r="X44">
        <v>9.3900000000000008E-3</v>
      </c>
      <c r="Y44">
        <v>1.0449999999999999E-2</v>
      </c>
      <c r="Z44">
        <v>1.162E-2</v>
      </c>
      <c r="AA44">
        <v>1.2880000000000001E-2</v>
      </c>
      <c r="AB44" s="4">
        <v>67</v>
      </c>
    </row>
    <row r="45" spans="1:28">
      <c r="A45" s="3">
        <v>43</v>
      </c>
      <c r="B45">
        <v>4.4000000000000002E-4</v>
      </c>
      <c r="C45">
        <v>7.2000000000000005E-4</v>
      </c>
      <c r="D45">
        <v>9.2000000000000003E-4</v>
      </c>
      <c r="E45">
        <v>1.1000000000000001E-3</v>
      </c>
      <c r="F45">
        <v>1.2800000000000001E-3</v>
      </c>
      <c r="G45">
        <v>1.4499999999999999E-3</v>
      </c>
      <c r="H45">
        <v>1.66E-3</v>
      </c>
      <c r="I45">
        <v>1.91E-3</v>
      </c>
      <c r="J45">
        <v>2.1900000000000001E-3</v>
      </c>
      <c r="K45">
        <v>2.49E-3</v>
      </c>
      <c r="L45">
        <v>2.7799999999999999E-3</v>
      </c>
      <c r="M45">
        <v>3.1199999999999999E-3</v>
      </c>
      <c r="N45">
        <v>3.5400000000000002E-3</v>
      </c>
      <c r="O45">
        <v>3.9699999999999996E-3</v>
      </c>
      <c r="P45">
        <v>4.4299999999999999E-3</v>
      </c>
      <c r="Q45">
        <v>5.0299999999999997E-3</v>
      </c>
      <c r="R45">
        <v>5.7000000000000002E-3</v>
      </c>
      <c r="S45">
        <v>6.3299999999999997E-3</v>
      </c>
      <c r="T45">
        <v>7.0200000000000002E-3</v>
      </c>
      <c r="U45">
        <v>7.7400000000000004E-3</v>
      </c>
      <c r="V45">
        <v>8.4899999999999993E-3</v>
      </c>
      <c r="W45">
        <v>9.3299999999999998E-3</v>
      </c>
      <c r="X45">
        <v>1.0359999999999999E-2</v>
      </c>
      <c r="Y45">
        <v>1.154E-2</v>
      </c>
      <c r="Z45">
        <v>1.278E-2</v>
      </c>
      <c r="AA45">
        <v>1.413E-2</v>
      </c>
      <c r="AB45" s="4">
        <v>68</v>
      </c>
    </row>
    <row r="46" spans="1:28">
      <c r="A46" s="3">
        <v>44</v>
      </c>
      <c r="B46">
        <v>5.0000000000000001E-4</v>
      </c>
      <c r="C46">
        <v>7.6999999999999996E-4</v>
      </c>
      <c r="D46">
        <v>9.8999999999999999E-4</v>
      </c>
      <c r="E46">
        <v>1.1999999999999999E-3</v>
      </c>
      <c r="F46">
        <v>1.39E-3</v>
      </c>
      <c r="G46">
        <v>1.5900000000000001E-3</v>
      </c>
      <c r="H46">
        <v>1.83E-3</v>
      </c>
      <c r="I46">
        <v>2.1099999999999999E-3</v>
      </c>
      <c r="J46">
        <v>2.3999999999999998E-3</v>
      </c>
      <c r="K46">
        <v>2.7200000000000002E-3</v>
      </c>
      <c r="L46">
        <v>3.0500000000000002E-3</v>
      </c>
      <c r="M46">
        <v>3.4499999999999999E-3</v>
      </c>
      <c r="N46">
        <v>3.9300000000000003E-3</v>
      </c>
      <c r="O46">
        <v>4.4000000000000003E-3</v>
      </c>
      <c r="P46">
        <v>4.9399999999999999E-3</v>
      </c>
      <c r="Q46">
        <v>5.6100000000000004E-3</v>
      </c>
      <c r="R46">
        <v>6.3299999999999997E-3</v>
      </c>
      <c r="S46">
        <v>7.0200000000000002E-3</v>
      </c>
      <c r="T46">
        <v>7.7400000000000004E-3</v>
      </c>
      <c r="U46">
        <v>8.4899999999999993E-3</v>
      </c>
      <c r="V46">
        <v>9.2899999999999996E-3</v>
      </c>
      <c r="W46">
        <v>1.03E-2</v>
      </c>
      <c r="X46">
        <v>1.1469999999999999E-2</v>
      </c>
      <c r="Y46">
        <v>1.273E-2</v>
      </c>
      <c r="Z46">
        <v>1.405E-2</v>
      </c>
      <c r="AA46">
        <v>1.553E-2</v>
      </c>
      <c r="AB46" s="4">
        <v>69</v>
      </c>
    </row>
    <row r="47" spans="1:28">
      <c r="A47" s="3">
        <v>45</v>
      </c>
      <c r="B47">
        <v>5.5000000000000003E-4</v>
      </c>
      <c r="C47">
        <v>8.1999999999999998E-4</v>
      </c>
      <c r="D47">
        <v>1.08E-3</v>
      </c>
      <c r="E47">
        <v>1.32E-3</v>
      </c>
      <c r="F47">
        <v>1.5200000000000001E-3</v>
      </c>
      <c r="G47">
        <v>1.74E-3</v>
      </c>
      <c r="H47">
        <v>2.0200000000000001E-3</v>
      </c>
      <c r="I47">
        <v>2.32E-3</v>
      </c>
      <c r="J47">
        <v>2.63E-3</v>
      </c>
      <c r="K47">
        <v>2.99E-3</v>
      </c>
      <c r="L47">
        <v>3.3700000000000002E-3</v>
      </c>
      <c r="M47">
        <v>3.8300000000000001E-3</v>
      </c>
      <c r="N47">
        <v>4.3600000000000002E-3</v>
      </c>
      <c r="O47">
        <v>4.8900000000000002E-3</v>
      </c>
      <c r="P47">
        <v>5.4999999999999997E-3</v>
      </c>
      <c r="Q47">
        <v>6.2500000000000003E-3</v>
      </c>
      <c r="R47">
        <v>7.0200000000000002E-3</v>
      </c>
      <c r="S47">
        <v>7.7400000000000004E-3</v>
      </c>
      <c r="T47">
        <v>8.4899999999999993E-3</v>
      </c>
      <c r="U47">
        <v>9.2899999999999996E-3</v>
      </c>
      <c r="V47">
        <v>1.022E-2</v>
      </c>
      <c r="W47">
        <v>1.1440000000000001E-2</v>
      </c>
      <c r="X47">
        <v>1.273E-2</v>
      </c>
      <c r="Y47">
        <v>1.405E-2</v>
      </c>
      <c r="Z47">
        <v>1.5509999999999999E-2</v>
      </c>
      <c r="AA47">
        <v>1.7160000000000002E-2</v>
      </c>
      <c r="AB47" s="4">
        <v>70</v>
      </c>
    </row>
    <row r="48" spans="1:28">
      <c r="A48" s="3">
        <v>46</v>
      </c>
      <c r="B48">
        <v>6.0999999999999997E-4</v>
      </c>
      <c r="C48">
        <v>8.8000000000000003E-4</v>
      </c>
      <c r="D48">
        <v>1.17E-3</v>
      </c>
      <c r="E48">
        <v>1.4400000000000001E-3</v>
      </c>
      <c r="F48">
        <v>1.67E-3</v>
      </c>
      <c r="G48">
        <v>1.9300000000000001E-3</v>
      </c>
      <c r="H48">
        <v>2.2399999999999998E-3</v>
      </c>
      <c r="I48">
        <v>2.5600000000000002E-3</v>
      </c>
      <c r="J48">
        <v>2.8900000000000002E-3</v>
      </c>
      <c r="K48">
        <v>3.3E-3</v>
      </c>
      <c r="L48">
        <v>3.7499999999999999E-3</v>
      </c>
      <c r="M48">
        <v>4.2700000000000004E-3</v>
      </c>
      <c r="N48">
        <v>4.8399999999999997E-3</v>
      </c>
      <c r="O48">
        <v>5.4299999999999999E-3</v>
      </c>
      <c r="P48">
        <v>6.11E-3</v>
      </c>
      <c r="Q48">
        <v>6.9199999999999999E-3</v>
      </c>
      <c r="R48">
        <v>7.7400000000000004E-3</v>
      </c>
      <c r="S48">
        <v>8.4899999999999993E-3</v>
      </c>
      <c r="T48">
        <v>9.2899999999999996E-3</v>
      </c>
      <c r="U48">
        <v>1.022E-2</v>
      </c>
      <c r="V48">
        <v>1.132E-2</v>
      </c>
      <c r="W48">
        <v>1.2710000000000001E-2</v>
      </c>
      <c r="X48">
        <v>1.405E-2</v>
      </c>
      <c r="Y48">
        <v>1.5509999999999999E-2</v>
      </c>
      <c r="Z48">
        <v>1.7160000000000002E-2</v>
      </c>
      <c r="AA48">
        <v>1.9089999999999999E-2</v>
      </c>
      <c r="AB48" s="4">
        <v>71</v>
      </c>
    </row>
    <row r="49" spans="1:28">
      <c r="A49" s="3">
        <v>47</v>
      </c>
      <c r="B49">
        <v>6.7000000000000002E-4</v>
      </c>
      <c r="C49">
        <v>9.3999999999999997E-4</v>
      </c>
      <c r="D49">
        <v>1.2800000000000001E-3</v>
      </c>
      <c r="E49">
        <v>1.5900000000000001E-3</v>
      </c>
      <c r="F49">
        <v>1.8500000000000001E-3</v>
      </c>
      <c r="G49">
        <v>2.16E-3</v>
      </c>
      <c r="H49">
        <v>2.5000000000000001E-3</v>
      </c>
      <c r="I49">
        <v>2.82E-3</v>
      </c>
      <c r="J49">
        <v>3.1900000000000001E-3</v>
      </c>
      <c r="K49">
        <v>3.6700000000000001E-3</v>
      </c>
      <c r="L49">
        <v>4.1900000000000001E-3</v>
      </c>
      <c r="M49">
        <v>4.79E-3</v>
      </c>
      <c r="N49">
        <v>5.3800000000000002E-3</v>
      </c>
      <c r="O49">
        <v>6.0299999999999998E-3</v>
      </c>
      <c r="P49">
        <v>6.7799999999999996E-3</v>
      </c>
      <c r="Q49">
        <v>7.6600000000000001E-3</v>
      </c>
      <c r="R49">
        <v>8.4899999999999993E-3</v>
      </c>
      <c r="S49">
        <v>9.2899999999999996E-3</v>
      </c>
      <c r="T49">
        <v>1.022E-2</v>
      </c>
      <c r="U49">
        <v>1.128E-2</v>
      </c>
      <c r="V49">
        <v>1.255E-2</v>
      </c>
      <c r="W49">
        <v>1.405E-2</v>
      </c>
      <c r="X49">
        <v>1.5509999999999999E-2</v>
      </c>
      <c r="Y49">
        <v>1.7160000000000002E-2</v>
      </c>
      <c r="Z49">
        <v>1.9089999999999999E-2</v>
      </c>
      <c r="AA49">
        <v>2.1340000000000001E-2</v>
      </c>
      <c r="AB49" s="4">
        <v>72</v>
      </c>
    </row>
    <row r="50" spans="1:28">
      <c r="A50" s="3">
        <v>48</v>
      </c>
      <c r="B50">
        <v>7.2999999999999996E-4</v>
      </c>
      <c r="C50">
        <v>1E-3</v>
      </c>
      <c r="D50">
        <v>1.4E-3</v>
      </c>
      <c r="E50">
        <v>1.75E-3</v>
      </c>
      <c r="F50">
        <v>2.0600000000000002E-3</v>
      </c>
      <c r="G50">
        <v>2.4199999999999998E-3</v>
      </c>
      <c r="H50">
        <v>2.7699999999999999E-3</v>
      </c>
      <c r="I50">
        <v>3.1099999999999999E-3</v>
      </c>
      <c r="J50">
        <v>3.5300000000000002E-3</v>
      </c>
      <c r="K50">
        <v>4.1000000000000003E-3</v>
      </c>
      <c r="L50">
        <v>4.7600000000000003E-3</v>
      </c>
      <c r="M50">
        <v>5.3400000000000001E-3</v>
      </c>
      <c r="N50">
        <v>5.9699999999999996E-3</v>
      </c>
      <c r="O50">
        <v>6.6699999999999997E-3</v>
      </c>
      <c r="P50">
        <v>7.5100000000000002E-3</v>
      </c>
      <c r="Q50">
        <v>8.4600000000000005E-3</v>
      </c>
      <c r="R50">
        <v>9.2899999999999996E-3</v>
      </c>
      <c r="S50">
        <v>1.022E-2</v>
      </c>
      <c r="T50">
        <v>1.128E-2</v>
      </c>
      <c r="U50">
        <v>1.247E-2</v>
      </c>
      <c r="V50">
        <v>1.3950000000000001E-2</v>
      </c>
      <c r="W50">
        <v>1.5509999999999999E-2</v>
      </c>
      <c r="X50">
        <v>1.7160000000000002E-2</v>
      </c>
      <c r="Y50">
        <v>1.9089999999999999E-2</v>
      </c>
      <c r="Z50">
        <v>2.1340000000000001E-2</v>
      </c>
      <c r="AA50">
        <v>2.3939999999999999E-2</v>
      </c>
      <c r="AB50" s="4">
        <v>73</v>
      </c>
    </row>
    <row r="51" spans="1:28">
      <c r="A51" s="3">
        <v>49</v>
      </c>
      <c r="B51">
        <v>7.7999999999999999E-4</v>
      </c>
      <c r="C51">
        <v>1.09E-3</v>
      </c>
      <c r="D51">
        <v>1.5399999999999999E-3</v>
      </c>
      <c r="E51">
        <v>1.9400000000000001E-3</v>
      </c>
      <c r="F51">
        <v>2.31E-3</v>
      </c>
      <c r="G51">
        <v>2.7000000000000001E-3</v>
      </c>
      <c r="H51">
        <v>3.0500000000000002E-3</v>
      </c>
      <c r="I51">
        <v>3.4199999999999999E-3</v>
      </c>
      <c r="J51">
        <v>3.9300000000000003E-3</v>
      </c>
      <c r="K51">
        <v>4.7200000000000002E-3</v>
      </c>
      <c r="L51">
        <v>5.3299999999999997E-3</v>
      </c>
      <c r="M51">
        <v>5.9199999999999999E-3</v>
      </c>
      <c r="N51">
        <v>6.5900000000000004E-3</v>
      </c>
      <c r="O51">
        <v>7.3699999999999998E-3</v>
      </c>
      <c r="P51">
        <v>8.2799999999999992E-3</v>
      </c>
      <c r="Q51">
        <v>9.2800000000000001E-3</v>
      </c>
      <c r="R51">
        <v>1.022E-2</v>
      </c>
      <c r="S51">
        <v>1.128E-2</v>
      </c>
      <c r="T51">
        <v>1.2460000000000001E-2</v>
      </c>
      <c r="U51">
        <v>1.3780000000000001E-2</v>
      </c>
      <c r="V51">
        <v>1.549E-2</v>
      </c>
      <c r="W51">
        <v>1.7160000000000002E-2</v>
      </c>
      <c r="X51">
        <v>1.9089999999999999E-2</v>
      </c>
      <c r="Y51">
        <v>2.1340000000000001E-2</v>
      </c>
      <c r="Z51">
        <v>2.3939999999999999E-2</v>
      </c>
      <c r="AA51">
        <v>2.6859999999999998E-2</v>
      </c>
      <c r="AB51" s="4">
        <v>74</v>
      </c>
    </row>
    <row r="52" spans="1:28">
      <c r="A52" s="3">
        <v>50</v>
      </c>
      <c r="B52">
        <v>8.1999999999999998E-4</v>
      </c>
      <c r="C52">
        <v>1.1999999999999999E-3</v>
      </c>
      <c r="D52">
        <v>1.7099999999999999E-3</v>
      </c>
      <c r="E52">
        <v>2.16E-3</v>
      </c>
      <c r="F52">
        <v>2.5899999999999999E-3</v>
      </c>
      <c r="G52">
        <v>2.99E-3</v>
      </c>
      <c r="H52">
        <v>3.3400000000000001E-3</v>
      </c>
      <c r="I52">
        <v>3.7699999999999999E-3</v>
      </c>
      <c r="J52">
        <v>4.5999999999999999E-3</v>
      </c>
      <c r="K52">
        <v>5.3E-3</v>
      </c>
      <c r="L52">
        <v>5.9199999999999999E-3</v>
      </c>
      <c r="M52">
        <v>6.5500000000000003E-3</v>
      </c>
      <c r="N52">
        <v>7.2700000000000004E-3</v>
      </c>
      <c r="O52">
        <v>8.1300000000000001E-3</v>
      </c>
      <c r="P52">
        <v>9.11E-3</v>
      </c>
      <c r="Q52">
        <v>1.021E-2</v>
      </c>
      <c r="R52">
        <v>1.128E-2</v>
      </c>
      <c r="S52">
        <v>1.2460000000000001E-2</v>
      </c>
      <c r="T52">
        <v>1.371E-2</v>
      </c>
      <c r="U52">
        <v>1.5259999999999999E-2</v>
      </c>
      <c r="V52">
        <v>1.7160000000000002E-2</v>
      </c>
      <c r="W52">
        <v>1.9089999999999999E-2</v>
      </c>
      <c r="X52">
        <v>2.1340000000000001E-2</v>
      </c>
      <c r="Y52">
        <v>2.3939999999999999E-2</v>
      </c>
      <c r="Z52">
        <v>2.6859999999999998E-2</v>
      </c>
      <c r="AA52">
        <v>3.006E-2</v>
      </c>
      <c r="AB52" s="4">
        <v>75</v>
      </c>
    </row>
    <row r="53" spans="1:28">
      <c r="A53" s="3">
        <v>51</v>
      </c>
      <c r="B53">
        <v>8.5999999999999998E-4</v>
      </c>
      <c r="C53">
        <v>1.34E-3</v>
      </c>
      <c r="D53">
        <v>1.91E-3</v>
      </c>
      <c r="E53">
        <v>2.4199999999999998E-3</v>
      </c>
      <c r="F53">
        <v>2.8900000000000002E-3</v>
      </c>
      <c r="G53">
        <v>3.2699999999999999E-3</v>
      </c>
      <c r="H53">
        <v>3.6900000000000001E-3</v>
      </c>
      <c r="I53">
        <v>4.4299999999999999E-3</v>
      </c>
      <c r="J53">
        <v>5.1599999999999997E-3</v>
      </c>
      <c r="K53">
        <v>5.8999999999999999E-3</v>
      </c>
      <c r="L53">
        <v>6.5500000000000003E-3</v>
      </c>
      <c r="M53">
        <v>7.2700000000000004E-3</v>
      </c>
      <c r="N53">
        <v>8.0300000000000007E-3</v>
      </c>
      <c r="O53">
        <v>8.9599999999999992E-3</v>
      </c>
      <c r="P53">
        <v>1.005E-2</v>
      </c>
      <c r="Q53">
        <v>1.128E-2</v>
      </c>
      <c r="R53">
        <v>1.2460000000000001E-2</v>
      </c>
      <c r="S53">
        <v>1.3690000000000001E-2</v>
      </c>
      <c r="T53">
        <v>1.511E-2</v>
      </c>
      <c r="U53">
        <v>1.6879999999999999E-2</v>
      </c>
      <c r="V53">
        <v>1.9089999999999999E-2</v>
      </c>
      <c r="W53">
        <v>2.1340000000000001E-2</v>
      </c>
      <c r="X53">
        <v>2.3939999999999999E-2</v>
      </c>
      <c r="Y53">
        <v>2.6859999999999998E-2</v>
      </c>
      <c r="Z53">
        <v>3.006E-2</v>
      </c>
      <c r="AA53">
        <v>3.3509999999999998E-2</v>
      </c>
      <c r="AB53" s="4">
        <v>76</v>
      </c>
    </row>
    <row r="54" spans="1:28">
      <c r="A54" s="3">
        <v>52</v>
      </c>
      <c r="B54">
        <v>8.9999999999999998E-4</v>
      </c>
      <c r="C54">
        <v>1.5E-3</v>
      </c>
      <c r="D54">
        <v>2.15E-3</v>
      </c>
      <c r="E54">
        <v>2.7299999999999998E-3</v>
      </c>
      <c r="F54">
        <v>3.2100000000000002E-3</v>
      </c>
      <c r="G54">
        <v>3.62E-3</v>
      </c>
      <c r="H54">
        <v>4.2599999999999999E-3</v>
      </c>
      <c r="I54">
        <v>4.9300000000000004E-3</v>
      </c>
      <c r="J54">
        <v>5.7299999999999999E-3</v>
      </c>
      <c r="K54">
        <v>6.5500000000000003E-3</v>
      </c>
      <c r="L54">
        <v>7.2700000000000004E-3</v>
      </c>
      <c r="M54">
        <v>8.0300000000000007E-3</v>
      </c>
      <c r="N54">
        <v>8.8699999999999994E-3</v>
      </c>
      <c r="O54">
        <v>9.9399999999999992E-3</v>
      </c>
      <c r="P54">
        <v>1.123E-2</v>
      </c>
      <c r="Q54">
        <v>1.2460000000000001E-2</v>
      </c>
      <c r="R54">
        <v>1.3690000000000001E-2</v>
      </c>
      <c r="S54">
        <v>1.5049999999999999E-2</v>
      </c>
      <c r="T54">
        <v>1.6750000000000001E-2</v>
      </c>
      <c r="U54">
        <v>1.8890000000000001E-2</v>
      </c>
      <c r="V54">
        <v>2.1329999999999998E-2</v>
      </c>
      <c r="W54">
        <v>2.393E-2</v>
      </c>
      <c r="X54">
        <v>2.665E-2</v>
      </c>
      <c r="Y54">
        <v>2.9940000000000001E-2</v>
      </c>
      <c r="Z54">
        <v>3.3419999999999998E-2</v>
      </c>
      <c r="AA54">
        <v>3.7220000000000003E-2</v>
      </c>
      <c r="AB54" s="4">
        <v>77</v>
      </c>
    </row>
    <row r="55" spans="1:28">
      <c r="A55" s="3">
        <v>53</v>
      </c>
      <c r="B55">
        <v>9.5E-4</v>
      </c>
      <c r="C55">
        <v>1.67E-3</v>
      </c>
      <c r="D55">
        <v>2.4099999999999998E-3</v>
      </c>
      <c r="E55">
        <v>3.0899999999999999E-3</v>
      </c>
      <c r="F55">
        <v>3.5699999999999998E-3</v>
      </c>
      <c r="G55">
        <v>4.1399999999999996E-3</v>
      </c>
      <c r="H55">
        <v>4.7400000000000003E-3</v>
      </c>
      <c r="I55">
        <v>5.5100000000000001E-3</v>
      </c>
      <c r="J55">
        <v>6.4200000000000004E-3</v>
      </c>
      <c r="K55">
        <v>7.2700000000000004E-3</v>
      </c>
      <c r="L55">
        <v>8.0300000000000007E-3</v>
      </c>
      <c r="M55">
        <v>8.8699999999999994E-3</v>
      </c>
      <c r="N55">
        <v>9.8499999999999994E-3</v>
      </c>
      <c r="O55">
        <v>1.116E-2</v>
      </c>
      <c r="P55">
        <v>1.2460000000000001E-2</v>
      </c>
      <c r="Q55">
        <v>1.3690000000000001E-2</v>
      </c>
      <c r="R55">
        <v>1.5049999999999999E-2</v>
      </c>
      <c r="S55">
        <v>1.6750000000000001E-2</v>
      </c>
      <c r="T55">
        <v>1.8769999999999998E-2</v>
      </c>
      <c r="U55">
        <v>2.1139999999999999E-2</v>
      </c>
      <c r="V55">
        <v>2.3869999999999999E-2</v>
      </c>
      <c r="W55">
        <v>2.657E-2</v>
      </c>
      <c r="X55">
        <v>2.9780000000000001E-2</v>
      </c>
      <c r="Y55">
        <v>3.32E-2</v>
      </c>
      <c r="Z55">
        <v>3.7039999999999997E-2</v>
      </c>
      <c r="AA55">
        <v>4.1250000000000002E-2</v>
      </c>
      <c r="AB55" s="4">
        <v>78</v>
      </c>
    </row>
    <row r="56" spans="1:28">
      <c r="A56" s="3">
        <v>54</v>
      </c>
      <c r="B56">
        <v>1.01E-3</v>
      </c>
      <c r="C56">
        <v>1.8500000000000001E-3</v>
      </c>
      <c r="D56">
        <v>2.7200000000000002E-3</v>
      </c>
      <c r="E56">
        <v>3.5100000000000001E-3</v>
      </c>
      <c r="F56">
        <v>4.0400000000000002E-3</v>
      </c>
      <c r="G56">
        <v>4.6100000000000004E-3</v>
      </c>
      <c r="H56">
        <v>5.3E-3</v>
      </c>
      <c r="I56">
        <v>6.1799999999999997E-3</v>
      </c>
      <c r="J56">
        <v>7.1700000000000002E-3</v>
      </c>
      <c r="K56">
        <v>8.0300000000000007E-3</v>
      </c>
      <c r="L56">
        <v>8.8699999999999994E-3</v>
      </c>
      <c r="M56">
        <v>9.8300000000000002E-3</v>
      </c>
      <c r="N56">
        <v>1.112E-2</v>
      </c>
      <c r="O56">
        <v>1.2460000000000001E-2</v>
      </c>
      <c r="P56">
        <v>1.3690000000000001E-2</v>
      </c>
      <c r="Q56">
        <v>1.5049999999999999E-2</v>
      </c>
      <c r="R56">
        <v>1.6750000000000001E-2</v>
      </c>
      <c r="S56">
        <v>1.8769999999999998E-2</v>
      </c>
      <c r="T56">
        <v>2.1139999999999999E-2</v>
      </c>
      <c r="U56">
        <v>2.3859999999999999E-2</v>
      </c>
      <c r="V56">
        <v>2.6550000000000001E-2</v>
      </c>
      <c r="W56">
        <v>2.9780000000000001E-2</v>
      </c>
      <c r="X56">
        <v>3.32E-2</v>
      </c>
      <c r="Y56">
        <v>3.7039999999999997E-2</v>
      </c>
      <c r="Z56">
        <v>4.1189999999999997E-2</v>
      </c>
      <c r="AA56">
        <v>4.5769999999999998E-2</v>
      </c>
      <c r="AB56" s="4">
        <v>79</v>
      </c>
    </row>
    <row r="57" spans="1:28">
      <c r="A57" s="3">
        <v>55</v>
      </c>
      <c r="B57">
        <v>1.07E-3</v>
      </c>
      <c r="C57">
        <v>2.0100000000000001E-3</v>
      </c>
      <c r="D57">
        <v>3.0699999999999998E-3</v>
      </c>
      <c r="E57">
        <v>3.9100000000000003E-3</v>
      </c>
      <c r="F57">
        <v>4.4799999999999996E-3</v>
      </c>
      <c r="G57">
        <v>5.0899999999999999E-3</v>
      </c>
      <c r="H57">
        <v>5.8900000000000003E-3</v>
      </c>
      <c r="I57">
        <v>6.9499999999999996E-3</v>
      </c>
      <c r="J57">
        <v>7.9900000000000006E-3</v>
      </c>
      <c r="K57">
        <v>8.8699999999999994E-3</v>
      </c>
      <c r="L57">
        <v>9.8300000000000002E-3</v>
      </c>
      <c r="M57">
        <v>1.1089999999999999E-2</v>
      </c>
      <c r="N57">
        <v>1.2460000000000001E-2</v>
      </c>
      <c r="O57">
        <v>1.3690000000000001E-2</v>
      </c>
      <c r="P57">
        <v>1.5049999999999999E-2</v>
      </c>
      <c r="Q57">
        <v>1.6750000000000001E-2</v>
      </c>
      <c r="R57">
        <v>1.8769999999999998E-2</v>
      </c>
      <c r="S57">
        <v>2.1139999999999999E-2</v>
      </c>
      <c r="T57">
        <v>2.3859999999999999E-2</v>
      </c>
      <c r="U57">
        <v>2.6550000000000001E-2</v>
      </c>
      <c r="V57">
        <v>2.9780000000000001E-2</v>
      </c>
      <c r="W57">
        <v>3.32E-2</v>
      </c>
      <c r="X57">
        <v>3.7039999999999997E-2</v>
      </c>
      <c r="Y57">
        <v>4.1189999999999997E-2</v>
      </c>
      <c r="Z57">
        <v>4.5769999999999998E-2</v>
      </c>
      <c r="AA57">
        <v>5.0909999999999997E-2</v>
      </c>
      <c r="AB57" s="4">
        <v>80</v>
      </c>
    </row>
    <row r="58" spans="1:28">
      <c r="A58" s="3">
        <v>56</v>
      </c>
      <c r="B58">
        <v>1.1900000000000001E-3</v>
      </c>
      <c r="C58">
        <v>2.15E-3</v>
      </c>
      <c r="D58">
        <v>3.4099999999999998E-3</v>
      </c>
      <c r="E58">
        <v>4.2900000000000004E-3</v>
      </c>
      <c r="F58">
        <v>4.8900000000000002E-3</v>
      </c>
      <c r="G58">
        <v>5.5900000000000004E-3</v>
      </c>
      <c r="H58">
        <v>6.5399999999999998E-3</v>
      </c>
      <c r="I58">
        <v>7.6899999999999998E-3</v>
      </c>
      <c r="J58">
        <v>8.7399999999999995E-3</v>
      </c>
      <c r="K58">
        <v>9.7599999999999996E-3</v>
      </c>
      <c r="L58">
        <v>1.095E-2</v>
      </c>
      <c r="M58">
        <v>1.227E-2</v>
      </c>
      <c r="N58">
        <v>1.3690000000000001E-2</v>
      </c>
      <c r="O58">
        <v>1.5049999999999999E-2</v>
      </c>
      <c r="P58">
        <v>1.6750000000000001E-2</v>
      </c>
      <c r="Q58">
        <v>1.8769999999999998E-2</v>
      </c>
      <c r="R58">
        <v>2.1139999999999999E-2</v>
      </c>
      <c r="S58">
        <v>2.3859999999999999E-2</v>
      </c>
      <c r="T58">
        <v>2.6550000000000001E-2</v>
      </c>
      <c r="U58">
        <v>2.9780000000000001E-2</v>
      </c>
      <c r="V58">
        <v>3.32E-2</v>
      </c>
      <c r="W58">
        <v>3.7039999999999997E-2</v>
      </c>
      <c r="X58">
        <v>4.1189999999999997E-2</v>
      </c>
      <c r="Y58">
        <v>4.5769999999999998E-2</v>
      </c>
      <c r="Z58">
        <v>5.0909999999999997E-2</v>
      </c>
      <c r="AA58">
        <v>5.6829999999999999E-2</v>
      </c>
      <c r="AB58" s="4">
        <v>81</v>
      </c>
    </row>
    <row r="59" spans="1:28">
      <c r="A59" s="3">
        <v>57</v>
      </c>
      <c r="B59">
        <v>1.3600000000000001E-3</v>
      </c>
      <c r="C59">
        <v>2.2799999999999999E-3</v>
      </c>
      <c r="D59">
        <v>3.7499999999999999E-3</v>
      </c>
      <c r="E59">
        <v>4.6899999999999997E-3</v>
      </c>
      <c r="F59">
        <v>5.3600000000000002E-3</v>
      </c>
      <c r="G59">
        <v>6.1399999999999996E-3</v>
      </c>
      <c r="H59">
        <v>7.2500000000000004E-3</v>
      </c>
      <c r="I59">
        <v>8.4600000000000005E-3</v>
      </c>
      <c r="J59">
        <v>9.5200000000000007E-3</v>
      </c>
      <c r="K59">
        <v>1.074E-2</v>
      </c>
      <c r="L59">
        <v>1.2E-2</v>
      </c>
      <c r="M59">
        <v>1.362E-2</v>
      </c>
      <c r="N59">
        <v>1.5049999999999999E-2</v>
      </c>
      <c r="O59">
        <v>1.6750000000000001E-2</v>
      </c>
      <c r="P59">
        <v>1.8769999999999998E-2</v>
      </c>
      <c r="Q59">
        <v>2.1080000000000002E-2</v>
      </c>
      <c r="R59">
        <v>2.3859999999999999E-2</v>
      </c>
      <c r="S59">
        <v>2.6550000000000001E-2</v>
      </c>
      <c r="T59">
        <v>2.9780000000000001E-2</v>
      </c>
      <c r="U59">
        <v>3.32E-2</v>
      </c>
      <c r="V59">
        <v>3.7039999999999997E-2</v>
      </c>
      <c r="W59">
        <v>4.1189999999999997E-2</v>
      </c>
      <c r="X59">
        <v>4.5769999999999998E-2</v>
      </c>
      <c r="Y59">
        <v>5.0909999999999997E-2</v>
      </c>
      <c r="Z59">
        <v>5.6829999999999999E-2</v>
      </c>
      <c r="AA59">
        <v>6.3329999999999997E-2</v>
      </c>
      <c r="AB59" s="4">
        <v>82</v>
      </c>
    </row>
    <row r="60" spans="1:28">
      <c r="A60" s="3">
        <v>58</v>
      </c>
      <c r="B60">
        <v>1.56E-3</v>
      </c>
      <c r="C60">
        <v>2.4399999999999999E-3</v>
      </c>
      <c r="D60">
        <v>4.0800000000000003E-3</v>
      </c>
      <c r="E60">
        <v>5.11E-3</v>
      </c>
      <c r="F60">
        <v>5.8500000000000002E-3</v>
      </c>
      <c r="G60">
        <v>6.7799999999999996E-3</v>
      </c>
      <c r="H60">
        <v>8.0099999999999998E-3</v>
      </c>
      <c r="I60">
        <v>9.2399999999999999E-3</v>
      </c>
      <c r="J60">
        <v>1.0449999999999999E-2</v>
      </c>
      <c r="K60">
        <v>1.1679999999999999E-2</v>
      </c>
      <c r="L60">
        <v>1.3270000000000001E-2</v>
      </c>
      <c r="M60">
        <v>1.477E-2</v>
      </c>
      <c r="N60">
        <v>1.6709999999999999E-2</v>
      </c>
      <c r="O60">
        <v>1.8679999999999999E-2</v>
      </c>
      <c r="P60">
        <v>2.0910000000000002E-2</v>
      </c>
      <c r="Q60">
        <v>2.367E-2</v>
      </c>
      <c r="R60">
        <v>2.6440000000000002E-2</v>
      </c>
      <c r="S60">
        <v>2.9780000000000001E-2</v>
      </c>
      <c r="T60">
        <v>3.32E-2</v>
      </c>
      <c r="U60">
        <v>3.6990000000000002E-2</v>
      </c>
      <c r="V60">
        <v>4.1189999999999997E-2</v>
      </c>
      <c r="W60">
        <v>4.5769999999999998E-2</v>
      </c>
      <c r="X60">
        <v>5.0909999999999997E-2</v>
      </c>
      <c r="Y60">
        <v>5.6829999999999999E-2</v>
      </c>
      <c r="Z60">
        <v>6.3329999999999997E-2</v>
      </c>
      <c r="AA60">
        <v>7.1389999999999995E-2</v>
      </c>
      <c r="AB60" s="4">
        <v>83</v>
      </c>
    </row>
    <row r="61" spans="1:28">
      <c r="A61" s="3">
        <v>59</v>
      </c>
      <c r="B61">
        <v>1.81E-3</v>
      </c>
      <c r="C61">
        <v>2.6199999999999999E-3</v>
      </c>
      <c r="D61">
        <v>4.3800000000000002E-3</v>
      </c>
      <c r="E61">
        <v>5.5500000000000002E-3</v>
      </c>
      <c r="F61">
        <v>6.3200000000000001E-3</v>
      </c>
      <c r="G61">
        <v>7.4599999999999996E-3</v>
      </c>
      <c r="H61">
        <v>8.7600000000000004E-3</v>
      </c>
      <c r="I61">
        <v>0.01</v>
      </c>
      <c r="J61">
        <v>1.128E-2</v>
      </c>
      <c r="K61">
        <v>1.282E-2</v>
      </c>
      <c r="L61">
        <v>1.426E-2</v>
      </c>
      <c r="M61">
        <v>1.6310000000000002E-2</v>
      </c>
      <c r="N61">
        <v>1.848E-2</v>
      </c>
      <c r="O61">
        <v>2.0760000000000001E-2</v>
      </c>
      <c r="P61">
        <v>2.3400000000000001E-2</v>
      </c>
      <c r="Q61">
        <v>2.6040000000000001E-2</v>
      </c>
      <c r="R61">
        <v>2.9780000000000001E-2</v>
      </c>
      <c r="S61">
        <v>3.3079999999999998E-2</v>
      </c>
      <c r="T61">
        <v>3.6740000000000002E-2</v>
      </c>
      <c r="U61">
        <v>4.079E-2</v>
      </c>
      <c r="V61">
        <v>4.5769999999999998E-2</v>
      </c>
      <c r="W61">
        <v>5.0909999999999997E-2</v>
      </c>
      <c r="X61">
        <v>5.6829999999999999E-2</v>
      </c>
      <c r="Y61">
        <v>6.3329999999999997E-2</v>
      </c>
      <c r="Z61">
        <v>7.1389999999999995E-2</v>
      </c>
      <c r="AA61">
        <v>8.0629999999999993E-2</v>
      </c>
      <c r="AB61" s="4">
        <v>84</v>
      </c>
    </row>
    <row r="62" spans="1:28">
      <c r="A62" s="3">
        <v>60</v>
      </c>
      <c r="B62">
        <v>2.0500000000000002E-3</v>
      </c>
      <c r="C62">
        <v>2.8600000000000001E-3</v>
      </c>
      <c r="D62">
        <v>4.6499999999999996E-3</v>
      </c>
      <c r="E62">
        <v>5.8700000000000002E-3</v>
      </c>
      <c r="F62">
        <v>6.8500000000000002E-3</v>
      </c>
      <c r="G62">
        <v>8.1399999999999997E-3</v>
      </c>
      <c r="H62">
        <v>9.4599999999999997E-3</v>
      </c>
      <c r="I62">
        <v>1.074E-2</v>
      </c>
      <c r="J62">
        <v>1.2160000000000001E-2</v>
      </c>
      <c r="K62">
        <v>1.3639999999999999E-2</v>
      </c>
      <c r="L62">
        <v>1.5789999999999998E-2</v>
      </c>
      <c r="M62">
        <v>1.8069999999999999E-2</v>
      </c>
      <c r="N62">
        <v>2.0410000000000001E-2</v>
      </c>
      <c r="O62">
        <v>2.3050000000000001E-2</v>
      </c>
      <c r="P62">
        <v>2.5520000000000001E-2</v>
      </c>
      <c r="Q62">
        <v>2.9260000000000001E-2</v>
      </c>
      <c r="R62">
        <v>3.2719999999999999E-2</v>
      </c>
      <c r="S62">
        <v>3.6549999999999999E-2</v>
      </c>
      <c r="T62">
        <v>4.0669999999999998E-2</v>
      </c>
      <c r="U62">
        <v>4.5769999999999998E-2</v>
      </c>
      <c r="V62">
        <v>5.0909999999999997E-2</v>
      </c>
      <c r="W62">
        <v>5.6829999999999999E-2</v>
      </c>
      <c r="X62">
        <v>6.3329999999999997E-2</v>
      </c>
      <c r="Y62">
        <v>7.1389999999999995E-2</v>
      </c>
      <c r="Z62">
        <v>8.0629999999999993E-2</v>
      </c>
      <c r="AA62">
        <v>9.1270000000000004E-2</v>
      </c>
      <c r="AB62" s="4">
        <v>85</v>
      </c>
    </row>
    <row r="63" spans="1:28">
      <c r="A63" s="3">
        <v>61</v>
      </c>
      <c r="B63">
        <v>2.2599999999999999E-3</v>
      </c>
      <c r="C63">
        <v>3.16E-3</v>
      </c>
      <c r="D63">
        <v>4.9100000000000003E-3</v>
      </c>
      <c r="E63">
        <v>6.2100000000000002E-3</v>
      </c>
      <c r="F63">
        <v>7.3899999999999999E-3</v>
      </c>
      <c r="G63">
        <v>8.7799999999999996E-3</v>
      </c>
      <c r="H63">
        <v>1.0019999999999999E-2</v>
      </c>
      <c r="I63">
        <v>1.136E-2</v>
      </c>
      <c r="J63">
        <v>1.2959999999999999E-2</v>
      </c>
      <c r="K63">
        <v>1.4999999999999999E-2</v>
      </c>
      <c r="L63">
        <v>1.7330000000000002E-2</v>
      </c>
      <c r="M63">
        <v>1.9769999999999999E-2</v>
      </c>
      <c r="N63">
        <v>2.2499999999999999E-2</v>
      </c>
      <c r="O63">
        <v>2.4910000000000002E-2</v>
      </c>
      <c r="P63">
        <v>2.8510000000000001E-2</v>
      </c>
      <c r="Q63">
        <v>3.1919999999999997E-2</v>
      </c>
      <c r="R63">
        <v>3.5990000000000001E-2</v>
      </c>
      <c r="S63">
        <v>4.0219999999999999E-2</v>
      </c>
      <c r="T63">
        <v>4.5609999999999998E-2</v>
      </c>
      <c r="U63">
        <v>5.0909999999999997E-2</v>
      </c>
      <c r="V63">
        <v>5.6829999999999999E-2</v>
      </c>
      <c r="W63">
        <v>6.3329999999999997E-2</v>
      </c>
      <c r="X63">
        <v>7.1389999999999995E-2</v>
      </c>
      <c r="Y63">
        <v>8.0629999999999993E-2</v>
      </c>
      <c r="Z63">
        <v>9.1270000000000004E-2</v>
      </c>
      <c r="AA63">
        <v>0.10347000000000001</v>
      </c>
      <c r="AB63" s="4">
        <v>86</v>
      </c>
    </row>
    <row r="64" spans="1:28">
      <c r="A64" s="3">
        <v>62</v>
      </c>
      <c r="B64">
        <v>2.4099999999999998E-3</v>
      </c>
      <c r="C64">
        <v>3.5100000000000001E-3</v>
      </c>
      <c r="D64">
        <v>5.1900000000000002E-3</v>
      </c>
      <c r="E64">
        <v>6.5799999999999999E-3</v>
      </c>
      <c r="F64">
        <v>7.9399999999999991E-3</v>
      </c>
      <c r="G64">
        <v>9.2800000000000001E-3</v>
      </c>
      <c r="H64">
        <v>1.0489999999999999E-2</v>
      </c>
      <c r="I64">
        <v>1.192E-2</v>
      </c>
      <c r="J64">
        <v>1.3729999999999999E-2</v>
      </c>
      <c r="K64">
        <v>1.5980000000000001E-2</v>
      </c>
      <c r="L64">
        <v>1.847E-2</v>
      </c>
      <c r="M64">
        <v>2.103E-2</v>
      </c>
      <c r="N64">
        <v>2.409E-2</v>
      </c>
      <c r="O64">
        <v>2.76E-2</v>
      </c>
      <c r="P64">
        <v>3.0849999999999999E-2</v>
      </c>
      <c r="Q64">
        <v>3.492E-2</v>
      </c>
      <c r="R64">
        <v>3.943E-2</v>
      </c>
      <c r="S64">
        <v>4.5069999999999999E-2</v>
      </c>
      <c r="T64">
        <v>5.0849999999999999E-2</v>
      </c>
      <c r="U64">
        <v>5.6829999999999999E-2</v>
      </c>
      <c r="V64">
        <v>6.3329999999999997E-2</v>
      </c>
      <c r="W64">
        <v>7.1389999999999995E-2</v>
      </c>
      <c r="X64">
        <v>8.0629999999999993E-2</v>
      </c>
      <c r="Y64">
        <v>9.1270000000000004E-2</v>
      </c>
      <c r="Z64">
        <v>0.10347000000000001</v>
      </c>
      <c r="AA64">
        <v>0.11724</v>
      </c>
      <c r="AB64" s="4">
        <v>87</v>
      </c>
    </row>
    <row r="65" spans="1:28">
      <c r="A65" s="3">
        <v>63</v>
      </c>
      <c r="B65">
        <v>2.5400000000000002E-3</v>
      </c>
      <c r="C65">
        <v>3.8999999999999998E-3</v>
      </c>
      <c r="D65">
        <v>5.5100000000000001E-3</v>
      </c>
      <c r="E65">
        <v>7.0400000000000003E-3</v>
      </c>
      <c r="F65">
        <v>8.5199999999999998E-3</v>
      </c>
      <c r="G65">
        <v>9.8899999999999995E-3</v>
      </c>
      <c r="H65">
        <v>1.0999999999999999E-2</v>
      </c>
      <c r="I65">
        <v>1.2489999999999999E-2</v>
      </c>
      <c r="J65">
        <v>1.451E-2</v>
      </c>
      <c r="K65">
        <v>1.6930000000000001E-2</v>
      </c>
      <c r="L65">
        <v>1.9539999999999998E-2</v>
      </c>
      <c r="M65">
        <v>2.223E-2</v>
      </c>
      <c r="N65">
        <v>2.5520000000000001E-2</v>
      </c>
      <c r="O65">
        <v>2.9659999999999999E-2</v>
      </c>
      <c r="P65">
        <v>3.3599999999999998E-2</v>
      </c>
      <c r="Q65">
        <v>3.8120000000000001E-2</v>
      </c>
      <c r="R65">
        <v>4.3999999999999997E-2</v>
      </c>
      <c r="S65">
        <v>4.9700000000000001E-2</v>
      </c>
      <c r="T65">
        <v>5.6070000000000002E-2</v>
      </c>
      <c r="U65">
        <v>6.3060000000000005E-2</v>
      </c>
      <c r="V65">
        <v>7.1389999999999995E-2</v>
      </c>
      <c r="W65">
        <v>8.0629999999999993E-2</v>
      </c>
      <c r="X65">
        <v>9.1270000000000004E-2</v>
      </c>
      <c r="Y65">
        <v>0.10347000000000001</v>
      </c>
      <c r="Z65">
        <v>0.11724</v>
      </c>
      <c r="AA65">
        <v>0.13258</v>
      </c>
      <c r="AB65" s="4">
        <v>88</v>
      </c>
    </row>
    <row r="66" spans="1:28">
      <c r="A66" s="3">
        <v>64</v>
      </c>
      <c r="B66">
        <v>2.66E-3</v>
      </c>
      <c r="C66">
        <v>4.28E-3</v>
      </c>
      <c r="D66">
        <v>5.8999999999999999E-3</v>
      </c>
      <c r="E66">
        <v>7.5599999999999999E-3</v>
      </c>
      <c r="F66">
        <v>9.1599999999999997E-3</v>
      </c>
      <c r="G66">
        <v>1.0370000000000001E-2</v>
      </c>
      <c r="H66">
        <v>1.1650000000000001E-2</v>
      </c>
      <c r="I66">
        <v>1.3429999999999999E-2</v>
      </c>
      <c r="J66">
        <v>1.5740000000000001E-2</v>
      </c>
      <c r="K66">
        <v>1.8110000000000001E-2</v>
      </c>
      <c r="L66">
        <v>2.077E-2</v>
      </c>
      <c r="M66">
        <v>2.35E-2</v>
      </c>
      <c r="N66">
        <v>2.7050000000000001E-2</v>
      </c>
      <c r="O66">
        <v>3.1980000000000001E-2</v>
      </c>
      <c r="P66">
        <v>3.6339999999999997E-2</v>
      </c>
      <c r="Q66">
        <v>4.2389999999999997E-2</v>
      </c>
      <c r="R66">
        <v>4.863E-2</v>
      </c>
      <c r="S66">
        <v>5.5329999999999997E-2</v>
      </c>
      <c r="T66">
        <v>6.2700000000000006E-2</v>
      </c>
      <c r="U66">
        <v>7.1389999999999995E-2</v>
      </c>
      <c r="V66">
        <v>8.0629999999999993E-2</v>
      </c>
      <c r="W66">
        <v>9.1270000000000004E-2</v>
      </c>
      <c r="X66">
        <v>0.10346</v>
      </c>
      <c r="Y66">
        <v>0.11718000000000001</v>
      </c>
      <c r="Z66">
        <v>0.13253000000000001</v>
      </c>
      <c r="AA66">
        <v>0.14893999999999999</v>
      </c>
      <c r="AB66" s="4">
        <v>89</v>
      </c>
    </row>
    <row r="67" spans="1:28">
      <c r="A67" s="3">
        <v>65</v>
      </c>
      <c r="B67">
        <v>2.7799999999999999E-3</v>
      </c>
      <c r="C67">
        <v>4.6800000000000001E-3</v>
      </c>
      <c r="D67">
        <v>6.3400000000000001E-3</v>
      </c>
      <c r="E67">
        <v>8.1499999999999993E-3</v>
      </c>
      <c r="F67">
        <v>9.7999999999999997E-3</v>
      </c>
      <c r="G67">
        <v>1.106E-2</v>
      </c>
      <c r="H67">
        <v>1.257E-2</v>
      </c>
      <c r="I67">
        <v>1.4579999999999999E-2</v>
      </c>
      <c r="J67">
        <v>1.6899999999999998E-2</v>
      </c>
      <c r="K67">
        <v>1.9689999999999999E-2</v>
      </c>
      <c r="L67">
        <v>2.2440000000000002E-2</v>
      </c>
      <c r="M67">
        <v>2.529E-2</v>
      </c>
      <c r="N67">
        <v>2.9190000000000001E-2</v>
      </c>
      <c r="O67">
        <v>3.4540000000000001E-2</v>
      </c>
      <c r="P67">
        <v>4.0300000000000002E-2</v>
      </c>
      <c r="Q67">
        <v>4.65E-2</v>
      </c>
      <c r="R67">
        <v>5.3379999999999997E-2</v>
      </c>
      <c r="S67">
        <v>6.0920000000000002E-2</v>
      </c>
      <c r="T67">
        <v>7.0449999999999999E-2</v>
      </c>
      <c r="U67">
        <v>8.0589999999999995E-2</v>
      </c>
      <c r="V67">
        <v>9.1139999999999999E-2</v>
      </c>
      <c r="W67">
        <v>0.10324</v>
      </c>
      <c r="X67">
        <v>0.11698</v>
      </c>
      <c r="Y67">
        <v>0.13236000000000001</v>
      </c>
      <c r="Z67">
        <v>0.14881</v>
      </c>
      <c r="AA67">
        <v>0.16611999999999999</v>
      </c>
      <c r="AB67" s="4">
        <v>90</v>
      </c>
    </row>
    <row r="68" spans="1:28">
      <c r="A68" s="3">
        <v>66</v>
      </c>
      <c r="B68">
        <v>2.9199999999999999E-3</v>
      </c>
      <c r="C68">
        <v>5.0699999999999999E-3</v>
      </c>
      <c r="D68">
        <v>6.8399999999999997E-3</v>
      </c>
      <c r="E68">
        <v>8.8000000000000005E-3</v>
      </c>
      <c r="F68">
        <v>1.0619999999999999E-2</v>
      </c>
      <c r="G68">
        <v>1.1939999999999999E-2</v>
      </c>
      <c r="H68">
        <v>1.363E-2</v>
      </c>
      <c r="I68">
        <v>1.5789999999999998E-2</v>
      </c>
      <c r="J68">
        <v>1.8419999999999999E-2</v>
      </c>
      <c r="K68">
        <v>2.1440000000000001E-2</v>
      </c>
      <c r="L68">
        <v>2.4299999999999999E-2</v>
      </c>
      <c r="M68">
        <v>2.776E-2</v>
      </c>
      <c r="N68">
        <v>3.1620000000000002E-2</v>
      </c>
      <c r="O68">
        <v>3.7420000000000002E-2</v>
      </c>
      <c r="P68">
        <v>4.3679999999999997E-2</v>
      </c>
      <c r="Q68">
        <v>5.1200000000000002E-2</v>
      </c>
      <c r="R68">
        <v>5.987E-2</v>
      </c>
      <c r="S68">
        <v>6.973E-2</v>
      </c>
      <c r="T68">
        <v>8.0250000000000002E-2</v>
      </c>
      <c r="U68">
        <v>9.0819999999999998E-2</v>
      </c>
      <c r="V68">
        <v>0.10294</v>
      </c>
      <c r="W68">
        <v>0.11670999999999999</v>
      </c>
      <c r="X68">
        <v>0.13211000000000001</v>
      </c>
      <c r="Y68">
        <v>0.14860000000000001</v>
      </c>
      <c r="Z68">
        <v>0.16594999999999999</v>
      </c>
      <c r="AA68">
        <v>0.18354999999999999</v>
      </c>
      <c r="AB68" s="4">
        <v>91</v>
      </c>
    </row>
    <row r="69" spans="1:28">
      <c r="A69" s="3">
        <v>67</v>
      </c>
      <c r="B69">
        <v>3.0799999999999998E-3</v>
      </c>
      <c r="C69">
        <v>5.4200000000000003E-3</v>
      </c>
      <c r="D69">
        <v>7.3800000000000003E-3</v>
      </c>
      <c r="E69">
        <v>9.5499999999999995E-3</v>
      </c>
      <c r="F69">
        <v>1.157E-2</v>
      </c>
      <c r="G69">
        <v>1.2970000000000001E-2</v>
      </c>
      <c r="H69">
        <v>1.4829999999999999E-2</v>
      </c>
      <c r="I69">
        <v>1.7219999999999999E-2</v>
      </c>
      <c r="J69">
        <v>2.0109999999999999E-2</v>
      </c>
      <c r="K69">
        <v>2.332E-2</v>
      </c>
      <c r="L69">
        <v>2.6890000000000001E-2</v>
      </c>
      <c r="M69">
        <v>3.0439999999999998E-2</v>
      </c>
      <c r="N69">
        <v>3.4840000000000003E-2</v>
      </c>
      <c r="O69">
        <v>4.1209999999999997E-2</v>
      </c>
      <c r="P69">
        <v>4.8090000000000001E-2</v>
      </c>
      <c r="Q69">
        <v>5.6469999999999999E-2</v>
      </c>
      <c r="R69">
        <v>6.7430000000000004E-2</v>
      </c>
      <c r="S69">
        <v>7.8420000000000004E-2</v>
      </c>
      <c r="T69">
        <v>9.0429999999999996E-2</v>
      </c>
      <c r="U69">
        <v>0.10258</v>
      </c>
      <c r="V69">
        <v>0.11637</v>
      </c>
      <c r="W69">
        <v>0.1318</v>
      </c>
      <c r="X69">
        <v>0.14832000000000001</v>
      </c>
      <c r="Y69">
        <v>0.16571</v>
      </c>
      <c r="Z69">
        <v>0.18335000000000001</v>
      </c>
      <c r="AA69">
        <v>0.20075000000000001</v>
      </c>
      <c r="AB69" s="4">
        <v>92</v>
      </c>
    </row>
    <row r="70" spans="1:28">
      <c r="A70" s="3">
        <v>68</v>
      </c>
      <c r="B70">
        <v>3.2599999999999999E-3</v>
      </c>
      <c r="C70">
        <v>5.7600000000000004E-3</v>
      </c>
      <c r="D70">
        <v>7.9799999999999992E-3</v>
      </c>
      <c r="E70">
        <v>1.043E-2</v>
      </c>
      <c r="F70">
        <v>1.243E-2</v>
      </c>
      <c r="G70">
        <v>1.414E-2</v>
      </c>
      <c r="H70">
        <v>1.618E-2</v>
      </c>
      <c r="I70">
        <v>1.881E-2</v>
      </c>
      <c r="J70">
        <v>2.206E-2</v>
      </c>
      <c r="K70">
        <v>2.5860000000000001E-2</v>
      </c>
      <c r="L70">
        <v>2.971E-2</v>
      </c>
      <c r="M70">
        <v>3.4130000000000001E-2</v>
      </c>
      <c r="N70">
        <v>3.9710000000000002E-2</v>
      </c>
      <c r="O70">
        <v>4.5760000000000002E-2</v>
      </c>
      <c r="P70">
        <v>5.3310000000000003E-2</v>
      </c>
      <c r="Q70">
        <v>6.3409999999999994E-2</v>
      </c>
      <c r="R70">
        <v>7.6119999999999993E-2</v>
      </c>
      <c r="S70">
        <v>8.8569999999999996E-2</v>
      </c>
      <c r="T70">
        <v>0.10215</v>
      </c>
      <c r="U70">
        <v>0.11597</v>
      </c>
      <c r="V70">
        <v>0.13142000000000001</v>
      </c>
      <c r="W70">
        <v>0.14798</v>
      </c>
      <c r="X70">
        <v>0.16541</v>
      </c>
      <c r="Y70">
        <v>0.18309</v>
      </c>
      <c r="Z70">
        <v>0.20054</v>
      </c>
      <c r="AA70">
        <v>0.21762000000000001</v>
      </c>
      <c r="AB70" s="4">
        <v>93</v>
      </c>
    </row>
    <row r="71" spans="1:28">
      <c r="A71" s="3">
        <v>69</v>
      </c>
      <c r="B71">
        <v>3.49E-3</v>
      </c>
      <c r="C71">
        <v>6.13E-3</v>
      </c>
      <c r="D71">
        <v>8.6599999999999993E-3</v>
      </c>
      <c r="E71">
        <v>1.142E-2</v>
      </c>
      <c r="F71">
        <v>1.358E-2</v>
      </c>
      <c r="G71">
        <v>1.542E-2</v>
      </c>
      <c r="H71">
        <v>1.763E-2</v>
      </c>
      <c r="I71">
        <v>2.0559999999999998E-2</v>
      </c>
      <c r="J71">
        <v>2.4559999999999998E-2</v>
      </c>
      <c r="K71">
        <v>2.8680000000000001E-2</v>
      </c>
      <c r="L71">
        <v>3.3369999999999997E-2</v>
      </c>
      <c r="M71">
        <v>3.884E-2</v>
      </c>
      <c r="N71">
        <v>4.4699999999999997E-2</v>
      </c>
      <c r="O71">
        <v>5.1900000000000002E-2</v>
      </c>
      <c r="P71">
        <v>6.0720000000000003E-2</v>
      </c>
      <c r="Q71">
        <v>7.2139999999999996E-2</v>
      </c>
      <c r="R71">
        <v>8.6019999999999999E-2</v>
      </c>
      <c r="S71">
        <v>0.10011</v>
      </c>
      <c r="T71">
        <v>0.11552</v>
      </c>
      <c r="U71">
        <v>0.13100999999999999</v>
      </c>
      <c r="V71">
        <v>0.14760000000000001</v>
      </c>
      <c r="W71">
        <v>0.16506999999999999</v>
      </c>
      <c r="X71">
        <v>0.18279999999999999</v>
      </c>
      <c r="Y71">
        <v>0.20030000000000001</v>
      </c>
      <c r="Z71">
        <v>0.21743000000000001</v>
      </c>
      <c r="AA71">
        <v>0.23330999999999999</v>
      </c>
      <c r="AB71" s="4">
        <v>94</v>
      </c>
    </row>
    <row r="72" spans="1:28">
      <c r="A72" s="3">
        <v>70</v>
      </c>
      <c r="B72">
        <v>3.7100000000000002E-3</v>
      </c>
      <c r="C72">
        <v>6.4400000000000004E-3</v>
      </c>
      <c r="D72">
        <v>9.2999999999999992E-3</v>
      </c>
      <c r="E72">
        <v>1.239E-2</v>
      </c>
      <c r="F72">
        <v>1.4619999999999999E-2</v>
      </c>
      <c r="G72">
        <v>1.653E-2</v>
      </c>
      <c r="H72">
        <v>1.9019999999999999E-2</v>
      </c>
      <c r="I72">
        <v>2.2919999999999999E-2</v>
      </c>
      <c r="J72">
        <v>2.7009999999999999E-2</v>
      </c>
      <c r="K72">
        <v>3.1710000000000002E-2</v>
      </c>
      <c r="L72">
        <v>3.7850000000000002E-2</v>
      </c>
      <c r="M72">
        <v>4.36E-2</v>
      </c>
      <c r="N72">
        <v>5.0840000000000003E-2</v>
      </c>
      <c r="O72">
        <v>5.9279999999999999E-2</v>
      </c>
      <c r="P72">
        <v>7.077E-2</v>
      </c>
      <c r="Q72">
        <v>8.301E-2</v>
      </c>
      <c r="R72">
        <v>9.9059999999999995E-2</v>
      </c>
      <c r="S72">
        <v>0.11502</v>
      </c>
      <c r="T72">
        <v>0.13053999999999999</v>
      </c>
      <c r="U72">
        <v>0.14716000000000001</v>
      </c>
      <c r="V72">
        <v>0.16467999999999999</v>
      </c>
      <c r="W72">
        <v>0.18246000000000001</v>
      </c>
      <c r="X72">
        <v>0.20000999999999999</v>
      </c>
      <c r="Y72">
        <v>0.2172</v>
      </c>
      <c r="Z72">
        <v>0.23313999999999999</v>
      </c>
      <c r="AA72">
        <v>0.24714</v>
      </c>
      <c r="AB72" s="4">
        <v>95</v>
      </c>
    </row>
    <row r="73" spans="1:28">
      <c r="A73" s="3">
        <v>71</v>
      </c>
      <c r="B73">
        <v>3.9399999999999999E-3</v>
      </c>
      <c r="C73">
        <v>6.7299999999999999E-3</v>
      </c>
      <c r="D73">
        <v>9.9299999999999996E-3</v>
      </c>
      <c r="E73">
        <v>1.333E-2</v>
      </c>
      <c r="F73">
        <v>1.553E-2</v>
      </c>
      <c r="G73">
        <v>1.7729999999999999E-2</v>
      </c>
      <c r="H73">
        <v>2.0990000000000002E-2</v>
      </c>
      <c r="I73">
        <v>2.5139999999999999E-2</v>
      </c>
      <c r="J73">
        <v>2.955E-2</v>
      </c>
      <c r="K73">
        <v>3.5090000000000003E-2</v>
      </c>
      <c r="L73">
        <v>4.2479999999999997E-2</v>
      </c>
      <c r="M73">
        <v>5.0020000000000002E-2</v>
      </c>
      <c r="N73">
        <v>5.774E-2</v>
      </c>
      <c r="O73">
        <v>6.8809999999999996E-2</v>
      </c>
      <c r="P73">
        <v>7.9390000000000002E-2</v>
      </c>
      <c r="Q73">
        <v>9.4420000000000004E-2</v>
      </c>
      <c r="R73">
        <v>0.11254</v>
      </c>
      <c r="S73">
        <v>0.13003000000000001</v>
      </c>
      <c r="T73">
        <v>0.14668999999999999</v>
      </c>
      <c r="U73">
        <v>0.16425000000000001</v>
      </c>
      <c r="V73">
        <v>0.18209</v>
      </c>
      <c r="W73">
        <v>0.19969999999999999</v>
      </c>
      <c r="X73">
        <v>0.21695</v>
      </c>
      <c r="Y73">
        <v>0.23294000000000001</v>
      </c>
      <c r="Z73">
        <v>0.247</v>
      </c>
      <c r="AA73">
        <v>0.26511000000000001</v>
      </c>
      <c r="AB73" s="4">
        <v>96</v>
      </c>
    </row>
    <row r="74" spans="1:28">
      <c r="A74" s="3">
        <v>72</v>
      </c>
      <c r="B74">
        <v>4.1999999999999997E-3</v>
      </c>
      <c r="C74">
        <v>7.0299999999999998E-3</v>
      </c>
      <c r="D74">
        <v>1.059E-2</v>
      </c>
      <c r="E74">
        <v>1.43E-2</v>
      </c>
      <c r="F74">
        <v>1.6570000000000001E-2</v>
      </c>
      <c r="G74">
        <v>1.9539999999999998E-2</v>
      </c>
      <c r="H74">
        <v>2.3099999999999999E-2</v>
      </c>
      <c r="I74">
        <v>2.741E-2</v>
      </c>
      <c r="J74">
        <v>3.286E-2</v>
      </c>
      <c r="K74">
        <v>3.9829999999999997E-2</v>
      </c>
      <c r="L74">
        <v>4.863E-2</v>
      </c>
      <c r="M74">
        <v>5.6820000000000002E-2</v>
      </c>
      <c r="N74">
        <v>6.7059999999999995E-2</v>
      </c>
      <c r="O74">
        <v>7.7630000000000005E-2</v>
      </c>
      <c r="P74">
        <v>8.9760000000000006E-2</v>
      </c>
      <c r="Q74">
        <v>0.10768999999999999</v>
      </c>
      <c r="R74">
        <v>0.12742999999999999</v>
      </c>
      <c r="S74">
        <v>0.14618</v>
      </c>
      <c r="T74">
        <v>0.1638</v>
      </c>
      <c r="U74">
        <v>0.18168999999999999</v>
      </c>
      <c r="V74">
        <v>0.19936000000000001</v>
      </c>
      <c r="W74">
        <v>0.21667</v>
      </c>
      <c r="X74">
        <v>0.23272999999999999</v>
      </c>
      <c r="Y74">
        <v>0.24685000000000001</v>
      </c>
      <c r="Z74">
        <v>0.26501000000000002</v>
      </c>
      <c r="AA74">
        <v>0.28442000000000001</v>
      </c>
      <c r="AB74" s="4">
        <v>97</v>
      </c>
    </row>
    <row r="75" spans="1:28">
      <c r="A75" s="3">
        <v>73</v>
      </c>
      <c r="B75">
        <v>4.4999999999999997E-3</v>
      </c>
      <c r="C75">
        <v>7.4200000000000004E-3</v>
      </c>
      <c r="D75">
        <v>1.137E-2</v>
      </c>
      <c r="E75">
        <v>1.54E-2</v>
      </c>
      <c r="F75">
        <v>1.8270000000000002E-2</v>
      </c>
      <c r="G75">
        <v>2.1489999999999999E-2</v>
      </c>
      <c r="H75">
        <v>2.5409999999999999E-2</v>
      </c>
      <c r="I75">
        <v>3.0190000000000002E-2</v>
      </c>
      <c r="J75">
        <v>3.6970000000000003E-2</v>
      </c>
      <c r="K75">
        <v>4.5089999999999998E-2</v>
      </c>
      <c r="L75">
        <v>5.5800000000000002E-2</v>
      </c>
      <c r="M75">
        <v>6.6000000000000003E-2</v>
      </c>
      <c r="N75">
        <v>7.6259999999999994E-2</v>
      </c>
      <c r="O75">
        <v>8.7989999999999999E-2</v>
      </c>
      <c r="P75">
        <v>0.10604</v>
      </c>
      <c r="Q75">
        <v>0.12615999999999999</v>
      </c>
      <c r="R75">
        <v>0.14563999999999999</v>
      </c>
      <c r="S75">
        <v>0.16331000000000001</v>
      </c>
      <c r="T75">
        <v>0.18126</v>
      </c>
      <c r="U75">
        <v>0.19900000000000001</v>
      </c>
      <c r="V75">
        <v>0.21637999999999999</v>
      </c>
      <c r="W75">
        <v>0.23250000000000001</v>
      </c>
      <c r="X75">
        <v>0.24668000000000001</v>
      </c>
      <c r="Y75">
        <v>0.26489000000000001</v>
      </c>
      <c r="Z75">
        <v>0.28434999999999999</v>
      </c>
      <c r="AA75">
        <v>0.30563000000000001</v>
      </c>
      <c r="AB75" s="4">
        <v>98</v>
      </c>
    </row>
    <row r="76" spans="1:28">
      <c r="A76" s="3">
        <v>74</v>
      </c>
      <c r="B76">
        <v>4.8900000000000002E-3</v>
      </c>
      <c r="C76">
        <v>7.9799999999999992E-3</v>
      </c>
      <c r="D76">
        <v>1.238E-2</v>
      </c>
      <c r="E76">
        <v>1.6830000000000001E-2</v>
      </c>
      <c r="F76">
        <v>2.01E-2</v>
      </c>
      <c r="G76">
        <v>2.384E-2</v>
      </c>
      <c r="H76">
        <v>2.8330000000000001E-2</v>
      </c>
      <c r="I76">
        <v>3.39E-2</v>
      </c>
      <c r="J76">
        <v>4.1799999999999997E-2</v>
      </c>
      <c r="K76">
        <v>5.1700000000000003E-2</v>
      </c>
      <c r="L76">
        <v>6.5079999999999999E-2</v>
      </c>
      <c r="M76">
        <v>7.51E-2</v>
      </c>
      <c r="N76">
        <v>8.659E-2</v>
      </c>
      <c r="O76">
        <v>0.10278</v>
      </c>
      <c r="P76">
        <v>0.1216</v>
      </c>
      <c r="Q76">
        <v>0.14344000000000001</v>
      </c>
      <c r="R76">
        <v>0.16278999999999999</v>
      </c>
      <c r="S76">
        <v>0.18079999999999999</v>
      </c>
      <c r="T76">
        <v>0.19861000000000001</v>
      </c>
      <c r="U76">
        <v>0.21606</v>
      </c>
      <c r="V76">
        <v>0.23225000000000001</v>
      </c>
      <c r="W76">
        <v>0.2465</v>
      </c>
      <c r="X76">
        <v>0.26477000000000001</v>
      </c>
      <c r="Y76">
        <v>0.28427000000000002</v>
      </c>
      <c r="Z76">
        <v>0.30558999999999997</v>
      </c>
      <c r="AA76">
        <v>0.32833000000000001</v>
      </c>
      <c r="AB76" s="4">
        <v>99</v>
      </c>
    </row>
    <row r="77" spans="1:28">
      <c r="A77" s="3">
        <v>75</v>
      </c>
      <c r="B77">
        <v>5.28E-3</v>
      </c>
      <c r="C77">
        <v>8.6E-3</v>
      </c>
      <c r="D77">
        <v>1.349E-2</v>
      </c>
      <c r="E77">
        <v>1.839E-2</v>
      </c>
      <c r="F77">
        <v>2.2120000000000001E-2</v>
      </c>
      <c r="G77">
        <v>2.647E-2</v>
      </c>
      <c r="H77">
        <v>3.1570000000000001E-2</v>
      </c>
      <c r="I77">
        <v>3.8019999999999998E-2</v>
      </c>
      <c r="J77">
        <v>4.7870000000000003E-2</v>
      </c>
      <c r="K77">
        <v>5.9409999999999998E-2</v>
      </c>
      <c r="L77">
        <v>7.4389999999999998E-2</v>
      </c>
      <c r="M77">
        <v>8.5830000000000004E-2</v>
      </c>
      <c r="N77">
        <v>0.1008</v>
      </c>
      <c r="O77">
        <v>0.11947000000000001</v>
      </c>
      <c r="P77">
        <v>0.14026</v>
      </c>
      <c r="Q77">
        <v>0.16223000000000001</v>
      </c>
      <c r="R77">
        <v>0.18031</v>
      </c>
      <c r="S77">
        <v>0.19819999999999999</v>
      </c>
      <c r="T77">
        <v>0.21572</v>
      </c>
      <c r="U77">
        <v>0.23199</v>
      </c>
      <c r="V77">
        <v>0.24631</v>
      </c>
      <c r="W77">
        <v>0.26462999999999998</v>
      </c>
      <c r="X77">
        <v>0.28419</v>
      </c>
      <c r="Y77">
        <v>0.30554999999999999</v>
      </c>
      <c r="Z77">
        <v>0.32832</v>
      </c>
      <c r="AA77">
        <v>0.35209000000000001</v>
      </c>
      <c r="AB77" s="4">
        <v>100</v>
      </c>
    </row>
    <row r="78" spans="1:28">
      <c r="A78" s="3">
        <v>76</v>
      </c>
      <c r="B78">
        <v>5.7499999999999999E-3</v>
      </c>
      <c r="C78">
        <v>9.3299999999999998E-3</v>
      </c>
      <c r="D78">
        <v>1.482E-2</v>
      </c>
      <c r="E78">
        <v>2.0559999999999998E-2</v>
      </c>
      <c r="F78">
        <v>2.4850000000000001E-2</v>
      </c>
      <c r="G78">
        <v>2.988E-2</v>
      </c>
      <c r="H78">
        <v>3.594E-2</v>
      </c>
      <c r="I78">
        <v>4.4049999999999999E-2</v>
      </c>
      <c r="J78">
        <v>5.5350000000000003E-2</v>
      </c>
      <c r="K78">
        <v>6.8099999999999994E-2</v>
      </c>
      <c r="L78">
        <v>8.4820000000000007E-2</v>
      </c>
      <c r="M78">
        <v>9.9199999999999997E-2</v>
      </c>
      <c r="N78">
        <v>0.11805</v>
      </c>
      <c r="O78">
        <v>0.13877</v>
      </c>
      <c r="P78">
        <v>0.16181999999999999</v>
      </c>
      <c r="Q78">
        <v>0.17993999999999999</v>
      </c>
      <c r="R78">
        <v>0.19786999999999999</v>
      </c>
      <c r="S78">
        <v>0.21543999999999999</v>
      </c>
      <c r="T78">
        <v>0.23177</v>
      </c>
      <c r="U78">
        <v>0.24614</v>
      </c>
      <c r="V78">
        <v>0.26451000000000002</v>
      </c>
      <c r="W78">
        <v>0.28410999999999997</v>
      </c>
      <c r="X78">
        <v>0.30551</v>
      </c>
      <c r="Y78">
        <v>0.32829999999999998</v>
      </c>
      <c r="Z78">
        <v>0.35209000000000001</v>
      </c>
      <c r="AA78">
        <v>0.37447000000000003</v>
      </c>
      <c r="AB78" s="4">
        <v>101</v>
      </c>
    </row>
    <row r="79" spans="1:28">
      <c r="A79" s="3">
        <v>77</v>
      </c>
      <c r="B79">
        <v>6.0400000000000002E-3</v>
      </c>
      <c r="C79">
        <v>9.7699999999999992E-3</v>
      </c>
      <c r="D79">
        <v>1.5630000000000002E-2</v>
      </c>
      <c r="E79">
        <v>2.2030000000000001E-2</v>
      </c>
      <c r="F79">
        <v>2.7140000000000001E-2</v>
      </c>
      <c r="G79">
        <v>3.2730000000000002E-2</v>
      </c>
      <c r="H79">
        <v>3.9949999999999999E-2</v>
      </c>
      <c r="I79">
        <v>5.0880000000000002E-2</v>
      </c>
      <c r="J79">
        <v>6.3450000000000006E-2</v>
      </c>
      <c r="K79">
        <v>7.7590000000000006E-2</v>
      </c>
      <c r="L79">
        <v>9.7460000000000005E-2</v>
      </c>
      <c r="M79">
        <v>0.11602</v>
      </c>
      <c r="N79">
        <v>0.13746</v>
      </c>
      <c r="O79">
        <v>0.16142000000000001</v>
      </c>
      <c r="P79">
        <v>0.17957000000000001</v>
      </c>
      <c r="Q79">
        <v>0.19755</v>
      </c>
      <c r="R79">
        <v>0.21517</v>
      </c>
      <c r="S79">
        <v>0.23155000000000001</v>
      </c>
      <c r="T79">
        <v>0.24596999999999999</v>
      </c>
      <c r="U79">
        <v>0.26439000000000001</v>
      </c>
      <c r="V79">
        <v>0.28403</v>
      </c>
      <c r="W79">
        <v>0.30547000000000002</v>
      </c>
      <c r="X79">
        <v>0.32829000000000003</v>
      </c>
      <c r="Y79">
        <v>0.35209000000000001</v>
      </c>
      <c r="Z79">
        <v>0.37447000000000003</v>
      </c>
      <c r="AA79">
        <v>0.39679999999999999</v>
      </c>
      <c r="AB79" s="4">
        <v>102</v>
      </c>
    </row>
    <row r="80" spans="1:28">
      <c r="A80" s="3">
        <v>78</v>
      </c>
      <c r="B80">
        <v>6.3899999999999998E-3</v>
      </c>
      <c r="C80">
        <v>1.0319999999999999E-2</v>
      </c>
      <c r="D80">
        <v>1.6670000000000001E-2</v>
      </c>
      <c r="E80">
        <v>2.3820000000000001E-2</v>
      </c>
      <c r="F80">
        <v>2.9409999999999999E-2</v>
      </c>
      <c r="G80">
        <v>3.6499999999999998E-2</v>
      </c>
      <c r="H80">
        <v>4.4769999999999997E-2</v>
      </c>
      <c r="I80">
        <v>5.8340000000000003E-2</v>
      </c>
      <c r="J80">
        <v>7.2389999999999996E-2</v>
      </c>
      <c r="K80">
        <v>8.8480000000000003E-2</v>
      </c>
      <c r="L80">
        <v>0.11303000000000001</v>
      </c>
      <c r="M80">
        <v>0.13483999999999999</v>
      </c>
      <c r="N80">
        <v>0.15947</v>
      </c>
      <c r="O80">
        <v>0.1792</v>
      </c>
      <c r="P80">
        <v>0.19722000000000001</v>
      </c>
      <c r="Q80">
        <v>0.21489</v>
      </c>
      <c r="R80">
        <v>0.23133000000000001</v>
      </c>
      <c r="S80">
        <v>0.24581</v>
      </c>
      <c r="T80">
        <v>0.26427</v>
      </c>
      <c r="U80">
        <v>0.28395999999999999</v>
      </c>
      <c r="V80">
        <v>0.30542999999999998</v>
      </c>
      <c r="W80">
        <v>0.32827000000000001</v>
      </c>
      <c r="X80">
        <v>0.35209000000000001</v>
      </c>
      <c r="Y80">
        <v>0.37447000000000003</v>
      </c>
      <c r="Z80">
        <v>0.39679999999999999</v>
      </c>
      <c r="AA80">
        <v>0.41865999999999998</v>
      </c>
      <c r="AB80" s="4">
        <v>103</v>
      </c>
    </row>
    <row r="81" spans="1:28">
      <c r="A81" s="3">
        <v>79</v>
      </c>
      <c r="B81">
        <v>6.7099999999999998E-3</v>
      </c>
      <c r="C81">
        <v>1.085E-2</v>
      </c>
      <c r="D81">
        <v>1.7729999999999999E-2</v>
      </c>
      <c r="E81">
        <v>2.554E-2</v>
      </c>
      <c r="F81">
        <v>3.2210000000000003E-2</v>
      </c>
      <c r="G81">
        <v>3.9890000000000002E-2</v>
      </c>
      <c r="H81">
        <v>4.9840000000000002E-2</v>
      </c>
      <c r="I81">
        <v>6.4689999999999998E-2</v>
      </c>
      <c r="J81">
        <v>8.0449999999999994E-2</v>
      </c>
      <c r="K81">
        <v>0.10029</v>
      </c>
      <c r="L81">
        <v>0.12906999999999999</v>
      </c>
      <c r="M81">
        <v>0.15525</v>
      </c>
      <c r="N81">
        <v>0.17882999999999999</v>
      </c>
      <c r="O81">
        <v>0.19689999999999999</v>
      </c>
      <c r="P81">
        <v>0.21462000000000001</v>
      </c>
      <c r="Q81">
        <v>0.2311</v>
      </c>
      <c r="R81">
        <v>0.24564</v>
      </c>
      <c r="S81">
        <v>0.26415</v>
      </c>
      <c r="T81">
        <v>0.28388000000000002</v>
      </c>
      <c r="U81">
        <v>0.30538999999999999</v>
      </c>
      <c r="V81">
        <v>0.32826</v>
      </c>
      <c r="W81">
        <v>0.35209000000000001</v>
      </c>
      <c r="X81">
        <v>0.37447000000000003</v>
      </c>
      <c r="Y81">
        <v>0.39679999999999999</v>
      </c>
      <c r="Z81">
        <v>0.41865999999999998</v>
      </c>
      <c r="AA81">
        <v>0.43964999999999999</v>
      </c>
      <c r="AB81" s="4">
        <v>104</v>
      </c>
    </row>
    <row r="82" spans="1:28">
      <c r="A82" s="3">
        <v>80</v>
      </c>
      <c r="B82">
        <v>7.0499999999999998E-3</v>
      </c>
      <c r="C82">
        <v>1.1429999999999999E-2</v>
      </c>
      <c r="D82">
        <v>1.8870000000000001E-2</v>
      </c>
      <c r="E82">
        <v>2.7629999999999998E-2</v>
      </c>
      <c r="F82">
        <v>3.492E-2</v>
      </c>
      <c r="G82">
        <v>4.3310000000000001E-2</v>
      </c>
      <c r="H82">
        <v>5.5300000000000002E-2</v>
      </c>
      <c r="I82">
        <v>7.0970000000000005E-2</v>
      </c>
      <c r="J82">
        <v>8.9050000000000004E-2</v>
      </c>
      <c r="K82">
        <v>0.11358</v>
      </c>
      <c r="L82">
        <v>0.14921999999999999</v>
      </c>
      <c r="M82">
        <v>0.17846000000000001</v>
      </c>
      <c r="N82">
        <v>0.19656999999999999</v>
      </c>
      <c r="O82">
        <v>0.21435000000000001</v>
      </c>
      <c r="P82">
        <v>0.23088</v>
      </c>
      <c r="Q82">
        <v>0.24546999999999999</v>
      </c>
      <c r="R82">
        <v>0.26402999999999999</v>
      </c>
      <c r="S82">
        <v>0.2838</v>
      </c>
      <c r="T82">
        <v>0.30534</v>
      </c>
      <c r="U82">
        <v>0.32823999999999998</v>
      </c>
      <c r="V82">
        <v>0.35209000000000001</v>
      </c>
      <c r="W82">
        <v>0.37447000000000003</v>
      </c>
      <c r="X82">
        <v>0.39679999999999999</v>
      </c>
      <c r="Y82">
        <v>0.41865999999999998</v>
      </c>
      <c r="Z82">
        <v>0.43964999999999999</v>
      </c>
      <c r="AA82">
        <v>0.45935999999999999</v>
      </c>
      <c r="AB82" s="4">
        <v>105</v>
      </c>
    </row>
    <row r="83" spans="1:28">
      <c r="A83" s="3">
        <v>81</v>
      </c>
      <c r="B83">
        <v>7.6499999999999997E-3</v>
      </c>
      <c r="C83">
        <v>1.244E-2</v>
      </c>
      <c r="D83">
        <v>2.1069999999999998E-2</v>
      </c>
      <c r="E83">
        <v>3.0960000000000001E-2</v>
      </c>
      <c r="F83">
        <v>3.918E-2</v>
      </c>
      <c r="G83">
        <v>4.9189999999999998E-2</v>
      </c>
      <c r="H83">
        <v>6.336E-2</v>
      </c>
      <c r="I83">
        <v>8.0269999999999994E-2</v>
      </c>
      <c r="J83">
        <v>0.10357</v>
      </c>
      <c r="K83">
        <v>0.13400999999999999</v>
      </c>
      <c r="L83">
        <v>0.17000999999999999</v>
      </c>
      <c r="M83">
        <v>0.19625000000000001</v>
      </c>
      <c r="N83">
        <v>0.21407000000000001</v>
      </c>
      <c r="O83">
        <v>0.23066</v>
      </c>
      <c r="P83">
        <v>0.24531</v>
      </c>
      <c r="Q83">
        <v>0.26391999999999999</v>
      </c>
      <c r="R83">
        <v>0.28372999999999998</v>
      </c>
      <c r="S83">
        <v>0.30530000000000002</v>
      </c>
      <c r="T83">
        <v>0.32823000000000002</v>
      </c>
      <c r="U83">
        <v>0.35209000000000001</v>
      </c>
      <c r="V83">
        <v>0.37447000000000003</v>
      </c>
      <c r="W83">
        <v>0.39679999999999999</v>
      </c>
      <c r="X83">
        <v>0.41865999999999998</v>
      </c>
      <c r="Y83">
        <v>0.43964999999999999</v>
      </c>
      <c r="Z83">
        <v>0.45935999999999999</v>
      </c>
      <c r="AA83">
        <v>0.47743000000000002</v>
      </c>
      <c r="AB83" s="4">
        <v>106</v>
      </c>
    </row>
    <row r="84" spans="1:28">
      <c r="A84" s="3">
        <v>82</v>
      </c>
      <c r="B84">
        <v>8.3999999999999995E-3</v>
      </c>
      <c r="C84">
        <v>1.379E-2</v>
      </c>
      <c r="D84">
        <v>2.3769999999999999E-2</v>
      </c>
      <c r="E84">
        <v>3.5090000000000003E-2</v>
      </c>
      <c r="F84">
        <v>4.4609999999999997E-2</v>
      </c>
      <c r="G84">
        <v>5.5870000000000003E-2</v>
      </c>
      <c r="H84">
        <v>7.3069999999999996E-2</v>
      </c>
      <c r="I84">
        <v>9.5079999999999998E-2</v>
      </c>
      <c r="J84">
        <v>0.12327</v>
      </c>
      <c r="K84">
        <v>0.16294</v>
      </c>
      <c r="L84">
        <v>0.19592000000000001</v>
      </c>
      <c r="M84">
        <v>0.21379999999999999</v>
      </c>
      <c r="N84">
        <v>0.23044000000000001</v>
      </c>
      <c r="O84">
        <v>0.24514</v>
      </c>
      <c r="P84">
        <v>0.26379999999999998</v>
      </c>
      <c r="Q84">
        <v>0.28365000000000001</v>
      </c>
      <c r="R84">
        <v>0.30525999999999998</v>
      </c>
      <c r="S84">
        <v>0.32821</v>
      </c>
      <c r="T84">
        <v>0.35209000000000001</v>
      </c>
      <c r="U84">
        <v>0.37447000000000003</v>
      </c>
      <c r="V84">
        <v>0.39679999999999999</v>
      </c>
      <c r="W84">
        <v>0.41865999999999998</v>
      </c>
      <c r="X84">
        <v>0.43964999999999999</v>
      </c>
      <c r="Y84">
        <v>0.45935999999999999</v>
      </c>
      <c r="Z84">
        <v>0.47743000000000002</v>
      </c>
      <c r="AA84">
        <v>0.50331999999999999</v>
      </c>
      <c r="AB84" s="4">
        <v>107</v>
      </c>
    </row>
    <row r="85" spans="1:28">
      <c r="A85" s="3">
        <v>83</v>
      </c>
      <c r="B85">
        <v>9.5600000000000008E-3</v>
      </c>
      <c r="C85">
        <v>1.5789999999999998E-2</v>
      </c>
      <c r="D85">
        <v>2.776E-2</v>
      </c>
      <c r="E85">
        <v>4.0899999999999999E-2</v>
      </c>
      <c r="F85">
        <v>5.253E-2</v>
      </c>
      <c r="G85">
        <v>6.6259999999999999E-2</v>
      </c>
      <c r="H85">
        <v>8.7279999999999996E-2</v>
      </c>
      <c r="I85">
        <v>0.11654</v>
      </c>
      <c r="J85">
        <v>0.15526000000000001</v>
      </c>
      <c r="K85">
        <v>0.1956</v>
      </c>
      <c r="L85">
        <v>0.21351999999999999</v>
      </c>
      <c r="M85">
        <v>0.23022000000000001</v>
      </c>
      <c r="N85">
        <v>0.24496999999999999</v>
      </c>
      <c r="O85">
        <v>0.26368000000000003</v>
      </c>
      <c r="P85">
        <v>0.28356999999999999</v>
      </c>
      <c r="Q85">
        <v>0.30521999999999999</v>
      </c>
      <c r="R85">
        <v>0.32819999999999999</v>
      </c>
      <c r="S85">
        <v>0.35209000000000001</v>
      </c>
      <c r="T85">
        <v>0.37447000000000003</v>
      </c>
      <c r="U85">
        <v>0.39679999999999999</v>
      </c>
      <c r="V85">
        <v>0.41865999999999998</v>
      </c>
      <c r="W85">
        <v>0.43964999999999999</v>
      </c>
      <c r="X85">
        <v>0.45935999999999999</v>
      </c>
      <c r="Y85">
        <v>0.47743000000000002</v>
      </c>
      <c r="Z85">
        <v>0.50331999999999999</v>
      </c>
      <c r="AA85">
        <v>0.53061000000000003</v>
      </c>
      <c r="AB85" s="4">
        <v>108</v>
      </c>
    </row>
    <row r="86" spans="1:28">
      <c r="A86" s="3">
        <v>84</v>
      </c>
      <c r="B86">
        <v>1.107E-2</v>
      </c>
      <c r="C86">
        <v>1.8669999999999999E-2</v>
      </c>
      <c r="D86">
        <v>3.3790000000000001E-2</v>
      </c>
      <c r="E86">
        <v>5.0070000000000003E-2</v>
      </c>
      <c r="F86">
        <v>6.4640000000000003E-2</v>
      </c>
      <c r="G86">
        <v>8.2919999999999994E-2</v>
      </c>
      <c r="H86">
        <v>0.11024</v>
      </c>
      <c r="I86">
        <v>0.15226000000000001</v>
      </c>
      <c r="J86">
        <v>0.1956</v>
      </c>
      <c r="K86">
        <v>0.21325</v>
      </c>
      <c r="L86">
        <v>0.23</v>
      </c>
      <c r="M86">
        <v>0.24479999999999999</v>
      </c>
      <c r="N86">
        <v>0.26356000000000002</v>
      </c>
      <c r="O86">
        <v>0.28349999999999997</v>
      </c>
      <c r="P86">
        <v>0.30518000000000001</v>
      </c>
      <c r="Q86">
        <v>0.32818999999999998</v>
      </c>
      <c r="R86">
        <v>0.35209000000000001</v>
      </c>
      <c r="S86">
        <v>0.37447000000000003</v>
      </c>
      <c r="T86">
        <v>0.39679999999999999</v>
      </c>
      <c r="U86">
        <v>0.41865999999999998</v>
      </c>
      <c r="V86">
        <v>0.43964999999999999</v>
      </c>
      <c r="W86">
        <v>0.45935999999999999</v>
      </c>
      <c r="X86">
        <v>0.47743000000000002</v>
      </c>
      <c r="Y86">
        <v>0.50331999999999999</v>
      </c>
      <c r="Z86">
        <v>0.53061000000000003</v>
      </c>
      <c r="AA86">
        <v>0.55939000000000005</v>
      </c>
      <c r="AB86" s="4">
        <v>109</v>
      </c>
    </row>
    <row r="87" spans="1:28">
      <c r="A87" s="3">
        <v>85</v>
      </c>
      <c r="B87">
        <v>1.289E-2</v>
      </c>
      <c r="C87">
        <v>2.2030000000000001E-2</v>
      </c>
      <c r="D87">
        <v>4.0669999999999998E-2</v>
      </c>
      <c r="E87">
        <v>6.0310000000000002E-2</v>
      </c>
      <c r="F87">
        <v>7.9140000000000002E-2</v>
      </c>
      <c r="G87">
        <v>0.10387</v>
      </c>
      <c r="H87">
        <v>0.14119999999999999</v>
      </c>
      <c r="I87">
        <v>0.18013000000000001</v>
      </c>
      <c r="J87">
        <v>0.21325</v>
      </c>
      <c r="K87">
        <v>0.22978000000000001</v>
      </c>
      <c r="L87">
        <v>0.24464</v>
      </c>
      <c r="M87">
        <v>0.26344000000000001</v>
      </c>
      <c r="N87">
        <v>0.28342000000000001</v>
      </c>
      <c r="O87">
        <v>0.30514000000000002</v>
      </c>
      <c r="P87">
        <v>0.32817000000000002</v>
      </c>
      <c r="Q87">
        <v>0.35209000000000001</v>
      </c>
      <c r="R87">
        <v>0.37447000000000003</v>
      </c>
      <c r="S87">
        <v>0.39679999999999999</v>
      </c>
      <c r="T87">
        <v>0.41865999999999998</v>
      </c>
      <c r="U87">
        <v>0.43964999999999999</v>
      </c>
      <c r="V87">
        <v>0.45935999999999999</v>
      </c>
      <c r="W87">
        <v>0.47743000000000002</v>
      </c>
      <c r="X87">
        <v>0.50331999999999999</v>
      </c>
      <c r="Y87">
        <v>0.53061000000000003</v>
      </c>
      <c r="Z87">
        <v>0.55939000000000005</v>
      </c>
      <c r="AA87">
        <v>0.58972000000000002</v>
      </c>
      <c r="AB87" s="4">
        <v>110</v>
      </c>
    </row>
    <row r="88" spans="1:28">
      <c r="A88" s="3">
        <v>86</v>
      </c>
      <c r="B88">
        <v>1.524E-2</v>
      </c>
      <c r="C88">
        <v>2.6440000000000002E-2</v>
      </c>
      <c r="D88">
        <v>4.9950000000000001E-2</v>
      </c>
      <c r="E88">
        <v>7.4810000000000001E-2</v>
      </c>
      <c r="F88">
        <v>0.10024</v>
      </c>
      <c r="G88">
        <v>0.13531000000000001</v>
      </c>
      <c r="H88">
        <v>0.17512</v>
      </c>
      <c r="I88">
        <v>0.21325</v>
      </c>
      <c r="J88">
        <v>0.22978000000000001</v>
      </c>
      <c r="K88">
        <v>0.24446999999999999</v>
      </c>
      <c r="L88">
        <v>0.26332</v>
      </c>
      <c r="M88">
        <v>0.28333999999999998</v>
      </c>
      <c r="N88">
        <v>0.30509999999999998</v>
      </c>
      <c r="O88">
        <v>0.32816000000000001</v>
      </c>
      <c r="P88">
        <v>0.35209000000000001</v>
      </c>
      <c r="Q88">
        <v>0.37447000000000003</v>
      </c>
      <c r="R88">
        <v>0.39679999999999999</v>
      </c>
      <c r="S88">
        <v>0.41865999999999998</v>
      </c>
      <c r="T88">
        <v>0.43964999999999999</v>
      </c>
      <c r="U88">
        <v>0.45935999999999999</v>
      </c>
      <c r="V88">
        <v>0.47743000000000002</v>
      </c>
      <c r="W88">
        <v>0.50331999999999999</v>
      </c>
      <c r="X88">
        <v>0.53061000000000003</v>
      </c>
      <c r="Y88">
        <v>0.55939000000000005</v>
      </c>
      <c r="Z88">
        <v>0.58972000000000002</v>
      </c>
      <c r="AA88">
        <v>0.62170000000000003</v>
      </c>
      <c r="AB88" s="4">
        <v>111</v>
      </c>
    </row>
    <row r="89" spans="1:28">
      <c r="A89" s="3">
        <v>87</v>
      </c>
      <c r="B89">
        <v>1.796E-2</v>
      </c>
      <c r="C89">
        <v>3.1719999999999998E-2</v>
      </c>
      <c r="D89">
        <v>6.1240000000000003E-2</v>
      </c>
      <c r="E89">
        <v>9.3439999999999995E-2</v>
      </c>
      <c r="F89">
        <v>0.12934999999999999</v>
      </c>
      <c r="G89">
        <v>0.16977999999999999</v>
      </c>
      <c r="H89">
        <v>0.21325</v>
      </c>
      <c r="I89">
        <v>0.22978000000000001</v>
      </c>
      <c r="J89">
        <v>0.24446999999999999</v>
      </c>
      <c r="K89">
        <v>0.26319999999999999</v>
      </c>
      <c r="L89">
        <v>0.28326000000000001</v>
      </c>
      <c r="M89">
        <v>0.30506</v>
      </c>
      <c r="N89">
        <v>0.32813999999999999</v>
      </c>
      <c r="O89">
        <v>0.35209000000000001</v>
      </c>
      <c r="P89">
        <v>0.37447000000000003</v>
      </c>
      <c r="Q89">
        <v>0.39679999999999999</v>
      </c>
      <c r="R89">
        <v>0.41865999999999998</v>
      </c>
      <c r="S89">
        <v>0.43964999999999999</v>
      </c>
      <c r="T89">
        <v>0.45935999999999999</v>
      </c>
      <c r="U89">
        <v>0.47743000000000002</v>
      </c>
      <c r="V89">
        <v>0.50331999999999999</v>
      </c>
      <c r="W89">
        <v>0.53061000000000003</v>
      </c>
      <c r="X89">
        <v>0.55939000000000005</v>
      </c>
      <c r="Y89">
        <v>0.58972000000000002</v>
      </c>
      <c r="Z89">
        <v>0.62170000000000003</v>
      </c>
      <c r="AA89">
        <v>0.65542</v>
      </c>
      <c r="AB89" s="4">
        <v>112</v>
      </c>
    </row>
    <row r="90" spans="1:28">
      <c r="A90" s="3">
        <v>88</v>
      </c>
      <c r="B90">
        <v>2.0740000000000001E-2</v>
      </c>
      <c r="C90">
        <v>3.7580000000000002E-2</v>
      </c>
      <c r="D90">
        <v>7.4060000000000001E-2</v>
      </c>
      <c r="E90">
        <v>0.11631</v>
      </c>
      <c r="F90">
        <v>0.16128000000000001</v>
      </c>
      <c r="G90">
        <v>0.21325</v>
      </c>
      <c r="H90">
        <v>0.22978000000000001</v>
      </c>
      <c r="I90">
        <v>0.24446999999999999</v>
      </c>
      <c r="J90">
        <v>0.26319999999999999</v>
      </c>
      <c r="K90">
        <v>0.28319</v>
      </c>
      <c r="L90">
        <v>0.30501</v>
      </c>
      <c r="M90">
        <v>0.32812999999999998</v>
      </c>
      <c r="N90">
        <v>0.35209000000000001</v>
      </c>
      <c r="O90">
        <v>0.37447000000000003</v>
      </c>
      <c r="P90">
        <v>0.39679999999999999</v>
      </c>
      <c r="Q90">
        <v>0.41865999999999998</v>
      </c>
      <c r="R90">
        <v>0.43964999999999999</v>
      </c>
      <c r="S90">
        <v>0.45935999999999999</v>
      </c>
      <c r="T90">
        <v>0.47743000000000002</v>
      </c>
      <c r="U90">
        <v>0.50331999999999999</v>
      </c>
      <c r="V90">
        <v>0.53061000000000003</v>
      </c>
      <c r="W90">
        <v>0.55939000000000005</v>
      </c>
      <c r="X90">
        <v>0.58972000000000002</v>
      </c>
      <c r="Y90">
        <v>0.62170000000000003</v>
      </c>
      <c r="Z90">
        <v>0.65542</v>
      </c>
      <c r="AA90">
        <v>0.69096000000000002</v>
      </c>
      <c r="AB90" s="4">
        <v>113</v>
      </c>
    </row>
    <row r="91" spans="1:28">
      <c r="A91" s="3">
        <v>89</v>
      </c>
      <c r="B91">
        <v>2.3640000000000001E-2</v>
      </c>
      <c r="C91">
        <v>4.3499999999999997E-2</v>
      </c>
      <c r="D91">
        <v>8.8069999999999996E-2</v>
      </c>
      <c r="E91">
        <v>0.14213999999999999</v>
      </c>
      <c r="F91">
        <v>0.19647999999999999</v>
      </c>
      <c r="G91">
        <v>0.22978000000000001</v>
      </c>
      <c r="H91">
        <v>0.24446999999999999</v>
      </c>
      <c r="I91">
        <v>0.26319999999999999</v>
      </c>
      <c r="J91">
        <v>0.28319</v>
      </c>
      <c r="K91">
        <v>0.30497000000000002</v>
      </c>
      <c r="L91">
        <v>0.32811000000000001</v>
      </c>
      <c r="M91">
        <v>0.35209000000000001</v>
      </c>
      <c r="N91">
        <v>0.37447000000000003</v>
      </c>
      <c r="O91">
        <v>0.39679999999999999</v>
      </c>
      <c r="P91">
        <v>0.41865999999999998</v>
      </c>
      <c r="Q91">
        <v>0.43964999999999999</v>
      </c>
      <c r="R91">
        <v>0.45935999999999999</v>
      </c>
      <c r="S91">
        <v>0.47743000000000002</v>
      </c>
      <c r="T91">
        <v>0.50331999999999999</v>
      </c>
      <c r="U91">
        <v>0.53061000000000003</v>
      </c>
      <c r="V91">
        <v>0.55939000000000005</v>
      </c>
      <c r="W91">
        <v>0.58972000000000002</v>
      </c>
      <c r="X91">
        <v>0.62170000000000003</v>
      </c>
      <c r="Y91">
        <v>0.65542</v>
      </c>
      <c r="Z91">
        <v>0.69096000000000002</v>
      </c>
      <c r="AA91">
        <v>0.72843000000000002</v>
      </c>
      <c r="AB91" s="4">
        <v>114</v>
      </c>
    </row>
    <row r="92" spans="1:28">
      <c r="A92" s="3">
        <v>90</v>
      </c>
      <c r="B92">
        <v>2.6919999999999999E-2</v>
      </c>
      <c r="C92">
        <v>5.0349999999999999E-2</v>
      </c>
      <c r="D92">
        <v>0.10526000000000001</v>
      </c>
      <c r="E92">
        <v>0.17385999999999999</v>
      </c>
      <c r="F92">
        <v>0.22978000000000001</v>
      </c>
      <c r="G92">
        <v>0.24446999999999999</v>
      </c>
      <c r="H92">
        <v>0.26319999999999999</v>
      </c>
      <c r="I92">
        <v>0.28319</v>
      </c>
      <c r="J92">
        <v>0.30497000000000002</v>
      </c>
      <c r="K92">
        <v>0.3281</v>
      </c>
      <c r="L92">
        <v>0.35209000000000001</v>
      </c>
      <c r="M92">
        <v>0.37447000000000003</v>
      </c>
      <c r="N92">
        <v>0.39679999999999999</v>
      </c>
      <c r="O92">
        <v>0.41865999999999998</v>
      </c>
      <c r="P92">
        <v>0.43964999999999999</v>
      </c>
      <c r="Q92">
        <v>0.45935999999999999</v>
      </c>
      <c r="R92">
        <v>0.47743000000000002</v>
      </c>
      <c r="S92">
        <v>0.50331999999999999</v>
      </c>
      <c r="T92">
        <v>0.53061000000000003</v>
      </c>
      <c r="U92">
        <v>0.55939000000000005</v>
      </c>
      <c r="V92">
        <v>0.58972000000000002</v>
      </c>
      <c r="W92">
        <v>0.62170000000000003</v>
      </c>
      <c r="X92">
        <v>0.65542</v>
      </c>
      <c r="Y92">
        <v>0.69096000000000002</v>
      </c>
      <c r="Z92">
        <v>0.72843000000000002</v>
      </c>
      <c r="AA92">
        <v>0.76793999999999996</v>
      </c>
      <c r="AB92" s="4">
        <v>115</v>
      </c>
    </row>
    <row r="93" spans="1:28">
      <c r="A93" s="3">
        <v>91</v>
      </c>
      <c r="B93">
        <v>3.3230000000000003E-2</v>
      </c>
      <c r="C93">
        <v>7.5560000000000002E-2</v>
      </c>
      <c r="D93">
        <v>0.15992999999999999</v>
      </c>
      <c r="E93">
        <v>0.22978000000000001</v>
      </c>
      <c r="F93">
        <v>0.24446999999999999</v>
      </c>
      <c r="G93">
        <v>0.26319999999999999</v>
      </c>
      <c r="H93">
        <v>0.28319</v>
      </c>
      <c r="I93">
        <v>0.30497000000000002</v>
      </c>
      <c r="J93">
        <v>0.3281</v>
      </c>
      <c r="K93">
        <v>0.35209000000000001</v>
      </c>
      <c r="L93">
        <v>0.37447000000000003</v>
      </c>
      <c r="M93">
        <v>0.39679999999999999</v>
      </c>
      <c r="N93">
        <v>0.41865999999999998</v>
      </c>
      <c r="O93">
        <v>0.43964999999999999</v>
      </c>
      <c r="P93">
        <v>0.45935999999999999</v>
      </c>
      <c r="Q93">
        <v>0.47743000000000002</v>
      </c>
      <c r="R93">
        <v>0.50331999999999999</v>
      </c>
      <c r="S93">
        <v>0.53061000000000003</v>
      </c>
      <c r="T93">
        <v>0.55939000000000005</v>
      </c>
      <c r="U93">
        <v>0.58972000000000002</v>
      </c>
      <c r="V93">
        <v>0.62170000000000003</v>
      </c>
      <c r="W93">
        <v>0.65542</v>
      </c>
      <c r="X93">
        <v>0.69096000000000002</v>
      </c>
      <c r="Y93">
        <v>0.72843000000000002</v>
      </c>
      <c r="Z93">
        <v>0.76793999999999996</v>
      </c>
      <c r="AA93">
        <v>0.80957999999999997</v>
      </c>
      <c r="AB93" s="4">
        <v>116</v>
      </c>
    </row>
    <row r="94" spans="1:28">
      <c r="A94" s="1">
        <v>92</v>
      </c>
      <c r="B94">
        <v>4.5850000000000002E-2</v>
      </c>
      <c r="C94">
        <v>0.11312</v>
      </c>
      <c r="D94">
        <v>0.22978000000000001</v>
      </c>
      <c r="E94">
        <v>0.24446999999999999</v>
      </c>
      <c r="F94">
        <v>0.26319999999999999</v>
      </c>
      <c r="G94">
        <v>0.28319</v>
      </c>
      <c r="H94">
        <v>0.30497000000000002</v>
      </c>
      <c r="I94">
        <v>0.3281</v>
      </c>
      <c r="J94">
        <v>0.35209000000000001</v>
      </c>
      <c r="K94">
        <v>0.37447000000000003</v>
      </c>
      <c r="L94">
        <v>0.39679999999999999</v>
      </c>
      <c r="M94">
        <v>0.41865999999999998</v>
      </c>
      <c r="N94">
        <v>0.43964999999999999</v>
      </c>
      <c r="O94">
        <v>0.45935999999999999</v>
      </c>
      <c r="P94">
        <v>0.47743000000000002</v>
      </c>
      <c r="Q94">
        <v>0.50331999999999999</v>
      </c>
      <c r="R94">
        <v>0.53061000000000003</v>
      </c>
      <c r="S94">
        <v>0.55939000000000005</v>
      </c>
      <c r="T94">
        <v>0.58972000000000002</v>
      </c>
      <c r="U94">
        <v>0.62170000000000003</v>
      </c>
      <c r="V94">
        <v>0.65542</v>
      </c>
      <c r="W94">
        <v>0.69096000000000002</v>
      </c>
      <c r="X94">
        <v>0.72843000000000002</v>
      </c>
      <c r="Y94">
        <v>0.76793999999999996</v>
      </c>
      <c r="Z94">
        <v>0.80957999999999997</v>
      </c>
      <c r="AA94">
        <v>0.85348000000000002</v>
      </c>
      <c r="AB94" s="4">
        <v>117</v>
      </c>
    </row>
    <row r="95" spans="1:28">
      <c r="A95" s="1">
        <v>93</v>
      </c>
      <c r="B95">
        <v>6.6309999999999994E-2</v>
      </c>
      <c r="C95">
        <v>0.16275000000000001</v>
      </c>
      <c r="D95">
        <v>0.24446999999999999</v>
      </c>
      <c r="E95">
        <v>0.26319999999999999</v>
      </c>
      <c r="F95">
        <v>0.28319</v>
      </c>
      <c r="G95">
        <v>0.30497000000000002</v>
      </c>
      <c r="H95">
        <v>0.3281</v>
      </c>
      <c r="I95">
        <v>0.35209000000000001</v>
      </c>
      <c r="J95">
        <v>0.37447000000000003</v>
      </c>
      <c r="K95">
        <v>0.39679999999999999</v>
      </c>
      <c r="L95">
        <v>0.41865999999999998</v>
      </c>
      <c r="M95">
        <v>0.43964999999999999</v>
      </c>
      <c r="N95">
        <v>0.45935999999999999</v>
      </c>
      <c r="O95">
        <v>0.47743000000000002</v>
      </c>
      <c r="P95">
        <v>0.50331999999999999</v>
      </c>
      <c r="Q95">
        <v>0.53061000000000003</v>
      </c>
      <c r="R95">
        <v>0.55939000000000005</v>
      </c>
      <c r="S95">
        <v>0.58972000000000002</v>
      </c>
      <c r="T95">
        <v>0.62170000000000003</v>
      </c>
      <c r="U95">
        <v>0.65542</v>
      </c>
      <c r="V95">
        <v>0.69096000000000002</v>
      </c>
      <c r="W95">
        <v>0.72843000000000002</v>
      </c>
      <c r="X95">
        <v>0.76793999999999996</v>
      </c>
      <c r="Y95">
        <v>0.80957999999999997</v>
      </c>
      <c r="Z95">
        <v>0.85348000000000002</v>
      </c>
      <c r="AA95">
        <v>0.89976999999999996</v>
      </c>
      <c r="AB95" s="4">
        <v>118</v>
      </c>
    </row>
    <row r="96" spans="1:28">
      <c r="A96" s="1">
        <v>94</v>
      </c>
      <c r="B96">
        <v>9.572E-2</v>
      </c>
      <c r="C96">
        <v>0.18962000000000001</v>
      </c>
      <c r="D96">
        <v>0.26319999999999999</v>
      </c>
      <c r="E96">
        <v>0.28319</v>
      </c>
      <c r="F96">
        <v>0.30497000000000002</v>
      </c>
      <c r="G96">
        <v>0.3281</v>
      </c>
      <c r="H96">
        <v>0.35209000000000001</v>
      </c>
      <c r="I96">
        <v>0.37447000000000003</v>
      </c>
      <c r="J96">
        <v>0.39679999999999999</v>
      </c>
      <c r="K96">
        <v>0.41865999999999998</v>
      </c>
      <c r="L96">
        <v>0.43964999999999999</v>
      </c>
      <c r="M96">
        <v>0.45935999999999999</v>
      </c>
      <c r="N96">
        <v>0.47743000000000002</v>
      </c>
      <c r="O96">
        <v>0.50331999999999999</v>
      </c>
      <c r="P96">
        <v>0.53061000000000003</v>
      </c>
      <c r="Q96">
        <v>0.55939000000000005</v>
      </c>
      <c r="R96">
        <v>0.58972000000000002</v>
      </c>
      <c r="S96">
        <v>0.62170000000000003</v>
      </c>
      <c r="T96">
        <v>0.65542</v>
      </c>
      <c r="U96">
        <v>0.69096000000000002</v>
      </c>
      <c r="V96">
        <v>0.72843000000000002</v>
      </c>
      <c r="W96">
        <v>0.76793999999999996</v>
      </c>
      <c r="X96">
        <v>0.80957999999999997</v>
      </c>
      <c r="Y96">
        <v>0.85348000000000002</v>
      </c>
      <c r="Z96">
        <v>0.89976999999999996</v>
      </c>
      <c r="AA96">
        <v>0.94855999999999996</v>
      </c>
      <c r="AB96" s="4">
        <v>119</v>
      </c>
    </row>
    <row r="97" spans="1:28">
      <c r="A97" s="1">
        <v>95</v>
      </c>
      <c r="B97">
        <v>0.13477</v>
      </c>
      <c r="C97">
        <v>0.26319999999999999</v>
      </c>
      <c r="D97">
        <v>0.28319</v>
      </c>
      <c r="E97">
        <v>0.30497000000000002</v>
      </c>
      <c r="F97">
        <v>0.3281</v>
      </c>
      <c r="G97">
        <v>0.35209000000000001</v>
      </c>
      <c r="H97">
        <v>0.37447000000000003</v>
      </c>
      <c r="I97">
        <v>0.39679999999999999</v>
      </c>
      <c r="J97">
        <v>0.41865999999999998</v>
      </c>
      <c r="K97">
        <v>0.43964999999999999</v>
      </c>
      <c r="L97">
        <v>0.45935999999999999</v>
      </c>
      <c r="M97">
        <v>0.47743000000000002</v>
      </c>
      <c r="N97">
        <v>0.50331999999999999</v>
      </c>
      <c r="O97">
        <v>0.53061000000000003</v>
      </c>
      <c r="P97">
        <v>0.55939000000000005</v>
      </c>
      <c r="Q97">
        <v>0.58972000000000002</v>
      </c>
      <c r="R97">
        <v>0.62170000000000003</v>
      </c>
      <c r="S97">
        <v>0.65542</v>
      </c>
      <c r="T97">
        <v>0.69096000000000002</v>
      </c>
      <c r="U97">
        <v>0.72843000000000002</v>
      </c>
      <c r="V97">
        <v>0.76793999999999996</v>
      </c>
      <c r="W97">
        <v>0.80957999999999997</v>
      </c>
      <c r="X97">
        <v>0.85348000000000002</v>
      </c>
      <c r="Y97">
        <v>0.89976999999999996</v>
      </c>
      <c r="Z97">
        <v>0.94855999999999996</v>
      </c>
      <c r="AA97">
        <v>1</v>
      </c>
      <c r="AB97" s="4">
        <v>120</v>
      </c>
    </row>
    <row r="101" spans="1:28">
      <c r="A101" t="s">
        <v>21</v>
      </c>
      <c r="B101">
        <v>1000</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
  <sheetViews>
    <sheetView topLeftCell="A43" zoomScaleNormal="100" workbookViewId="0">
      <selection activeCell="C41" sqref="C41"/>
    </sheetView>
  </sheetViews>
  <sheetFormatPr baseColWidth="10" defaultColWidth="10.5" defaultRowHeight="16"/>
  <cols>
    <col min="2" max="2" width="13" customWidth="1"/>
  </cols>
  <sheetData>
    <row r="1" spans="1:28">
      <c r="A1" s="1" t="s">
        <v>18</v>
      </c>
      <c r="B1" s="2">
        <v>1</v>
      </c>
      <c r="C1" s="2">
        <v>2</v>
      </c>
      <c r="D1" s="2">
        <v>3</v>
      </c>
      <c r="E1" s="2">
        <v>4</v>
      </c>
      <c r="F1" s="2">
        <v>5</v>
      </c>
      <c r="G1" s="2">
        <v>6</v>
      </c>
      <c r="H1" s="2">
        <v>7</v>
      </c>
      <c r="I1" s="2">
        <v>8</v>
      </c>
      <c r="J1" s="2">
        <v>9</v>
      </c>
      <c r="K1" s="2">
        <v>10</v>
      </c>
      <c r="L1" s="2">
        <v>11</v>
      </c>
      <c r="M1" s="2">
        <v>12</v>
      </c>
      <c r="N1" s="2">
        <v>13</v>
      </c>
      <c r="O1" s="2">
        <v>14</v>
      </c>
      <c r="P1" s="2">
        <v>15</v>
      </c>
      <c r="Q1" s="2">
        <v>16</v>
      </c>
      <c r="R1" s="2">
        <v>17</v>
      </c>
      <c r="S1" s="2">
        <v>18</v>
      </c>
      <c r="T1" s="2">
        <v>19</v>
      </c>
      <c r="U1" s="2">
        <v>20</v>
      </c>
      <c r="V1" s="2">
        <v>21</v>
      </c>
      <c r="W1" s="2">
        <v>22</v>
      </c>
      <c r="X1" s="2">
        <v>23</v>
      </c>
      <c r="Y1" s="2">
        <v>24</v>
      </c>
      <c r="Z1" s="2">
        <v>25</v>
      </c>
      <c r="AA1" s="2" t="s">
        <v>19</v>
      </c>
      <c r="AB1" s="1" t="s">
        <v>20</v>
      </c>
    </row>
    <row r="2" spans="1:28">
      <c r="A2" s="3">
        <v>0</v>
      </c>
      <c r="B2" s="5">
        <v>2.9999999999999997E-4</v>
      </c>
      <c r="C2" s="5">
        <v>1.7000000000000001E-4</v>
      </c>
      <c r="D2" s="5">
        <v>1.1E-4</v>
      </c>
      <c r="E2" s="5">
        <v>8.0000000000000007E-5</v>
      </c>
      <c r="F2" s="5">
        <v>8.0000000000000007E-5</v>
      </c>
      <c r="G2" s="5">
        <v>8.0000000000000007E-5</v>
      </c>
      <c r="H2" s="5">
        <v>9.0000000000000006E-5</v>
      </c>
      <c r="I2" s="5">
        <v>9.0000000000000006E-5</v>
      </c>
      <c r="J2" s="5">
        <v>8.0000000000000007E-5</v>
      </c>
      <c r="K2" s="5">
        <v>8.0000000000000007E-5</v>
      </c>
      <c r="L2" s="5">
        <v>9.0000000000000006E-5</v>
      </c>
      <c r="M2" s="5">
        <v>9.0000000000000006E-5</v>
      </c>
      <c r="N2" s="5">
        <v>9.0000000000000006E-5</v>
      </c>
      <c r="O2" s="5">
        <v>8.0000000000000007E-5</v>
      </c>
      <c r="P2" s="5">
        <v>1.1E-4</v>
      </c>
      <c r="Q2" s="5">
        <v>1.9000000000000001E-4</v>
      </c>
      <c r="R2" s="5">
        <v>2.7E-4</v>
      </c>
      <c r="S2" s="5">
        <v>3.2000000000000003E-4</v>
      </c>
      <c r="T2" s="5">
        <v>3.3E-4</v>
      </c>
      <c r="U2" s="5">
        <v>3.3E-4</v>
      </c>
      <c r="V2" s="5">
        <v>3.3E-4</v>
      </c>
      <c r="W2" s="5">
        <v>3.3E-4</v>
      </c>
      <c r="X2" s="5">
        <v>3.3E-4</v>
      </c>
      <c r="Y2" s="5">
        <v>3.5E-4</v>
      </c>
      <c r="Z2" s="5">
        <v>3.8999999999999999E-4</v>
      </c>
      <c r="AA2" s="5">
        <v>4.0999999999999999E-4</v>
      </c>
      <c r="AB2" s="1">
        <v>25</v>
      </c>
    </row>
    <row r="3" spans="1:28">
      <c r="A3" s="3">
        <v>1</v>
      </c>
      <c r="B3" s="5">
        <v>1.7000000000000001E-4</v>
      </c>
      <c r="C3" s="5">
        <v>1.1E-4</v>
      </c>
      <c r="D3" s="5">
        <v>8.0000000000000007E-5</v>
      </c>
      <c r="E3" s="5">
        <v>8.0000000000000007E-5</v>
      </c>
      <c r="F3" s="5">
        <v>8.0000000000000007E-5</v>
      </c>
      <c r="G3" s="5">
        <v>9.0000000000000006E-5</v>
      </c>
      <c r="H3" s="5">
        <v>9.0000000000000006E-5</v>
      </c>
      <c r="I3" s="5">
        <v>8.0000000000000007E-5</v>
      </c>
      <c r="J3" s="5">
        <v>8.0000000000000007E-5</v>
      </c>
      <c r="K3" s="5">
        <v>9.0000000000000006E-5</v>
      </c>
      <c r="L3" s="5">
        <v>9.0000000000000006E-5</v>
      </c>
      <c r="M3" s="5">
        <v>9.0000000000000006E-5</v>
      </c>
      <c r="N3" s="5">
        <v>8.0000000000000007E-5</v>
      </c>
      <c r="O3" s="5">
        <v>1.1E-4</v>
      </c>
      <c r="P3" s="5">
        <v>1.9000000000000001E-4</v>
      </c>
      <c r="Q3" s="5">
        <v>2.7E-4</v>
      </c>
      <c r="R3" s="5">
        <v>3.2000000000000003E-4</v>
      </c>
      <c r="S3" s="5">
        <v>3.3E-4</v>
      </c>
      <c r="T3" s="5">
        <v>3.3E-4</v>
      </c>
      <c r="U3" s="5">
        <v>3.3E-4</v>
      </c>
      <c r="V3" s="5">
        <v>3.3E-4</v>
      </c>
      <c r="W3" s="5">
        <v>3.3E-4</v>
      </c>
      <c r="X3" s="5">
        <v>3.5E-4</v>
      </c>
      <c r="Y3" s="5">
        <v>3.8999999999999999E-4</v>
      </c>
      <c r="Z3" s="5">
        <v>4.0999999999999999E-4</v>
      </c>
      <c r="AA3" s="5">
        <v>4.0999999999999999E-4</v>
      </c>
      <c r="AB3" s="1">
        <v>26</v>
      </c>
    </row>
    <row r="4" spans="1:28">
      <c r="A4" s="3">
        <v>2</v>
      </c>
      <c r="B4" s="5">
        <v>1.1E-4</v>
      </c>
      <c r="C4" s="5">
        <v>8.0000000000000007E-5</v>
      </c>
      <c r="D4" s="5">
        <v>8.0000000000000007E-5</v>
      </c>
      <c r="E4" s="5">
        <v>8.0000000000000007E-5</v>
      </c>
      <c r="F4" s="5">
        <v>9.0000000000000006E-5</v>
      </c>
      <c r="G4" s="5">
        <v>9.0000000000000006E-5</v>
      </c>
      <c r="H4" s="5">
        <v>8.0000000000000007E-5</v>
      </c>
      <c r="I4" s="5">
        <v>8.0000000000000007E-5</v>
      </c>
      <c r="J4" s="5">
        <v>9.0000000000000006E-5</v>
      </c>
      <c r="K4" s="5">
        <v>9.0000000000000006E-5</v>
      </c>
      <c r="L4" s="5">
        <v>9.0000000000000006E-5</v>
      </c>
      <c r="M4" s="5">
        <v>8.0000000000000007E-5</v>
      </c>
      <c r="N4" s="5">
        <v>1.1E-4</v>
      </c>
      <c r="O4" s="5">
        <v>1.9000000000000001E-4</v>
      </c>
      <c r="P4" s="5">
        <v>2.7E-4</v>
      </c>
      <c r="Q4" s="5">
        <v>3.2000000000000003E-4</v>
      </c>
      <c r="R4" s="5">
        <v>3.3E-4</v>
      </c>
      <c r="S4" s="5">
        <v>3.3E-4</v>
      </c>
      <c r="T4" s="5">
        <v>3.3E-4</v>
      </c>
      <c r="U4" s="5">
        <v>3.3E-4</v>
      </c>
      <c r="V4" s="5">
        <v>3.3E-4</v>
      </c>
      <c r="W4" s="5">
        <v>3.5E-4</v>
      </c>
      <c r="X4" s="5">
        <v>3.8999999999999999E-4</v>
      </c>
      <c r="Y4" s="5">
        <v>4.0999999999999999E-4</v>
      </c>
      <c r="Z4" s="5">
        <v>4.0999999999999999E-4</v>
      </c>
      <c r="AA4" s="5">
        <v>4.0999999999999999E-4</v>
      </c>
      <c r="AB4" s="1">
        <v>27</v>
      </c>
    </row>
    <row r="5" spans="1:28">
      <c r="A5" s="3">
        <v>3</v>
      </c>
      <c r="B5" s="5">
        <v>8.0000000000000007E-5</v>
      </c>
      <c r="C5" s="5">
        <v>8.0000000000000007E-5</v>
      </c>
      <c r="D5" s="5">
        <v>8.0000000000000007E-5</v>
      </c>
      <c r="E5" s="5">
        <v>9.0000000000000006E-5</v>
      </c>
      <c r="F5" s="5">
        <v>9.0000000000000006E-5</v>
      </c>
      <c r="G5" s="5">
        <v>8.0000000000000007E-5</v>
      </c>
      <c r="H5" s="5">
        <v>8.0000000000000007E-5</v>
      </c>
      <c r="I5" s="5">
        <v>9.0000000000000006E-5</v>
      </c>
      <c r="J5" s="5">
        <v>9.0000000000000006E-5</v>
      </c>
      <c r="K5" s="5">
        <v>9.0000000000000006E-5</v>
      </c>
      <c r="L5" s="5">
        <v>8.0000000000000007E-5</v>
      </c>
      <c r="M5" s="5">
        <v>1.1E-4</v>
      </c>
      <c r="N5" s="5">
        <v>1.9000000000000001E-4</v>
      </c>
      <c r="O5" s="5">
        <v>2.7E-4</v>
      </c>
      <c r="P5" s="5">
        <v>3.2000000000000003E-4</v>
      </c>
      <c r="Q5" s="5">
        <v>3.3E-4</v>
      </c>
      <c r="R5" s="5">
        <v>3.3E-4</v>
      </c>
      <c r="S5" s="5">
        <v>3.3E-4</v>
      </c>
      <c r="T5" s="5">
        <v>3.3E-4</v>
      </c>
      <c r="U5" s="5">
        <v>3.3E-4</v>
      </c>
      <c r="V5" s="5">
        <v>3.5E-4</v>
      </c>
      <c r="W5" s="5">
        <v>3.8999999999999999E-4</v>
      </c>
      <c r="X5" s="5">
        <v>4.0999999999999999E-4</v>
      </c>
      <c r="Y5" s="5">
        <v>4.0999999999999999E-4</v>
      </c>
      <c r="Z5" s="5">
        <v>4.0999999999999999E-4</v>
      </c>
      <c r="AA5" s="5">
        <v>4.2000000000000002E-4</v>
      </c>
      <c r="AB5" s="1">
        <v>28</v>
      </c>
    </row>
    <row r="6" spans="1:28">
      <c r="A6" s="3">
        <v>4</v>
      </c>
      <c r="B6" s="5">
        <v>8.0000000000000007E-5</v>
      </c>
      <c r="C6" s="5">
        <v>8.0000000000000007E-5</v>
      </c>
      <c r="D6" s="5">
        <v>9.0000000000000006E-5</v>
      </c>
      <c r="E6" s="5">
        <v>9.0000000000000006E-5</v>
      </c>
      <c r="F6" s="5">
        <v>8.0000000000000007E-5</v>
      </c>
      <c r="G6" s="5">
        <v>8.0000000000000007E-5</v>
      </c>
      <c r="H6" s="5">
        <v>9.0000000000000006E-5</v>
      </c>
      <c r="I6" s="5">
        <v>9.0000000000000006E-5</v>
      </c>
      <c r="J6" s="5">
        <v>9.0000000000000006E-5</v>
      </c>
      <c r="K6" s="5">
        <v>8.0000000000000007E-5</v>
      </c>
      <c r="L6" s="5">
        <v>1.1E-4</v>
      </c>
      <c r="M6" s="5">
        <v>1.9000000000000001E-4</v>
      </c>
      <c r="N6" s="5">
        <v>2.7E-4</v>
      </c>
      <c r="O6" s="5">
        <v>3.2000000000000003E-4</v>
      </c>
      <c r="P6" s="5">
        <v>3.3E-4</v>
      </c>
      <c r="Q6" s="5">
        <v>3.3E-4</v>
      </c>
      <c r="R6" s="5">
        <v>3.3E-4</v>
      </c>
      <c r="S6" s="5">
        <v>3.3E-4</v>
      </c>
      <c r="T6" s="5">
        <v>3.3E-4</v>
      </c>
      <c r="U6" s="5">
        <v>3.5E-4</v>
      </c>
      <c r="V6" s="5">
        <v>3.8999999999999999E-4</v>
      </c>
      <c r="W6" s="5">
        <v>4.0999999999999999E-4</v>
      </c>
      <c r="X6" s="5">
        <v>4.0999999999999999E-4</v>
      </c>
      <c r="Y6" s="5">
        <v>4.0999999999999999E-4</v>
      </c>
      <c r="Z6" s="5">
        <v>4.2000000000000002E-4</v>
      </c>
      <c r="AA6" s="5">
        <v>4.4000000000000002E-4</v>
      </c>
      <c r="AB6" s="1">
        <v>29</v>
      </c>
    </row>
    <row r="7" spans="1:28">
      <c r="A7" s="3">
        <v>5</v>
      </c>
      <c r="B7" s="5">
        <v>8.0000000000000007E-5</v>
      </c>
      <c r="C7" s="5">
        <v>9.0000000000000006E-5</v>
      </c>
      <c r="D7" s="5">
        <v>9.0000000000000006E-5</v>
      </c>
      <c r="E7" s="5">
        <v>8.0000000000000007E-5</v>
      </c>
      <c r="F7" s="5">
        <v>8.0000000000000007E-5</v>
      </c>
      <c r="G7" s="5">
        <v>9.0000000000000006E-5</v>
      </c>
      <c r="H7" s="5">
        <v>9.0000000000000006E-5</v>
      </c>
      <c r="I7" s="5">
        <v>9.0000000000000006E-5</v>
      </c>
      <c r="J7" s="5">
        <v>8.0000000000000007E-5</v>
      </c>
      <c r="K7" s="5">
        <v>1.1E-4</v>
      </c>
      <c r="L7" s="5">
        <v>1.9000000000000001E-4</v>
      </c>
      <c r="M7" s="5">
        <v>2.7E-4</v>
      </c>
      <c r="N7" s="5">
        <v>3.2000000000000003E-4</v>
      </c>
      <c r="O7" s="5">
        <v>3.3E-4</v>
      </c>
      <c r="P7" s="5">
        <v>3.3E-4</v>
      </c>
      <c r="Q7" s="5">
        <v>3.3E-4</v>
      </c>
      <c r="R7" s="5">
        <v>3.3E-4</v>
      </c>
      <c r="S7" s="5">
        <v>3.3E-4</v>
      </c>
      <c r="T7" s="5">
        <v>3.5E-4</v>
      </c>
      <c r="U7" s="5">
        <v>3.8999999999999999E-4</v>
      </c>
      <c r="V7" s="5">
        <v>4.0999999999999999E-4</v>
      </c>
      <c r="W7" s="5">
        <v>4.0999999999999999E-4</v>
      </c>
      <c r="X7" s="5">
        <v>4.0999999999999999E-4</v>
      </c>
      <c r="Y7" s="5">
        <v>4.2000000000000002E-4</v>
      </c>
      <c r="Z7" s="5">
        <v>4.4000000000000002E-4</v>
      </c>
      <c r="AA7" s="5">
        <v>4.8000000000000001E-4</v>
      </c>
      <c r="AB7" s="1">
        <v>30</v>
      </c>
    </row>
    <row r="8" spans="1:28">
      <c r="A8" s="3">
        <v>6</v>
      </c>
      <c r="B8" s="5">
        <v>9.0000000000000006E-5</v>
      </c>
      <c r="C8" s="5">
        <v>9.0000000000000006E-5</v>
      </c>
      <c r="D8" s="5">
        <v>8.0000000000000007E-5</v>
      </c>
      <c r="E8" s="5">
        <v>8.0000000000000007E-5</v>
      </c>
      <c r="F8" s="5">
        <v>9.0000000000000006E-5</v>
      </c>
      <c r="G8" s="5">
        <v>9.0000000000000006E-5</v>
      </c>
      <c r="H8" s="5">
        <v>9.0000000000000006E-5</v>
      </c>
      <c r="I8" s="5">
        <v>8.0000000000000007E-5</v>
      </c>
      <c r="J8" s="5">
        <v>1.1E-4</v>
      </c>
      <c r="K8" s="5">
        <v>1.9000000000000001E-4</v>
      </c>
      <c r="L8" s="5">
        <v>2.7E-4</v>
      </c>
      <c r="M8" s="5">
        <v>3.2000000000000003E-4</v>
      </c>
      <c r="N8" s="5">
        <v>3.3E-4</v>
      </c>
      <c r="O8" s="5">
        <v>3.3E-4</v>
      </c>
      <c r="P8" s="5">
        <v>3.3E-4</v>
      </c>
      <c r="Q8" s="5">
        <v>3.3E-4</v>
      </c>
      <c r="R8" s="5">
        <v>3.3E-4</v>
      </c>
      <c r="S8" s="5">
        <v>3.5E-4</v>
      </c>
      <c r="T8" s="5">
        <v>3.8999999999999999E-4</v>
      </c>
      <c r="U8" s="5">
        <v>4.0999999999999999E-4</v>
      </c>
      <c r="V8" s="5">
        <v>4.0999999999999999E-4</v>
      </c>
      <c r="W8" s="5">
        <v>4.0999999999999999E-4</v>
      </c>
      <c r="X8" s="5">
        <v>4.2000000000000002E-4</v>
      </c>
      <c r="Y8" s="5">
        <v>4.4000000000000002E-4</v>
      </c>
      <c r="Z8" s="5">
        <v>4.8000000000000001E-4</v>
      </c>
      <c r="AA8" s="5">
        <v>5.1000000000000004E-4</v>
      </c>
      <c r="AB8" s="1">
        <v>31</v>
      </c>
    </row>
    <row r="9" spans="1:28">
      <c r="A9" s="3">
        <v>7</v>
      </c>
      <c r="B9" s="5">
        <v>9.0000000000000006E-5</v>
      </c>
      <c r="C9" s="5">
        <v>8.0000000000000007E-5</v>
      </c>
      <c r="D9" s="5">
        <v>8.0000000000000007E-5</v>
      </c>
      <c r="E9" s="5">
        <v>9.0000000000000006E-5</v>
      </c>
      <c r="F9" s="5">
        <v>9.0000000000000006E-5</v>
      </c>
      <c r="G9" s="5">
        <v>9.0000000000000006E-5</v>
      </c>
      <c r="H9" s="5">
        <v>8.0000000000000007E-5</v>
      </c>
      <c r="I9" s="5">
        <v>1.1E-4</v>
      </c>
      <c r="J9" s="5">
        <v>1.9000000000000001E-4</v>
      </c>
      <c r="K9" s="5">
        <v>2.7E-4</v>
      </c>
      <c r="L9" s="5">
        <v>3.2000000000000003E-4</v>
      </c>
      <c r="M9" s="5">
        <v>3.3E-4</v>
      </c>
      <c r="N9" s="5">
        <v>3.3E-4</v>
      </c>
      <c r="O9" s="5">
        <v>3.3E-4</v>
      </c>
      <c r="P9" s="5">
        <v>3.3E-4</v>
      </c>
      <c r="Q9" s="5">
        <v>3.3E-4</v>
      </c>
      <c r="R9" s="5">
        <v>3.5E-4</v>
      </c>
      <c r="S9" s="5">
        <v>3.8999999999999999E-4</v>
      </c>
      <c r="T9" s="5">
        <v>4.0999999999999999E-4</v>
      </c>
      <c r="U9" s="5">
        <v>4.0999999999999999E-4</v>
      </c>
      <c r="V9" s="5">
        <v>4.0999999999999999E-4</v>
      </c>
      <c r="W9" s="5">
        <v>4.2000000000000002E-4</v>
      </c>
      <c r="X9" s="5">
        <v>4.4000000000000002E-4</v>
      </c>
      <c r="Y9" s="5">
        <v>4.8000000000000001E-4</v>
      </c>
      <c r="Z9" s="5">
        <v>5.1000000000000004E-4</v>
      </c>
      <c r="AA9" s="5">
        <v>5.4000000000000001E-4</v>
      </c>
      <c r="AB9" s="1">
        <v>32</v>
      </c>
    </row>
    <row r="10" spans="1:28">
      <c r="A10" s="3">
        <v>8</v>
      </c>
      <c r="B10" s="5">
        <v>8.0000000000000007E-5</v>
      </c>
      <c r="C10" s="5">
        <v>8.0000000000000007E-5</v>
      </c>
      <c r="D10" s="5">
        <v>9.0000000000000006E-5</v>
      </c>
      <c r="E10" s="5">
        <v>9.0000000000000006E-5</v>
      </c>
      <c r="F10" s="5">
        <v>9.0000000000000006E-5</v>
      </c>
      <c r="G10" s="5">
        <v>8.0000000000000007E-5</v>
      </c>
      <c r="H10" s="5">
        <v>1.1E-4</v>
      </c>
      <c r="I10" s="5">
        <v>1.9000000000000001E-4</v>
      </c>
      <c r="J10" s="5">
        <v>2.7E-4</v>
      </c>
      <c r="K10" s="5">
        <v>3.2000000000000003E-4</v>
      </c>
      <c r="L10" s="5">
        <v>3.3E-4</v>
      </c>
      <c r="M10" s="5">
        <v>3.3E-4</v>
      </c>
      <c r="N10" s="5">
        <v>3.3E-4</v>
      </c>
      <c r="O10" s="5">
        <v>3.3E-4</v>
      </c>
      <c r="P10" s="5">
        <v>3.3E-4</v>
      </c>
      <c r="Q10" s="5">
        <v>3.5E-4</v>
      </c>
      <c r="R10" s="5">
        <v>3.8999999999999999E-4</v>
      </c>
      <c r="S10" s="5">
        <v>4.0999999999999999E-4</v>
      </c>
      <c r="T10" s="5">
        <v>4.0999999999999999E-4</v>
      </c>
      <c r="U10" s="5">
        <v>4.0999999999999999E-4</v>
      </c>
      <c r="V10" s="5">
        <v>4.2000000000000002E-4</v>
      </c>
      <c r="W10" s="5">
        <v>4.4000000000000002E-4</v>
      </c>
      <c r="X10" s="5">
        <v>4.8000000000000001E-4</v>
      </c>
      <c r="Y10" s="5">
        <v>5.1000000000000004E-4</v>
      </c>
      <c r="Z10" s="5">
        <v>5.4000000000000001E-4</v>
      </c>
      <c r="AA10" s="5">
        <v>5.9000000000000003E-4</v>
      </c>
      <c r="AB10" s="1">
        <v>33</v>
      </c>
    </row>
    <row r="11" spans="1:28">
      <c r="A11" s="3">
        <v>9</v>
      </c>
      <c r="B11" s="5">
        <v>8.0000000000000007E-5</v>
      </c>
      <c r="C11" s="5">
        <v>9.0000000000000006E-5</v>
      </c>
      <c r="D11" s="5">
        <v>9.0000000000000006E-5</v>
      </c>
      <c r="E11" s="5">
        <v>9.0000000000000006E-5</v>
      </c>
      <c r="F11" s="5">
        <v>8.0000000000000007E-5</v>
      </c>
      <c r="G11" s="5">
        <v>1.1E-4</v>
      </c>
      <c r="H11" s="5">
        <v>1.9000000000000001E-4</v>
      </c>
      <c r="I11" s="5">
        <v>2.7E-4</v>
      </c>
      <c r="J11" s="5">
        <v>3.2000000000000003E-4</v>
      </c>
      <c r="K11" s="5">
        <v>3.3E-4</v>
      </c>
      <c r="L11" s="5">
        <v>3.3E-4</v>
      </c>
      <c r="M11" s="5">
        <v>3.3E-4</v>
      </c>
      <c r="N11" s="5">
        <v>3.3E-4</v>
      </c>
      <c r="O11" s="5">
        <v>3.3E-4</v>
      </c>
      <c r="P11" s="5">
        <v>3.5E-4</v>
      </c>
      <c r="Q11" s="5">
        <v>3.8999999999999999E-4</v>
      </c>
      <c r="R11" s="5">
        <v>4.0999999999999999E-4</v>
      </c>
      <c r="S11" s="5">
        <v>4.0999999999999999E-4</v>
      </c>
      <c r="T11" s="5">
        <v>4.0999999999999999E-4</v>
      </c>
      <c r="U11" s="5">
        <v>4.2000000000000002E-4</v>
      </c>
      <c r="V11" s="5">
        <v>4.4000000000000002E-4</v>
      </c>
      <c r="W11" s="5">
        <v>4.8000000000000001E-4</v>
      </c>
      <c r="X11" s="5">
        <v>5.1000000000000004E-4</v>
      </c>
      <c r="Y11" s="5">
        <v>5.4000000000000001E-4</v>
      </c>
      <c r="Z11" s="5">
        <v>5.9000000000000003E-4</v>
      </c>
      <c r="AA11" s="5">
        <v>6.4999999999999997E-4</v>
      </c>
      <c r="AB11" s="1">
        <v>34</v>
      </c>
    </row>
    <row r="12" spans="1:28">
      <c r="A12" s="3">
        <v>10</v>
      </c>
      <c r="B12" s="5">
        <v>9.0000000000000006E-5</v>
      </c>
      <c r="C12" s="5">
        <v>9.0000000000000006E-5</v>
      </c>
      <c r="D12" s="5">
        <v>9.0000000000000006E-5</v>
      </c>
      <c r="E12" s="5">
        <v>8.0000000000000007E-5</v>
      </c>
      <c r="F12" s="5">
        <v>1.1E-4</v>
      </c>
      <c r="G12" s="5">
        <v>1.9000000000000001E-4</v>
      </c>
      <c r="H12" s="5">
        <v>2.7E-4</v>
      </c>
      <c r="I12" s="5">
        <v>3.2000000000000003E-4</v>
      </c>
      <c r="J12" s="5">
        <v>3.3E-4</v>
      </c>
      <c r="K12" s="5">
        <v>3.3E-4</v>
      </c>
      <c r="L12" s="5">
        <v>3.3E-4</v>
      </c>
      <c r="M12" s="5">
        <v>3.3E-4</v>
      </c>
      <c r="N12" s="5">
        <v>3.3E-4</v>
      </c>
      <c r="O12" s="5">
        <v>3.5E-4</v>
      </c>
      <c r="P12" s="5">
        <v>3.8999999999999999E-4</v>
      </c>
      <c r="Q12" s="5">
        <v>4.0999999999999999E-4</v>
      </c>
      <c r="R12" s="5">
        <v>4.0999999999999999E-4</v>
      </c>
      <c r="S12" s="5">
        <v>4.0999999999999999E-4</v>
      </c>
      <c r="T12" s="5">
        <v>4.2000000000000002E-4</v>
      </c>
      <c r="U12" s="5">
        <v>4.4000000000000002E-4</v>
      </c>
      <c r="V12" s="5">
        <v>4.8000000000000001E-4</v>
      </c>
      <c r="W12" s="5">
        <v>5.1000000000000004E-4</v>
      </c>
      <c r="X12" s="5">
        <v>5.4000000000000001E-4</v>
      </c>
      <c r="Y12" s="5">
        <v>5.9000000000000003E-4</v>
      </c>
      <c r="Z12" s="5">
        <v>6.4999999999999997E-4</v>
      </c>
      <c r="AA12" s="5">
        <v>7.2000000000000005E-4</v>
      </c>
      <c r="AB12" s="1">
        <v>35</v>
      </c>
    </row>
    <row r="13" spans="1:28">
      <c r="A13" s="3">
        <v>11</v>
      </c>
      <c r="B13" s="5">
        <v>9.0000000000000006E-5</v>
      </c>
      <c r="C13" s="5">
        <v>9.0000000000000006E-5</v>
      </c>
      <c r="D13" s="5">
        <v>8.0000000000000007E-5</v>
      </c>
      <c r="E13" s="5">
        <v>1.1E-4</v>
      </c>
      <c r="F13" s="5">
        <v>1.9000000000000001E-4</v>
      </c>
      <c r="G13" s="5">
        <v>2.7E-4</v>
      </c>
      <c r="H13" s="5">
        <v>3.2000000000000003E-4</v>
      </c>
      <c r="I13" s="5">
        <v>3.3E-4</v>
      </c>
      <c r="J13" s="5">
        <v>3.3E-4</v>
      </c>
      <c r="K13" s="5">
        <v>3.3E-4</v>
      </c>
      <c r="L13" s="5">
        <v>3.3E-4</v>
      </c>
      <c r="M13" s="5">
        <v>3.3E-4</v>
      </c>
      <c r="N13" s="5">
        <v>3.5E-4</v>
      </c>
      <c r="O13" s="5">
        <v>3.8999999999999999E-4</v>
      </c>
      <c r="P13" s="5">
        <v>4.0999999999999999E-4</v>
      </c>
      <c r="Q13" s="5">
        <v>4.0999999999999999E-4</v>
      </c>
      <c r="R13" s="5">
        <v>4.0999999999999999E-4</v>
      </c>
      <c r="S13" s="5">
        <v>4.2000000000000002E-4</v>
      </c>
      <c r="T13" s="5">
        <v>4.4000000000000002E-4</v>
      </c>
      <c r="U13" s="5">
        <v>4.8000000000000001E-4</v>
      </c>
      <c r="V13" s="5">
        <v>5.1000000000000004E-4</v>
      </c>
      <c r="W13" s="5">
        <v>5.4000000000000001E-4</v>
      </c>
      <c r="X13" s="5">
        <v>5.9000000000000003E-4</v>
      </c>
      <c r="Y13" s="5">
        <v>6.4999999999999997E-4</v>
      </c>
      <c r="Z13" s="5">
        <v>7.2000000000000005E-4</v>
      </c>
      <c r="AA13" s="5">
        <v>8.0999999999999996E-4</v>
      </c>
      <c r="AB13" s="1">
        <v>36</v>
      </c>
    </row>
    <row r="14" spans="1:28">
      <c r="A14" s="3">
        <v>12</v>
      </c>
      <c r="B14" s="5">
        <v>9.0000000000000006E-5</v>
      </c>
      <c r="C14" s="5">
        <v>8.0000000000000007E-5</v>
      </c>
      <c r="D14" s="5">
        <v>1.1E-4</v>
      </c>
      <c r="E14" s="5">
        <v>1.9000000000000001E-4</v>
      </c>
      <c r="F14" s="5">
        <v>2.7E-4</v>
      </c>
      <c r="G14" s="5">
        <v>3.2000000000000003E-4</v>
      </c>
      <c r="H14" s="5">
        <v>3.3E-4</v>
      </c>
      <c r="I14" s="5">
        <v>3.3E-4</v>
      </c>
      <c r="J14" s="5">
        <v>3.3E-4</v>
      </c>
      <c r="K14" s="5">
        <v>3.3E-4</v>
      </c>
      <c r="L14" s="5">
        <v>3.3E-4</v>
      </c>
      <c r="M14" s="5">
        <v>3.5E-4</v>
      </c>
      <c r="N14" s="5">
        <v>3.8999999999999999E-4</v>
      </c>
      <c r="O14" s="5">
        <v>4.0999999999999999E-4</v>
      </c>
      <c r="P14" s="5">
        <v>4.0999999999999999E-4</v>
      </c>
      <c r="Q14" s="5">
        <v>4.0999999999999999E-4</v>
      </c>
      <c r="R14" s="5">
        <v>4.2000000000000002E-4</v>
      </c>
      <c r="S14" s="5">
        <v>4.4000000000000002E-4</v>
      </c>
      <c r="T14" s="5">
        <v>4.8000000000000001E-4</v>
      </c>
      <c r="U14" s="5">
        <v>5.1000000000000004E-4</v>
      </c>
      <c r="V14" s="5">
        <v>5.4000000000000001E-4</v>
      </c>
      <c r="W14" s="5">
        <v>5.9000000000000003E-4</v>
      </c>
      <c r="X14" s="5">
        <v>6.4999999999999997E-4</v>
      </c>
      <c r="Y14" s="5">
        <v>7.2000000000000005E-4</v>
      </c>
      <c r="Z14" s="5">
        <v>8.0999999999999996E-4</v>
      </c>
      <c r="AA14" s="5">
        <v>9.1E-4</v>
      </c>
      <c r="AB14" s="1">
        <v>37</v>
      </c>
    </row>
    <row r="15" spans="1:28">
      <c r="A15" s="3">
        <v>13</v>
      </c>
      <c r="B15" s="5">
        <v>8.0000000000000007E-5</v>
      </c>
      <c r="C15" s="5">
        <v>1.1E-4</v>
      </c>
      <c r="D15" s="5">
        <v>1.9000000000000001E-4</v>
      </c>
      <c r="E15" s="5">
        <v>2.7E-4</v>
      </c>
      <c r="F15" s="5">
        <v>3.2000000000000003E-4</v>
      </c>
      <c r="G15" s="5">
        <v>3.3E-4</v>
      </c>
      <c r="H15" s="5">
        <v>3.3E-4</v>
      </c>
      <c r="I15" s="5">
        <v>3.3E-4</v>
      </c>
      <c r="J15" s="5">
        <v>3.3E-4</v>
      </c>
      <c r="K15" s="5">
        <v>3.3E-4</v>
      </c>
      <c r="L15" s="5">
        <v>3.5E-4</v>
      </c>
      <c r="M15" s="5">
        <v>3.8999999999999999E-4</v>
      </c>
      <c r="N15" s="5">
        <v>4.0999999999999999E-4</v>
      </c>
      <c r="O15" s="5">
        <v>4.0999999999999999E-4</v>
      </c>
      <c r="P15" s="5">
        <v>4.0999999999999999E-4</v>
      </c>
      <c r="Q15" s="5">
        <v>4.2000000000000002E-4</v>
      </c>
      <c r="R15" s="5">
        <v>4.4000000000000002E-4</v>
      </c>
      <c r="S15" s="5">
        <v>4.8000000000000001E-4</v>
      </c>
      <c r="T15" s="5">
        <v>5.1000000000000004E-4</v>
      </c>
      <c r="U15" s="5">
        <v>5.4000000000000001E-4</v>
      </c>
      <c r="V15" s="5">
        <v>5.9000000000000003E-4</v>
      </c>
      <c r="W15" s="5">
        <v>6.4999999999999997E-4</v>
      </c>
      <c r="X15" s="5">
        <v>7.2000000000000005E-4</v>
      </c>
      <c r="Y15" s="5">
        <v>8.0999999999999996E-4</v>
      </c>
      <c r="Z15" s="5">
        <v>9.1E-4</v>
      </c>
      <c r="AA15" s="5">
        <v>1E-3</v>
      </c>
      <c r="AB15" s="1">
        <v>38</v>
      </c>
    </row>
    <row r="16" spans="1:28">
      <c r="A16" s="3">
        <v>14</v>
      </c>
      <c r="B16" s="5">
        <v>1.1E-4</v>
      </c>
      <c r="C16" s="5">
        <v>1.9000000000000001E-4</v>
      </c>
      <c r="D16" s="5">
        <v>2.7E-4</v>
      </c>
      <c r="E16" s="5">
        <v>3.2000000000000003E-4</v>
      </c>
      <c r="F16" s="5">
        <v>3.3E-4</v>
      </c>
      <c r="G16" s="5">
        <v>3.3E-4</v>
      </c>
      <c r="H16" s="5">
        <v>3.3E-4</v>
      </c>
      <c r="I16" s="5">
        <v>3.3E-4</v>
      </c>
      <c r="J16" s="5">
        <v>3.3E-4</v>
      </c>
      <c r="K16" s="5">
        <v>3.5E-4</v>
      </c>
      <c r="L16" s="5">
        <v>3.8999999999999999E-4</v>
      </c>
      <c r="M16" s="5">
        <v>4.0999999999999999E-4</v>
      </c>
      <c r="N16" s="5">
        <v>4.0999999999999999E-4</v>
      </c>
      <c r="O16" s="5">
        <v>4.0999999999999999E-4</v>
      </c>
      <c r="P16" s="5">
        <v>4.2000000000000002E-4</v>
      </c>
      <c r="Q16" s="5">
        <v>4.4000000000000002E-4</v>
      </c>
      <c r="R16" s="5">
        <v>4.8000000000000001E-4</v>
      </c>
      <c r="S16" s="5">
        <v>5.1000000000000004E-4</v>
      </c>
      <c r="T16" s="5">
        <v>5.4000000000000001E-4</v>
      </c>
      <c r="U16" s="5">
        <v>5.9000000000000003E-4</v>
      </c>
      <c r="V16" s="5">
        <v>6.4999999999999997E-4</v>
      </c>
      <c r="W16" s="5">
        <v>7.2000000000000005E-4</v>
      </c>
      <c r="X16" s="5">
        <v>8.0999999999999996E-4</v>
      </c>
      <c r="Y16" s="5">
        <v>9.1E-4</v>
      </c>
      <c r="Z16" s="5">
        <v>1E-3</v>
      </c>
      <c r="AA16" s="5">
        <v>1.08E-3</v>
      </c>
      <c r="AB16" s="1">
        <v>39</v>
      </c>
    </row>
    <row r="17" spans="1:28">
      <c r="A17" s="3">
        <v>15</v>
      </c>
      <c r="B17" s="5">
        <v>1.9000000000000001E-4</v>
      </c>
      <c r="C17" s="5">
        <v>2.7E-4</v>
      </c>
      <c r="D17" s="5">
        <v>3.2000000000000003E-4</v>
      </c>
      <c r="E17" s="5">
        <v>3.3E-4</v>
      </c>
      <c r="F17" s="5">
        <v>3.3E-4</v>
      </c>
      <c r="G17" s="5">
        <v>3.3E-4</v>
      </c>
      <c r="H17" s="5">
        <v>3.3E-4</v>
      </c>
      <c r="I17" s="5">
        <v>3.3E-4</v>
      </c>
      <c r="J17" s="5">
        <v>3.5E-4</v>
      </c>
      <c r="K17" s="5">
        <v>3.8999999999999999E-4</v>
      </c>
      <c r="L17" s="5">
        <v>4.0999999999999999E-4</v>
      </c>
      <c r="M17" s="5">
        <v>4.0999999999999999E-4</v>
      </c>
      <c r="N17" s="5">
        <v>4.0999999999999999E-4</v>
      </c>
      <c r="O17" s="5">
        <v>4.2000000000000002E-4</v>
      </c>
      <c r="P17" s="5">
        <v>4.4000000000000002E-4</v>
      </c>
      <c r="Q17" s="5">
        <v>4.8000000000000001E-4</v>
      </c>
      <c r="R17" s="5">
        <v>5.1000000000000004E-4</v>
      </c>
      <c r="S17" s="5">
        <v>5.4000000000000001E-4</v>
      </c>
      <c r="T17" s="5">
        <v>5.9000000000000003E-4</v>
      </c>
      <c r="U17" s="5">
        <v>6.4999999999999997E-4</v>
      </c>
      <c r="V17" s="5">
        <v>7.2000000000000005E-4</v>
      </c>
      <c r="W17" s="5">
        <v>8.0999999999999996E-4</v>
      </c>
      <c r="X17" s="5">
        <v>9.1E-4</v>
      </c>
      <c r="Y17" s="5">
        <v>1E-3</v>
      </c>
      <c r="Z17" s="5">
        <v>1.08E-3</v>
      </c>
      <c r="AA17" s="5">
        <v>1.14E-3</v>
      </c>
      <c r="AB17" s="1">
        <v>40</v>
      </c>
    </row>
    <row r="18" spans="1:28">
      <c r="A18" s="3">
        <v>16</v>
      </c>
      <c r="B18" s="5">
        <v>2.7E-4</v>
      </c>
      <c r="C18" s="5">
        <v>3.2000000000000003E-4</v>
      </c>
      <c r="D18" s="5">
        <v>3.3E-4</v>
      </c>
      <c r="E18" s="5">
        <v>3.3E-4</v>
      </c>
      <c r="F18" s="5">
        <v>3.3E-4</v>
      </c>
      <c r="G18" s="5">
        <v>3.3E-4</v>
      </c>
      <c r="H18" s="5">
        <v>3.3E-4</v>
      </c>
      <c r="I18" s="5">
        <v>3.5E-4</v>
      </c>
      <c r="J18" s="5">
        <v>3.8999999999999999E-4</v>
      </c>
      <c r="K18" s="5">
        <v>4.0999999999999999E-4</v>
      </c>
      <c r="L18" s="5">
        <v>4.0999999999999999E-4</v>
      </c>
      <c r="M18" s="5">
        <v>4.0999999999999999E-4</v>
      </c>
      <c r="N18" s="5">
        <v>4.2000000000000002E-4</v>
      </c>
      <c r="O18" s="5">
        <v>4.4000000000000002E-4</v>
      </c>
      <c r="P18" s="5">
        <v>4.8000000000000001E-4</v>
      </c>
      <c r="Q18" s="5">
        <v>5.1000000000000004E-4</v>
      </c>
      <c r="R18" s="5">
        <v>5.4000000000000001E-4</v>
      </c>
      <c r="S18" s="5">
        <v>5.9000000000000003E-4</v>
      </c>
      <c r="T18" s="5">
        <v>6.4999999999999997E-4</v>
      </c>
      <c r="U18" s="5">
        <v>7.2000000000000005E-4</v>
      </c>
      <c r="V18" s="5">
        <v>8.0999999999999996E-4</v>
      </c>
      <c r="W18" s="5">
        <v>9.1E-4</v>
      </c>
      <c r="X18" s="5">
        <v>1E-3</v>
      </c>
      <c r="Y18" s="5">
        <v>1.08E-3</v>
      </c>
      <c r="Z18" s="5">
        <v>1.14E-3</v>
      </c>
      <c r="AA18" s="5">
        <v>1.1999999999999999E-3</v>
      </c>
      <c r="AB18" s="1">
        <v>41</v>
      </c>
    </row>
    <row r="19" spans="1:28">
      <c r="A19" s="1">
        <v>17</v>
      </c>
      <c r="B19" s="5">
        <v>3.2000000000000003E-4</v>
      </c>
      <c r="C19" s="5">
        <v>3.3E-4</v>
      </c>
      <c r="D19" s="5">
        <v>3.3E-4</v>
      </c>
      <c r="E19" s="5">
        <v>3.3E-4</v>
      </c>
      <c r="F19" s="5">
        <v>3.3E-4</v>
      </c>
      <c r="G19" s="5">
        <v>3.3E-4</v>
      </c>
      <c r="H19" s="5">
        <v>3.5E-4</v>
      </c>
      <c r="I19" s="5">
        <v>3.8999999999999999E-4</v>
      </c>
      <c r="J19" s="5">
        <v>4.0999999999999999E-4</v>
      </c>
      <c r="K19" s="5">
        <v>4.0999999999999999E-4</v>
      </c>
      <c r="L19" s="5">
        <v>4.0999999999999999E-4</v>
      </c>
      <c r="M19" s="5">
        <v>4.2000000000000002E-4</v>
      </c>
      <c r="N19" s="5">
        <v>4.4000000000000002E-4</v>
      </c>
      <c r="O19" s="5">
        <v>4.8000000000000001E-4</v>
      </c>
      <c r="P19" s="5">
        <v>5.1000000000000004E-4</v>
      </c>
      <c r="Q19" s="5">
        <v>5.4000000000000001E-4</v>
      </c>
      <c r="R19" s="5">
        <v>5.9000000000000003E-4</v>
      </c>
      <c r="S19" s="5">
        <v>6.4999999999999997E-4</v>
      </c>
      <c r="T19" s="5">
        <v>7.2000000000000005E-4</v>
      </c>
      <c r="U19" s="5">
        <v>8.0999999999999996E-4</v>
      </c>
      <c r="V19" s="5">
        <v>9.1E-4</v>
      </c>
      <c r="W19" s="5">
        <v>1E-3</v>
      </c>
      <c r="X19" s="5">
        <v>1.08E-3</v>
      </c>
      <c r="Y19" s="5">
        <v>1.14E-3</v>
      </c>
      <c r="Z19" s="5">
        <v>1.1999999999999999E-3</v>
      </c>
      <c r="AA19" s="5">
        <v>1.24E-3</v>
      </c>
      <c r="AB19" s="1">
        <v>42</v>
      </c>
    </row>
    <row r="20" spans="1:28">
      <c r="A20" s="1">
        <v>18</v>
      </c>
      <c r="B20" s="5">
        <v>3.3E-4</v>
      </c>
      <c r="C20" s="5">
        <v>3.3E-4</v>
      </c>
      <c r="D20" s="5">
        <v>3.3E-4</v>
      </c>
      <c r="E20" s="5">
        <v>3.3E-4</v>
      </c>
      <c r="F20" s="5">
        <v>3.3E-4</v>
      </c>
      <c r="G20" s="5">
        <v>3.4000000000000002E-4</v>
      </c>
      <c r="H20" s="5">
        <v>3.6000000000000002E-4</v>
      </c>
      <c r="I20" s="5">
        <v>3.6000000000000002E-4</v>
      </c>
      <c r="J20" s="5">
        <v>3.6000000000000002E-4</v>
      </c>
      <c r="K20" s="5">
        <v>3.6999999999999999E-4</v>
      </c>
      <c r="L20" s="5">
        <v>3.8999999999999999E-4</v>
      </c>
      <c r="M20" s="5">
        <v>4.0999999999999999E-4</v>
      </c>
      <c r="N20" s="5">
        <v>4.2999999999999999E-4</v>
      </c>
      <c r="O20" s="5">
        <v>4.6000000000000001E-4</v>
      </c>
      <c r="P20" s="5">
        <v>5.0000000000000001E-4</v>
      </c>
      <c r="Q20" s="5">
        <v>5.5999999999999995E-4</v>
      </c>
      <c r="R20" s="5">
        <v>6.4999999999999997E-4</v>
      </c>
      <c r="S20" s="5">
        <v>7.2000000000000005E-4</v>
      </c>
      <c r="T20" s="5">
        <v>8.0999999999999996E-4</v>
      </c>
      <c r="U20" s="5">
        <v>9.1E-4</v>
      </c>
      <c r="V20" s="5">
        <v>1E-3</v>
      </c>
      <c r="W20" s="5">
        <v>1.08E-3</v>
      </c>
      <c r="X20" s="5">
        <v>1.14E-3</v>
      </c>
      <c r="Y20" s="5">
        <v>1.1999999999999999E-3</v>
      </c>
      <c r="Z20" s="5">
        <v>1.24E-3</v>
      </c>
      <c r="AA20" s="5">
        <v>1.2800000000000001E-3</v>
      </c>
      <c r="AB20" s="1">
        <v>43</v>
      </c>
    </row>
    <row r="21" spans="1:28">
      <c r="A21" s="1">
        <v>19</v>
      </c>
      <c r="B21" s="5">
        <v>3.3E-4</v>
      </c>
      <c r="C21" s="5">
        <v>3.3E-4</v>
      </c>
      <c r="D21" s="5">
        <v>3.1E-4</v>
      </c>
      <c r="E21" s="5">
        <v>3.1E-4</v>
      </c>
      <c r="F21" s="5">
        <v>3.2000000000000003E-4</v>
      </c>
      <c r="G21" s="5">
        <v>3.4000000000000002E-4</v>
      </c>
      <c r="H21" s="5">
        <v>3.4000000000000002E-4</v>
      </c>
      <c r="I21" s="5">
        <v>3.4000000000000002E-4</v>
      </c>
      <c r="J21" s="5">
        <v>3.5E-4</v>
      </c>
      <c r="K21" s="5">
        <v>3.6999999999999999E-4</v>
      </c>
      <c r="L21" s="5">
        <v>3.8999999999999999E-4</v>
      </c>
      <c r="M21" s="5">
        <v>4.2000000000000002E-4</v>
      </c>
      <c r="N21" s="5">
        <v>4.4000000000000002E-4</v>
      </c>
      <c r="O21" s="5">
        <v>4.6000000000000001E-4</v>
      </c>
      <c r="P21" s="5">
        <v>5.1000000000000004E-4</v>
      </c>
      <c r="Q21" s="5">
        <v>6.2E-4</v>
      </c>
      <c r="R21" s="5">
        <v>7.1000000000000002E-4</v>
      </c>
      <c r="S21" s="5">
        <v>8.0999999999999996E-4</v>
      </c>
      <c r="T21" s="5">
        <v>9.1E-4</v>
      </c>
      <c r="U21" s="5">
        <v>1E-3</v>
      </c>
      <c r="V21" s="5">
        <v>1.08E-3</v>
      </c>
      <c r="W21" s="5">
        <v>1.14E-3</v>
      </c>
      <c r="X21" s="5">
        <v>1.1999999999999999E-3</v>
      </c>
      <c r="Y21" s="5">
        <v>1.24E-3</v>
      </c>
      <c r="Z21" s="5">
        <v>1.2800000000000001E-3</v>
      </c>
      <c r="AA21" s="5">
        <v>1.33E-3</v>
      </c>
      <c r="AB21" s="1">
        <v>44</v>
      </c>
    </row>
    <row r="22" spans="1:28">
      <c r="A22" s="1">
        <v>20</v>
      </c>
      <c r="B22" s="5">
        <v>2.9E-4</v>
      </c>
      <c r="C22" s="5">
        <v>2.7999999999999998E-4</v>
      </c>
      <c r="D22" s="5">
        <v>2.9E-4</v>
      </c>
      <c r="E22" s="5">
        <v>2.9999999999999997E-4</v>
      </c>
      <c r="F22" s="5">
        <v>3.2000000000000003E-4</v>
      </c>
      <c r="G22" s="5">
        <v>3.2000000000000003E-4</v>
      </c>
      <c r="H22" s="5">
        <v>3.1E-4</v>
      </c>
      <c r="I22" s="5">
        <v>3.2000000000000003E-4</v>
      </c>
      <c r="J22" s="5">
        <v>3.4000000000000002E-4</v>
      </c>
      <c r="K22" s="5">
        <v>3.8000000000000002E-4</v>
      </c>
      <c r="L22" s="5">
        <v>4.0000000000000002E-4</v>
      </c>
      <c r="M22" s="5">
        <v>4.2000000000000002E-4</v>
      </c>
      <c r="N22" s="5">
        <v>4.4000000000000002E-4</v>
      </c>
      <c r="O22" s="5">
        <v>4.8000000000000001E-4</v>
      </c>
      <c r="P22" s="5">
        <v>5.8E-4</v>
      </c>
      <c r="Q22" s="5">
        <v>6.6E-4</v>
      </c>
      <c r="R22" s="5">
        <v>7.7999999999999999E-4</v>
      </c>
      <c r="S22" s="5">
        <v>8.9999999999999998E-4</v>
      </c>
      <c r="T22" s="5">
        <v>1E-3</v>
      </c>
      <c r="U22" s="5">
        <v>1.08E-3</v>
      </c>
      <c r="V22" s="5">
        <v>1.14E-3</v>
      </c>
      <c r="W22" s="5">
        <v>1.1999999999999999E-3</v>
      </c>
      <c r="X22" s="5">
        <v>1.24E-3</v>
      </c>
      <c r="Y22" s="5">
        <v>1.2800000000000001E-3</v>
      </c>
      <c r="Z22" s="5">
        <v>1.33E-3</v>
      </c>
      <c r="AA22" s="5">
        <v>1.3799999999999999E-3</v>
      </c>
      <c r="AB22" s="1">
        <v>45</v>
      </c>
    </row>
    <row r="23" spans="1:28">
      <c r="A23" s="1">
        <v>21</v>
      </c>
      <c r="B23" s="5">
        <v>2.3000000000000001E-4</v>
      </c>
      <c r="C23" s="5">
        <v>2.5000000000000001E-4</v>
      </c>
      <c r="D23" s="5">
        <v>2.7E-4</v>
      </c>
      <c r="E23" s="5">
        <v>2.9E-4</v>
      </c>
      <c r="F23" s="5">
        <v>2.9999999999999997E-4</v>
      </c>
      <c r="G23" s="5">
        <v>2.9E-4</v>
      </c>
      <c r="H23" s="5">
        <v>2.9999999999999997E-4</v>
      </c>
      <c r="I23" s="5">
        <v>3.2000000000000003E-4</v>
      </c>
      <c r="J23" s="5">
        <v>3.6000000000000002E-4</v>
      </c>
      <c r="K23" s="5">
        <v>3.8999999999999999E-4</v>
      </c>
      <c r="L23" s="5">
        <v>4.0999999999999999E-4</v>
      </c>
      <c r="M23" s="5">
        <v>4.2999999999999999E-4</v>
      </c>
      <c r="N23" s="5">
        <v>4.4999999999999999E-4</v>
      </c>
      <c r="O23" s="5">
        <v>5.4000000000000001E-4</v>
      </c>
      <c r="P23" s="5">
        <v>6.2E-4</v>
      </c>
      <c r="Q23" s="5">
        <v>7.2999999999999996E-4</v>
      </c>
      <c r="R23" s="5">
        <v>8.4999999999999995E-4</v>
      </c>
      <c r="S23" s="5">
        <v>9.5E-4</v>
      </c>
      <c r="T23" s="5">
        <v>1.06E-3</v>
      </c>
      <c r="U23" s="5">
        <v>1.14E-3</v>
      </c>
      <c r="V23" s="5">
        <v>1.1999999999999999E-3</v>
      </c>
      <c r="W23" s="5">
        <v>1.24E-3</v>
      </c>
      <c r="X23" s="5">
        <v>1.2800000000000001E-3</v>
      </c>
      <c r="Y23" s="5">
        <v>1.33E-3</v>
      </c>
      <c r="Z23" s="5">
        <v>1.3799999999999999E-3</v>
      </c>
      <c r="AA23" s="5">
        <v>1.49E-3</v>
      </c>
      <c r="AB23" s="1">
        <v>46</v>
      </c>
    </row>
    <row r="24" spans="1:28">
      <c r="A24" s="1">
        <v>22</v>
      </c>
      <c r="B24" s="5">
        <v>2.0000000000000001E-4</v>
      </c>
      <c r="C24" s="5">
        <v>2.4000000000000001E-4</v>
      </c>
      <c r="D24" s="5">
        <v>2.7E-4</v>
      </c>
      <c r="E24" s="5">
        <v>2.7E-4</v>
      </c>
      <c r="F24" s="5">
        <v>2.7E-4</v>
      </c>
      <c r="G24" s="5">
        <v>2.7E-4</v>
      </c>
      <c r="H24" s="5">
        <v>2.9E-4</v>
      </c>
      <c r="I24" s="5">
        <v>3.3E-4</v>
      </c>
      <c r="J24" s="5">
        <v>3.6999999999999999E-4</v>
      </c>
      <c r="K24" s="5">
        <v>4.0000000000000002E-4</v>
      </c>
      <c r="L24" s="5">
        <v>4.2000000000000002E-4</v>
      </c>
      <c r="M24" s="5">
        <v>4.4000000000000002E-4</v>
      </c>
      <c r="N24" s="5">
        <v>5.1999999999999995E-4</v>
      </c>
      <c r="O24" s="5">
        <v>5.8E-4</v>
      </c>
      <c r="P24" s="5">
        <v>6.8999999999999997E-4</v>
      </c>
      <c r="Q24" s="5">
        <v>8.0000000000000004E-4</v>
      </c>
      <c r="R24" s="5">
        <v>8.9999999999999998E-4</v>
      </c>
      <c r="S24" s="5">
        <v>1E-3</v>
      </c>
      <c r="T24" s="5">
        <v>1.1000000000000001E-3</v>
      </c>
      <c r="U24" s="5">
        <v>1.1900000000000001E-3</v>
      </c>
      <c r="V24" s="5">
        <v>1.24E-3</v>
      </c>
      <c r="W24" s="5">
        <v>1.2800000000000001E-3</v>
      </c>
      <c r="X24" s="5">
        <v>1.33E-3</v>
      </c>
      <c r="Y24" s="5">
        <v>1.3799999999999999E-3</v>
      </c>
      <c r="Z24" s="5">
        <v>1.49E-3</v>
      </c>
      <c r="AA24" s="5">
        <v>1.6000000000000001E-3</v>
      </c>
      <c r="AB24" s="1">
        <v>47</v>
      </c>
    </row>
    <row r="25" spans="1:28">
      <c r="A25" s="1">
        <v>23</v>
      </c>
      <c r="B25" s="5">
        <v>1.9000000000000001E-4</v>
      </c>
      <c r="C25" s="5">
        <v>2.4000000000000001E-4</v>
      </c>
      <c r="D25" s="5">
        <v>2.5000000000000001E-4</v>
      </c>
      <c r="E25" s="5">
        <v>2.4000000000000001E-4</v>
      </c>
      <c r="F25" s="5">
        <v>2.5000000000000001E-4</v>
      </c>
      <c r="G25" s="5">
        <v>2.7E-4</v>
      </c>
      <c r="H25" s="5">
        <v>2.9999999999999997E-4</v>
      </c>
      <c r="I25" s="5">
        <v>3.4000000000000002E-4</v>
      </c>
      <c r="J25" s="5">
        <v>3.8000000000000002E-4</v>
      </c>
      <c r="K25" s="5">
        <v>4.0999999999999999E-4</v>
      </c>
      <c r="L25" s="5">
        <v>4.2999999999999999E-4</v>
      </c>
      <c r="M25" s="5">
        <v>5.0000000000000001E-4</v>
      </c>
      <c r="N25" s="5">
        <v>5.5000000000000003E-4</v>
      </c>
      <c r="O25" s="5">
        <v>6.4999999999999997E-4</v>
      </c>
      <c r="P25" s="5">
        <v>7.6000000000000004E-4</v>
      </c>
      <c r="Q25" s="5">
        <v>8.5999999999999998E-4</v>
      </c>
      <c r="R25" s="5">
        <v>9.5E-4</v>
      </c>
      <c r="S25" s="5">
        <v>1.0499999999999999E-3</v>
      </c>
      <c r="T25" s="5">
        <v>1.14E-3</v>
      </c>
      <c r="U25" s="5">
        <v>1.23E-3</v>
      </c>
      <c r="V25" s="5">
        <v>1.2800000000000001E-3</v>
      </c>
      <c r="W25" s="5">
        <v>1.33E-3</v>
      </c>
      <c r="X25" s="5">
        <v>1.3799999999999999E-3</v>
      </c>
      <c r="Y25" s="5">
        <v>1.49E-3</v>
      </c>
      <c r="Z25" s="5">
        <v>1.6000000000000001E-3</v>
      </c>
      <c r="AA25" s="5">
        <v>1.73E-3</v>
      </c>
      <c r="AB25" s="1">
        <v>48</v>
      </c>
    </row>
    <row r="26" spans="1:28">
      <c r="A26" s="1">
        <v>24</v>
      </c>
      <c r="B26" s="5">
        <v>1.8000000000000001E-4</v>
      </c>
      <c r="C26" s="5">
        <v>2.2000000000000001E-4</v>
      </c>
      <c r="D26" s="5">
        <v>2.2000000000000001E-4</v>
      </c>
      <c r="E26" s="5">
        <v>2.2000000000000001E-4</v>
      </c>
      <c r="F26" s="5">
        <v>2.4000000000000001E-4</v>
      </c>
      <c r="G26" s="5">
        <v>2.7E-4</v>
      </c>
      <c r="H26" s="5">
        <v>3.1E-4</v>
      </c>
      <c r="I26" s="5">
        <v>3.5E-4</v>
      </c>
      <c r="J26" s="5">
        <v>3.8999999999999999E-4</v>
      </c>
      <c r="K26" s="5">
        <v>4.2000000000000002E-4</v>
      </c>
      <c r="L26" s="5">
        <v>4.8000000000000001E-4</v>
      </c>
      <c r="M26" s="5">
        <v>5.2999999999999998E-4</v>
      </c>
      <c r="N26" s="5">
        <v>6.2E-4</v>
      </c>
      <c r="O26" s="5">
        <v>7.2000000000000005E-4</v>
      </c>
      <c r="P26" s="5">
        <v>8.3000000000000001E-4</v>
      </c>
      <c r="Q26" s="5">
        <v>9.2000000000000003E-4</v>
      </c>
      <c r="R26" s="5">
        <v>1E-3</v>
      </c>
      <c r="S26" s="5">
        <v>1.08E-3</v>
      </c>
      <c r="T26" s="5">
        <v>1.17E-3</v>
      </c>
      <c r="U26" s="5">
        <v>1.2600000000000001E-3</v>
      </c>
      <c r="V26" s="5">
        <v>1.33E-3</v>
      </c>
      <c r="W26" s="5">
        <v>1.3799999999999999E-3</v>
      </c>
      <c r="X26" s="5">
        <v>1.49E-3</v>
      </c>
      <c r="Y26" s="5">
        <v>1.6000000000000001E-3</v>
      </c>
      <c r="Z26" s="5">
        <v>1.73E-3</v>
      </c>
      <c r="AA26" s="5">
        <v>1.8699999999999999E-3</v>
      </c>
      <c r="AB26" s="1">
        <v>49</v>
      </c>
    </row>
    <row r="27" spans="1:28">
      <c r="A27" s="1">
        <v>25</v>
      </c>
      <c r="B27" s="5">
        <v>1.6000000000000001E-4</v>
      </c>
      <c r="C27" s="5">
        <v>1.9000000000000001E-4</v>
      </c>
      <c r="D27" s="5">
        <v>2.0000000000000001E-4</v>
      </c>
      <c r="E27" s="5">
        <v>2.2000000000000001E-4</v>
      </c>
      <c r="F27" s="5">
        <v>2.5000000000000001E-4</v>
      </c>
      <c r="G27" s="5">
        <v>2.7999999999999998E-4</v>
      </c>
      <c r="H27" s="5">
        <v>3.2000000000000003E-4</v>
      </c>
      <c r="I27" s="5">
        <v>3.6999999999999999E-4</v>
      </c>
      <c r="J27" s="5">
        <v>4.0000000000000002E-4</v>
      </c>
      <c r="K27" s="5">
        <v>4.6000000000000001E-4</v>
      </c>
      <c r="L27" s="5">
        <v>5.1999999999999995E-4</v>
      </c>
      <c r="M27" s="5">
        <v>5.9000000000000003E-4</v>
      </c>
      <c r="N27" s="5">
        <v>6.8999999999999997E-4</v>
      </c>
      <c r="O27" s="5">
        <v>7.9000000000000001E-4</v>
      </c>
      <c r="P27" s="5">
        <v>8.8999999999999995E-4</v>
      </c>
      <c r="Q27" s="5">
        <v>9.6000000000000002E-4</v>
      </c>
      <c r="R27" s="5">
        <v>1.0399999999999999E-3</v>
      </c>
      <c r="S27" s="5">
        <v>1.1199999999999999E-3</v>
      </c>
      <c r="T27" s="5">
        <v>1.2199999999999999E-3</v>
      </c>
      <c r="U27" s="5">
        <v>1.31E-3</v>
      </c>
      <c r="V27" s="5">
        <v>1.3799999999999999E-3</v>
      </c>
      <c r="W27" s="5">
        <v>1.49E-3</v>
      </c>
      <c r="X27" s="5">
        <v>1.6000000000000001E-3</v>
      </c>
      <c r="Y27" s="5">
        <v>1.73E-3</v>
      </c>
      <c r="Z27" s="5">
        <v>1.8699999999999999E-3</v>
      </c>
      <c r="AA27" s="5">
        <v>2.0200000000000001E-3</v>
      </c>
      <c r="AB27" s="1">
        <v>50</v>
      </c>
    </row>
    <row r="28" spans="1:28">
      <c r="A28" s="1">
        <v>26</v>
      </c>
      <c r="B28" s="5">
        <v>1.3999999999999999E-4</v>
      </c>
      <c r="C28" s="5">
        <v>1.7000000000000001E-4</v>
      </c>
      <c r="D28" s="5">
        <v>1.9000000000000001E-4</v>
      </c>
      <c r="E28" s="5">
        <v>2.2000000000000001E-4</v>
      </c>
      <c r="F28" s="5">
        <v>2.5000000000000001E-4</v>
      </c>
      <c r="G28" s="5">
        <v>2.9E-4</v>
      </c>
      <c r="H28" s="5">
        <v>3.3E-4</v>
      </c>
      <c r="I28" s="5">
        <v>3.8000000000000002E-4</v>
      </c>
      <c r="J28" s="5">
        <v>4.2999999999999999E-4</v>
      </c>
      <c r="K28" s="5">
        <v>4.8999999999999998E-4</v>
      </c>
      <c r="L28" s="5">
        <v>5.5999999999999995E-4</v>
      </c>
      <c r="M28" s="5">
        <v>6.4999999999999997E-4</v>
      </c>
      <c r="N28" s="5">
        <v>7.6000000000000004E-4</v>
      </c>
      <c r="O28" s="5">
        <v>8.5999999999999998E-4</v>
      </c>
      <c r="P28" s="5">
        <v>9.3999999999999997E-4</v>
      </c>
      <c r="Q28" s="5">
        <v>1.01E-3</v>
      </c>
      <c r="R28" s="5">
        <v>1.08E-3</v>
      </c>
      <c r="S28" s="5">
        <v>1.1800000000000001E-3</v>
      </c>
      <c r="T28" s="5">
        <v>1.2700000000000001E-3</v>
      </c>
      <c r="U28" s="5">
        <v>1.3699999999999999E-3</v>
      </c>
      <c r="V28" s="5">
        <v>1.49E-3</v>
      </c>
      <c r="W28" s="5">
        <v>1.6000000000000001E-3</v>
      </c>
      <c r="X28" s="5">
        <v>1.73E-3</v>
      </c>
      <c r="Y28" s="5">
        <v>1.8699999999999999E-3</v>
      </c>
      <c r="Z28" s="5">
        <v>2.0200000000000001E-3</v>
      </c>
      <c r="AA28" s="5">
        <v>2.1900000000000001E-3</v>
      </c>
      <c r="AB28" s="1">
        <v>51</v>
      </c>
    </row>
    <row r="29" spans="1:28">
      <c r="A29" s="1">
        <v>27</v>
      </c>
      <c r="B29" s="5">
        <v>1.2E-4</v>
      </c>
      <c r="C29" s="5">
        <v>1.7000000000000001E-4</v>
      </c>
      <c r="D29" s="5">
        <v>2.0000000000000001E-4</v>
      </c>
      <c r="E29" s="5">
        <v>2.2000000000000001E-4</v>
      </c>
      <c r="F29" s="5">
        <v>2.5999999999999998E-4</v>
      </c>
      <c r="G29" s="5">
        <v>2.9E-4</v>
      </c>
      <c r="H29" s="5">
        <v>3.4000000000000002E-4</v>
      </c>
      <c r="I29" s="5">
        <v>4.0000000000000002E-4</v>
      </c>
      <c r="J29" s="5">
        <v>4.6999999999999999E-4</v>
      </c>
      <c r="K29" s="5">
        <v>5.4000000000000001E-4</v>
      </c>
      <c r="L29" s="5">
        <v>6.2E-4</v>
      </c>
      <c r="M29" s="5">
        <v>7.2000000000000005E-4</v>
      </c>
      <c r="N29" s="5">
        <v>8.3000000000000001E-4</v>
      </c>
      <c r="O29" s="5">
        <v>9.2000000000000003E-4</v>
      </c>
      <c r="P29" s="5">
        <v>9.8999999999999999E-4</v>
      </c>
      <c r="Q29" s="5">
        <v>1.0499999999999999E-3</v>
      </c>
      <c r="R29" s="5">
        <v>1.1299999999999999E-3</v>
      </c>
      <c r="S29" s="5">
        <v>1.23E-3</v>
      </c>
      <c r="T29" s="5">
        <v>1.34E-3</v>
      </c>
      <c r="U29" s="5">
        <v>1.47E-3</v>
      </c>
      <c r="V29" s="5">
        <v>1.6000000000000001E-3</v>
      </c>
      <c r="W29" s="5">
        <v>1.73E-3</v>
      </c>
      <c r="X29" s="5">
        <v>1.8699999999999999E-3</v>
      </c>
      <c r="Y29" s="5">
        <v>2.0200000000000001E-3</v>
      </c>
      <c r="Z29" s="5">
        <v>2.1900000000000001E-3</v>
      </c>
      <c r="AA29" s="5">
        <v>2.3800000000000002E-3</v>
      </c>
      <c r="AB29" s="1">
        <v>52</v>
      </c>
    </row>
    <row r="30" spans="1:28">
      <c r="A30" s="1">
        <v>28</v>
      </c>
      <c r="B30" s="5">
        <v>1.1E-4</v>
      </c>
      <c r="C30" s="5">
        <v>1.7000000000000001E-4</v>
      </c>
      <c r="D30" s="5">
        <v>2.0000000000000001E-4</v>
      </c>
      <c r="E30" s="5">
        <v>2.3000000000000001E-4</v>
      </c>
      <c r="F30" s="5">
        <v>2.5999999999999998E-4</v>
      </c>
      <c r="G30" s="5">
        <v>2.9999999999999997E-4</v>
      </c>
      <c r="H30" s="5">
        <v>3.6000000000000002E-4</v>
      </c>
      <c r="I30" s="5">
        <v>4.2999999999999999E-4</v>
      </c>
      <c r="J30" s="5">
        <v>5.0000000000000001E-4</v>
      </c>
      <c r="K30" s="5">
        <v>5.9000000000000003E-4</v>
      </c>
      <c r="L30" s="5">
        <v>6.7000000000000002E-4</v>
      </c>
      <c r="M30" s="5">
        <v>7.7999999999999999E-4</v>
      </c>
      <c r="N30" s="5">
        <v>8.8999999999999995E-4</v>
      </c>
      <c r="O30" s="5">
        <v>9.6000000000000002E-4</v>
      </c>
      <c r="P30" s="5">
        <v>1.0200000000000001E-3</v>
      </c>
      <c r="Q30" s="5">
        <v>1.09E-3</v>
      </c>
      <c r="R30" s="5">
        <v>1.1800000000000001E-3</v>
      </c>
      <c r="S30" s="5">
        <v>1.2899999999999999E-3</v>
      </c>
      <c r="T30" s="5">
        <v>1.41E-3</v>
      </c>
      <c r="U30" s="5">
        <v>1.57E-3</v>
      </c>
      <c r="V30" s="5">
        <v>1.73E-3</v>
      </c>
      <c r="W30" s="5">
        <v>1.8699999999999999E-3</v>
      </c>
      <c r="X30" s="5">
        <v>2.0200000000000001E-3</v>
      </c>
      <c r="Y30" s="5">
        <v>2.1900000000000001E-3</v>
      </c>
      <c r="Z30" s="5">
        <v>2.3800000000000002E-3</v>
      </c>
      <c r="AA30" s="5">
        <v>2.5899999999999999E-3</v>
      </c>
      <c r="AB30" s="1">
        <v>53</v>
      </c>
    </row>
    <row r="31" spans="1:28">
      <c r="A31" s="1">
        <v>29</v>
      </c>
      <c r="B31" s="5">
        <v>1.1E-4</v>
      </c>
      <c r="C31" s="5">
        <v>1.7000000000000001E-4</v>
      </c>
      <c r="D31" s="5">
        <v>2.1000000000000001E-4</v>
      </c>
      <c r="E31" s="5">
        <v>2.4000000000000001E-4</v>
      </c>
      <c r="F31" s="5">
        <v>2.7E-4</v>
      </c>
      <c r="G31" s="5">
        <v>3.2000000000000003E-4</v>
      </c>
      <c r="H31" s="5">
        <v>3.8999999999999999E-4</v>
      </c>
      <c r="I31" s="5">
        <v>4.6999999999999999E-4</v>
      </c>
      <c r="J31" s="5">
        <v>5.5999999999999995E-4</v>
      </c>
      <c r="K31" s="5">
        <v>6.4000000000000005E-4</v>
      </c>
      <c r="L31" s="5">
        <v>7.2999999999999996E-4</v>
      </c>
      <c r="M31" s="5">
        <v>8.3000000000000001E-4</v>
      </c>
      <c r="N31" s="5">
        <v>9.3000000000000005E-4</v>
      </c>
      <c r="O31" s="5">
        <v>1E-3</v>
      </c>
      <c r="P31" s="5">
        <v>1.07E-3</v>
      </c>
      <c r="Q31" s="5">
        <v>1.15E-3</v>
      </c>
      <c r="R31" s="5">
        <v>1.24E-3</v>
      </c>
      <c r="S31" s="5">
        <v>1.3699999999999999E-3</v>
      </c>
      <c r="T31" s="5">
        <v>1.5200000000000001E-3</v>
      </c>
      <c r="U31" s="5">
        <v>1.6900000000000001E-3</v>
      </c>
      <c r="V31" s="5">
        <v>1.8699999999999999E-3</v>
      </c>
      <c r="W31" s="5">
        <v>2.0200000000000001E-3</v>
      </c>
      <c r="X31" s="5">
        <v>2.1900000000000001E-3</v>
      </c>
      <c r="Y31" s="5">
        <v>2.3800000000000002E-3</v>
      </c>
      <c r="Z31" s="5">
        <v>2.5899999999999999E-3</v>
      </c>
      <c r="AA31" s="5">
        <v>2.82E-3</v>
      </c>
      <c r="AB31" s="1">
        <v>54</v>
      </c>
    </row>
    <row r="32" spans="1:28">
      <c r="A32" s="1">
        <v>30</v>
      </c>
      <c r="B32" s="5">
        <v>1.2E-4</v>
      </c>
      <c r="C32" s="5">
        <v>1.8000000000000001E-4</v>
      </c>
      <c r="D32" s="5">
        <v>2.2000000000000001E-4</v>
      </c>
      <c r="E32" s="5">
        <v>2.5000000000000001E-4</v>
      </c>
      <c r="F32" s="5">
        <v>2.9E-4</v>
      </c>
      <c r="G32" s="5">
        <v>3.5E-4</v>
      </c>
      <c r="H32" s="5">
        <v>4.2999999999999999E-4</v>
      </c>
      <c r="I32" s="5">
        <v>5.1999999999999995E-4</v>
      </c>
      <c r="J32" s="5">
        <v>6.0999999999999997E-4</v>
      </c>
      <c r="K32" s="5">
        <v>6.9999999999999999E-4</v>
      </c>
      <c r="L32" s="5">
        <v>7.7999999999999999E-4</v>
      </c>
      <c r="M32" s="5">
        <v>8.8000000000000003E-4</v>
      </c>
      <c r="N32" s="5">
        <v>9.7000000000000005E-4</v>
      </c>
      <c r="O32" s="5">
        <v>1.0399999999999999E-3</v>
      </c>
      <c r="P32" s="5">
        <v>1.1100000000000001E-3</v>
      </c>
      <c r="Q32" s="5">
        <v>1.1999999999999999E-3</v>
      </c>
      <c r="R32" s="5">
        <v>1.34E-3</v>
      </c>
      <c r="S32" s="5">
        <v>1.49E-3</v>
      </c>
      <c r="T32" s="5">
        <v>1.64E-3</v>
      </c>
      <c r="U32" s="5">
        <v>1.83E-3</v>
      </c>
      <c r="V32" s="5">
        <v>2.0200000000000001E-3</v>
      </c>
      <c r="W32" s="5">
        <v>2.1900000000000001E-3</v>
      </c>
      <c r="X32" s="5">
        <v>2.3800000000000002E-3</v>
      </c>
      <c r="Y32" s="5">
        <v>2.5899999999999999E-3</v>
      </c>
      <c r="Z32" s="5">
        <v>2.82E-3</v>
      </c>
      <c r="AA32" s="5">
        <v>3.0799999999999998E-3</v>
      </c>
      <c r="AB32" s="1">
        <v>55</v>
      </c>
    </row>
    <row r="33" spans="1:28">
      <c r="A33" s="1">
        <v>31</v>
      </c>
      <c r="B33" s="5">
        <v>1.2E-4</v>
      </c>
      <c r="C33" s="5">
        <v>1.9000000000000001E-4</v>
      </c>
      <c r="D33" s="5">
        <v>2.3000000000000001E-4</v>
      </c>
      <c r="E33" s="5">
        <v>2.7E-4</v>
      </c>
      <c r="F33" s="5">
        <v>3.2000000000000003E-4</v>
      </c>
      <c r="G33" s="5">
        <v>4.0000000000000002E-4</v>
      </c>
      <c r="H33" s="5">
        <v>4.8000000000000001E-4</v>
      </c>
      <c r="I33" s="5">
        <v>5.6999999999999998E-4</v>
      </c>
      <c r="J33" s="5">
        <v>6.6E-4</v>
      </c>
      <c r="K33" s="5">
        <v>7.3999999999999999E-4</v>
      </c>
      <c r="L33" s="5">
        <v>8.1999999999999998E-4</v>
      </c>
      <c r="M33" s="5">
        <v>9.1E-4</v>
      </c>
      <c r="N33" s="5">
        <v>1.01E-3</v>
      </c>
      <c r="O33" s="5">
        <v>1.09E-3</v>
      </c>
      <c r="P33" s="5">
        <v>1.17E-3</v>
      </c>
      <c r="Q33" s="5">
        <v>1.2899999999999999E-3</v>
      </c>
      <c r="R33" s="5">
        <v>1.4499999999999999E-3</v>
      </c>
      <c r="S33" s="5">
        <v>1.6100000000000001E-3</v>
      </c>
      <c r="T33" s="5">
        <v>1.7700000000000001E-3</v>
      </c>
      <c r="U33" s="5">
        <v>1.9599999999999999E-3</v>
      </c>
      <c r="V33" s="5">
        <v>2.1900000000000001E-3</v>
      </c>
      <c r="W33" s="5">
        <v>2.3800000000000002E-3</v>
      </c>
      <c r="X33" s="5">
        <v>2.5899999999999999E-3</v>
      </c>
      <c r="Y33" s="5">
        <v>2.82E-3</v>
      </c>
      <c r="Z33" s="5">
        <v>3.0799999999999998E-3</v>
      </c>
      <c r="AA33" s="5">
        <v>3.3700000000000002E-3</v>
      </c>
      <c r="AB33" s="1">
        <v>56</v>
      </c>
    </row>
    <row r="34" spans="1:28">
      <c r="A34" s="1">
        <v>32</v>
      </c>
      <c r="B34" s="5">
        <v>1.2E-4</v>
      </c>
      <c r="C34" s="5">
        <v>2.0000000000000001E-4</v>
      </c>
      <c r="D34" s="5">
        <v>2.5000000000000001E-4</v>
      </c>
      <c r="E34" s="5">
        <v>2.9999999999999997E-4</v>
      </c>
      <c r="F34" s="5">
        <v>3.6999999999999999E-4</v>
      </c>
      <c r="G34" s="5">
        <v>4.4999999999999999E-4</v>
      </c>
      <c r="H34" s="5">
        <v>5.2999999999999998E-4</v>
      </c>
      <c r="I34" s="5">
        <v>6.2E-4</v>
      </c>
      <c r="J34" s="5">
        <v>6.9999999999999999E-4</v>
      </c>
      <c r="K34" s="5">
        <v>7.7999999999999999E-4</v>
      </c>
      <c r="L34" s="5">
        <v>8.5999999999999998E-4</v>
      </c>
      <c r="M34" s="5">
        <v>9.5E-4</v>
      </c>
      <c r="N34" s="5">
        <v>1.06E-3</v>
      </c>
      <c r="O34" s="5">
        <v>1.15E-3</v>
      </c>
      <c r="P34" s="5">
        <v>1.2600000000000001E-3</v>
      </c>
      <c r="Q34" s="5">
        <v>1.4E-3</v>
      </c>
      <c r="R34" s="5">
        <v>1.56E-3</v>
      </c>
      <c r="S34" s="5">
        <v>1.73E-3</v>
      </c>
      <c r="T34" s="5">
        <v>1.91E-3</v>
      </c>
      <c r="U34" s="5">
        <v>2.1199999999999999E-3</v>
      </c>
      <c r="V34" s="5">
        <v>2.3800000000000002E-3</v>
      </c>
      <c r="W34" s="5">
        <v>2.5899999999999999E-3</v>
      </c>
      <c r="X34" s="5">
        <v>2.82E-3</v>
      </c>
      <c r="Y34" s="5">
        <v>3.0799999999999998E-3</v>
      </c>
      <c r="Z34" s="5">
        <v>3.3700000000000002E-3</v>
      </c>
      <c r="AA34" s="5">
        <v>3.6900000000000001E-3</v>
      </c>
      <c r="AB34" s="1">
        <v>57</v>
      </c>
    </row>
    <row r="35" spans="1:28">
      <c r="A35" s="1">
        <v>33</v>
      </c>
      <c r="B35" s="5">
        <v>1.2999999999999999E-4</v>
      </c>
      <c r="C35" s="5">
        <v>2.1000000000000001E-4</v>
      </c>
      <c r="D35" s="5">
        <v>2.7999999999999998E-4</v>
      </c>
      <c r="E35" s="5">
        <v>3.4000000000000002E-4</v>
      </c>
      <c r="F35" s="5">
        <v>4.2000000000000002E-4</v>
      </c>
      <c r="G35" s="5">
        <v>5.0000000000000001E-4</v>
      </c>
      <c r="H35" s="5">
        <v>5.8E-4</v>
      </c>
      <c r="I35" s="5">
        <v>6.6E-4</v>
      </c>
      <c r="J35" s="5">
        <v>7.2999999999999996E-4</v>
      </c>
      <c r="K35" s="5">
        <v>8.0999999999999996E-4</v>
      </c>
      <c r="L35" s="5">
        <v>8.8999999999999995E-4</v>
      </c>
      <c r="M35" s="5">
        <v>9.8999999999999999E-4</v>
      </c>
      <c r="N35" s="5">
        <v>1.1199999999999999E-3</v>
      </c>
      <c r="O35" s="5">
        <v>1.24E-3</v>
      </c>
      <c r="P35" s="5">
        <v>1.3600000000000001E-3</v>
      </c>
      <c r="Q35" s="5">
        <v>1.5100000000000001E-3</v>
      </c>
      <c r="R35" s="5">
        <v>1.6900000000000001E-3</v>
      </c>
      <c r="S35" s="5">
        <v>1.8600000000000001E-3</v>
      </c>
      <c r="T35" s="5">
        <v>2.0400000000000001E-3</v>
      </c>
      <c r="U35" s="5">
        <v>2.2899999999999999E-3</v>
      </c>
      <c r="V35" s="5">
        <v>2.5899999999999999E-3</v>
      </c>
      <c r="W35" s="5">
        <v>2.82E-3</v>
      </c>
      <c r="X35" s="5">
        <v>3.0799999999999998E-3</v>
      </c>
      <c r="Y35" s="5">
        <v>3.3700000000000002E-3</v>
      </c>
      <c r="Z35" s="5">
        <v>3.6900000000000001E-3</v>
      </c>
      <c r="AA35" s="5">
        <v>4.0499999999999998E-3</v>
      </c>
      <c r="AB35" s="1">
        <v>58</v>
      </c>
    </row>
    <row r="36" spans="1:28">
      <c r="A36" s="1">
        <v>34</v>
      </c>
      <c r="B36" s="5">
        <v>1.3999999999999999E-4</v>
      </c>
      <c r="C36" s="5">
        <v>2.3000000000000001E-4</v>
      </c>
      <c r="D36" s="5">
        <v>3.1E-4</v>
      </c>
      <c r="E36" s="5">
        <v>3.8999999999999999E-4</v>
      </c>
      <c r="F36" s="5">
        <v>4.6999999999999999E-4</v>
      </c>
      <c r="G36" s="5">
        <v>5.4000000000000001E-4</v>
      </c>
      <c r="H36" s="5">
        <v>6.3000000000000003E-4</v>
      </c>
      <c r="I36" s="5">
        <v>6.9999999999999999E-4</v>
      </c>
      <c r="J36" s="5">
        <v>7.6000000000000004E-4</v>
      </c>
      <c r="K36" s="5">
        <v>8.4000000000000003E-4</v>
      </c>
      <c r="L36" s="5">
        <v>9.3000000000000005E-4</v>
      </c>
      <c r="M36" s="5">
        <v>1.0499999999999999E-3</v>
      </c>
      <c r="N36" s="5">
        <v>1.1999999999999999E-3</v>
      </c>
      <c r="O36" s="5">
        <v>1.34E-3</v>
      </c>
      <c r="P36" s="5">
        <v>1.48E-3</v>
      </c>
      <c r="Q36" s="5">
        <v>1.64E-3</v>
      </c>
      <c r="R36" s="5">
        <v>1.82E-3</v>
      </c>
      <c r="S36" s="5">
        <v>2E-3</v>
      </c>
      <c r="T36" s="5">
        <v>2.2300000000000002E-3</v>
      </c>
      <c r="U36" s="5">
        <v>2.5000000000000001E-3</v>
      </c>
      <c r="V36" s="5">
        <v>2.82E-3</v>
      </c>
      <c r="W36" s="5">
        <v>3.0799999999999998E-3</v>
      </c>
      <c r="X36" s="5">
        <v>3.3700000000000002E-3</v>
      </c>
      <c r="Y36" s="5">
        <v>3.6900000000000001E-3</v>
      </c>
      <c r="Z36" s="5">
        <v>4.0499999999999998E-3</v>
      </c>
      <c r="AA36" s="5">
        <v>4.4600000000000004E-3</v>
      </c>
      <c r="AB36" s="1">
        <v>59</v>
      </c>
    </row>
    <row r="37" spans="1:28">
      <c r="A37" s="1">
        <v>35</v>
      </c>
      <c r="B37" s="5">
        <v>1.4999999999999999E-4</v>
      </c>
      <c r="C37" s="5">
        <v>2.4000000000000001E-4</v>
      </c>
      <c r="D37" s="5">
        <v>3.5E-4</v>
      </c>
      <c r="E37" s="5">
        <v>4.4000000000000002E-4</v>
      </c>
      <c r="F37" s="5">
        <v>5.1999999999999995E-4</v>
      </c>
      <c r="G37" s="5">
        <v>5.9000000000000003E-4</v>
      </c>
      <c r="H37" s="5">
        <v>6.8000000000000005E-4</v>
      </c>
      <c r="I37" s="5">
        <v>7.3999999999999999E-4</v>
      </c>
      <c r="J37" s="5">
        <v>8.0000000000000004E-4</v>
      </c>
      <c r="K37" s="5">
        <v>8.8000000000000003E-4</v>
      </c>
      <c r="L37" s="5">
        <v>9.7999999999999997E-4</v>
      </c>
      <c r="M37" s="5">
        <v>1.15E-3</v>
      </c>
      <c r="N37" s="5">
        <v>1.32E-3</v>
      </c>
      <c r="O37" s="5">
        <v>1.47E-3</v>
      </c>
      <c r="P37" s="5">
        <v>1.6199999999999999E-3</v>
      </c>
      <c r="Q37" s="5">
        <v>1.7799999999999999E-3</v>
      </c>
      <c r="R37" s="5">
        <v>1.9599999999999999E-3</v>
      </c>
      <c r="S37" s="5">
        <v>2.1700000000000001E-3</v>
      </c>
      <c r="T37" s="5">
        <v>2.4399999999999999E-3</v>
      </c>
      <c r="U37" s="5">
        <v>2.7399999999999998E-3</v>
      </c>
      <c r="V37" s="5">
        <v>3.0799999999999998E-3</v>
      </c>
      <c r="W37" s="5">
        <v>3.3700000000000002E-3</v>
      </c>
      <c r="X37" s="5">
        <v>3.6900000000000001E-3</v>
      </c>
      <c r="Y37" s="5">
        <v>4.0499999999999998E-3</v>
      </c>
      <c r="Z37" s="5">
        <v>4.4600000000000004E-3</v>
      </c>
      <c r="AA37" s="5">
        <v>4.9300000000000004E-3</v>
      </c>
      <c r="AB37" s="1">
        <v>60</v>
      </c>
    </row>
    <row r="38" spans="1:28">
      <c r="A38" s="1">
        <v>36</v>
      </c>
      <c r="B38" s="5">
        <v>1.7000000000000001E-4</v>
      </c>
      <c r="C38" s="5">
        <v>2.7E-4</v>
      </c>
      <c r="D38" s="5">
        <v>3.8999999999999999E-4</v>
      </c>
      <c r="E38" s="5">
        <v>4.8999999999999998E-4</v>
      </c>
      <c r="F38" s="5">
        <v>5.6999999999999998E-4</v>
      </c>
      <c r="G38" s="5">
        <v>6.4999999999999997E-4</v>
      </c>
      <c r="H38" s="5">
        <v>7.2999999999999996E-4</v>
      </c>
      <c r="I38" s="5">
        <v>7.7999999999999999E-4</v>
      </c>
      <c r="J38" s="5">
        <v>8.4000000000000003E-4</v>
      </c>
      <c r="K38" s="5">
        <v>9.3000000000000005E-4</v>
      </c>
      <c r="L38" s="5">
        <v>1.1000000000000001E-3</v>
      </c>
      <c r="M38" s="5">
        <v>1.2700000000000001E-3</v>
      </c>
      <c r="N38" s="5">
        <v>1.4499999999999999E-3</v>
      </c>
      <c r="O38" s="5">
        <v>1.6100000000000001E-3</v>
      </c>
      <c r="P38" s="5">
        <v>1.7600000000000001E-3</v>
      </c>
      <c r="Q38" s="5">
        <v>1.9400000000000001E-3</v>
      </c>
      <c r="R38" s="5">
        <v>2.14E-3</v>
      </c>
      <c r="S38" s="5">
        <v>2.3800000000000002E-3</v>
      </c>
      <c r="T38" s="5">
        <v>2.6800000000000001E-3</v>
      </c>
      <c r="U38" s="5">
        <v>3.0200000000000001E-3</v>
      </c>
      <c r="V38" s="5">
        <v>3.3700000000000002E-3</v>
      </c>
      <c r="W38" s="5">
        <v>3.6900000000000001E-3</v>
      </c>
      <c r="X38" s="5">
        <v>4.0499999999999998E-3</v>
      </c>
      <c r="Y38" s="5">
        <v>4.4600000000000004E-3</v>
      </c>
      <c r="Z38" s="5">
        <v>4.9300000000000004E-3</v>
      </c>
      <c r="AA38" s="5">
        <v>5.4599999999999996E-3</v>
      </c>
      <c r="AB38" s="1">
        <v>61</v>
      </c>
    </row>
    <row r="39" spans="1:28">
      <c r="A39" s="1">
        <v>37</v>
      </c>
      <c r="B39" s="5">
        <v>1.8000000000000001E-4</v>
      </c>
      <c r="C39" s="5">
        <v>2.9E-4</v>
      </c>
      <c r="D39" s="5">
        <v>4.2999999999999999E-4</v>
      </c>
      <c r="E39" s="5">
        <v>5.5000000000000003E-4</v>
      </c>
      <c r="F39" s="5">
        <v>6.3000000000000003E-4</v>
      </c>
      <c r="G39" s="5">
        <v>7.1000000000000002E-4</v>
      </c>
      <c r="H39" s="5">
        <v>7.6000000000000004E-4</v>
      </c>
      <c r="I39" s="5">
        <v>8.1999999999999998E-4</v>
      </c>
      <c r="J39" s="5">
        <v>8.8000000000000003E-4</v>
      </c>
      <c r="K39" s="5">
        <v>1.0499999999999999E-3</v>
      </c>
      <c r="L39" s="5">
        <v>1.2199999999999999E-3</v>
      </c>
      <c r="M39" s="5">
        <v>1.4E-3</v>
      </c>
      <c r="N39" s="5">
        <v>1.5900000000000001E-3</v>
      </c>
      <c r="O39" s="5">
        <v>1.75E-3</v>
      </c>
      <c r="P39" s="5">
        <v>1.92E-3</v>
      </c>
      <c r="Q39" s="5">
        <v>2.1099999999999999E-3</v>
      </c>
      <c r="R39" s="5">
        <v>2.3400000000000001E-3</v>
      </c>
      <c r="S39" s="5">
        <v>2.6199999999999999E-3</v>
      </c>
      <c r="T39" s="5">
        <v>2.9499999999999999E-3</v>
      </c>
      <c r="U39" s="5">
        <v>3.32E-3</v>
      </c>
      <c r="V39" s="5">
        <v>3.6900000000000001E-3</v>
      </c>
      <c r="W39" s="5">
        <v>4.0499999999999998E-3</v>
      </c>
      <c r="X39" s="5">
        <v>4.4600000000000004E-3</v>
      </c>
      <c r="Y39" s="5">
        <v>4.9300000000000004E-3</v>
      </c>
      <c r="Z39" s="5">
        <v>5.4599999999999996E-3</v>
      </c>
      <c r="AA39" s="5">
        <v>6.0499999999999998E-3</v>
      </c>
      <c r="AB39" s="1">
        <v>62</v>
      </c>
    </row>
    <row r="40" spans="1:28">
      <c r="A40" s="1">
        <v>38</v>
      </c>
      <c r="B40" s="5">
        <v>2.0000000000000001E-4</v>
      </c>
      <c r="C40" s="5">
        <v>3.1E-4</v>
      </c>
      <c r="D40" s="5">
        <v>4.6000000000000001E-4</v>
      </c>
      <c r="E40" s="5">
        <v>5.9000000000000003E-4</v>
      </c>
      <c r="F40" s="5">
        <v>6.7000000000000002E-4</v>
      </c>
      <c r="G40" s="5">
        <v>7.5000000000000002E-4</v>
      </c>
      <c r="H40" s="5">
        <v>8.0000000000000004E-4</v>
      </c>
      <c r="I40" s="5">
        <v>8.5999999999999998E-4</v>
      </c>
      <c r="J40" s="5">
        <v>1.01E-3</v>
      </c>
      <c r="K40" s="5">
        <v>1.16E-3</v>
      </c>
      <c r="L40" s="5">
        <v>1.3500000000000001E-3</v>
      </c>
      <c r="M40" s="5">
        <v>1.5399999999999999E-3</v>
      </c>
      <c r="N40" s="5">
        <v>1.74E-3</v>
      </c>
      <c r="O40" s="5">
        <v>1.92E-3</v>
      </c>
      <c r="P40" s="5">
        <v>2.0899999999999998E-3</v>
      </c>
      <c r="Q40" s="5">
        <v>2.31E-3</v>
      </c>
      <c r="R40" s="5">
        <v>2.5799999999999998E-3</v>
      </c>
      <c r="S40" s="5">
        <v>2.8900000000000002E-3</v>
      </c>
      <c r="T40" s="5">
        <v>3.2499999999999999E-3</v>
      </c>
      <c r="U40" s="5">
        <v>3.65E-3</v>
      </c>
      <c r="V40" s="5">
        <v>4.0499999999999998E-3</v>
      </c>
      <c r="W40" s="5">
        <v>4.4600000000000004E-3</v>
      </c>
      <c r="X40" s="5">
        <v>4.9300000000000004E-3</v>
      </c>
      <c r="Y40" s="5">
        <v>5.4599999999999996E-3</v>
      </c>
      <c r="Z40" s="5">
        <v>6.0499999999999998E-3</v>
      </c>
      <c r="AA40" s="5">
        <v>6.7200000000000003E-3</v>
      </c>
      <c r="AB40" s="1">
        <v>63</v>
      </c>
    </row>
    <row r="41" spans="1:28">
      <c r="A41" s="1">
        <v>39</v>
      </c>
      <c r="B41" s="5">
        <v>2.2000000000000001E-4</v>
      </c>
      <c r="C41" s="5">
        <v>3.3E-4</v>
      </c>
      <c r="D41" s="5">
        <v>4.8000000000000001E-4</v>
      </c>
      <c r="E41" s="5">
        <v>6.2E-4</v>
      </c>
      <c r="F41" s="5">
        <v>7.2000000000000005E-4</v>
      </c>
      <c r="G41" s="5">
        <v>7.9000000000000001E-4</v>
      </c>
      <c r="H41" s="5">
        <v>8.4999999999999995E-4</v>
      </c>
      <c r="I41" s="5">
        <v>9.7999999999999997E-4</v>
      </c>
      <c r="J41" s="5">
        <v>1.1100000000000001E-3</v>
      </c>
      <c r="K41" s="5">
        <v>1.2899999999999999E-3</v>
      </c>
      <c r="L41" s="5">
        <v>1.49E-3</v>
      </c>
      <c r="M41" s="5">
        <v>1.6900000000000001E-3</v>
      </c>
      <c r="N41" s="5">
        <v>1.9E-3</v>
      </c>
      <c r="O41" s="5">
        <v>2.0899999999999998E-3</v>
      </c>
      <c r="P41" s="5">
        <v>2.2899999999999999E-3</v>
      </c>
      <c r="Q41" s="5">
        <v>2.5400000000000002E-3</v>
      </c>
      <c r="R41" s="5">
        <v>2.8400000000000001E-3</v>
      </c>
      <c r="S41" s="5">
        <v>3.1800000000000001E-3</v>
      </c>
      <c r="T41" s="5">
        <v>3.5799999999999998E-3</v>
      </c>
      <c r="U41" s="5">
        <v>4.0200000000000001E-3</v>
      </c>
      <c r="V41" s="5">
        <v>4.4600000000000004E-3</v>
      </c>
      <c r="W41" s="5">
        <v>4.9300000000000004E-3</v>
      </c>
      <c r="X41" s="5">
        <v>5.4599999999999996E-3</v>
      </c>
      <c r="Y41" s="5">
        <v>6.0499999999999998E-3</v>
      </c>
      <c r="Z41" s="5">
        <v>6.7200000000000003E-3</v>
      </c>
      <c r="AA41" s="5">
        <v>7.4700000000000001E-3</v>
      </c>
      <c r="AB41" s="1">
        <v>64</v>
      </c>
    </row>
    <row r="42" spans="1:28">
      <c r="A42" s="1">
        <v>40</v>
      </c>
      <c r="B42" s="5">
        <v>2.3000000000000001E-4</v>
      </c>
      <c r="C42" s="5">
        <v>3.4000000000000002E-4</v>
      </c>
      <c r="D42" s="5">
        <v>5.0000000000000001E-4</v>
      </c>
      <c r="E42" s="5">
        <v>6.4000000000000005E-4</v>
      </c>
      <c r="F42" s="5">
        <v>7.6000000000000004E-4</v>
      </c>
      <c r="G42" s="5">
        <v>8.3000000000000001E-4</v>
      </c>
      <c r="H42" s="5">
        <v>9.5E-4</v>
      </c>
      <c r="I42" s="5">
        <v>1.08E-3</v>
      </c>
      <c r="J42" s="5">
        <v>1.23E-3</v>
      </c>
      <c r="K42" s="5">
        <v>1.4300000000000001E-3</v>
      </c>
      <c r="L42" s="5">
        <v>1.64E-3</v>
      </c>
      <c r="M42" s="5">
        <v>1.8500000000000001E-3</v>
      </c>
      <c r="N42" s="5">
        <v>2.0699999999999998E-3</v>
      </c>
      <c r="O42" s="5">
        <v>2.2799999999999999E-3</v>
      </c>
      <c r="P42" s="5">
        <v>2.5100000000000001E-3</v>
      </c>
      <c r="Q42" s="5">
        <v>2.8E-3</v>
      </c>
      <c r="R42" s="5">
        <v>3.13E-3</v>
      </c>
      <c r="S42" s="5">
        <v>3.5100000000000001E-3</v>
      </c>
      <c r="T42" s="5">
        <v>3.9399999999999999E-3</v>
      </c>
      <c r="U42" s="5">
        <v>4.4200000000000003E-3</v>
      </c>
      <c r="V42" s="5">
        <v>4.9300000000000004E-3</v>
      </c>
      <c r="W42" s="5">
        <v>5.4599999999999996E-3</v>
      </c>
      <c r="X42" s="5">
        <v>6.0499999999999998E-3</v>
      </c>
      <c r="Y42" s="5">
        <v>6.7200000000000003E-3</v>
      </c>
      <c r="Z42" s="5">
        <v>7.4700000000000001E-3</v>
      </c>
      <c r="AA42" s="5">
        <v>8.3099999999999997E-3</v>
      </c>
      <c r="AB42" s="1">
        <v>65</v>
      </c>
    </row>
    <row r="43" spans="1:28">
      <c r="A43" s="1">
        <v>41</v>
      </c>
      <c r="B43" s="5">
        <v>2.4000000000000001E-4</v>
      </c>
      <c r="C43" s="5">
        <v>3.6000000000000002E-4</v>
      </c>
      <c r="D43" s="5">
        <v>5.1999999999999995E-4</v>
      </c>
      <c r="E43" s="5">
        <v>6.7000000000000002E-4</v>
      </c>
      <c r="F43" s="5">
        <v>8.0000000000000004E-4</v>
      </c>
      <c r="G43" s="5">
        <v>9.2000000000000003E-4</v>
      </c>
      <c r="H43" s="5">
        <v>1.0499999999999999E-3</v>
      </c>
      <c r="I43" s="5">
        <v>1.1800000000000001E-3</v>
      </c>
      <c r="J43" s="5">
        <v>1.3500000000000001E-3</v>
      </c>
      <c r="K43" s="5">
        <v>1.58E-3</v>
      </c>
      <c r="L43" s="5">
        <v>1.8E-3</v>
      </c>
      <c r="M43" s="5">
        <v>2.0100000000000001E-3</v>
      </c>
      <c r="N43" s="5">
        <v>2.2499999999999998E-3</v>
      </c>
      <c r="O43" s="5">
        <v>2.49E-3</v>
      </c>
      <c r="P43" s="5">
        <v>2.7599999999999999E-3</v>
      </c>
      <c r="Q43" s="5">
        <v>3.0799999999999998E-3</v>
      </c>
      <c r="R43" s="5">
        <v>3.4499999999999999E-3</v>
      </c>
      <c r="S43" s="5">
        <v>3.8600000000000001E-3</v>
      </c>
      <c r="T43" s="5">
        <v>4.3299999999999996E-3</v>
      </c>
      <c r="U43" s="5">
        <v>4.8799999999999998E-3</v>
      </c>
      <c r="V43" s="5">
        <v>5.4599999999999996E-3</v>
      </c>
      <c r="W43" s="5">
        <v>6.0499999999999998E-3</v>
      </c>
      <c r="X43" s="5">
        <v>6.7200000000000003E-3</v>
      </c>
      <c r="Y43" s="5">
        <v>7.4700000000000001E-3</v>
      </c>
      <c r="Z43" s="5">
        <v>8.3099999999999997E-3</v>
      </c>
      <c r="AA43" s="5">
        <v>9.2399999999999999E-3</v>
      </c>
      <c r="AB43" s="1">
        <v>66</v>
      </c>
    </row>
    <row r="44" spans="1:28">
      <c r="A44" s="1">
        <v>42</v>
      </c>
      <c r="B44" s="5">
        <v>2.5000000000000001E-4</v>
      </c>
      <c r="C44" s="5">
        <v>3.8999999999999999E-4</v>
      </c>
      <c r="D44" s="5">
        <v>5.4000000000000001E-4</v>
      </c>
      <c r="E44" s="5">
        <v>7.1000000000000002E-4</v>
      </c>
      <c r="F44" s="5">
        <v>8.8000000000000003E-4</v>
      </c>
      <c r="G44" s="5">
        <v>1.01E-3</v>
      </c>
      <c r="H44" s="5">
        <v>1.1299999999999999E-3</v>
      </c>
      <c r="I44" s="5">
        <v>1.2800000000000001E-3</v>
      </c>
      <c r="J44" s="5">
        <v>1.49E-3</v>
      </c>
      <c r="K44" s="5">
        <v>1.73E-3</v>
      </c>
      <c r="L44" s="5">
        <v>1.9599999999999999E-3</v>
      </c>
      <c r="M44" s="5">
        <v>2.1800000000000001E-3</v>
      </c>
      <c r="N44" s="5">
        <v>2.4499999999999999E-3</v>
      </c>
      <c r="O44" s="5">
        <v>2.7299999999999998E-3</v>
      </c>
      <c r="P44" s="5">
        <v>3.0400000000000002E-3</v>
      </c>
      <c r="Q44" s="5">
        <v>3.4099999999999998E-3</v>
      </c>
      <c r="R44" s="5">
        <v>3.81E-3</v>
      </c>
      <c r="S44" s="5">
        <v>4.2500000000000003E-3</v>
      </c>
      <c r="T44" s="5">
        <v>4.7800000000000004E-3</v>
      </c>
      <c r="U44" s="5">
        <v>5.4000000000000003E-3</v>
      </c>
      <c r="V44" s="5">
        <v>6.0499999999999998E-3</v>
      </c>
      <c r="W44" s="5">
        <v>6.7200000000000003E-3</v>
      </c>
      <c r="X44" s="5">
        <v>7.4700000000000001E-3</v>
      </c>
      <c r="Y44" s="5">
        <v>8.3099999999999997E-3</v>
      </c>
      <c r="Z44" s="5">
        <v>9.2399999999999999E-3</v>
      </c>
      <c r="AA44" s="5">
        <v>1.027E-2</v>
      </c>
      <c r="AB44" s="1">
        <v>67</v>
      </c>
    </row>
    <row r="45" spans="1:28">
      <c r="A45" s="1">
        <v>43</v>
      </c>
      <c r="B45" s="5">
        <v>2.5999999999999998E-4</v>
      </c>
      <c r="C45" s="5">
        <v>4.0000000000000002E-4</v>
      </c>
      <c r="D45" s="5">
        <v>5.6999999999999998E-4</v>
      </c>
      <c r="E45" s="5">
        <v>7.9000000000000001E-4</v>
      </c>
      <c r="F45" s="5">
        <v>9.5E-4</v>
      </c>
      <c r="G45" s="5">
        <v>1.1000000000000001E-3</v>
      </c>
      <c r="H45" s="5">
        <v>1.23E-3</v>
      </c>
      <c r="I45" s="5">
        <v>1.41E-3</v>
      </c>
      <c r="J45" s="5">
        <v>1.64E-3</v>
      </c>
      <c r="K45" s="5">
        <v>1.89E-3</v>
      </c>
      <c r="L45" s="5">
        <v>2.1199999999999999E-3</v>
      </c>
      <c r="M45" s="5">
        <v>2.3700000000000001E-3</v>
      </c>
      <c r="N45" s="5">
        <v>2.6800000000000001E-3</v>
      </c>
      <c r="O45" s="5">
        <v>3.0100000000000001E-3</v>
      </c>
      <c r="P45" s="5">
        <v>3.3700000000000002E-3</v>
      </c>
      <c r="Q45" s="5">
        <v>3.7699999999999999E-3</v>
      </c>
      <c r="R45" s="5">
        <v>4.2199999999999998E-3</v>
      </c>
      <c r="S45" s="5">
        <v>4.7299999999999998E-3</v>
      </c>
      <c r="T45" s="5">
        <v>5.3099999999999996E-3</v>
      </c>
      <c r="U45" s="5">
        <v>5.9800000000000001E-3</v>
      </c>
      <c r="V45" s="5">
        <v>6.7200000000000003E-3</v>
      </c>
      <c r="W45" s="5">
        <v>7.4700000000000001E-3</v>
      </c>
      <c r="X45" s="5">
        <v>8.3099999999999997E-3</v>
      </c>
      <c r="Y45" s="5">
        <v>9.2399999999999999E-3</v>
      </c>
      <c r="Z45" s="5">
        <v>1.027E-2</v>
      </c>
      <c r="AA45" s="5">
        <v>1.141E-2</v>
      </c>
      <c r="AB45" s="1">
        <v>68</v>
      </c>
    </row>
    <row r="46" spans="1:28">
      <c r="A46" s="1">
        <v>44</v>
      </c>
      <c r="B46" s="5">
        <v>2.7999999999999998E-4</v>
      </c>
      <c r="C46" s="5">
        <v>4.2000000000000002E-4</v>
      </c>
      <c r="D46" s="5">
        <v>6.2E-4</v>
      </c>
      <c r="E46" s="5">
        <v>8.8000000000000003E-4</v>
      </c>
      <c r="F46" s="5">
        <v>1.0300000000000001E-3</v>
      </c>
      <c r="G46" s="5">
        <v>1.1800000000000001E-3</v>
      </c>
      <c r="H46" s="5">
        <v>1.33E-3</v>
      </c>
      <c r="I46" s="5">
        <v>1.5399999999999999E-3</v>
      </c>
      <c r="J46" s="5">
        <v>1.7899999999999999E-3</v>
      </c>
      <c r="K46" s="5">
        <v>2.0600000000000002E-3</v>
      </c>
      <c r="L46" s="5">
        <v>2.3E-3</v>
      </c>
      <c r="M46" s="5">
        <v>2.5899999999999999E-3</v>
      </c>
      <c r="N46" s="5">
        <v>2.9399999999999999E-3</v>
      </c>
      <c r="O46" s="5">
        <v>3.32E-3</v>
      </c>
      <c r="P46" s="5">
        <v>3.7200000000000002E-3</v>
      </c>
      <c r="Q46" s="5">
        <v>4.1700000000000001E-3</v>
      </c>
      <c r="R46" s="5">
        <v>4.6600000000000001E-3</v>
      </c>
      <c r="S46" s="5">
        <v>5.2100000000000002E-3</v>
      </c>
      <c r="T46" s="5">
        <v>5.8700000000000002E-3</v>
      </c>
      <c r="U46" s="5">
        <v>6.6400000000000001E-3</v>
      </c>
      <c r="V46" s="5">
        <v>7.4700000000000001E-3</v>
      </c>
      <c r="W46" s="5">
        <v>8.3099999999999997E-3</v>
      </c>
      <c r="X46" s="5">
        <v>9.2399999999999999E-3</v>
      </c>
      <c r="Y46" s="5">
        <v>1.027E-2</v>
      </c>
      <c r="Z46" s="5">
        <v>1.141E-2</v>
      </c>
      <c r="AA46" s="5">
        <v>1.2659999999999999E-2</v>
      </c>
      <c r="AB46" s="1">
        <v>69</v>
      </c>
    </row>
    <row r="47" spans="1:28">
      <c r="A47" s="1">
        <v>45</v>
      </c>
      <c r="B47" s="5">
        <v>3.1E-4</v>
      </c>
      <c r="C47" s="5">
        <v>4.4000000000000002E-4</v>
      </c>
      <c r="D47" s="5">
        <v>6.8000000000000005E-4</v>
      </c>
      <c r="E47" s="5">
        <v>9.7999999999999997E-4</v>
      </c>
      <c r="F47" s="5">
        <v>1.1299999999999999E-3</v>
      </c>
      <c r="G47" s="5">
        <v>1.2800000000000001E-3</v>
      </c>
      <c r="H47" s="5">
        <v>1.4499999999999999E-3</v>
      </c>
      <c r="I47" s="5">
        <v>1.6900000000000001E-3</v>
      </c>
      <c r="J47" s="5">
        <v>1.9499999999999999E-3</v>
      </c>
      <c r="K47" s="5">
        <v>2.2300000000000002E-3</v>
      </c>
      <c r="L47" s="5">
        <v>2.5100000000000001E-3</v>
      </c>
      <c r="M47" s="5">
        <v>2.82E-3</v>
      </c>
      <c r="N47" s="5">
        <v>3.2399999999999998E-3</v>
      </c>
      <c r="O47" s="5">
        <v>3.6800000000000001E-3</v>
      </c>
      <c r="P47" s="5">
        <v>4.1200000000000004E-3</v>
      </c>
      <c r="Q47" s="5">
        <v>4.62E-3</v>
      </c>
      <c r="R47" s="5">
        <v>5.1700000000000001E-3</v>
      </c>
      <c r="S47" s="5">
        <v>5.8100000000000001E-3</v>
      </c>
      <c r="T47" s="5">
        <v>6.5500000000000003E-3</v>
      </c>
      <c r="U47" s="5">
        <v>7.4000000000000003E-3</v>
      </c>
      <c r="V47" s="5">
        <v>8.3099999999999997E-3</v>
      </c>
      <c r="W47" s="5">
        <v>9.2399999999999999E-3</v>
      </c>
      <c r="X47" s="5">
        <v>1.027E-2</v>
      </c>
      <c r="Y47" s="5">
        <v>1.141E-2</v>
      </c>
      <c r="Z47" s="5">
        <v>1.2659999999999999E-2</v>
      </c>
      <c r="AA47" s="5">
        <v>1.404E-2</v>
      </c>
      <c r="AB47" s="1">
        <v>70</v>
      </c>
    </row>
    <row r="48" spans="1:28">
      <c r="A48" s="1">
        <v>46</v>
      </c>
      <c r="B48" s="5">
        <v>3.4000000000000002E-4</v>
      </c>
      <c r="C48" s="5">
        <v>4.6000000000000001E-4</v>
      </c>
      <c r="D48" s="5">
        <v>7.5000000000000002E-4</v>
      </c>
      <c r="E48" s="5">
        <v>1.0499999999999999E-3</v>
      </c>
      <c r="F48" s="5">
        <v>1.2199999999999999E-3</v>
      </c>
      <c r="G48" s="5">
        <v>1.4E-3</v>
      </c>
      <c r="H48" s="5">
        <v>1.5900000000000001E-3</v>
      </c>
      <c r="I48" s="5">
        <v>1.8500000000000001E-3</v>
      </c>
      <c r="J48" s="5">
        <v>2.1299999999999999E-3</v>
      </c>
      <c r="K48" s="5">
        <v>2.4299999999999999E-3</v>
      </c>
      <c r="L48" s="5">
        <v>2.7100000000000002E-3</v>
      </c>
      <c r="M48" s="5">
        <v>3.1199999999999999E-3</v>
      </c>
      <c r="N48" s="5">
        <v>3.5999999999999999E-3</v>
      </c>
      <c r="O48" s="5">
        <v>4.0899999999999999E-3</v>
      </c>
      <c r="P48" s="5">
        <v>4.5700000000000003E-3</v>
      </c>
      <c r="Q48" s="5">
        <v>5.13E-3</v>
      </c>
      <c r="R48" s="5">
        <v>5.77E-3</v>
      </c>
      <c r="S48" s="5">
        <v>6.4799999999999996E-3</v>
      </c>
      <c r="T48" s="5">
        <v>7.3099999999999997E-3</v>
      </c>
      <c r="U48" s="5">
        <v>8.2000000000000007E-3</v>
      </c>
      <c r="V48" s="5">
        <v>9.2399999999999999E-3</v>
      </c>
      <c r="W48" s="5">
        <v>1.027E-2</v>
      </c>
      <c r="X48" s="5">
        <v>1.141E-2</v>
      </c>
      <c r="Y48" s="5">
        <v>1.2659999999999999E-2</v>
      </c>
      <c r="Z48" s="5">
        <v>1.404E-2</v>
      </c>
      <c r="AA48" s="5">
        <v>1.553E-2</v>
      </c>
      <c r="AB48" s="1">
        <v>71</v>
      </c>
    </row>
    <row r="49" spans="1:28">
      <c r="A49" s="1">
        <v>47</v>
      </c>
      <c r="B49" s="5">
        <v>3.6000000000000002E-4</v>
      </c>
      <c r="C49" s="5">
        <v>4.8999999999999998E-4</v>
      </c>
      <c r="D49" s="5">
        <v>8.4999999999999995E-4</v>
      </c>
      <c r="E49" s="5">
        <v>1.15E-3</v>
      </c>
      <c r="F49" s="5">
        <v>1.33E-3</v>
      </c>
      <c r="G49" s="5">
        <v>1.5399999999999999E-3</v>
      </c>
      <c r="H49" s="5">
        <v>1.75E-3</v>
      </c>
      <c r="I49" s="5">
        <v>2.0300000000000001E-3</v>
      </c>
      <c r="J49" s="5">
        <v>2.32E-3</v>
      </c>
      <c r="K49" s="5">
        <v>2.6199999999999999E-3</v>
      </c>
      <c r="L49" s="5">
        <v>2.98E-3</v>
      </c>
      <c r="M49" s="5">
        <v>3.4499999999999999E-3</v>
      </c>
      <c r="N49" s="5">
        <v>4.0000000000000001E-3</v>
      </c>
      <c r="O49" s="5">
        <v>4.5199999999999997E-3</v>
      </c>
      <c r="P49" s="5">
        <v>5.0800000000000003E-3</v>
      </c>
      <c r="Q49" s="5">
        <v>5.7299999999999999E-3</v>
      </c>
      <c r="R49" s="5">
        <v>6.45E-3</v>
      </c>
      <c r="S49" s="5">
        <v>7.2399999999999999E-3</v>
      </c>
      <c r="T49" s="5">
        <v>8.1200000000000005E-3</v>
      </c>
      <c r="U49" s="5">
        <v>9.1199999999999996E-3</v>
      </c>
      <c r="V49" s="5">
        <v>1.027E-2</v>
      </c>
      <c r="W49" s="5">
        <v>1.141E-2</v>
      </c>
      <c r="X49" s="5">
        <v>1.2659999999999999E-2</v>
      </c>
      <c r="Y49" s="5">
        <v>1.404E-2</v>
      </c>
      <c r="Z49" s="5">
        <v>1.553E-2</v>
      </c>
      <c r="AA49" s="5">
        <v>1.7170000000000001E-2</v>
      </c>
      <c r="AB49" s="1">
        <v>72</v>
      </c>
    </row>
    <row r="50" spans="1:28">
      <c r="A50" s="1">
        <v>48</v>
      </c>
      <c r="B50" s="5">
        <v>3.8000000000000002E-4</v>
      </c>
      <c r="C50" s="5">
        <v>5.2999999999999998E-4</v>
      </c>
      <c r="D50" s="5">
        <v>9.7999999999999997E-4</v>
      </c>
      <c r="E50" s="5">
        <v>1.25E-3</v>
      </c>
      <c r="F50" s="5">
        <v>1.47E-3</v>
      </c>
      <c r="G50" s="5">
        <v>1.6900000000000001E-3</v>
      </c>
      <c r="H50" s="5">
        <v>1.9400000000000001E-3</v>
      </c>
      <c r="I50" s="5">
        <v>2.2300000000000002E-3</v>
      </c>
      <c r="J50" s="5">
        <v>2.5100000000000001E-3</v>
      </c>
      <c r="K50" s="5">
        <v>2.8700000000000002E-3</v>
      </c>
      <c r="L50" s="5">
        <v>3.2799999999999999E-3</v>
      </c>
      <c r="M50" s="5">
        <v>3.82E-3</v>
      </c>
      <c r="N50" s="5">
        <v>4.45E-3</v>
      </c>
      <c r="O50" s="5">
        <v>5.0299999999999997E-3</v>
      </c>
      <c r="P50" s="5">
        <v>5.6600000000000001E-3</v>
      </c>
      <c r="Q50" s="5">
        <v>6.3899999999999998E-3</v>
      </c>
      <c r="R50" s="5">
        <v>7.2100000000000003E-3</v>
      </c>
      <c r="S50" s="5">
        <v>8.0700000000000008E-3</v>
      </c>
      <c r="T50" s="5">
        <v>9.0399999999999994E-3</v>
      </c>
      <c r="U50" s="5">
        <v>1.0149999999999999E-2</v>
      </c>
      <c r="V50" s="5">
        <v>1.141E-2</v>
      </c>
      <c r="W50" s="5">
        <v>1.2659999999999999E-2</v>
      </c>
      <c r="X50" s="5">
        <v>1.404E-2</v>
      </c>
      <c r="Y50" s="5">
        <v>1.553E-2</v>
      </c>
      <c r="Z50" s="5">
        <v>1.7170000000000001E-2</v>
      </c>
      <c r="AA50" s="5">
        <v>1.8970000000000001E-2</v>
      </c>
      <c r="AB50" s="1">
        <v>73</v>
      </c>
    </row>
    <row r="51" spans="1:28">
      <c r="A51" s="1">
        <v>49</v>
      </c>
      <c r="B51" s="5">
        <v>4.0000000000000002E-4</v>
      </c>
      <c r="C51" s="5">
        <v>5.9999999999999995E-4</v>
      </c>
      <c r="D51" s="5">
        <v>1.1199999999999999E-3</v>
      </c>
      <c r="E51" s="5">
        <v>1.4E-3</v>
      </c>
      <c r="F51" s="5">
        <v>1.6199999999999999E-3</v>
      </c>
      <c r="G51" s="5">
        <v>1.8600000000000001E-3</v>
      </c>
      <c r="H51" s="5">
        <v>2.14E-3</v>
      </c>
      <c r="I51" s="5">
        <v>2.4199999999999998E-3</v>
      </c>
      <c r="J51" s="5">
        <v>2.7499999999999998E-3</v>
      </c>
      <c r="K51" s="5">
        <v>3.15E-3</v>
      </c>
      <c r="L51" s="5">
        <v>3.6099999999999999E-3</v>
      </c>
      <c r="M51" s="5">
        <v>4.2100000000000002E-3</v>
      </c>
      <c r="N51" s="5">
        <v>4.8999999999999998E-3</v>
      </c>
      <c r="O51" s="5">
        <v>5.5599999999999998E-3</v>
      </c>
      <c r="P51" s="5">
        <v>6.2500000000000003E-3</v>
      </c>
      <c r="Q51" s="5">
        <v>7.0699999999999999E-3</v>
      </c>
      <c r="R51" s="5">
        <v>8.0000000000000002E-3</v>
      </c>
      <c r="S51" s="5">
        <v>8.9499999999999996E-3</v>
      </c>
      <c r="T51" s="5">
        <v>1.001E-2</v>
      </c>
      <c r="U51" s="5">
        <v>1.125E-2</v>
      </c>
      <c r="V51" s="5">
        <v>1.2659999999999999E-2</v>
      </c>
      <c r="W51" s="5">
        <v>1.404E-2</v>
      </c>
      <c r="X51" s="5">
        <v>1.553E-2</v>
      </c>
      <c r="Y51" s="5">
        <v>1.7170000000000001E-2</v>
      </c>
      <c r="Z51" s="5">
        <v>1.8970000000000001E-2</v>
      </c>
      <c r="AA51" s="5">
        <v>2.0979999999999999E-2</v>
      </c>
      <c r="AB51" s="1">
        <v>74</v>
      </c>
    </row>
    <row r="52" spans="1:28">
      <c r="A52" s="1">
        <v>50</v>
      </c>
      <c r="B52" s="5">
        <v>4.2000000000000002E-4</v>
      </c>
      <c r="C52" s="5">
        <v>7.2000000000000005E-4</v>
      </c>
      <c r="D52" s="5">
        <v>1.2800000000000001E-3</v>
      </c>
      <c r="E52" s="5">
        <v>1.56E-3</v>
      </c>
      <c r="F52" s="5">
        <v>1.7899999999999999E-3</v>
      </c>
      <c r="G52" s="5">
        <v>2.0600000000000002E-3</v>
      </c>
      <c r="H52" s="5">
        <v>2.3500000000000001E-3</v>
      </c>
      <c r="I52" s="5">
        <v>2.65E-3</v>
      </c>
      <c r="J52" s="5">
        <v>3.0200000000000001E-3</v>
      </c>
      <c r="K52" s="5">
        <v>3.47E-3</v>
      </c>
      <c r="L52" s="5">
        <v>3.9699999999999996E-3</v>
      </c>
      <c r="M52" s="5">
        <v>4.62E-3</v>
      </c>
      <c r="N52" s="5">
        <v>5.3499999999999997E-3</v>
      </c>
      <c r="O52" s="5">
        <v>6.0699999999999999E-3</v>
      </c>
      <c r="P52" s="5">
        <v>6.8599999999999998E-3</v>
      </c>
      <c r="Q52" s="5">
        <v>7.7999999999999996E-3</v>
      </c>
      <c r="R52" s="5">
        <v>8.8100000000000001E-3</v>
      </c>
      <c r="S52" s="5">
        <v>9.8499999999999994E-3</v>
      </c>
      <c r="T52" s="5">
        <v>1.106E-2</v>
      </c>
      <c r="U52" s="5">
        <v>1.239E-2</v>
      </c>
      <c r="V52" s="5">
        <v>1.404E-2</v>
      </c>
      <c r="W52" s="5">
        <v>1.553E-2</v>
      </c>
      <c r="X52" s="5">
        <v>1.7170000000000001E-2</v>
      </c>
      <c r="Y52" s="5">
        <v>1.8970000000000001E-2</v>
      </c>
      <c r="Z52" s="5">
        <v>2.0979999999999999E-2</v>
      </c>
      <c r="AA52" s="5">
        <v>2.325E-2</v>
      </c>
      <c r="AB52" s="1">
        <v>75</v>
      </c>
    </row>
    <row r="53" spans="1:28">
      <c r="A53" s="1">
        <v>51</v>
      </c>
      <c r="B53" s="5">
        <v>4.4000000000000002E-4</v>
      </c>
      <c r="C53" s="5">
        <v>8.8000000000000003E-4</v>
      </c>
      <c r="D53" s="5">
        <v>1.4300000000000001E-3</v>
      </c>
      <c r="E53" s="5">
        <v>1.72E-3</v>
      </c>
      <c r="F53" s="5">
        <v>1.99E-3</v>
      </c>
      <c r="G53" s="5">
        <v>2.2699999999999999E-3</v>
      </c>
      <c r="H53" s="5">
        <v>2.5799999999999998E-3</v>
      </c>
      <c r="I53" s="5">
        <v>2.9199999999999999E-3</v>
      </c>
      <c r="J53" s="5">
        <v>3.3300000000000001E-3</v>
      </c>
      <c r="K53" s="5">
        <v>3.8300000000000001E-3</v>
      </c>
      <c r="L53" s="5">
        <v>4.3800000000000002E-3</v>
      </c>
      <c r="M53" s="5">
        <v>5.0499999999999998E-3</v>
      </c>
      <c r="N53" s="5">
        <v>5.8199999999999997E-3</v>
      </c>
      <c r="O53" s="5">
        <v>6.6100000000000004E-3</v>
      </c>
      <c r="P53" s="5">
        <v>7.4999999999999997E-3</v>
      </c>
      <c r="Q53" s="5">
        <v>8.5400000000000007E-3</v>
      </c>
      <c r="R53" s="5">
        <v>9.6399999999999993E-3</v>
      </c>
      <c r="S53" s="5">
        <v>1.0800000000000001E-2</v>
      </c>
      <c r="T53" s="5">
        <v>1.209E-2</v>
      </c>
      <c r="U53" s="5">
        <v>1.3610000000000001E-2</v>
      </c>
      <c r="V53" s="5">
        <v>1.553E-2</v>
      </c>
      <c r="W53" s="5">
        <v>1.7170000000000001E-2</v>
      </c>
      <c r="X53" s="5">
        <v>1.8970000000000001E-2</v>
      </c>
      <c r="Y53" s="5">
        <v>2.0979999999999999E-2</v>
      </c>
      <c r="Z53" s="5">
        <v>2.325E-2</v>
      </c>
      <c r="AA53" s="5">
        <v>2.58E-2</v>
      </c>
      <c r="AB53" s="1">
        <v>76</v>
      </c>
    </row>
    <row r="54" spans="1:28">
      <c r="A54" s="1">
        <v>52</v>
      </c>
      <c r="B54" s="5">
        <v>4.6000000000000001E-4</v>
      </c>
      <c r="C54" s="5">
        <v>1.0499999999999999E-3</v>
      </c>
      <c r="D54" s="5">
        <v>1.5499999999999999E-3</v>
      </c>
      <c r="E54" s="5">
        <v>1.8699999999999999E-3</v>
      </c>
      <c r="F54" s="5">
        <v>2.1800000000000001E-3</v>
      </c>
      <c r="G54" s="5">
        <v>2.49E-3</v>
      </c>
      <c r="H54" s="5">
        <v>2.8400000000000001E-3</v>
      </c>
      <c r="I54" s="5">
        <v>3.2200000000000002E-3</v>
      </c>
      <c r="J54" s="5">
        <v>3.6900000000000001E-3</v>
      </c>
      <c r="K54" s="5">
        <v>4.2599999999999999E-3</v>
      </c>
      <c r="L54" s="5">
        <v>4.8399999999999997E-3</v>
      </c>
      <c r="M54" s="5">
        <v>5.5599999999999998E-3</v>
      </c>
      <c r="N54" s="5">
        <v>6.3499999999999997E-3</v>
      </c>
      <c r="O54" s="5">
        <v>7.2399999999999999E-3</v>
      </c>
      <c r="P54" s="5">
        <v>8.2400000000000008E-3</v>
      </c>
      <c r="Q54" s="5">
        <v>9.4000000000000004E-3</v>
      </c>
      <c r="R54" s="5">
        <v>1.056E-2</v>
      </c>
      <c r="S54" s="5">
        <v>1.18E-2</v>
      </c>
      <c r="T54" s="5">
        <v>1.328E-2</v>
      </c>
      <c r="U54" s="5">
        <v>1.506E-2</v>
      </c>
      <c r="V54" s="5">
        <v>1.7170000000000001E-2</v>
      </c>
      <c r="W54" s="5">
        <v>1.8970000000000001E-2</v>
      </c>
      <c r="X54" s="5">
        <v>2.0979999999999999E-2</v>
      </c>
      <c r="Y54" s="5">
        <v>2.325E-2</v>
      </c>
      <c r="Z54" s="5">
        <v>2.58E-2</v>
      </c>
      <c r="AA54" s="5">
        <v>2.8719999999999999E-2</v>
      </c>
      <c r="AB54" s="1">
        <v>77</v>
      </c>
    </row>
    <row r="55" spans="1:28">
      <c r="A55" s="1">
        <v>53</v>
      </c>
      <c r="B55" s="5">
        <v>4.8999999999999998E-4</v>
      </c>
      <c r="C55" s="5">
        <v>1.16E-3</v>
      </c>
      <c r="D55" s="5">
        <v>1.64E-3</v>
      </c>
      <c r="E55" s="5">
        <v>2.0400000000000001E-3</v>
      </c>
      <c r="F55" s="5">
        <v>2.3900000000000002E-3</v>
      </c>
      <c r="G55" s="5">
        <v>2.7399999999999998E-3</v>
      </c>
      <c r="H55" s="5">
        <v>3.13E-3</v>
      </c>
      <c r="I55" s="5">
        <v>3.5699999999999998E-3</v>
      </c>
      <c r="J55" s="5">
        <v>4.1099999999999999E-3</v>
      </c>
      <c r="K55" s="5">
        <v>4.7299999999999998E-3</v>
      </c>
      <c r="L55" s="5">
        <v>5.3299999999999997E-3</v>
      </c>
      <c r="M55" s="5">
        <v>6.0699999999999999E-3</v>
      </c>
      <c r="N55" s="5">
        <v>6.9199999999999999E-3</v>
      </c>
      <c r="O55" s="5">
        <v>7.9100000000000004E-3</v>
      </c>
      <c r="P55" s="5">
        <v>9.0500000000000008E-3</v>
      </c>
      <c r="Q55" s="5">
        <v>1.03E-2</v>
      </c>
      <c r="R55" s="5">
        <v>1.159E-2</v>
      </c>
      <c r="S55" s="5">
        <v>1.302E-2</v>
      </c>
      <c r="T55" s="5">
        <v>1.47E-2</v>
      </c>
      <c r="U55" s="5">
        <v>1.66E-2</v>
      </c>
      <c r="V55" s="5">
        <v>1.8970000000000001E-2</v>
      </c>
      <c r="W55" s="5">
        <v>2.0979999999999999E-2</v>
      </c>
      <c r="X55" s="5">
        <v>2.325E-2</v>
      </c>
      <c r="Y55" s="5">
        <v>2.58E-2</v>
      </c>
      <c r="Z55" s="5">
        <v>2.8719999999999999E-2</v>
      </c>
      <c r="AA55" s="5">
        <v>3.1989999999999998E-2</v>
      </c>
      <c r="AB55" s="1">
        <v>78</v>
      </c>
    </row>
    <row r="56" spans="1:28">
      <c r="A56" s="1">
        <v>54</v>
      </c>
      <c r="B56" s="5">
        <v>5.1000000000000004E-4</v>
      </c>
      <c r="C56" s="5">
        <v>1.2199999999999999E-3</v>
      </c>
      <c r="D56" s="5">
        <v>1.75E-3</v>
      </c>
      <c r="E56" s="5">
        <v>2.1900000000000001E-3</v>
      </c>
      <c r="F56" s="5">
        <v>2.63E-3</v>
      </c>
      <c r="G56" s="5">
        <v>3.0400000000000002E-3</v>
      </c>
      <c r="H56" s="5">
        <v>3.48E-3</v>
      </c>
      <c r="I56" s="5">
        <v>3.9899999999999996E-3</v>
      </c>
      <c r="J56" s="5">
        <v>4.5900000000000003E-3</v>
      </c>
      <c r="K56" s="5">
        <v>5.2500000000000003E-3</v>
      </c>
      <c r="L56" s="5">
        <v>5.8700000000000002E-3</v>
      </c>
      <c r="M56" s="5">
        <v>6.6499999999999997E-3</v>
      </c>
      <c r="N56" s="5">
        <v>7.6E-3</v>
      </c>
      <c r="O56" s="5">
        <v>8.7100000000000007E-3</v>
      </c>
      <c r="P56" s="5">
        <v>9.9799999999999993E-3</v>
      </c>
      <c r="Q56" s="5">
        <v>1.1350000000000001E-2</v>
      </c>
      <c r="R56" s="5">
        <v>1.2760000000000001E-2</v>
      </c>
      <c r="S56" s="5">
        <v>1.44E-2</v>
      </c>
      <c r="T56" s="5">
        <v>1.6279999999999999E-2</v>
      </c>
      <c r="U56" s="5">
        <v>1.8509999999999999E-2</v>
      </c>
      <c r="V56" s="5">
        <v>2.0979999999999999E-2</v>
      </c>
      <c r="W56" s="5">
        <v>2.325E-2</v>
      </c>
      <c r="X56" s="5">
        <v>2.58E-2</v>
      </c>
      <c r="Y56" s="5">
        <v>2.8719999999999999E-2</v>
      </c>
      <c r="Z56" s="5">
        <v>3.1989999999999998E-2</v>
      </c>
      <c r="AA56" s="5">
        <v>3.569E-2</v>
      </c>
      <c r="AB56" s="1">
        <v>79</v>
      </c>
    </row>
    <row r="57" spans="1:28">
      <c r="A57" s="1">
        <v>55</v>
      </c>
      <c r="B57" s="5">
        <v>5.4000000000000001E-4</v>
      </c>
      <c r="C57" s="5">
        <v>1.2600000000000001E-3</v>
      </c>
      <c r="D57" s="5">
        <v>1.8500000000000001E-3</v>
      </c>
      <c r="E57" s="5">
        <v>2.3400000000000001E-3</v>
      </c>
      <c r="F57" s="5">
        <v>2.9099999999999998E-3</v>
      </c>
      <c r="G57" s="5">
        <v>3.3800000000000002E-3</v>
      </c>
      <c r="H57" s="5">
        <v>3.8899999999999998E-3</v>
      </c>
      <c r="I57" s="5">
        <v>4.4600000000000004E-3</v>
      </c>
      <c r="J57" s="5">
        <v>5.11E-3</v>
      </c>
      <c r="K57" s="5">
        <v>5.7999999999999996E-3</v>
      </c>
      <c r="L57" s="5">
        <v>6.4400000000000004E-3</v>
      </c>
      <c r="M57" s="5">
        <v>7.2700000000000004E-3</v>
      </c>
      <c r="N57" s="5">
        <v>8.3400000000000002E-3</v>
      </c>
      <c r="O57" s="5">
        <v>9.5999999999999992E-3</v>
      </c>
      <c r="P57" s="5">
        <v>1.1010000000000001E-2</v>
      </c>
      <c r="Q57" s="5">
        <v>1.2489999999999999E-2</v>
      </c>
      <c r="R57" s="5">
        <v>1.409E-2</v>
      </c>
      <c r="S57" s="5">
        <v>1.5939999999999999E-2</v>
      </c>
      <c r="T57" s="5">
        <v>1.8159999999999999E-2</v>
      </c>
      <c r="U57" s="5">
        <v>2.0740000000000001E-2</v>
      </c>
      <c r="V57" s="5">
        <v>2.325E-2</v>
      </c>
      <c r="W57" s="5">
        <v>2.58E-2</v>
      </c>
      <c r="X57" s="5">
        <v>2.8719999999999999E-2</v>
      </c>
      <c r="Y57" s="5">
        <v>3.1989999999999998E-2</v>
      </c>
      <c r="Z57" s="5">
        <v>3.569E-2</v>
      </c>
      <c r="AA57" s="5">
        <v>3.986E-2</v>
      </c>
      <c r="AB57" s="1">
        <v>80</v>
      </c>
    </row>
    <row r="58" spans="1:28">
      <c r="A58" s="1">
        <v>56</v>
      </c>
      <c r="B58" s="5">
        <v>5.5999999999999995E-4</v>
      </c>
      <c r="C58" s="5">
        <v>1.31E-3</v>
      </c>
      <c r="D58" s="5">
        <v>1.9300000000000001E-3</v>
      </c>
      <c r="E58" s="5">
        <v>2.5100000000000001E-3</v>
      </c>
      <c r="F58" s="5">
        <v>3.2299999999999998E-3</v>
      </c>
      <c r="G58" s="5">
        <v>3.7599999999999999E-3</v>
      </c>
      <c r="H58" s="5">
        <v>4.3299999999999996E-3</v>
      </c>
      <c r="I58" s="5">
        <v>4.9399999999999999E-3</v>
      </c>
      <c r="J58" s="5">
        <v>5.62E-3</v>
      </c>
      <c r="K58" s="5">
        <v>6.3E-3</v>
      </c>
      <c r="L58" s="5">
        <v>6.96E-3</v>
      </c>
      <c r="M58" s="5">
        <v>7.9000000000000008E-3</v>
      </c>
      <c r="N58" s="5">
        <v>9.1299999999999992E-3</v>
      </c>
      <c r="O58" s="5">
        <v>1.055E-2</v>
      </c>
      <c r="P58" s="5">
        <v>1.2070000000000001E-2</v>
      </c>
      <c r="Q58" s="5">
        <v>1.376E-2</v>
      </c>
      <c r="R58" s="5">
        <v>1.566E-2</v>
      </c>
      <c r="S58" s="5">
        <v>1.7770000000000001E-2</v>
      </c>
      <c r="T58" s="5">
        <v>2.019E-2</v>
      </c>
      <c r="U58" s="5">
        <v>2.299E-2</v>
      </c>
      <c r="V58" s="5">
        <v>2.58E-2</v>
      </c>
      <c r="W58" s="5">
        <v>2.8719999999999999E-2</v>
      </c>
      <c r="X58" s="5">
        <v>3.1989999999999998E-2</v>
      </c>
      <c r="Y58" s="5">
        <v>3.569E-2</v>
      </c>
      <c r="Z58" s="5">
        <v>3.986E-2</v>
      </c>
      <c r="AA58" s="5">
        <v>4.4880000000000003E-2</v>
      </c>
      <c r="AB58" s="1">
        <v>81</v>
      </c>
    </row>
    <row r="59" spans="1:28">
      <c r="A59" s="1">
        <v>57</v>
      </c>
      <c r="B59" s="5">
        <v>5.9000000000000003E-4</v>
      </c>
      <c r="C59" s="5">
        <v>1.3699999999999999E-3</v>
      </c>
      <c r="D59" s="5">
        <v>2E-3</v>
      </c>
      <c r="E59" s="5">
        <v>2.7399999999999998E-3</v>
      </c>
      <c r="F59" s="5">
        <v>3.5999999999999999E-3</v>
      </c>
      <c r="G59" s="5">
        <v>4.1999999999999997E-3</v>
      </c>
      <c r="H59" s="5">
        <v>4.81E-3</v>
      </c>
      <c r="I59" s="5">
        <v>5.4400000000000004E-3</v>
      </c>
      <c r="J59" s="5">
        <v>6.13E-3</v>
      </c>
      <c r="K59" s="5">
        <v>6.79E-3</v>
      </c>
      <c r="L59" s="5">
        <v>7.4700000000000001E-3</v>
      </c>
      <c r="M59" s="5">
        <v>8.5400000000000007E-3</v>
      </c>
      <c r="N59" s="5">
        <v>9.9299999999999996E-3</v>
      </c>
      <c r="O59" s="5">
        <v>1.1520000000000001E-2</v>
      </c>
      <c r="P59" s="5">
        <v>1.325E-2</v>
      </c>
      <c r="Q59" s="5">
        <v>1.5219999999999999E-2</v>
      </c>
      <c r="R59" s="5">
        <v>1.7350000000000001E-2</v>
      </c>
      <c r="S59" s="5">
        <v>1.968E-2</v>
      </c>
      <c r="T59" s="5">
        <v>2.2349999999999998E-2</v>
      </c>
      <c r="U59" s="5">
        <v>2.5510000000000001E-2</v>
      </c>
      <c r="V59" s="5">
        <v>2.8719999999999999E-2</v>
      </c>
      <c r="W59" s="5">
        <v>3.1989999999999998E-2</v>
      </c>
      <c r="X59" s="5">
        <v>3.569E-2</v>
      </c>
      <c r="Y59" s="5">
        <v>3.986E-2</v>
      </c>
      <c r="Z59" s="5">
        <v>4.4880000000000003E-2</v>
      </c>
      <c r="AA59" s="5">
        <v>5.0599999999999999E-2</v>
      </c>
      <c r="AB59" s="1">
        <v>82</v>
      </c>
    </row>
    <row r="60" spans="1:28">
      <c r="A60" s="1">
        <v>58</v>
      </c>
      <c r="B60" s="5">
        <v>6.2E-4</v>
      </c>
      <c r="C60" s="5">
        <v>1.42E-3</v>
      </c>
      <c r="D60" s="5">
        <v>2.1099999999999999E-3</v>
      </c>
      <c r="E60" s="5">
        <v>3.0599999999999998E-3</v>
      </c>
      <c r="F60" s="5">
        <v>4.0299999999999997E-3</v>
      </c>
      <c r="G60" s="5">
        <v>4.6699999999999997E-3</v>
      </c>
      <c r="H60" s="5">
        <v>5.3099999999999996E-3</v>
      </c>
      <c r="I60" s="5">
        <v>5.9300000000000004E-3</v>
      </c>
      <c r="J60" s="5">
        <v>6.5799999999999999E-3</v>
      </c>
      <c r="K60" s="5">
        <v>7.2700000000000004E-3</v>
      </c>
      <c r="L60" s="5">
        <v>8.0099999999999998E-3</v>
      </c>
      <c r="M60" s="5">
        <v>9.2499999999999995E-3</v>
      </c>
      <c r="N60" s="5">
        <v>1.0829999999999999E-2</v>
      </c>
      <c r="O60" s="5">
        <v>1.2619999999999999E-2</v>
      </c>
      <c r="P60" s="5">
        <v>1.46E-2</v>
      </c>
      <c r="Q60" s="5">
        <v>1.6809999999999999E-2</v>
      </c>
      <c r="R60" s="5">
        <v>1.9210000000000001E-2</v>
      </c>
      <c r="S60" s="5">
        <v>2.18E-2</v>
      </c>
      <c r="T60" s="5">
        <v>2.4830000000000001E-2</v>
      </c>
      <c r="U60" s="5">
        <v>2.836E-2</v>
      </c>
      <c r="V60" s="5">
        <v>3.1989999999999998E-2</v>
      </c>
      <c r="W60" s="5">
        <v>3.569E-2</v>
      </c>
      <c r="X60" s="5">
        <v>3.986E-2</v>
      </c>
      <c r="Y60" s="5">
        <v>4.4880000000000003E-2</v>
      </c>
      <c r="Z60" s="5">
        <v>5.0599999999999999E-2</v>
      </c>
      <c r="AA60" s="5">
        <v>5.704E-2</v>
      </c>
      <c r="AB60" s="1">
        <v>83</v>
      </c>
    </row>
    <row r="61" spans="1:28">
      <c r="A61" s="1">
        <v>59</v>
      </c>
      <c r="B61" s="5">
        <v>6.4999999999999997E-4</v>
      </c>
      <c r="C61" s="5">
        <v>1.5E-3</v>
      </c>
      <c r="D61" s="5">
        <v>2.2599999999999999E-3</v>
      </c>
      <c r="E61" s="5">
        <v>3.4499999999999999E-3</v>
      </c>
      <c r="F61" s="5">
        <v>4.4999999999999997E-3</v>
      </c>
      <c r="G61" s="5">
        <v>5.1599999999999997E-3</v>
      </c>
      <c r="H61" s="5">
        <v>5.79E-3</v>
      </c>
      <c r="I61" s="5">
        <v>6.3899999999999998E-3</v>
      </c>
      <c r="J61" s="5">
        <v>7.0400000000000003E-3</v>
      </c>
      <c r="K61" s="5">
        <v>7.77E-3</v>
      </c>
      <c r="L61" s="5">
        <v>8.6400000000000001E-3</v>
      </c>
      <c r="M61" s="5">
        <v>1.009E-2</v>
      </c>
      <c r="N61" s="5">
        <v>1.193E-2</v>
      </c>
      <c r="O61" s="5">
        <v>1.393E-2</v>
      </c>
      <c r="P61" s="5">
        <v>1.6160000000000001E-2</v>
      </c>
      <c r="Q61" s="5">
        <v>1.865E-2</v>
      </c>
      <c r="R61" s="5">
        <v>2.1329999999999998E-2</v>
      </c>
      <c r="S61" s="5">
        <v>2.4219999999999998E-2</v>
      </c>
      <c r="T61" s="5">
        <v>2.759E-2</v>
      </c>
      <c r="U61" s="5">
        <v>3.1530000000000002E-2</v>
      </c>
      <c r="V61" s="5">
        <v>3.569E-2</v>
      </c>
      <c r="W61" s="5">
        <v>3.986E-2</v>
      </c>
      <c r="X61" s="5">
        <v>4.4880000000000003E-2</v>
      </c>
      <c r="Y61" s="5">
        <v>5.0599999999999999E-2</v>
      </c>
      <c r="Z61" s="5">
        <v>5.704E-2</v>
      </c>
      <c r="AA61" s="5">
        <v>6.4490000000000006E-2</v>
      </c>
      <c r="AB61" s="1">
        <v>84</v>
      </c>
    </row>
    <row r="62" spans="1:28">
      <c r="A62" s="1">
        <v>60</v>
      </c>
      <c r="B62" s="5">
        <v>7.2999999999999996E-4</v>
      </c>
      <c r="C62" s="5">
        <v>1.58E-3</v>
      </c>
      <c r="D62" s="5">
        <v>2.5300000000000001E-3</v>
      </c>
      <c r="E62" s="5">
        <v>3.8700000000000002E-3</v>
      </c>
      <c r="F62" s="5">
        <v>4.9800000000000001E-3</v>
      </c>
      <c r="G62" s="5">
        <v>5.6299999999999996E-3</v>
      </c>
      <c r="H62" s="5">
        <v>6.2199999999999998E-3</v>
      </c>
      <c r="I62" s="5">
        <v>6.8100000000000001E-3</v>
      </c>
      <c r="J62" s="5">
        <v>7.4900000000000001E-3</v>
      </c>
      <c r="K62" s="5">
        <v>8.3300000000000006E-3</v>
      </c>
      <c r="L62" s="5">
        <v>9.3900000000000008E-3</v>
      </c>
      <c r="M62" s="5">
        <v>1.11E-2</v>
      </c>
      <c r="N62" s="5">
        <v>1.3100000000000001E-2</v>
      </c>
      <c r="O62" s="5">
        <v>1.532E-2</v>
      </c>
      <c r="P62" s="5">
        <v>1.7819999999999999E-2</v>
      </c>
      <c r="Q62" s="5">
        <v>2.053E-2</v>
      </c>
      <c r="R62" s="5">
        <v>2.342E-2</v>
      </c>
      <c r="S62" s="5">
        <v>2.649E-2</v>
      </c>
      <c r="T62" s="5">
        <v>3.0339999999999999E-2</v>
      </c>
      <c r="U62" s="5">
        <v>3.4779999999999998E-2</v>
      </c>
      <c r="V62" s="5">
        <v>3.986E-2</v>
      </c>
      <c r="W62" s="5">
        <v>4.4880000000000003E-2</v>
      </c>
      <c r="X62" s="5">
        <v>5.0599999999999999E-2</v>
      </c>
      <c r="Y62" s="5">
        <v>5.704E-2</v>
      </c>
      <c r="Z62" s="5">
        <v>6.4490000000000006E-2</v>
      </c>
      <c r="AA62" s="5">
        <v>7.2980000000000003E-2</v>
      </c>
      <c r="AB62" s="1">
        <v>85</v>
      </c>
    </row>
    <row r="63" spans="1:28">
      <c r="A63" s="1">
        <v>61</v>
      </c>
      <c r="B63" s="5">
        <v>8.3000000000000001E-4</v>
      </c>
      <c r="C63" s="5">
        <v>1.6800000000000001E-3</v>
      </c>
      <c r="D63" s="5">
        <v>2.8900000000000002E-3</v>
      </c>
      <c r="E63" s="5">
        <v>4.2700000000000004E-3</v>
      </c>
      <c r="F63" s="5">
        <v>5.4400000000000004E-3</v>
      </c>
      <c r="G63" s="5">
        <v>6.0499999999999998E-3</v>
      </c>
      <c r="H63" s="5">
        <v>6.62E-3</v>
      </c>
      <c r="I63" s="5">
        <v>7.2500000000000004E-3</v>
      </c>
      <c r="J63" s="5">
        <v>8.0199999999999994E-3</v>
      </c>
      <c r="K63" s="5">
        <v>9.0100000000000006E-3</v>
      </c>
      <c r="L63" s="5">
        <v>1.035E-2</v>
      </c>
      <c r="M63" s="5">
        <v>1.226E-2</v>
      </c>
      <c r="N63" s="5">
        <v>1.453E-2</v>
      </c>
      <c r="O63" s="5">
        <v>1.704E-2</v>
      </c>
      <c r="P63" s="5">
        <v>1.9740000000000001E-2</v>
      </c>
      <c r="Q63" s="5">
        <v>2.2679999999999999E-2</v>
      </c>
      <c r="R63" s="5">
        <v>2.581E-2</v>
      </c>
      <c r="S63" s="5">
        <v>2.9340000000000001E-2</v>
      </c>
      <c r="T63" s="5">
        <v>3.3739999999999999E-2</v>
      </c>
      <c r="U63" s="5">
        <v>3.9030000000000002E-2</v>
      </c>
      <c r="V63" s="5">
        <v>4.4880000000000003E-2</v>
      </c>
      <c r="W63" s="5">
        <v>5.0599999999999999E-2</v>
      </c>
      <c r="X63" s="5">
        <v>5.704E-2</v>
      </c>
      <c r="Y63" s="5">
        <v>6.4490000000000006E-2</v>
      </c>
      <c r="Z63" s="5">
        <v>7.2980000000000003E-2</v>
      </c>
      <c r="AA63" s="5">
        <v>8.2710000000000006E-2</v>
      </c>
      <c r="AB63" s="1">
        <v>86</v>
      </c>
    </row>
    <row r="64" spans="1:28">
      <c r="A64" s="1">
        <v>62</v>
      </c>
      <c r="B64" s="5">
        <v>9.6000000000000002E-4</v>
      </c>
      <c r="C64" s="5">
        <v>1.8500000000000001E-3</v>
      </c>
      <c r="D64" s="5">
        <v>3.3300000000000001E-3</v>
      </c>
      <c r="E64" s="5">
        <v>4.5900000000000003E-3</v>
      </c>
      <c r="F64" s="5">
        <v>5.8500000000000002E-3</v>
      </c>
      <c r="G64" s="5">
        <v>6.43E-3</v>
      </c>
      <c r="H64" s="5">
        <v>7.0200000000000002E-3</v>
      </c>
      <c r="I64" s="5">
        <v>7.7299999999999999E-3</v>
      </c>
      <c r="J64" s="5">
        <v>8.6499999999999997E-3</v>
      </c>
      <c r="K64" s="5">
        <v>9.9100000000000004E-3</v>
      </c>
      <c r="L64" s="5">
        <v>1.1440000000000001E-2</v>
      </c>
      <c r="M64" s="5">
        <v>1.3679999999999999E-2</v>
      </c>
      <c r="N64" s="5">
        <v>1.6240000000000001E-2</v>
      </c>
      <c r="O64" s="5">
        <v>1.8970000000000001E-2</v>
      </c>
      <c r="P64" s="5">
        <v>2.1930000000000002E-2</v>
      </c>
      <c r="Q64" s="5">
        <v>2.5159999999999998E-2</v>
      </c>
      <c r="R64" s="5">
        <v>2.8840000000000001E-2</v>
      </c>
      <c r="S64" s="5">
        <v>3.3279999999999997E-2</v>
      </c>
      <c r="T64" s="5">
        <v>3.8629999999999998E-2</v>
      </c>
      <c r="U64" s="5">
        <v>4.446E-2</v>
      </c>
      <c r="V64" s="5">
        <v>5.0599999999999999E-2</v>
      </c>
      <c r="W64" s="5">
        <v>5.704E-2</v>
      </c>
      <c r="X64" s="5">
        <v>6.4490000000000006E-2</v>
      </c>
      <c r="Y64" s="5">
        <v>7.2980000000000003E-2</v>
      </c>
      <c r="Z64" s="5">
        <v>8.2710000000000006E-2</v>
      </c>
      <c r="AA64" s="5">
        <v>9.3240000000000003E-2</v>
      </c>
      <c r="AB64" s="1">
        <v>87</v>
      </c>
    </row>
    <row r="65" spans="1:28">
      <c r="A65" s="1">
        <v>63</v>
      </c>
      <c r="B65" s="5">
        <v>1.1000000000000001E-3</v>
      </c>
      <c r="C65" s="5">
        <v>2.0799999999999998E-3</v>
      </c>
      <c r="D65" s="5">
        <v>3.8E-3</v>
      </c>
      <c r="E65" s="5">
        <v>5.0800000000000003E-3</v>
      </c>
      <c r="F65" s="5">
        <v>6.1999999999999998E-3</v>
      </c>
      <c r="G65" s="5">
        <v>6.8399999999999997E-3</v>
      </c>
      <c r="H65" s="5">
        <v>7.5300000000000002E-3</v>
      </c>
      <c r="I65" s="5">
        <v>8.4200000000000004E-3</v>
      </c>
      <c r="J65" s="5">
        <v>9.5499999999999995E-3</v>
      </c>
      <c r="K65" s="5">
        <v>1.095E-2</v>
      </c>
      <c r="L65" s="5">
        <v>1.282E-2</v>
      </c>
      <c r="M65" s="5">
        <v>1.541E-2</v>
      </c>
      <c r="N65" s="5">
        <v>1.8200000000000001E-2</v>
      </c>
      <c r="O65" s="5">
        <v>2.12E-2</v>
      </c>
      <c r="P65" s="5">
        <v>2.444E-2</v>
      </c>
      <c r="Q65" s="5">
        <v>2.8119999999999999E-2</v>
      </c>
      <c r="R65" s="5">
        <v>3.2660000000000002E-2</v>
      </c>
      <c r="S65" s="5">
        <v>3.7789999999999997E-2</v>
      </c>
      <c r="T65" s="5">
        <v>4.41E-2</v>
      </c>
      <c r="U65" s="5">
        <v>5.0220000000000001E-2</v>
      </c>
      <c r="V65" s="5">
        <v>5.704E-2</v>
      </c>
      <c r="W65" s="5">
        <v>6.4490000000000006E-2</v>
      </c>
      <c r="X65" s="5">
        <v>7.2980000000000003E-2</v>
      </c>
      <c r="Y65" s="5">
        <v>8.2710000000000006E-2</v>
      </c>
      <c r="Z65" s="5">
        <v>9.3240000000000003E-2</v>
      </c>
      <c r="AA65" s="5">
        <v>0.10484</v>
      </c>
      <c r="AB65" s="1">
        <v>88</v>
      </c>
    </row>
    <row r="66" spans="1:28">
      <c r="A66" s="1">
        <v>64</v>
      </c>
      <c r="B66" s="5">
        <v>1.24E-3</v>
      </c>
      <c r="C66" s="5">
        <v>2.4599999999999999E-3</v>
      </c>
      <c r="D66" s="5">
        <v>4.2300000000000003E-3</v>
      </c>
      <c r="E66" s="5">
        <v>5.47E-3</v>
      </c>
      <c r="F66" s="5">
        <v>6.5100000000000002E-3</v>
      </c>
      <c r="G66" s="5">
        <v>7.2899999999999996E-3</v>
      </c>
      <c r="H66" s="5">
        <v>8.2500000000000004E-3</v>
      </c>
      <c r="I66" s="5">
        <v>9.3399999999999993E-3</v>
      </c>
      <c r="J66" s="5">
        <v>1.0529999999999999E-2</v>
      </c>
      <c r="K66" s="5">
        <v>1.2279999999999999E-2</v>
      </c>
      <c r="L66" s="5">
        <v>1.443E-2</v>
      </c>
      <c r="M66" s="5">
        <v>1.7270000000000001E-2</v>
      </c>
      <c r="N66" s="5">
        <v>2.018E-2</v>
      </c>
      <c r="O66" s="5">
        <v>2.3390000000000001E-2</v>
      </c>
      <c r="P66" s="5">
        <v>2.7050000000000001E-2</v>
      </c>
      <c r="Q66" s="5">
        <v>3.184E-2</v>
      </c>
      <c r="R66" s="5">
        <v>3.73E-2</v>
      </c>
      <c r="S66" s="5">
        <v>4.3799999999999999E-2</v>
      </c>
      <c r="T66" s="5">
        <v>4.9939999999999998E-2</v>
      </c>
      <c r="U66" s="5">
        <v>5.6770000000000001E-2</v>
      </c>
      <c r="V66" s="5">
        <v>6.4490000000000006E-2</v>
      </c>
      <c r="W66" s="5">
        <v>7.2980000000000003E-2</v>
      </c>
      <c r="X66" s="5">
        <v>8.2710000000000006E-2</v>
      </c>
      <c r="Y66" s="5">
        <v>9.3240000000000003E-2</v>
      </c>
      <c r="Z66" s="5">
        <v>0.10484</v>
      </c>
      <c r="AA66" s="5">
        <v>0.11754000000000001</v>
      </c>
      <c r="AB66" s="1">
        <v>89</v>
      </c>
    </row>
    <row r="67" spans="1:28">
      <c r="A67" s="1">
        <v>65</v>
      </c>
      <c r="B67" s="5">
        <v>1.3600000000000001E-3</v>
      </c>
      <c r="C67" s="5">
        <v>2.8999999999999998E-3</v>
      </c>
      <c r="D67" s="5">
        <v>4.6100000000000004E-3</v>
      </c>
      <c r="E67" s="5">
        <v>5.7999999999999996E-3</v>
      </c>
      <c r="F67" s="5">
        <v>6.9199999999999999E-3</v>
      </c>
      <c r="G67" s="5">
        <v>7.9799999999999992E-3</v>
      </c>
      <c r="H67" s="5">
        <v>9.1299999999999992E-3</v>
      </c>
      <c r="I67" s="5">
        <v>1.026E-2</v>
      </c>
      <c r="J67" s="5">
        <v>1.1780000000000001E-2</v>
      </c>
      <c r="K67" s="5">
        <v>1.3939999999999999E-2</v>
      </c>
      <c r="L67" s="5">
        <v>1.635E-2</v>
      </c>
      <c r="M67" s="5">
        <v>1.9199999999999998E-2</v>
      </c>
      <c r="N67" s="5">
        <v>2.2210000000000001E-2</v>
      </c>
      <c r="O67" s="5">
        <v>2.564E-2</v>
      </c>
      <c r="P67" s="5">
        <v>2.9850000000000002E-2</v>
      </c>
      <c r="Q67" s="5">
        <v>3.5810000000000002E-2</v>
      </c>
      <c r="R67" s="5">
        <v>4.2099999999999999E-2</v>
      </c>
      <c r="S67" s="5">
        <v>4.897E-2</v>
      </c>
      <c r="T67" s="5">
        <v>5.5640000000000002E-2</v>
      </c>
      <c r="U67" s="5">
        <v>6.3229999999999995E-2</v>
      </c>
      <c r="V67" s="5">
        <v>7.2980000000000003E-2</v>
      </c>
      <c r="W67" s="5">
        <v>8.2710000000000006E-2</v>
      </c>
      <c r="X67" s="5">
        <v>9.3240000000000003E-2</v>
      </c>
      <c r="Y67" s="5">
        <v>0.10484</v>
      </c>
      <c r="Z67" s="5">
        <v>0.11754000000000001</v>
      </c>
      <c r="AA67" s="5">
        <v>0.13125000000000001</v>
      </c>
      <c r="AB67" s="1">
        <v>90</v>
      </c>
    </row>
    <row r="68" spans="1:28">
      <c r="A68" s="1">
        <v>66</v>
      </c>
      <c r="B68" s="5">
        <v>1.5E-3</v>
      </c>
      <c r="C68" s="5">
        <v>3.0999999999999999E-3</v>
      </c>
      <c r="D68" s="5">
        <v>4.9300000000000004E-3</v>
      </c>
      <c r="E68" s="5">
        <v>6.13E-3</v>
      </c>
      <c r="F68" s="5">
        <v>7.3600000000000002E-3</v>
      </c>
      <c r="G68" s="5">
        <v>8.7100000000000007E-3</v>
      </c>
      <c r="H68" s="5">
        <v>9.9900000000000006E-3</v>
      </c>
      <c r="I68" s="5">
        <v>1.14E-2</v>
      </c>
      <c r="J68" s="5">
        <v>1.3350000000000001E-2</v>
      </c>
      <c r="K68" s="5">
        <v>1.5869999999999999E-2</v>
      </c>
      <c r="L68" s="5">
        <v>1.8409999999999999E-2</v>
      </c>
      <c r="M68" s="5">
        <v>2.1270000000000001E-2</v>
      </c>
      <c r="N68" s="5">
        <v>2.452E-2</v>
      </c>
      <c r="O68" s="5">
        <v>2.8750000000000001E-2</v>
      </c>
      <c r="P68" s="5">
        <v>3.3759999999999998E-2</v>
      </c>
      <c r="Q68" s="5">
        <v>4.0439999999999997E-2</v>
      </c>
      <c r="R68" s="5">
        <v>4.8370000000000003E-2</v>
      </c>
      <c r="S68" s="5">
        <v>5.4989999999999997E-2</v>
      </c>
      <c r="T68" s="5">
        <v>6.2539999999999998E-2</v>
      </c>
      <c r="U68" s="5">
        <v>7.2319999999999995E-2</v>
      </c>
      <c r="V68" s="5">
        <v>8.2710000000000006E-2</v>
      </c>
      <c r="W68" s="5">
        <v>9.3240000000000003E-2</v>
      </c>
      <c r="X68" s="5">
        <v>0.10484</v>
      </c>
      <c r="Y68" s="5">
        <v>0.11754000000000001</v>
      </c>
      <c r="Z68" s="5">
        <v>0.13125000000000001</v>
      </c>
      <c r="AA68" s="5">
        <v>0.14560000000000001</v>
      </c>
      <c r="AB68" s="1">
        <v>91</v>
      </c>
    </row>
    <row r="69" spans="1:28">
      <c r="A69" s="1">
        <v>67</v>
      </c>
      <c r="B69" s="5">
        <v>1.64E-3</v>
      </c>
      <c r="C69" s="5">
        <v>3.2699999999999999E-3</v>
      </c>
      <c r="D69" s="5">
        <v>5.2300000000000003E-3</v>
      </c>
      <c r="E69" s="5">
        <v>6.4700000000000001E-3</v>
      </c>
      <c r="F69" s="5">
        <v>7.9299999999999995E-3</v>
      </c>
      <c r="G69" s="5">
        <v>9.4900000000000002E-3</v>
      </c>
      <c r="H69" s="5">
        <v>1.0999999999999999E-2</v>
      </c>
      <c r="I69" s="5">
        <v>1.2829999999999999E-2</v>
      </c>
      <c r="J69" s="5">
        <v>1.516E-2</v>
      </c>
      <c r="K69" s="5">
        <v>1.7999999999999999E-2</v>
      </c>
      <c r="L69" s="5">
        <v>2.069E-2</v>
      </c>
      <c r="M69" s="5">
        <v>2.3910000000000001E-2</v>
      </c>
      <c r="N69" s="5">
        <v>2.7490000000000001E-2</v>
      </c>
      <c r="O69" s="5">
        <v>3.2340000000000001E-2</v>
      </c>
      <c r="P69" s="5">
        <v>3.8249999999999999E-2</v>
      </c>
      <c r="Q69" s="5">
        <v>4.6019999999999998E-2</v>
      </c>
      <c r="R69" s="5">
        <v>5.457E-2</v>
      </c>
      <c r="S69" s="5">
        <v>6.2149999999999997E-2</v>
      </c>
      <c r="T69" s="5">
        <v>7.1989999999999998E-2</v>
      </c>
      <c r="U69" s="5">
        <v>8.2409999999999997E-2</v>
      </c>
      <c r="V69" s="5">
        <v>9.3240000000000003E-2</v>
      </c>
      <c r="W69" s="5">
        <v>0.10484</v>
      </c>
      <c r="X69" s="5">
        <v>0.11754000000000001</v>
      </c>
      <c r="Y69" s="5">
        <v>0.13125000000000001</v>
      </c>
      <c r="Z69" s="5">
        <v>0.14560000000000001</v>
      </c>
      <c r="AA69" s="5">
        <v>0.16095000000000001</v>
      </c>
      <c r="AB69" s="1">
        <v>92</v>
      </c>
    </row>
    <row r="70" spans="1:28">
      <c r="A70" s="1">
        <v>68</v>
      </c>
      <c r="B70" s="5">
        <v>1.8E-3</v>
      </c>
      <c r="C70" s="5">
        <v>3.4299999999999999E-3</v>
      </c>
      <c r="D70" s="5">
        <v>5.5199999999999997E-3</v>
      </c>
      <c r="E70" s="5">
        <v>6.9699999999999996E-3</v>
      </c>
      <c r="F70" s="5">
        <v>8.6300000000000005E-3</v>
      </c>
      <c r="G70" s="5">
        <v>1.038E-2</v>
      </c>
      <c r="H70" s="5">
        <v>1.227E-2</v>
      </c>
      <c r="I70" s="5">
        <v>1.4460000000000001E-2</v>
      </c>
      <c r="J70" s="5">
        <v>1.7160000000000002E-2</v>
      </c>
      <c r="K70" s="5">
        <v>2.0310000000000002E-2</v>
      </c>
      <c r="L70" s="5">
        <v>2.3220000000000001E-2</v>
      </c>
      <c r="M70" s="5">
        <v>2.682E-2</v>
      </c>
      <c r="N70" s="5">
        <v>3.1629999999999998E-2</v>
      </c>
      <c r="O70" s="5">
        <v>3.7339999999999998E-2</v>
      </c>
      <c r="P70" s="5">
        <v>4.3240000000000001E-2</v>
      </c>
      <c r="Q70" s="5">
        <v>5.2080000000000001E-2</v>
      </c>
      <c r="R70" s="5">
        <v>6.1409999999999999E-2</v>
      </c>
      <c r="S70" s="5">
        <v>7.1300000000000002E-2</v>
      </c>
      <c r="T70" s="5">
        <v>8.165E-2</v>
      </c>
      <c r="U70" s="5">
        <v>9.2469999999999997E-2</v>
      </c>
      <c r="V70" s="5">
        <v>0.10484</v>
      </c>
      <c r="W70" s="5">
        <v>0.11754000000000001</v>
      </c>
      <c r="X70" s="5">
        <v>0.13125000000000001</v>
      </c>
      <c r="Y70" s="5">
        <v>0.14560000000000001</v>
      </c>
      <c r="Z70" s="5">
        <v>0.16095000000000001</v>
      </c>
      <c r="AA70" s="5">
        <v>0.17724999999999999</v>
      </c>
      <c r="AB70" s="1">
        <v>93</v>
      </c>
    </row>
    <row r="71" spans="1:28">
      <c r="A71" s="1">
        <v>69</v>
      </c>
      <c r="B71" s="5">
        <v>1.98E-3</v>
      </c>
      <c r="C71" s="5">
        <v>3.5999999999999999E-3</v>
      </c>
      <c r="D71" s="5">
        <v>5.8500000000000002E-3</v>
      </c>
      <c r="E71" s="5">
        <v>7.62E-3</v>
      </c>
      <c r="F71" s="5">
        <v>9.4199999999999996E-3</v>
      </c>
      <c r="G71" s="5">
        <v>1.15E-2</v>
      </c>
      <c r="H71" s="5">
        <v>1.3679999999999999E-2</v>
      </c>
      <c r="I71" s="5">
        <v>1.6209999999999999E-2</v>
      </c>
      <c r="J71" s="5">
        <v>1.9259999999999999E-2</v>
      </c>
      <c r="K71" s="5">
        <v>2.2790000000000001E-2</v>
      </c>
      <c r="L71" s="5">
        <v>2.613E-2</v>
      </c>
      <c r="M71" s="5">
        <v>3.0890000000000001E-2</v>
      </c>
      <c r="N71" s="5">
        <v>3.6409999999999998E-2</v>
      </c>
      <c r="O71" s="5">
        <v>4.2369999999999998E-2</v>
      </c>
      <c r="P71" s="5">
        <v>5.0410000000000003E-2</v>
      </c>
      <c r="Q71" s="5">
        <v>6.0269999999999997E-2</v>
      </c>
      <c r="R71" s="5">
        <v>7.0559999999999998E-2</v>
      </c>
      <c r="S71" s="5">
        <v>8.0850000000000005E-2</v>
      </c>
      <c r="T71" s="5">
        <v>9.1649999999999995E-2</v>
      </c>
      <c r="U71" s="5">
        <v>0.10401000000000001</v>
      </c>
      <c r="V71" s="5">
        <v>0.11754000000000001</v>
      </c>
      <c r="W71" s="5">
        <v>0.13125000000000001</v>
      </c>
      <c r="X71" s="5">
        <v>0.14560000000000001</v>
      </c>
      <c r="Y71" s="5">
        <v>0.16095000000000001</v>
      </c>
      <c r="Z71" s="5">
        <v>0.17724999999999999</v>
      </c>
      <c r="AA71" s="5">
        <v>0.19328999999999999</v>
      </c>
      <c r="AB71" s="1">
        <v>94</v>
      </c>
    </row>
    <row r="72" spans="1:28">
      <c r="A72" s="1">
        <v>70</v>
      </c>
      <c r="B72" s="5">
        <v>2.1700000000000001E-3</v>
      </c>
      <c r="C72" s="5">
        <v>3.8E-3</v>
      </c>
      <c r="D72" s="5">
        <v>6.2100000000000002E-3</v>
      </c>
      <c r="E72" s="5">
        <v>8.2900000000000005E-3</v>
      </c>
      <c r="F72" s="5">
        <v>1.0449999999999999E-2</v>
      </c>
      <c r="G72" s="5">
        <v>1.273E-2</v>
      </c>
      <c r="H72" s="5">
        <v>1.5140000000000001E-2</v>
      </c>
      <c r="I72" s="5">
        <v>1.796E-2</v>
      </c>
      <c r="J72" s="5">
        <v>2.1579999999999998E-2</v>
      </c>
      <c r="K72" s="5">
        <v>2.588E-2</v>
      </c>
      <c r="L72" s="5">
        <v>3.0120000000000001E-2</v>
      </c>
      <c r="M72" s="5">
        <v>3.5439999999999999E-2</v>
      </c>
      <c r="N72" s="5">
        <v>4.1509999999999998E-2</v>
      </c>
      <c r="O72" s="5">
        <v>4.9200000000000001E-2</v>
      </c>
      <c r="P72" s="5">
        <v>5.9110000000000003E-2</v>
      </c>
      <c r="Q72" s="5">
        <v>6.9779999999999995E-2</v>
      </c>
      <c r="R72" s="5">
        <v>0.08</v>
      </c>
      <c r="S72" s="5">
        <v>9.078E-2</v>
      </c>
      <c r="T72" s="5">
        <v>0.10314</v>
      </c>
      <c r="U72" s="5">
        <v>0.11666</v>
      </c>
      <c r="V72" s="5">
        <v>0.13125000000000001</v>
      </c>
      <c r="W72" s="5">
        <v>0.14560000000000001</v>
      </c>
      <c r="X72" s="5">
        <v>0.16095000000000001</v>
      </c>
      <c r="Y72" s="5">
        <v>0.17724999999999999</v>
      </c>
      <c r="Z72" s="5">
        <v>0.19328999999999999</v>
      </c>
      <c r="AA72" s="5">
        <v>0.21031</v>
      </c>
      <c r="AB72" s="1">
        <v>95</v>
      </c>
    </row>
    <row r="73" spans="1:28">
      <c r="A73" s="1">
        <v>71</v>
      </c>
      <c r="B73" s="5">
        <v>2.3900000000000002E-3</v>
      </c>
      <c r="C73" s="5">
        <v>4.0200000000000001E-3</v>
      </c>
      <c r="D73" s="5">
        <v>6.6299999999999996E-3</v>
      </c>
      <c r="E73" s="5">
        <v>9.1199999999999996E-3</v>
      </c>
      <c r="F73" s="5">
        <v>1.157E-2</v>
      </c>
      <c r="G73" s="5">
        <v>1.396E-2</v>
      </c>
      <c r="H73" s="5">
        <v>1.653E-2</v>
      </c>
      <c r="I73" s="5">
        <v>1.9890000000000001E-2</v>
      </c>
      <c r="J73" s="5">
        <v>2.4320000000000001E-2</v>
      </c>
      <c r="K73" s="5">
        <v>2.9319999999999999E-2</v>
      </c>
      <c r="L73" s="5">
        <v>3.4439999999999998E-2</v>
      </c>
      <c r="M73" s="5">
        <v>4.0280000000000003E-2</v>
      </c>
      <c r="N73" s="5">
        <v>4.7780000000000003E-2</v>
      </c>
      <c r="O73" s="5">
        <v>5.6869999999999997E-2</v>
      </c>
      <c r="P73" s="5">
        <v>6.7640000000000006E-2</v>
      </c>
      <c r="Q73" s="5">
        <v>7.911E-2</v>
      </c>
      <c r="R73" s="5">
        <v>8.9859999999999995E-2</v>
      </c>
      <c r="S73" s="5">
        <v>0.10221</v>
      </c>
      <c r="T73" s="5">
        <v>0.11574</v>
      </c>
      <c r="U73" s="5">
        <v>0.13034000000000001</v>
      </c>
      <c r="V73" s="5">
        <v>0.14560000000000001</v>
      </c>
      <c r="W73" s="5">
        <v>0.16095000000000001</v>
      </c>
      <c r="X73" s="5">
        <v>0.17724999999999999</v>
      </c>
      <c r="Y73" s="5">
        <v>0.19328999999999999</v>
      </c>
      <c r="Z73" s="5">
        <v>0.21031</v>
      </c>
      <c r="AA73" s="5">
        <v>0.23144000000000001</v>
      </c>
      <c r="AB73" s="1">
        <v>96</v>
      </c>
    </row>
    <row r="74" spans="1:28">
      <c r="A74" s="1">
        <v>72</v>
      </c>
      <c r="B74" s="5">
        <v>2.6199999999999999E-3</v>
      </c>
      <c r="C74" s="5">
        <v>4.3E-3</v>
      </c>
      <c r="D74" s="5">
        <v>7.1300000000000001E-3</v>
      </c>
      <c r="E74" s="5">
        <v>1.0160000000000001E-2</v>
      </c>
      <c r="F74" s="5">
        <v>1.2699999999999999E-2</v>
      </c>
      <c r="G74" s="5">
        <v>1.507E-2</v>
      </c>
      <c r="H74" s="5">
        <v>1.8030000000000001E-2</v>
      </c>
      <c r="I74" s="5">
        <v>2.2179999999999998E-2</v>
      </c>
      <c r="J74" s="5">
        <v>2.7449999999999999E-2</v>
      </c>
      <c r="K74" s="5">
        <v>3.3360000000000001E-2</v>
      </c>
      <c r="L74" s="5">
        <v>3.9120000000000002E-2</v>
      </c>
      <c r="M74" s="5">
        <v>4.5280000000000001E-2</v>
      </c>
      <c r="N74" s="5">
        <v>5.3960000000000001E-2</v>
      </c>
      <c r="O74" s="5">
        <v>6.4579999999999999E-2</v>
      </c>
      <c r="P74" s="5">
        <v>7.6950000000000005E-2</v>
      </c>
      <c r="Q74" s="5">
        <v>8.8900000000000007E-2</v>
      </c>
      <c r="R74" s="5">
        <v>0.10124</v>
      </c>
      <c r="S74" s="5">
        <v>0.11476</v>
      </c>
      <c r="T74" s="5">
        <v>0.12937000000000001</v>
      </c>
      <c r="U74" s="5">
        <v>0.14466000000000001</v>
      </c>
      <c r="V74" s="5">
        <v>0.16095000000000001</v>
      </c>
      <c r="W74" s="5">
        <v>0.17724999999999999</v>
      </c>
      <c r="X74" s="5">
        <v>0.19328999999999999</v>
      </c>
      <c r="Y74" s="5">
        <v>0.21031</v>
      </c>
      <c r="Z74" s="5">
        <v>0.23144000000000001</v>
      </c>
      <c r="AA74" s="5">
        <v>0.25438</v>
      </c>
      <c r="AB74" s="1">
        <v>97</v>
      </c>
    </row>
    <row r="75" spans="1:28">
      <c r="A75" s="1">
        <v>73</v>
      </c>
      <c r="B75" s="5">
        <v>2.8700000000000002E-3</v>
      </c>
      <c r="C75" s="5">
        <v>4.6299999999999996E-3</v>
      </c>
      <c r="D75" s="5">
        <v>7.7200000000000003E-3</v>
      </c>
      <c r="E75" s="5">
        <v>1.12E-2</v>
      </c>
      <c r="F75" s="5">
        <v>1.366E-2</v>
      </c>
      <c r="G75" s="5">
        <v>1.6230000000000001E-2</v>
      </c>
      <c r="H75" s="5">
        <v>1.984E-2</v>
      </c>
      <c r="I75" s="5">
        <v>2.4760000000000001E-2</v>
      </c>
      <c r="J75" s="5">
        <v>3.109E-2</v>
      </c>
      <c r="K75" s="5">
        <v>3.7859999999999998E-2</v>
      </c>
      <c r="L75" s="5">
        <v>4.3990000000000001E-2</v>
      </c>
      <c r="M75" s="5">
        <v>5.1659999999999998E-2</v>
      </c>
      <c r="N75" s="5">
        <v>6.1740000000000003E-2</v>
      </c>
      <c r="O75" s="5">
        <v>7.4270000000000003E-2</v>
      </c>
      <c r="P75" s="5">
        <v>8.7889999999999996E-2</v>
      </c>
      <c r="Q75" s="5">
        <v>0.10020999999999999</v>
      </c>
      <c r="R75" s="5">
        <v>0.11373</v>
      </c>
      <c r="S75" s="5">
        <v>0.12836</v>
      </c>
      <c r="T75" s="5">
        <v>0.14366999999999999</v>
      </c>
      <c r="U75" s="5">
        <v>0.16</v>
      </c>
      <c r="V75" s="5">
        <v>0.17724999999999999</v>
      </c>
      <c r="W75" s="5">
        <v>0.19328999999999999</v>
      </c>
      <c r="X75" s="5">
        <v>0.21031</v>
      </c>
      <c r="Y75" s="5">
        <v>0.23144000000000001</v>
      </c>
      <c r="Z75" s="5">
        <v>0.25438</v>
      </c>
      <c r="AA75" s="5">
        <v>0.27907999999999999</v>
      </c>
      <c r="AB75" s="1">
        <v>98</v>
      </c>
    </row>
    <row r="76" spans="1:28">
      <c r="A76" s="1">
        <v>74</v>
      </c>
      <c r="B76" s="5">
        <v>3.2499999999999999E-3</v>
      </c>
      <c r="C76" s="5">
        <v>5.0299999999999997E-3</v>
      </c>
      <c r="D76" s="5">
        <v>8.4399999999999996E-3</v>
      </c>
      <c r="E76" s="5">
        <v>1.2109999999999999E-2</v>
      </c>
      <c r="F76" s="5">
        <v>1.4670000000000001E-2</v>
      </c>
      <c r="G76" s="5">
        <v>1.77E-2</v>
      </c>
      <c r="H76" s="5">
        <v>2.189E-2</v>
      </c>
      <c r="I76" s="5">
        <v>2.7810000000000001E-2</v>
      </c>
      <c r="J76" s="5">
        <v>3.524E-2</v>
      </c>
      <c r="K76" s="5">
        <v>4.2790000000000002E-2</v>
      </c>
      <c r="L76" s="5">
        <v>4.9239999999999999E-2</v>
      </c>
      <c r="M76" s="5">
        <v>5.8090000000000003E-2</v>
      </c>
      <c r="N76" s="5">
        <v>7.0000000000000007E-2</v>
      </c>
      <c r="O76" s="5">
        <v>8.4419999999999995E-2</v>
      </c>
      <c r="P76" s="5">
        <v>9.9140000000000006E-2</v>
      </c>
      <c r="Q76" s="5">
        <v>0.11266</v>
      </c>
      <c r="R76" s="5">
        <v>0.12728999999999999</v>
      </c>
      <c r="S76" s="5">
        <v>0.14263000000000001</v>
      </c>
      <c r="T76" s="5">
        <v>0.15901000000000001</v>
      </c>
      <c r="U76" s="5">
        <v>0.17630999999999999</v>
      </c>
      <c r="V76" s="5">
        <v>0.19328999999999999</v>
      </c>
      <c r="W76" s="5">
        <v>0.21031</v>
      </c>
      <c r="X76" s="5">
        <v>0.23144000000000001</v>
      </c>
      <c r="Y76" s="5">
        <v>0.25438</v>
      </c>
      <c r="Z76" s="5">
        <v>0.27907999999999999</v>
      </c>
      <c r="AA76" s="5">
        <v>0.30508999999999997</v>
      </c>
      <c r="AB76" s="1">
        <v>99</v>
      </c>
    </row>
    <row r="77" spans="1:28">
      <c r="A77" s="1">
        <v>75</v>
      </c>
      <c r="B77" s="5">
        <v>3.6800000000000001E-3</v>
      </c>
      <c r="C77" s="5">
        <v>5.47E-3</v>
      </c>
      <c r="D77" s="5">
        <v>9.2899999999999996E-3</v>
      </c>
      <c r="E77" s="5">
        <v>1.3089999999999999E-2</v>
      </c>
      <c r="F77" s="5">
        <v>1.5980000000000001E-2</v>
      </c>
      <c r="G77" s="5">
        <v>1.934E-2</v>
      </c>
      <c r="H77" s="5">
        <v>2.4309999999999998E-2</v>
      </c>
      <c r="I77" s="5">
        <v>3.1309999999999998E-2</v>
      </c>
      <c r="J77" s="5">
        <v>3.9820000000000001E-2</v>
      </c>
      <c r="K77" s="5">
        <v>4.8039999999999999E-2</v>
      </c>
      <c r="L77" s="5">
        <v>5.4890000000000001E-2</v>
      </c>
      <c r="M77" s="5">
        <v>6.5710000000000005E-2</v>
      </c>
      <c r="N77" s="5">
        <v>7.9460000000000003E-2</v>
      </c>
      <c r="O77" s="5">
        <v>9.5560000000000006E-2</v>
      </c>
      <c r="P77" s="5">
        <v>0.11153</v>
      </c>
      <c r="Q77" s="5">
        <v>0.12617</v>
      </c>
      <c r="R77" s="5">
        <v>0.14154</v>
      </c>
      <c r="S77" s="5">
        <v>0.15795999999999999</v>
      </c>
      <c r="T77" s="5">
        <v>0.17533000000000001</v>
      </c>
      <c r="U77" s="5">
        <v>0.19239000000000001</v>
      </c>
      <c r="V77" s="5">
        <v>0.21031</v>
      </c>
      <c r="W77" s="5">
        <v>0.23144000000000001</v>
      </c>
      <c r="X77" s="5">
        <v>0.25438</v>
      </c>
      <c r="Y77" s="5">
        <v>0.27907999999999999</v>
      </c>
      <c r="Z77" s="5">
        <v>0.30508999999999997</v>
      </c>
      <c r="AA77" s="5">
        <v>0.33199000000000001</v>
      </c>
      <c r="AB77" s="1">
        <v>100</v>
      </c>
    </row>
    <row r="78" spans="1:28">
      <c r="A78" s="1">
        <v>76</v>
      </c>
      <c r="B78" s="5">
        <v>4.1900000000000001E-3</v>
      </c>
      <c r="C78" s="5">
        <v>6.0899999999999999E-3</v>
      </c>
      <c r="D78" s="5">
        <v>1.039E-2</v>
      </c>
      <c r="E78" s="5">
        <v>1.455E-2</v>
      </c>
      <c r="F78" s="5">
        <v>1.7569999999999999E-2</v>
      </c>
      <c r="G78" s="5">
        <v>2.146E-2</v>
      </c>
      <c r="H78" s="5">
        <v>2.7320000000000001E-2</v>
      </c>
      <c r="I78" s="5">
        <v>3.5450000000000002E-2</v>
      </c>
      <c r="J78" s="5">
        <v>4.5100000000000001E-2</v>
      </c>
      <c r="K78" s="5">
        <v>5.4019999999999999E-2</v>
      </c>
      <c r="L78" s="5">
        <v>6.3170000000000004E-2</v>
      </c>
      <c r="M78" s="5">
        <v>7.6280000000000001E-2</v>
      </c>
      <c r="N78" s="5">
        <v>9.153E-2</v>
      </c>
      <c r="O78" s="5">
        <v>0.10849</v>
      </c>
      <c r="P78" s="5">
        <v>0.12515000000000001</v>
      </c>
      <c r="Q78" s="5">
        <v>0.14052000000000001</v>
      </c>
      <c r="R78" s="5">
        <v>0.15695999999999999</v>
      </c>
      <c r="S78" s="5">
        <v>0.17437</v>
      </c>
      <c r="T78" s="5">
        <v>0.19148999999999999</v>
      </c>
      <c r="U78" s="5">
        <v>0.20949999999999999</v>
      </c>
      <c r="V78" s="5">
        <v>0.23144000000000001</v>
      </c>
      <c r="W78" s="5">
        <v>0.25438</v>
      </c>
      <c r="X78" s="5">
        <v>0.27907999999999999</v>
      </c>
      <c r="Y78" s="5">
        <v>0.30508999999999997</v>
      </c>
      <c r="Z78" s="5">
        <v>0.33199000000000001</v>
      </c>
      <c r="AA78" s="5">
        <v>0.35742000000000002</v>
      </c>
      <c r="AB78" s="1">
        <v>101</v>
      </c>
    </row>
    <row r="79" spans="1:28">
      <c r="A79" s="1">
        <v>77</v>
      </c>
      <c r="B79" s="5">
        <v>4.7099999999999998E-3</v>
      </c>
      <c r="C79" s="5">
        <v>6.79E-3</v>
      </c>
      <c r="D79" s="5">
        <v>1.162E-2</v>
      </c>
      <c r="E79" s="5">
        <v>1.6140000000000002E-2</v>
      </c>
      <c r="F79" s="5">
        <v>1.9439999999999999E-2</v>
      </c>
      <c r="G79" s="5">
        <v>2.393E-2</v>
      </c>
      <c r="H79" s="5">
        <v>3.0720000000000001E-2</v>
      </c>
      <c r="I79" s="5">
        <v>4.0099999999999997E-2</v>
      </c>
      <c r="J79" s="5">
        <v>5.0959999999999998E-2</v>
      </c>
      <c r="K79" s="5">
        <v>6.1060000000000003E-2</v>
      </c>
      <c r="L79" s="5">
        <v>7.3520000000000002E-2</v>
      </c>
      <c r="M79" s="5">
        <v>8.8139999999999996E-2</v>
      </c>
      <c r="N79" s="5">
        <v>0.10531</v>
      </c>
      <c r="O79" s="5">
        <v>0.12414</v>
      </c>
      <c r="P79" s="5">
        <v>0.13951</v>
      </c>
      <c r="Q79" s="5">
        <v>0.15595999999999999</v>
      </c>
      <c r="R79" s="5">
        <v>0.1734</v>
      </c>
      <c r="S79" s="5">
        <v>0.19059999999999999</v>
      </c>
      <c r="T79" s="5">
        <v>0.20868</v>
      </c>
      <c r="U79" s="5">
        <v>0.23072999999999999</v>
      </c>
      <c r="V79" s="5">
        <v>0.25438</v>
      </c>
      <c r="W79" s="5">
        <v>0.27907999999999999</v>
      </c>
      <c r="X79" s="5">
        <v>0.30508999999999997</v>
      </c>
      <c r="Y79" s="5">
        <v>0.33199000000000001</v>
      </c>
      <c r="Z79" s="5">
        <v>0.35742000000000002</v>
      </c>
      <c r="AA79" s="5">
        <v>0.38257999999999998</v>
      </c>
      <c r="AB79" s="1">
        <v>102</v>
      </c>
    </row>
    <row r="80" spans="1:28">
      <c r="A80" s="1">
        <v>78</v>
      </c>
      <c r="B80" s="5">
        <v>5.3E-3</v>
      </c>
      <c r="C80" s="5">
        <v>7.6699999999999997E-3</v>
      </c>
      <c r="D80" s="5">
        <v>1.3050000000000001E-2</v>
      </c>
      <c r="E80" s="5">
        <v>1.7979999999999999E-2</v>
      </c>
      <c r="F80" s="5">
        <v>2.1569999999999999E-2</v>
      </c>
      <c r="G80" s="5">
        <v>2.683E-2</v>
      </c>
      <c r="H80" s="5">
        <v>3.4599999999999999E-2</v>
      </c>
      <c r="I80" s="5">
        <v>4.539E-2</v>
      </c>
      <c r="J80" s="5">
        <v>5.8020000000000002E-2</v>
      </c>
      <c r="K80" s="5">
        <v>7.0069999999999993E-2</v>
      </c>
      <c r="L80" s="5">
        <v>8.3809999999999996E-2</v>
      </c>
      <c r="M80" s="5">
        <v>0.10113999999999999</v>
      </c>
      <c r="N80" s="5">
        <v>0.12145</v>
      </c>
      <c r="O80" s="5">
        <v>0.13849</v>
      </c>
      <c r="P80" s="5">
        <v>0.15497</v>
      </c>
      <c r="Q80" s="5">
        <v>0.17244000000000001</v>
      </c>
      <c r="R80" s="5">
        <v>0.18970000000000001</v>
      </c>
      <c r="S80" s="5">
        <v>0.20787</v>
      </c>
      <c r="T80" s="5">
        <v>0.23000999999999999</v>
      </c>
      <c r="U80" s="5">
        <v>0.25379000000000002</v>
      </c>
      <c r="V80" s="5">
        <v>0.27907999999999999</v>
      </c>
      <c r="W80" s="5">
        <v>0.30508999999999997</v>
      </c>
      <c r="X80" s="5">
        <v>0.33199000000000001</v>
      </c>
      <c r="Y80" s="5">
        <v>0.35742000000000002</v>
      </c>
      <c r="Z80" s="5">
        <v>0.38257999999999998</v>
      </c>
      <c r="AA80" s="5">
        <v>0.40703</v>
      </c>
      <c r="AB80" s="1">
        <v>103</v>
      </c>
    </row>
    <row r="81" spans="1:28">
      <c r="A81" s="1">
        <v>79</v>
      </c>
      <c r="B81" s="5">
        <v>5.8999999999999999E-3</v>
      </c>
      <c r="C81" s="5">
        <v>8.6899999999999998E-3</v>
      </c>
      <c r="D81" s="5">
        <v>1.478E-2</v>
      </c>
      <c r="E81" s="5">
        <v>1.9990000000000001E-2</v>
      </c>
      <c r="F81" s="5">
        <v>2.4109999999999999E-2</v>
      </c>
      <c r="G81" s="5">
        <v>2.9850000000000002E-2</v>
      </c>
      <c r="H81" s="5">
        <v>3.9059999999999997E-2</v>
      </c>
      <c r="I81" s="5">
        <v>5.1920000000000001E-2</v>
      </c>
      <c r="J81" s="5">
        <v>6.6110000000000002E-2</v>
      </c>
      <c r="K81" s="5">
        <v>8.0960000000000004E-2</v>
      </c>
      <c r="L81" s="5">
        <v>9.7879999999999995E-2</v>
      </c>
      <c r="M81" s="5">
        <v>0.11849</v>
      </c>
      <c r="N81" s="5">
        <v>0.13747000000000001</v>
      </c>
      <c r="O81" s="5">
        <v>0.15397</v>
      </c>
      <c r="P81" s="5">
        <v>0.17147999999999999</v>
      </c>
      <c r="Q81" s="5">
        <v>0.1888</v>
      </c>
      <c r="R81" s="5">
        <v>0.20705000000000001</v>
      </c>
      <c r="S81" s="5">
        <v>0.22928999999999999</v>
      </c>
      <c r="T81" s="5">
        <v>0.25319999999999998</v>
      </c>
      <c r="U81" s="5">
        <v>0.27864</v>
      </c>
      <c r="V81" s="5">
        <v>0.30508999999999997</v>
      </c>
      <c r="W81" s="5">
        <v>0.33199000000000001</v>
      </c>
      <c r="X81" s="5">
        <v>0.35742000000000002</v>
      </c>
      <c r="Y81" s="5">
        <v>0.38257999999999998</v>
      </c>
      <c r="Z81" s="5">
        <v>0.40703</v>
      </c>
      <c r="AA81" s="5">
        <v>0.43036999999999997</v>
      </c>
      <c r="AB81" s="1">
        <v>104</v>
      </c>
    </row>
    <row r="82" spans="1:28">
      <c r="A82" s="1">
        <v>80</v>
      </c>
      <c r="B82" s="5">
        <v>6.1999999999999998E-3</v>
      </c>
      <c r="C82" s="5">
        <v>9.9600000000000001E-3</v>
      </c>
      <c r="D82" s="5">
        <v>1.6740000000000001E-2</v>
      </c>
      <c r="E82" s="5">
        <v>2.2270000000000002E-2</v>
      </c>
      <c r="F82" s="5">
        <v>2.6759999999999999E-2</v>
      </c>
      <c r="G82" s="5">
        <v>3.3520000000000001E-2</v>
      </c>
      <c r="H82" s="5">
        <v>4.4699999999999997E-2</v>
      </c>
      <c r="I82" s="5">
        <v>5.9560000000000002E-2</v>
      </c>
      <c r="J82" s="5">
        <v>7.6480000000000006E-2</v>
      </c>
      <c r="K82" s="5">
        <v>9.4719999999999999E-2</v>
      </c>
      <c r="L82" s="5">
        <v>0.1145</v>
      </c>
      <c r="M82" s="5">
        <v>0.13646</v>
      </c>
      <c r="N82" s="5">
        <v>0.15296999999999999</v>
      </c>
      <c r="O82" s="5">
        <v>0.17052</v>
      </c>
      <c r="P82" s="5">
        <v>0.18790000000000001</v>
      </c>
      <c r="Q82" s="5">
        <v>0.20624000000000001</v>
      </c>
      <c r="R82" s="5">
        <v>0.22857</v>
      </c>
      <c r="S82" s="5">
        <v>0.25261</v>
      </c>
      <c r="T82" s="5">
        <v>0.27821000000000001</v>
      </c>
      <c r="U82" s="5">
        <v>0.30485000000000001</v>
      </c>
      <c r="V82" s="5">
        <v>0.33199000000000001</v>
      </c>
      <c r="W82" s="5">
        <v>0.35742000000000002</v>
      </c>
      <c r="X82" s="5">
        <v>0.38257999999999998</v>
      </c>
      <c r="Y82" s="5">
        <v>0.40703</v>
      </c>
      <c r="Z82" s="5">
        <v>0.43036999999999997</v>
      </c>
      <c r="AA82" s="5">
        <v>0.45218999999999998</v>
      </c>
      <c r="AB82" s="1">
        <v>105</v>
      </c>
    </row>
    <row r="83" spans="1:28">
      <c r="A83" s="1">
        <v>81</v>
      </c>
      <c r="B83" s="5">
        <v>6.7999999999999996E-3</v>
      </c>
      <c r="C83" s="5">
        <v>1.141E-2</v>
      </c>
      <c r="D83" s="5">
        <v>1.8970000000000001E-2</v>
      </c>
      <c r="E83" s="5">
        <v>2.4580000000000001E-2</v>
      </c>
      <c r="F83" s="5">
        <v>2.9649999999999999E-2</v>
      </c>
      <c r="G83" s="5">
        <v>3.8429999999999999E-2</v>
      </c>
      <c r="H83" s="5">
        <v>5.1360000000000003E-2</v>
      </c>
      <c r="I83" s="5">
        <v>6.8519999999999998E-2</v>
      </c>
      <c r="J83" s="5">
        <v>8.7480000000000002E-2</v>
      </c>
      <c r="K83" s="5">
        <v>0.10818999999999999</v>
      </c>
      <c r="L83" s="5">
        <v>0.13225999999999999</v>
      </c>
      <c r="M83" s="5">
        <v>0.15196999999999999</v>
      </c>
      <c r="N83" s="5">
        <v>0.16955999999999999</v>
      </c>
      <c r="O83" s="5">
        <v>0.187</v>
      </c>
      <c r="P83" s="5">
        <v>0.20541999999999999</v>
      </c>
      <c r="Q83" s="5">
        <v>0.22786000000000001</v>
      </c>
      <c r="R83" s="5">
        <v>0.25202000000000002</v>
      </c>
      <c r="S83" s="5">
        <v>0.27778000000000003</v>
      </c>
      <c r="T83" s="5">
        <v>0.30462</v>
      </c>
      <c r="U83" s="5">
        <v>0.33199000000000001</v>
      </c>
      <c r="V83" s="5">
        <v>0.35742000000000002</v>
      </c>
      <c r="W83" s="5">
        <v>0.38257999999999998</v>
      </c>
      <c r="X83" s="5">
        <v>0.40703</v>
      </c>
      <c r="Y83" s="5">
        <v>0.43036999999999997</v>
      </c>
      <c r="Z83" s="5">
        <v>0.45218999999999998</v>
      </c>
      <c r="AA83" s="5">
        <v>0.47210000000000002</v>
      </c>
      <c r="AB83" s="1">
        <v>106</v>
      </c>
    </row>
    <row r="84" spans="1:28">
      <c r="A84" s="1">
        <v>82</v>
      </c>
      <c r="B84" s="5">
        <v>7.5500000000000003E-3</v>
      </c>
      <c r="C84" s="5">
        <v>1.307E-2</v>
      </c>
      <c r="D84" s="5">
        <v>2.1420000000000002E-2</v>
      </c>
      <c r="E84" s="5">
        <v>2.6950000000000002E-2</v>
      </c>
      <c r="F84" s="5">
        <v>3.4279999999999998E-2</v>
      </c>
      <c r="G84" s="5">
        <v>4.4630000000000003E-2</v>
      </c>
      <c r="H84" s="5">
        <v>5.9429999999999997E-2</v>
      </c>
      <c r="I84" s="5">
        <v>7.9479999999999995E-2</v>
      </c>
      <c r="J84" s="5">
        <v>0.10288</v>
      </c>
      <c r="K84" s="5">
        <v>0.12861</v>
      </c>
      <c r="L84" s="5">
        <v>0.15098</v>
      </c>
      <c r="M84" s="5">
        <v>0.1686</v>
      </c>
      <c r="N84" s="5">
        <v>0.18609999999999999</v>
      </c>
      <c r="O84" s="5">
        <v>0.20460999999999999</v>
      </c>
      <c r="P84" s="5">
        <v>0.22714000000000001</v>
      </c>
      <c r="Q84" s="5">
        <v>0.25141999999999998</v>
      </c>
      <c r="R84" s="5">
        <v>0.27734999999999999</v>
      </c>
      <c r="S84" s="5">
        <v>0.30437999999999998</v>
      </c>
      <c r="T84" s="5">
        <v>0.33199000000000001</v>
      </c>
      <c r="U84" s="5">
        <v>0.35742000000000002</v>
      </c>
      <c r="V84" s="5">
        <v>0.38257999999999998</v>
      </c>
      <c r="W84" s="5">
        <v>0.40703</v>
      </c>
      <c r="X84" s="5">
        <v>0.43036999999999997</v>
      </c>
      <c r="Y84" s="5">
        <v>0.45218999999999998</v>
      </c>
      <c r="Z84" s="5">
        <v>0.47210000000000002</v>
      </c>
      <c r="AA84" s="5">
        <v>0.49811</v>
      </c>
      <c r="AB84" s="1">
        <v>107</v>
      </c>
    </row>
    <row r="85" spans="1:28">
      <c r="A85" s="1">
        <v>83</v>
      </c>
      <c r="B85" s="5">
        <v>8.6199999999999992E-3</v>
      </c>
      <c r="C85" s="5">
        <v>1.499E-2</v>
      </c>
      <c r="D85" s="5">
        <v>2.4379999999999999E-2</v>
      </c>
      <c r="E85" s="5">
        <v>3.1480000000000001E-2</v>
      </c>
      <c r="F85" s="5">
        <v>3.9649999999999998E-2</v>
      </c>
      <c r="G85" s="5">
        <v>5.1830000000000001E-2</v>
      </c>
      <c r="H85" s="5">
        <v>7.0239999999999997E-2</v>
      </c>
      <c r="I85" s="5">
        <v>9.6170000000000005E-2</v>
      </c>
      <c r="J85" s="5">
        <v>0.12515000000000001</v>
      </c>
      <c r="K85" s="5">
        <v>0.15098</v>
      </c>
      <c r="L85" s="5">
        <v>0.16764000000000001</v>
      </c>
      <c r="M85" s="5">
        <v>0.18521000000000001</v>
      </c>
      <c r="N85" s="5">
        <v>0.20380000000000001</v>
      </c>
      <c r="O85" s="5">
        <v>0.22642000000000001</v>
      </c>
      <c r="P85" s="5">
        <v>0.25083</v>
      </c>
      <c r="Q85" s="5">
        <v>0.27690999999999999</v>
      </c>
      <c r="R85" s="5">
        <v>0.30414999999999998</v>
      </c>
      <c r="S85" s="5">
        <v>0.33199000000000001</v>
      </c>
      <c r="T85" s="5">
        <v>0.35742000000000002</v>
      </c>
      <c r="U85" s="5">
        <v>0.38257999999999998</v>
      </c>
      <c r="V85" s="5">
        <v>0.40703</v>
      </c>
      <c r="W85" s="5">
        <v>0.43036999999999997</v>
      </c>
      <c r="X85" s="5">
        <v>0.45218999999999998</v>
      </c>
      <c r="Y85" s="5">
        <v>0.47210000000000002</v>
      </c>
      <c r="Z85" s="5">
        <v>0.49811</v>
      </c>
      <c r="AA85" s="5">
        <v>0.52554000000000001</v>
      </c>
      <c r="AB85" s="1">
        <v>108</v>
      </c>
    </row>
    <row r="86" spans="1:28">
      <c r="A86" s="1">
        <v>84</v>
      </c>
      <c r="B86" s="5">
        <v>1.004E-2</v>
      </c>
      <c r="C86" s="5">
        <v>1.719E-2</v>
      </c>
      <c r="D86" s="5">
        <v>2.777E-2</v>
      </c>
      <c r="E86" s="5">
        <v>3.6819999999999999E-2</v>
      </c>
      <c r="F86" s="5">
        <v>4.6550000000000001E-2</v>
      </c>
      <c r="G86" s="5">
        <v>6.1249999999999999E-2</v>
      </c>
      <c r="H86" s="5">
        <v>8.8150000000000006E-2</v>
      </c>
      <c r="I86" s="5">
        <v>0.12021999999999999</v>
      </c>
      <c r="J86" s="5">
        <v>0.15098</v>
      </c>
      <c r="K86" s="5">
        <v>0.16764000000000001</v>
      </c>
      <c r="L86" s="5">
        <v>0.18431</v>
      </c>
      <c r="M86" s="5">
        <v>0.20297999999999999</v>
      </c>
      <c r="N86" s="5">
        <v>0.22570999999999999</v>
      </c>
      <c r="O86" s="5">
        <v>0.25024000000000002</v>
      </c>
      <c r="P86" s="5">
        <v>0.27648</v>
      </c>
      <c r="Q86" s="5">
        <v>0.30391000000000001</v>
      </c>
      <c r="R86" s="5">
        <v>0.33199000000000001</v>
      </c>
      <c r="S86" s="5">
        <v>0.35742000000000002</v>
      </c>
      <c r="T86" s="5">
        <v>0.38257999999999998</v>
      </c>
      <c r="U86" s="5">
        <v>0.40703</v>
      </c>
      <c r="V86" s="5">
        <v>0.43036999999999997</v>
      </c>
      <c r="W86" s="5">
        <v>0.45218999999999998</v>
      </c>
      <c r="X86" s="5">
        <v>0.47210000000000002</v>
      </c>
      <c r="Y86" s="5">
        <v>0.49811</v>
      </c>
      <c r="Z86" s="5">
        <v>0.52554000000000001</v>
      </c>
      <c r="AA86" s="5">
        <v>0.55447999999999997</v>
      </c>
      <c r="AB86" s="1">
        <v>109</v>
      </c>
    </row>
    <row r="87" spans="1:28">
      <c r="A87" s="1">
        <v>85</v>
      </c>
      <c r="B87" s="5">
        <v>1.141E-2</v>
      </c>
      <c r="C87" s="5">
        <v>1.9959999999999999E-2</v>
      </c>
      <c r="D87" s="5">
        <v>3.2680000000000001E-2</v>
      </c>
      <c r="E87" s="5">
        <v>4.3200000000000002E-2</v>
      </c>
      <c r="F87" s="5">
        <v>5.4670000000000003E-2</v>
      </c>
      <c r="G87" s="5">
        <v>7.5480000000000005E-2</v>
      </c>
      <c r="H87" s="5">
        <v>0.11007</v>
      </c>
      <c r="I87" s="5">
        <v>0.14291000000000001</v>
      </c>
      <c r="J87" s="5">
        <v>0.16764000000000001</v>
      </c>
      <c r="K87" s="5">
        <v>0.18431</v>
      </c>
      <c r="L87" s="5">
        <v>0.20216999999999999</v>
      </c>
      <c r="M87" s="5">
        <v>0.22499</v>
      </c>
      <c r="N87" s="5">
        <v>0.24965000000000001</v>
      </c>
      <c r="O87" s="5">
        <v>0.27605000000000002</v>
      </c>
      <c r="P87" s="5">
        <v>0.30367</v>
      </c>
      <c r="Q87" s="5">
        <v>0.33199000000000001</v>
      </c>
      <c r="R87" s="5">
        <v>0.35742000000000002</v>
      </c>
      <c r="S87" s="5">
        <v>0.38257999999999998</v>
      </c>
      <c r="T87" s="5">
        <v>0.40703</v>
      </c>
      <c r="U87" s="5">
        <v>0.43036999999999997</v>
      </c>
      <c r="V87" s="5">
        <v>0.45218999999999998</v>
      </c>
      <c r="W87" s="5">
        <v>0.47210000000000002</v>
      </c>
      <c r="X87" s="5">
        <v>0.49811</v>
      </c>
      <c r="Y87" s="5">
        <v>0.52554000000000001</v>
      </c>
      <c r="Z87" s="5">
        <v>0.55447999999999997</v>
      </c>
      <c r="AA87" s="5">
        <v>0.58501999999999998</v>
      </c>
      <c r="AB87" s="1">
        <v>110</v>
      </c>
    </row>
    <row r="88" spans="1:28">
      <c r="A88" s="1">
        <v>86</v>
      </c>
      <c r="B88" s="5">
        <v>1.268E-2</v>
      </c>
      <c r="C88" s="5">
        <v>2.3650000000000001E-2</v>
      </c>
      <c r="D88" s="5">
        <v>3.8539999999999998E-2</v>
      </c>
      <c r="E88" s="5">
        <v>5.0750000000000003E-2</v>
      </c>
      <c r="F88" s="5">
        <v>6.6839999999999997E-2</v>
      </c>
      <c r="G88" s="5">
        <v>0.10027999999999999</v>
      </c>
      <c r="H88" s="5">
        <v>0.13485</v>
      </c>
      <c r="I88" s="5">
        <v>0.16764000000000001</v>
      </c>
      <c r="J88" s="5">
        <v>0.18431</v>
      </c>
      <c r="K88" s="5">
        <v>0.20216999999999999</v>
      </c>
      <c r="L88" s="5">
        <v>0.22427</v>
      </c>
      <c r="M88" s="5">
        <v>0.24906</v>
      </c>
      <c r="N88" s="5">
        <v>0.27561999999999998</v>
      </c>
      <c r="O88" s="5">
        <v>0.30343999999999999</v>
      </c>
      <c r="P88" s="5">
        <v>0.33199000000000001</v>
      </c>
      <c r="Q88" s="5">
        <v>0.35742000000000002</v>
      </c>
      <c r="R88" s="5">
        <v>0.38257999999999998</v>
      </c>
      <c r="S88" s="5">
        <v>0.40703</v>
      </c>
      <c r="T88" s="5">
        <v>0.43036999999999997</v>
      </c>
      <c r="U88" s="5">
        <v>0.45218999999999998</v>
      </c>
      <c r="V88" s="5">
        <v>0.47210000000000002</v>
      </c>
      <c r="W88" s="5">
        <v>0.49811</v>
      </c>
      <c r="X88" s="5">
        <v>0.52554000000000001</v>
      </c>
      <c r="Y88" s="5">
        <v>0.55447999999999997</v>
      </c>
      <c r="Z88" s="5">
        <v>0.58501999999999998</v>
      </c>
      <c r="AA88" s="5">
        <v>0.61724000000000001</v>
      </c>
      <c r="AB88" s="1">
        <v>111</v>
      </c>
    </row>
    <row r="89" spans="1:28">
      <c r="A89" s="1">
        <v>87</v>
      </c>
      <c r="B89" s="5">
        <v>1.4069999999999999E-2</v>
      </c>
      <c r="C89" s="5">
        <v>2.8060000000000002E-2</v>
      </c>
      <c r="D89" s="5">
        <v>4.5490000000000003E-2</v>
      </c>
      <c r="E89" s="5">
        <v>5.9720000000000002E-2</v>
      </c>
      <c r="F89" s="5">
        <v>8.6709999999999995E-2</v>
      </c>
      <c r="G89" s="5">
        <v>0.12962000000000001</v>
      </c>
      <c r="H89" s="5">
        <v>0.16764000000000001</v>
      </c>
      <c r="I89" s="5">
        <v>0.18431</v>
      </c>
      <c r="J89" s="5">
        <v>0.20216999999999999</v>
      </c>
      <c r="K89" s="5">
        <v>0.22427</v>
      </c>
      <c r="L89" s="5">
        <v>0.24847</v>
      </c>
      <c r="M89" s="5">
        <v>0.27517999999999998</v>
      </c>
      <c r="N89" s="5">
        <v>0.30320000000000003</v>
      </c>
      <c r="O89" s="5">
        <v>0.33199000000000001</v>
      </c>
      <c r="P89" s="5">
        <v>0.35742000000000002</v>
      </c>
      <c r="Q89" s="5">
        <v>0.38257999999999998</v>
      </c>
      <c r="R89" s="5">
        <v>0.40703</v>
      </c>
      <c r="S89" s="5">
        <v>0.43036999999999997</v>
      </c>
      <c r="T89" s="5">
        <v>0.45218999999999998</v>
      </c>
      <c r="U89" s="5">
        <v>0.47210000000000002</v>
      </c>
      <c r="V89" s="5">
        <v>0.49811</v>
      </c>
      <c r="W89" s="5">
        <v>0.52554000000000001</v>
      </c>
      <c r="X89" s="5">
        <v>0.55447999999999997</v>
      </c>
      <c r="Y89" s="5">
        <v>0.58501999999999998</v>
      </c>
      <c r="Z89" s="5">
        <v>0.61724000000000001</v>
      </c>
      <c r="AA89" s="5">
        <v>0.65122999999999998</v>
      </c>
      <c r="AB89" s="1">
        <v>112</v>
      </c>
    </row>
    <row r="90" spans="1:28">
      <c r="A90" s="1">
        <v>88</v>
      </c>
      <c r="B90" s="5">
        <v>1.5640000000000001E-2</v>
      </c>
      <c r="C90" s="5">
        <v>3.3320000000000002E-2</v>
      </c>
      <c r="D90" s="5">
        <v>5.3740000000000003E-2</v>
      </c>
      <c r="E90" s="5">
        <v>7.5899999999999995E-2</v>
      </c>
      <c r="F90" s="5">
        <v>0.11901</v>
      </c>
      <c r="G90" s="5">
        <v>0.16764000000000001</v>
      </c>
      <c r="H90" s="5">
        <v>0.18431</v>
      </c>
      <c r="I90" s="5">
        <v>0.20216999999999999</v>
      </c>
      <c r="J90" s="5">
        <v>0.22427</v>
      </c>
      <c r="K90" s="5">
        <v>0.24847</v>
      </c>
      <c r="L90" s="5">
        <v>0.27474999999999999</v>
      </c>
      <c r="M90" s="5">
        <v>0.30296000000000001</v>
      </c>
      <c r="N90" s="5">
        <v>0.33199000000000001</v>
      </c>
      <c r="O90" s="5">
        <v>0.35742000000000002</v>
      </c>
      <c r="P90" s="5">
        <v>0.38257999999999998</v>
      </c>
      <c r="Q90" s="5">
        <v>0.40703</v>
      </c>
      <c r="R90" s="5">
        <v>0.43036999999999997</v>
      </c>
      <c r="S90" s="5">
        <v>0.45218999999999998</v>
      </c>
      <c r="T90" s="5">
        <v>0.47210000000000002</v>
      </c>
      <c r="U90" s="5">
        <v>0.49811</v>
      </c>
      <c r="V90" s="5">
        <v>0.52554000000000001</v>
      </c>
      <c r="W90" s="5">
        <v>0.55447999999999997</v>
      </c>
      <c r="X90" s="5">
        <v>0.58501999999999998</v>
      </c>
      <c r="Y90" s="5">
        <v>0.61724000000000001</v>
      </c>
      <c r="Z90" s="5">
        <v>0.65122999999999998</v>
      </c>
      <c r="AA90" s="5">
        <v>0.68710000000000004</v>
      </c>
      <c r="AB90" s="1">
        <v>113</v>
      </c>
    </row>
    <row r="91" spans="1:28">
      <c r="A91" s="1">
        <v>89</v>
      </c>
      <c r="B91" s="5">
        <v>1.737E-2</v>
      </c>
      <c r="C91" s="5">
        <v>3.9019999999999999E-2</v>
      </c>
      <c r="D91" s="5">
        <v>6.3500000000000001E-2</v>
      </c>
      <c r="E91" s="5">
        <v>9.9220000000000003E-2</v>
      </c>
      <c r="F91" s="5">
        <v>0.15495</v>
      </c>
      <c r="G91" s="5">
        <v>0.18431</v>
      </c>
      <c r="H91" s="5">
        <v>0.20216999999999999</v>
      </c>
      <c r="I91" s="5">
        <v>0.22427</v>
      </c>
      <c r="J91" s="5">
        <v>0.24847</v>
      </c>
      <c r="K91" s="5">
        <v>0.27474999999999999</v>
      </c>
      <c r="L91" s="5">
        <v>0.30273</v>
      </c>
      <c r="M91" s="5">
        <v>0.33199000000000001</v>
      </c>
      <c r="N91" s="5">
        <v>0.35742000000000002</v>
      </c>
      <c r="O91" s="5">
        <v>0.38257999999999998</v>
      </c>
      <c r="P91" s="5">
        <v>0.40703</v>
      </c>
      <c r="Q91" s="5">
        <v>0.43036999999999997</v>
      </c>
      <c r="R91" s="5">
        <v>0.45218999999999998</v>
      </c>
      <c r="S91" s="5">
        <v>0.47210000000000002</v>
      </c>
      <c r="T91" s="5">
        <v>0.49811</v>
      </c>
      <c r="U91" s="5">
        <v>0.52554000000000001</v>
      </c>
      <c r="V91" s="5">
        <v>0.55447999999999997</v>
      </c>
      <c r="W91" s="5">
        <v>0.58501999999999998</v>
      </c>
      <c r="X91" s="5">
        <v>0.61724000000000001</v>
      </c>
      <c r="Y91" s="5">
        <v>0.65122999999999998</v>
      </c>
      <c r="Z91" s="5">
        <v>0.68710000000000004</v>
      </c>
      <c r="AA91" s="5">
        <v>0.72494000000000003</v>
      </c>
      <c r="AB91" s="1">
        <v>114</v>
      </c>
    </row>
    <row r="92" spans="1:28">
      <c r="A92" s="1">
        <v>90</v>
      </c>
      <c r="B92" s="5">
        <v>1.9279999999999999E-2</v>
      </c>
      <c r="C92" s="5">
        <v>4.564E-2</v>
      </c>
      <c r="D92" s="5">
        <v>8.1589999999999996E-2</v>
      </c>
      <c r="E92" s="5">
        <v>0.13422999999999999</v>
      </c>
      <c r="F92" s="5">
        <v>0.18431</v>
      </c>
      <c r="G92" s="5">
        <v>0.20216999999999999</v>
      </c>
      <c r="H92" s="5">
        <v>0.22427</v>
      </c>
      <c r="I92" s="5">
        <v>0.24847</v>
      </c>
      <c r="J92" s="5">
        <v>0.27474999999999999</v>
      </c>
      <c r="K92" s="5">
        <v>0.30273</v>
      </c>
      <c r="L92" s="5">
        <v>0.33199000000000001</v>
      </c>
      <c r="M92" s="5">
        <v>0.35742000000000002</v>
      </c>
      <c r="N92" s="5">
        <v>0.38257999999999998</v>
      </c>
      <c r="O92" s="5">
        <v>0.40703</v>
      </c>
      <c r="P92" s="5">
        <v>0.43036999999999997</v>
      </c>
      <c r="Q92" s="5">
        <v>0.45218999999999998</v>
      </c>
      <c r="R92" s="5">
        <v>0.47210000000000002</v>
      </c>
      <c r="S92" s="5">
        <v>0.49811</v>
      </c>
      <c r="T92" s="5">
        <v>0.52554000000000001</v>
      </c>
      <c r="U92" s="5">
        <v>0.55447999999999997</v>
      </c>
      <c r="V92" s="5">
        <v>0.58501999999999998</v>
      </c>
      <c r="W92" s="5">
        <v>0.61724000000000001</v>
      </c>
      <c r="X92" s="5">
        <v>0.65122999999999998</v>
      </c>
      <c r="Y92" s="5">
        <v>0.68710000000000004</v>
      </c>
      <c r="Z92" s="5">
        <v>0.72494000000000003</v>
      </c>
      <c r="AA92" s="5">
        <v>0.76487000000000005</v>
      </c>
      <c r="AB92" s="1">
        <v>115</v>
      </c>
    </row>
    <row r="93" spans="1:28">
      <c r="A93" s="1">
        <v>91</v>
      </c>
      <c r="B93" s="5">
        <v>2.4219999999999998E-2</v>
      </c>
      <c r="C93" s="5">
        <v>5.7939999999999998E-2</v>
      </c>
      <c r="D93" s="5">
        <v>0.12336999999999999</v>
      </c>
      <c r="E93" s="5">
        <v>0.18431</v>
      </c>
      <c r="F93" s="5">
        <v>0.20216999999999999</v>
      </c>
      <c r="G93" s="5">
        <v>0.22427</v>
      </c>
      <c r="H93" s="5">
        <v>0.24847</v>
      </c>
      <c r="I93" s="5">
        <v>0.27474999999999999</v>
      </c>
      <c r="J93" s="5">
        <v>0.30273</v>
      </c>
      <c r="K93" s="5">
        <v>0.33199000000000001</v>
      </c>
      <c r="L93" s="5">
        <v>0.35742000000000002</v>
      </c>
      <c r="M93" s="5">
        <v>0.38257999999999998</v>
      </c>
      <c r="N93" s="5">
        <v>0.40703</v>
      </c>
      <c r="O93" s="5">
        <v>0.43036999999999997</v>
      </c>
      <c r="P93" s="5">
        <v>0.45218999999999998</v>
      </c>
      <c r="Q93" s="5">
        <v>0.47210000000000002</v>
      </c>
      <c r="R93" s="5">
        <v>0.49811</v>
      </c>
      <c r="S93" s="5">
        <v>0.52554000000000001</v>
      </c>
      <c r="T93" s="5">
        <v>0.55447999999999997</v>
      </c>
      <c r="U93" s="5">
        <v>0.58501999999999998</v>
      </c>
      <c r="V93" s="5">
        <v>0.61724000000000001</v>
      </c>
      <c r="W93" s="5">
        <v>0.65122999999999998</v>
      </c>
      <c r="X93" s="5">
        <v>0.68710000000000004</v>
      </c>
      <c r="Y93" s="5">
        <v>0.72494000000000003</v>
      </c>
      <c r="Z93" s="5">
        <v>0.76487000000000005</v>
      </c>
      <c r="AA93" s="5">
        <v>0.80698999999999999</v>
      </c>
      <c r="AB93" s="1">
        <v>116</v>
      </c>
    </row>
    <row r="94" spans="1:28">
      <c r="A94" s="1">
        <v>92</v>
      </c>
      <c r="B94" s="5">
        <v>3.4290000000000001E-2</v>
      </c>
      <c r="C94" s="5">
        <v>8.8370000000000004E-2</v>
      </c>
      <c r="D94" s="5">
        <v>0.18431</v>
      </c>
      <c r="E94" s="5">
        <v>0.20216999999999999</v>
      </c>
      <c r="F94" s="5">
        <v>0.22427</v>
      </c>
      <c r="G94" s="5">
        <v>0.24847</v>
      </c>
      <c r="H94" s="5">
        <v>0.27474999999999999</v>
      </c>
      <c r="I94" s="5">
        <v>0.30273</v>
      </c>
      <c r="J94" s="5">
        <v>0.33199000000000001</v>
      </c>
      <c r="K94" s="5">
        <v>0.35742000000000002</v>
      </c>
      <c r="L94" s="5">
        <v>0.38257999999999998</v>
      </c>
      <c r="M94" s="5">
        <v>0.40703</v>
      </c>
      <c r="N94" s="5">
        <v>0.43036999999999997</v>
      </c>
      <c r="O94" s="5">
        <v>0.45218999999999998</v>
      </c>
      <c r="P94" s="5">
        <v>0.47210000000000002</v>
      </c>
      <c r="Q94" s="5">
        <v>0.49811</v>
      </c>
      <c r="R94" s="5">
        <v>0.52554000000000001</v>
      </c>
      <c r="S94" s="5">
        <v>0.55447999999999997</v>
      </c>
      <c r="T94" s="5">
        <v>0.58501999999999998</v>
      </c>
      <c r="U94" s="5">
        <v>0.61724000000000001</v>
      </c>
      <c r="V94" s="5">
        <v>0.65122999999999998</v>
      </c>
      <c r="W94" s="5">
        <v>0.68710000000000004</v>
      </c>
      <c r="X94" s="5">
        <v>0.72494000000000003</v>
      </c>
      <c r="Y94" s="5">
        <v>0.76487000000000005</v>
      </c>
      <c r="Z94" s="5">
        <v>0.80698999999999999</v>
      </c>
      <c r="AA94" s="5">
        <v>0.85143000000000002</v>
      </c>
      <c r="AB94" s="1">
        <v>117</v>
      </c>
    </row>
    <row r="95" spans="1:28">
      <c r="A95" s="1">
        <v>93</v>
      </c>
      <c r="B95" s="5">
        <v>5.101E-2</v>
      </c>
      <c r="C95" s="5">
        <v>0.12997</v>
      </c>
      <c r="D95" s="5">
        <v>0.20216999999999999</v>
      </c>
      <c r="E95" s="5">
        <v>0.22427</v>
      </c>
      <c r="F95" s="5">
        <v>0.24847</v>
      </c>
      <c r="G95" s="5">
        <v>0.27474999999999999</v>
      </c>
      <c r="H95" s="5">
        <v>0.30273</v>
      </c>
      <c r="I95" s="5">
        <v>0.33199000000000001</v>
      </c>
      <c r="J95" s="5">
        <v>0.35742000000000002</v>
      </c>
      <c r="K95" s="5">
        <v>0.38257999999999998</v>
      </c>
      <c r="L95" s="5">
        <v>0.40703</v>
      </c>
      <c r="M95" s="5">
        <v>0.43036999999999997</v>
      </c>
      <c r="N95" s="5">
        <v>0.45218999999999998</v>
      </c>
      <c r="O95" s="5">
        <v>0.47210000000000002</v>
      </c>
      <c r="P95" s="5">
        <v>0.49811</v>
      </c>
      <c r="Q95" s="5">
        <v>0.52554000000000001</v>
      </c>
      <c r="R95" s="5">
        <v>0.55447999999999997</v>
      </c>
      <c r="S95" s="5">
        <v>0.58501999999999998</v>
      </c>
      <c r="T95" s="5">
        <v>0.61724000000000001</v>
      </c>
      <c r="U95" s="5">
        <v>0.65122999999999998</v>
      </c>
      <c r="V95" s="5">
        <v>0.68710000000000004</v>
      </c>
      <c r="W95" s="5">
        <v>0.72494000000000003</v>
      </c>
      <c r="X95" s="5">
        <v>0.76487000000000005</v>
      </c>
      <c r="Y95" s="5">
        <v>0.80698999999999999</v>
      </c>
      <c r="Z95" s="5">
        <v>0.85143000000000002</v>
      </c>
      <c r="AA95" s="5">
        <v>0.89832999999999996</v>
      </c>
      <c r="AB95" s="1">
        <v>118</v>
      </c>
    </row>
    <row r="96" spans="1:28">
      <c r="A96" s="1">
        <v>94</v>
      </c>
      <c r="B96" s="5">
        <v>7.5630000000000003E-2</v>
      </c>
      <c r="C96" s="5">
        <v>0.15623000000000001</v>
      </c>
      <c r="D96" s="5">
        <v>0.22427</v>
      </c>
      <c r="E96" s="5">
        <v>0.24847</v>
      </c>
      <c r="F96" s="5">
        <v>0.27474999999999999</v>
      </c>
      <c r="G96" s="5">
        <v>0.30273</v>
      </c>
      <c r="H96" s="5">
        <v>0.33199000000000001</v>
      </c>
      <c r="I96" s="5">
        <v>0.35742000000000002</v>
      </c>
      <c r="J96" s="5">
        <v>0.38257999999999998</v>
      </c>
      <c r="K96" s="5">
        <v>0.40703</v>
      </c>
      <c r="L96" s="5">
        <v>0.43036999999999997</v>
      </c>
      <c r="M96" s="5">
        <v>0.45218999999999998</v>
      </c>
      <c r="N96" s="5">
        <v>0.47210000000000002</v>
      </c>
      <c r="O96" s="5">
        <v>0.49811</v>
      </c>
      <c r="P96" s="5">
        <v>0.52554000000000001</v>
      </c>
      <c r="Q96" s="5">
        <v>0.55447999999999997</v>
      </c>
      <c r="R96" s="5">
        <v>0.58501999999999998</v>
      </c>
      <c r="S96" s="5">
        <v>0.61724000000000001</v>
      </c>
      <c r="T96" s="5">
        <v>0.65122999999999998</v>
      </c>
      <c r="U96" s="5">
        <v>0.68710000000000004</v>
      </c>
      <c r="V96" s="5">
        <v>0.72494000000000003</v>
      </c>
      <c r="W96" s="5">
        <v>0.76487000000000005</v>
      </c>
      <c r="X96" s="5">
        <v>0.80698999999999999</v>
      </c>
      <c r="Y96" s="5">
        <v>0.85143000000000002</v>
      </c>
      <c r="Z96" s="5">
        <v>0.89832999999999996</v>
      </c>
      <c r="AA96" s="5">
        <v>0.94779999999999998</v>
      </c>
      <c r="AB96" s="1">
        <v>119</v>
      </c>
    </row>
    <row r="97" spans="1:28">
      <c r="A97" s="1">
        <v>95</v>
      </c>
      <c r="B97" s="5">
        <v>0.11028</v>
      </c>
      <c r="C97" s="5">
        <v>0.22427</v>
      </c>
      <c r="D97" s="5">
        <v>0.24847</v>
      </c>
      <c r="E97" s="5">
        <v>0.27474999999999999</v>
      </c>
      <c r="F97" s="5">
        <v>0.30273</v>
      </c>
      <c r="G97" s="5">
        <v>0.33199000000000001</v>
      </c>
      <c r="H97" s="5">
        <v>0.35742000000000002</v>
      </c>
      <c r="I97" s="5">
        <v>0.38257999999999998</v>
      </c>
      <c r="J97" s="5">
        <v>0.40703</v>
      </c>
      <c r="K97" s="5">
        <v>0.43036999999999997</v>
      </c>
      <c r="L97" s="5">
        <v>0.45218999999999998</v>
      </c>
      <c r="M97" s="5">
        <v>0.47210000000000002</v>
      </c>
      <c r="N97" s="5">
        <v>0.49811</v>
      </c>
      <c r="O97" s="5">
        <v>0.52554000000000001</v>
      </c>
      <c r="P97" s="5">
        <v>0.55447999999999997</v>
      </c>
      <c r="Q97" s="5">
        <v>0.58501999999999998</v>
      </c>
      <c r="R97" s="5">
        <v>0.61724000000000001</v>
      </c>
      <c r="S97" s="5">
        <v>0.65122999999999998</v>
      </c>
      <c r="T97" s="5">
        <v>0.68710000000000004</v>
      </c>
      <c r="U97" s="5">
        <v>0.72494000000000003</v>
      </c>
      <c r="V97" s="5">
        <v>0.76487000000000005</v>
      </c>
      <c r="W97" s="5">
        <v>0.80698999999999999</v>
      </c>
      <c r="X97" s="5">
        <v>0.85143000000000002</v>
      </c>
      <c r="Y97" s="5">
        <v>0.89832999999999996</v>
      </c>
      <c r="Z97" s="5">
        <v>0.94779999999999998</v>
      </c>
      <c r="AA97" s="5">
        <v>1</v>
      </c>
      <c r="AB97" s="1">
        <v>120</v>
      </c>
    </row>
    <row r="100" spans="1:28">
      <c r="A100" t="s">
        <v>22</v>
      </c>
      <c r="B100" s="6">
        <v>1000</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zoomScaleNormal="100" workbookViewId="0">
      <selection activeCell="G17" sqref="G17"/>
    </sheetView>
  </sheetViews>
  <sheetFormatPr baseColWidth="10" defaultColWidth="10.5" defaultRowHeight="16"/>
  <cols>
    <col min="1" max="1" width="19.1640625" customWidth="1"/>
    <col min="2" max="2" width="10.33203125" customWidth="1"/>
    <col min="3" max="3" width="15.1640625" customWidth="1"/>
  </cols>
  <sheetData>
    <row r="1" spans="1:3">
      <c r="A1" s="7" t="s">
        <v>23</v>
      </c>
      <c r="B1" s="7" t="s">
        <v>24</v>
      </c>
      <c r="C1" s="7" t="s">
        <v>25</v>
      </c>
    </row>
    <row r="2" spans="1:3">
      <c r="A2" s="8">
        <v>1</v>
      </c>
      <c r="B2" s="9">
        <v>0.12</v>
      </c>
      <c r="C2" s="10">
        <f t="shared" ref="C2:C31" si="0">1-B2</f>
        <v>0.88</v>
      </c>
    </row>
    <row r="3" spans="1:3">
      <c r="A3" s="8">
        <v>2</v>
      </c>
      <c r="B3" s="9">
        <v>0.09</v>
      </c>
      <c r="C3" s="10">
        <f t="shared" si="0"/>
        <v>0.91</v>
      </c>
    </row>
    <row r="4" spans="1:3">
      <c r="A4" s="8">
        <v>3</v>
      </c>
      <c r="B4" s="9">
        <v>7.0000000000000007E-2</v>
      </c>
      <c r="C4" s="10">
        <f t="shared" si="0"/>
        <v>0.92999999999999994</v>
      </c>
    </row>
    <row r="5" spans="1:3">
      <c r="A5" s="8">
        <v>4</v>
      </c>
      <c r="B5" s="9">
        <v>0.06</v>
      </c>
      <c r="C5" s="10">
        <f t="shared" si="0"/>
        <v>0.94</v>
      </c>
    </row>
    <row r="6" spans="1:3">
      <c r="A6" s="8">
        <v>5</v>
      </c>
      <c r="B6" s="9">
        <v>0.05</v>
      </c>
      <c r="C6" s="10">
        <f t="shared" si="0"/>
        <v>0.95</v>
      </c>
    </row>
    <row r="7" spans="1:3">
      <c r="A7" s="8">
        <v>6</v>
      </c>
      <c r="B7" s="9">
        <v>4.4999999999999998E-2</v>
      </c>
      <c r="C7" s="10">
        <f t="shared" si="0"/>
        <v>0.95499999999999996</v>
      </c>
    </row>
    <row r="8" spans="1:3">
      <c r="A8" s="8">
        <v>7</v>
      </c>
      <c r="B8" s="9">
        <v>0.04</v>
      </c>
      <c r="C8" s="10">
        <f t="shared" si="0"/>
        <v>0.96</v>
      </c>
    </row>
    <row r="9" spans="1:3">
      <c r="A9" s="8">
        <v>8</v>
      </c>
      <c r="B9" s="9">
        <v>3.7999999999999999E-2</v>
      </c>
      <c r="C9" s="10">
        <f t="shared" si="0"/>
        <v>0.96199999999999997</v>
      </c>
    </row>
    <row r="10" spans="1:3">
      <c r="A10" s="8">
        <v>9</v>
      </c>
      <c r="B10" s="9">
        <v>3.5000000000000003E-2</v>
      </c>
      <c r="C10" s="10">
        <f t="shared" si="0"/>
        <v>0.96499999999999997</v>
      </c>
    </row>
    <row r="11" spans="1:3">
      <c r="A11" s="8">
        <v>10</v>
      </c>
      <c r="B11" s="9">
        <v>3.3000000000000002E-2</v>
      </c>
      <c r="C11" s="10">
        <f t="shared" si="0"/>
        <v>0.96699999999999997</v>
      </c>
    </row>
    <row r="12" spans="1:3">
      <c r="A12" s="8">
        <v>11</v>
      </c>
      <c r="B12" s="9">
        <v>0.03</v>
      </c>
      <c r="C12" s="10">
        <f t="shared" si="0"/>
        <v>0.97</v>
      </c>
    </row>
    <row r="13" spans="1:3">
      <c r="A13" s="8">
        <v>12</v>
      </c>
      <c r="B13" s="9">
        <v>0.03</v>
      </c>
      <c r="C13" s="10">
        <f t="shared" si="0"/>
        <v>0.97</v>
      </c>
    </row>
    <row r="14" spans="1:3">
      <c r="A14" s="8">
        <v>13</v>
      </c>
      <c r="B14" s="9">
        <v>0.03</v>
      </c>
      <c r="C14" s="10">
        <f t="shared" si="0"/>
        <v>0.97</v>
      </c>
    </row>
    <row r="15" spans="1:3">
      <c r="A15" s="8">
        <v>14</v>
      </c>
      <c r="B15" s="9">
        <v>0.03</v>
      </c>
      <c r="C15" s="10">
        <f t="shared" si="0"/>
        <v>0.97</v>
      </c>
    </row>
    <row r="16" spans="1:3">
      <c r="A16" s="8">
        <v>15</v>
      </c>
      <c r="B16" s="9">
        <v>0.03</v>
      </c>
      <c r="C16" s="10">
        <f t="shared" si="0"/>
        <v>0.97</v>
      </c>
    </row>
    <row r="17" spans="1:3">
      <c r="A17" s="8">
        <v>16</v>
      </c>
      <c r="B17" s="9">
        <v>0.03</v>
      </c>
      <c r="C17" s="10">
        <f t="shared" si="0"/>
        <v>0.97</v>
      </c>
    </row>
    <row r="18" spans="1:3">
      <c r="A18" s="8">
        <v>17</v>
      </c>
      <c r="B18" s="9">
        <v>0.03</v>
      </c>
      <c r="C18" s="10">
        <f t="shared" si="0"/>
        <v>0.97</v>
      </c>
    </row>
    <row r="19" spans="1:3">
      <c r="A19" s="8">
        <v>18</v>
      </c>
      <c r="B19" s="9">
        <v>0.03</v>
      </c>
      <c r="C19" s="10">
        <f t="shared" si="0"/>
        <v>0.97</v>
      </c>
    </row>
    <row r="20" spans="1:3">
      <c r="A20" s="8">
        <v>19</v>
      </c>
      <c r="B20" s="9">
        <v>0.03</v>
      </c>
      <c r="C20" s="10">
        <f t="shared" si="0"/>
        <v>0.97</v>
      </c>
    </row>
    <row r="21" spans="1:3">
      <c r="A21" s="8">
        <v>20</v>
      </c>
      <c r="B21" s="9">
        <v>0.03</v>
      </c>
      <c r="C21" s="10">
        <f t="shared" si="0"/>
        <v>0.97</v>
      </c>
    </row>
    <row r="22" spans="1:3">
      <c r="A22" s="8">
        <v>21</v>
      </c>
      <c r="B22" s="9">
        <v>0.03</v>
      </c>
      <c r="C22" s="10">
        <f t="shared" si="0"/>
        <v>0.97</v>
      </c>
    </row>
    <row r="23" spans="1:3">
      <c r="A23" s="8">
        <v>22</v>
      </c>
      <c r="B23" s="9">
        <v>0.03</v>
      </c>
      <c r="C23" s="10">
        <f t="shared" si="0"/>
        <v>0.97</v>
      </c>
    </row>
    <row r="24" spans="1:3">
      <c r="A24" s="8">
        <v>23</v>
      </c>
      <c r="B24" s="9">
        <v>0.03</v>
      </c>
      <c r="C24" s="10">
        <f t="shared" si="0"/>
        <v>0.97</v>
      </c>
    </row>
    <row r="25" spans="1:3">
      <c r="A25" s="8">
        <v>24</v>
      </c>
      <c r="B25" s="9">
        <v>0.03</v>
      </c>
      <c r="C25" s="10">
        <f t="shared" si="0"/>
        <v>0.97</v>
      </c>
    </row>
    <row r="26" spans="1:3">
      <c r="A26" s="8">
        <v>25</v>
      </c>
      <c r="B26" s="9">
        <v>0.03</v>
      </c>
      <c r="C26" s="10">
        <f t="shared" si="0"/>
        <v>0.97</v>
      </c>
    </row>
    <row r="27" spans="1:3">
      <c r="A27" s="8">
        <v>26</v>
      </c>
      <c r="B27" s="9">
        <v>0.03</v>
      </c>
      <c r="C27" s="10">
        <f t="shared" si="0"/>
        <v>0.97</v>
      </c>
    </row>
    <row r="28" spans="1:3">
      <c r="A28" s="8">
        <v>27</v>
      </c>
      <c r="B28" s="9">
        <v>0.03</v>
      </c>
      <c r="C28" s="10">
        <f t="shared" si="0"/>
        <v>0.97</v>
      </c>
    </row>
    <row r="29" spans="1:3">
      <c r="A29" s="8">
        <v>28</v>
      </c>
      <c r="B29" s="9">
        <v>0.03</v>
      </c>
      <c r="C29" s="10">
        <f t="shared" si="0"/>
        <v>0.97</v>
      </c>
    </row>
    <row r="30" spans="1:3">
      <c r="A30" s="8">
        <v>29</v>
      </c>
      <c r="B30" s="9">
        <v>0.03</v>
      </c>
      <c r="C30" s="10">
        <f t="shared" si="0"/>
        <v>0.97</v>
      </c>
    </row>
    <row r="31" spans="1:3">
      <c r="A31" s="8">
        <v>30</v>
      </c>
      <c r="B31" s="9">
        <v>0.03</v>
      </c>
      <c r="C31" s="10">
        <f t="shared" si="0"/>
        <v>0.97</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Normal="100" workbookViewId="0">
      <selection activeCell="C3" sqref="C3"/>
    </sheetView>
  </sheetViews>
  <sheetFormatPr baseColWidth="10" defaultColWidth="10.5" defaultRowHeight="16"/>
  <cols>
    <col min="1" max="1" width="27.33203125" customWidth="1"/>
    <col min="2" max="2" width="15.5" customWidth="1"/>
    <col min="3" max="3" width="10.6640625" customWidth="1"/>
    <col min="4" max="4" width="12.33203125" customWidth="1"/>
    <col min="5" max="5" width="39.83203125" customWidth="1"/>
  </cols>
  <sheetData>
    <row r="1" spans="1:5">
      <c r="A1" s="7" t="s">
        <v>26</v>
      </c>
      <c r="B1" s="7" t="s">
        <v>27</v>
      </c>
      <c r="C1" s="7" t="s">
        <v>28</v>
      </c>
      <c r="D1" s="7" t="s">
        <v>29</v>
      </c>
      <c r="E1" s="7" t="s">
        <v>30</v>
      </c>
    </row>
    <row r="2" spans="1:5">
      <c r="A2" s="8" t="s">
        <v>31</v>
      </c>
      <c r="B2" s="8" t="s">
        <v>32</v>
      </c>
      <c r="C2" s="9">
        <v>0.55000000000000004</v>
      </c>
      <c r="D2" s="9">
        <v>0.05</v>
      </c>
      <c r="E2" s="8" t="s">
        <v>33</v>
      </c>
    </row>
    <row r="3" spans="1:5">
      <c r="A3" s="8" t="s">
        <v>34</v>
      </c>
      <c r="B3" s="8" t="s">
        <v>32</v>
      </c>
      <c r="C3" s="9">
        <v>0.5</v>
      </c>
      <c r="D3" s="9">
        <v>0.04</v>
      </c>
      <c r="E3" s="8" t="s">
        <v>35</v>
      </c>
    </row>
    <row r="4" spans="1:5">
      <c r="A4" s="8" t="s">
        <v>36</v>
      </c>
      <c r="B4" s="8" t="s">
        <v>37</v>
      </c>
      <c r="C4" s="9">
        <v>4.0000000000000001E-3</v>
      </c>
      <c r="D4" s="9">
        <v>5.0000000000000001E-4</v>
      </c>
      <c r="E4" s="8" t="s">
        <v>38</v>
      </c>
    </row>
    <row r="5" spans="1:5">
      <c r="A5" s="8" t="s">
        <v>39</v>
      </c>
      <c r="B5" s="8" t="s">
        <v>40</v>
      </c>
      <c r="C5" s="11">
        <v>65</v>
      </c>
      <c r="D5" s="11">
        <v>45</v>
      </c>
      <c r="E5" s="8" t="s">
        <v>41</v>
      </c>
    </row>
    <row r="6" spans="1:5">
      <c r="A6" s="8" t="s">
        <v>42</v>
      </c>
      <c r="B6" s="8" t="s">
        <v>32</v>
      </c>
      <c r="C6" s="9">
        <v>0.02</v>
      </c>
      <c r="D6" s="9">
        <v>0.02</v>
      </c>
      <c r="E6" s="8" t="s">
        <v>43</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8"/>
  <sheetViews>
    <sheetView topLeftCell="A7" zoomScaleNormal="100" workbookViewId="0">
      <selection activeCell="F106" sqref="F106"/>
    </sheetView>
  </sheetViews>
  <sheetFormatPr baseColWidth="10" defaultColWidth="10.5" defaultRowHeight="16"/>
  <cols>
    <col min="1" max="1" width="15.33203125" customWidth="1"/>
    <col min="2" max="2" width="16.33203125" customWidth="1"/>
    <col min="3" max="3" width="12.33203125" customWidth="1"/>
    <col min="4" max="4" width="24.33203125" customWidth="1"/>
    <col min="5" max="5" width="13.6640625" customWidth="1"/>
    <col min="6" max="6" width="19.1640625" customWidth="1"/>
    <col min="7" max="7" width="20" customWidth="1"/>
  </cols>
  <sheetData>
    <row r="1" spans="1:7">
      <c r="A1" s="12" t="s">
        <v>44</v>
      </c>
      <c r="B1" s="13" t="s">
        <v>6</v>
      </c>
    </row>
    <row r="2" spans="1:7">
      <c r="A2" s="12" t="s">
        <v>45</v>
      </c>
      <c r="B2" s="14">
        <v>27</v>
      </c>
    </row>
    <row r="3" spans="1:7">
      <c r="A3" s="12" t="s">
        <v>3</v>
      </c>
      <c r="B3" s="15" t="s">
        <v>7</v>
      </c>
      <c r="D3" s="32" t="s">
        <v>46</v>
      </c>
      <c r="E3" s="33"/>
      <c r="F3" s="34"/>
      <c r="G3" s="44">
        <f>D106</f>
        <v>988.1345207319838</v>
      </c>
    </row>
    <row r="4" spans="1:7">
      <c r="A4" s="12" t="s">
        <v>47</v>
      </c>
      <c r="B4" s="14">
        <v>250000</v>
      </c>
      <c r="D4" s="35"/>
      <c r="E4" s="36"/>
      <c r="F4" s="37"/>
      <c r="G4" s="42"/>
    </row>
    <row r="5" spans="1:7">
      <c r="A5" s="12" t="s">
        <v>48</v>
      </c>
      <c r="B5" s="16">
        <v>0.05</v>
      </c>
      <c r="D5" s="38"/>
      <c r="E5" s="39"/>
      <c r="F5" s="40"/>
      <c r="G5" s="43"/>
    </row>
    <row r="8" spans="1:7">
      <c r="A8" s="17" t="s">
        <v>1</v>
      </c>
      <c r="B8" t="s">
        <v>2</v>
      </c>
      <c r="C8" t="s">
        <v>49</v>
      </c>
      <c r="D8" t="s">
        <v>50</v>
      </c>
      <c r="E8" t="s">
        <v>51</v>
      </c>
      <c r="F8" t="s">
        <v>52</v>
      </c>
      <c r="G8" t="s">
        <v>53</v>
      </c>
    </row>
    <row r="9" spans="1:7">
      <c r="A9">
        <v>1</v>
      </c>
      <c r="B9">
        <f t="shared" ref="B9:B40" si="0">$B$2 +A9 - 1</f>
        <v>27</v>
      </c>
      <c r="C9">
        <f>IF(A9 &lt; 25, INDEX(Mortality_Table_Female!$B$2:$AB$97, MATCH('Premium Calculation'!$B$2, Mortality_Table_Female!$A$2:$A$97, 0), MATCH(A9, Mortality_Table_Female!$B$1:$AB$1, 0)), INDEX(Mortality_Table_Female!$AA$2:$AA$97, MATCH('Premium Calculation'!B9, Mortality_Table_Female!$AB$2:$AB$97, 0)))</f>
        <v>1.2E-4</v>
      </c>
      <c r="D9">
        <v>1</v>
      </c>
      <c r="E9">
        <f t="shared" ref="E9:E40" si="1">1/(1+$B$5)^A9</f>
        <v>0.95238095238095233</v>
      </c>
      <c r="F9">
        <f t="shared" ref="F9:F40" si="2">D9*E9*C9*$B$4</f>
        <v>28.571428571428569</v>
      </c>
      <c r="G9">
        <f t="shared" ref="G9:G40" si="3">D9*(1/(1+$B$5)^(A9-1))</f>
        <v>1</v>
      </c>
    </row>
    <row r="10" spans="1:7">
      <c r="A10">
        <f t="shared" ref="A10:A41" si="4">A9+1</f>
        <v>2</v>
      </c>
      <c r="B10">
        <f t="shared" si="0"/>
        <v>28</v>
      </c>
      <c r="C10">
        <f>IF(A10 &lt; 25, INDEX(Mortality_Table_Female!$B$2:$AB$97, MATCH('Premium Calculation'!$B$2, Mortality_Table_Female!$A$2:$A$97, 0), MATCH(A10, Mortality_Table_Female!$B$1:$AB$1, 0)), INDEX(Mortality_Table_Female!$AA$2:$AA$97, MATCH('Premium Calculation'!B10, Mortality_Table_Female!$AB$2:$AB$97, 0)))</f>
        <v>1.7000000000000001E-4</v>
      </c>
      <c r="D10">
        <f t="shared" ref="D10:D41" si="5">D9*(1-C9)</f>
        <v>0.99987999999999999</v>
      </c>
      <c r="E10">
        <f t="shared" si="1"/>
        <v>0.90702947845804982</v>
      </c>
      <c r="F10">
        <f t="shared" si="2"/>
        <v>38.544126984126976</v>
      </c>
      <c r="G10">
        <f t="shared" si="3"/>
        <v>0.95226666666666659</v>
      </c>
    </row>
    <row r="11" spans="1:7">
      <c r="A11">
        <f t="shared" si="4"/>
        <v>3</v>
      </c>
      <c r="B11">
        <f t="shared" si="0"/>
        <v>29</v>
      </c>
      <c r="C11">
        <f>IF(A11 &lt; 25, INDEX(Mortality_Table_Female!$B$2:$AB$97, MATCH('Premium Calculation'!$B$2, Mortality_Table_Female!$A$2:$A$97, 0), MATCH(A11, Mortality_Table_Female!$B$1:$AB$1, 0)), INDEX(Mortality_Table_Female!$AA$2:$AA$97, MATCH('Premium Calculation'!B11, Mortality_Table_Female!$AB$2:$AB$97, 0)))</f>
        <v>2.0000000000000001E-4</v>
      </c>
      <c r="D11">
        <f t="shared" si="5"/>
        <v>0.99971002040000001</v>
      </c>
      <c r="E11">
        <f t="shared" si="1"/>
        <v>0.86383759853147601</v>
      </c>
      <c r="F11">
        <f t="shared" si="2"/>
        <v>43.179355162509452</v>
      </c>
      <c r="G11">
        <f t="shared" si="3"/>
        <v>0.90676645841269832</v>
      </c>
    </row>
    <row r="12" spans="1:7">
      <c r="A12">
        <f t="shared" si="4"/>
        <v>4</v>
      </c>
      <c r="B12">
        <f t="shared" si="0"/>
        <v>30</v>
      </c>
      <c r="C12">
        <f>IF(A12 &lt; 25, INDEX(Mortality_Table_Female!$B$2:$AB$97, MATCH('Premium Calculation'!$B$2, Mortality_Table_Female!$A$2:$A$97, 0), MATCH(A12, Mortality_Table_Female!$B$1:$AB$1, 0)), INDEX(Mortality_Table_Female!$AA$2:$AA$97, MATCH('Premium Calculation'!B12, Mortality_Table_Female!$AB$2:$AB$97, 0)))</f>
        <v>2.2000000000000001E-4</v>
      </c>
      <c r="D12">
        <f t="shared" si="5"/>
        <v>0.99951007839591999</v>
      </c>
      <c r="E12">
        <f t="shared" si="1"/>
        <v>0.82270247479188197</v>
      </c>
      <c r="F12">
        <f t="shared" si="2"/>
        <v>45.226467829166324</v>
      </c>
      <c r="G12">
        <f t="shared" si="3"/>
        <v>0.86341438582953889</v>
      </c>
    </row>
    <row r="13" spans="1:7">
      <c r="A13">
        <f t="shared" si="4"/>
        <v>5</v>
      </c>
      <c r="B13">
        <f t="shared" si="0"/>
        <v>31</v>
      </c>
      <c r="C13">
        <f>IF(A13 &lt; 25, INDEX(Mortality_Table_Female!$B$2:$AB$97, MATCH('Premium Calculation'!$B$2, Mortality_Table_Female!$A$2:$A$97, 0), MATCH(A13, Mortality_Table_Female!$B$1:$AB$1, 0)), INDEX(Mortality_Table_Female!$AA$2:$AA$97, MATCH('Premium Calculation'!B13, Mortality_Table_Female!$AB$2:$AB$97, 0)))</f>
        <v>2.5999999999999998E-4</v>
      </c>
      <c r="D13">
        <f t="shared" si="5"/>
        <v>0.99929018617867293</v>
      </c>
      <c r="E13">
        <f t="shared" si="1"/>
        <v>0.78352616646845896</v>
      </c>
      <c r="F13">
        <f t="shared" si="2"/>
        <v>50.893050569798334</v>
      </c>
      <c r="G13">
        <f t="shared" si="3"/>
        <v>0.82211850920443474</v>
      </c>
    </row>
    <row r="14" spans="1:7">
      <c r="A14">
        <f t="shared" si="4"/>
        <v>6</v>
      </c>
      <c r="B14">
        <f t="shared" si="0"/>
        <v>32</v>
      </c>
      <c r="C14">
        <f>IF(A14 &lt; 25, INDEX(Mortality_Table_Female!$B$2:$AB$97, MATCH('Premium Calculation'!$B$2, Mortality_Table_Female!$A$2:$A$97, 0), MATCH(A14, Mortality_Table_Female!$B$1:$AB$1, 0)), INDEX(Mortality_Table_Female!$AA$2:$AA$97, MATCH('Premium Calculation'!B14, Mortality_Table_Female!$AB$2:$AB$97, 0)))</f>
        <v>2.9E-4</v>
      </c>
      <c r="D14">
        <f t="shared" si="5"/>
        <v>0.99903037073026646</v>
      </c>
      <c r="E14">
        <f t="shared" si="1"/>
        <v>0.74621539663662761</v>
      </c>
      <c r="F14">
        <f t="shared" si="2"/>
        <v>54.048158715122916</v>
      </c>
      <c r="G14">
        <f t="shared" si="3"/>
        <v>0.78276643656384903</v>
      </c>
    </row>
    <row r="15" spans="1:7">
      <c r="A15">
        <f t="shared" si="4"/>
        <v>7</v>
      </c>
      <c r="B15">
        <f t="shared" si="0"/>
        <v>33</v>
      </c>
      <c r="C15">
        <f>IF(A15 &lt; 25, INDEX(Mortality_Table_Female!$B$2:$AB$97, MATCH('Premium Calculation'!$B$2, Mortality_Table_Female!$A$2:$A$97, 0), MATCH(A15, Mortality_Table_Female!$B$1:$AB$1, 0)), INDEX(Mortality_Table_Female!$AA$2:$AA$97, MATCH('Premium Calculation'!B15, Mortality_Table_Female!$AB$2:$AB$97, 0)))</f>
        <v>3.4000000000000002E-4</v>
      </c>
      <c r="D15">
        <f t="shared" si="5"/>
        <v>0.99874065192275463</v>
      </c>
      <c r="E15">
        <f t="shared" si="1"/>
        <v>0.71068133013012147</v>
      </c>
      <c r="F15">
        <f t="shared" si="2"/>
        <v>60.331838471896475</v>
      </c>
      <c r="G15">
        <f t="shared" si="3"/>
        <v>0.74527565171166243</v>
      </c>
    </row>
    <row r="16" spans="1:7">
      <c r="A16">
        <f t="shared" si="4"/>
        <v>8</v>
      </c>
      <c r="B16">
        <f t="shared" si="0"/>
        <v>34</v>
      </c>
      <c r="C16">
        <f>IF(A16 &lt; 25, INDEX(Mortality_Table_Female!$B$2:$AB$97, MATCH('Premium Calculation'!$B$2, Mortality_Table_Female!$A$2:$A$97, 0), MATCH(A16, Mortality_Table_Female!$B$1:$AB$1, 0)), INDEX(Mortality_Table_Female!$AA$2:$AA$97, MATCH('Premium Calculation'!B16, Mortality_Table_Female!$AB$2:$AB$97, 0)))</f>
        <v>4.0000000000000002E-4</v>
      </c>
      <c r="D16">
        <f t="shared" si="5"/>
        <v>0.99840108010110085</v>
      </c>
      <c r="E16">
        <f t="shared" si="1"/>
        <v>0.67683936202868722</v>
      </c>
      <c r="F16">
        <f t="shared" si="2"/>
        <v>67.575715010438131</v>
      </c>
      <c r="G16">
        <f t="shared" si="3"/>
        <v>0.70954500760960026</v>
      </c>
    </row>
    <row r="17" spans="1:7">
      <c r="A17">
        <f t="shared" si="4"/>
        <v>9</v>
      </c>
      <c r="B17">
        <f t="shared" si="0"/>
        <v>35</v>
      </c>
      <c r="C17">
        <f>IF(A17 &lt; 25, INDEX(Mortality_Table_Female!$B$2:$AB$97, MATCH('Premium Calculation'!$B$2, Mortality_Table_Female!$A$2:$A$97, 0), MATCH(A17, Mortality_Table_Female!$B$1:$AB$1, 0)), INDEX(Mortality_Table_Female!$AA$2:$AA$97, MATCH('Premium Calculation'!B17, Mortality_Table_Female!$AB$2:$AB$97, 0)))</f>
        <v>4.6999999999999999E-4</v>
      </c>
      <c r="D17">
        <f t="shared" si="5"/>
        <v>0.99800171966906048</v>
      </c>
      <c r="E17">
        <f t="shared" si="1"/>
        <v>0.64460891621779726</v>
      </c>
      <c r="F17">
        <f t="shared" si="2"/>
        <v>75.590194810676095</v>
      </c>
      <c r="G17">
        <f t="shared" si="3"/>
        <v>0.67548684724433961</v>
      </c>
    </row>
    <row r="18" spans="1:7">
      <c r="A18">
        <f t="shared" si="4"/>
        <v>10</v>
      </c>
      <c r="B18">
        <f t="shared" si="0"/>
        <v>36</v>
      </c>
      <c r="C18">
        <f>IF(A18 &lt; 25, INDEX(Mortality_Table_Female!$B$2:$AB$97, MATCH('Premium Calculation'!$B$2, Mortality_Table_Female!$A$2:$A$97, 0), MATCH(A18, Mortality_Table_Female!$B$1:$AB$1, 0)), INDEX(Mortality_Table_Female!$AA$2:$AA$97, MATCH('Premium Calculation'!B18, Mortality_Table_Female!$AB$2:$AB$97, 0)))</f>
        <v>5.4000000000000001E-4</v>
      </c>
      <c r="D18">
        <f t="shared" si="5"/>
        <v>0.9975326588608161</v>
      </c>
      <c r="E18">
        <f t="shared" si="1"/>
        <v>0.61391325354075932</v>
      </c>
      <c r="F18">
        <f t="shared" si="2"/>
        <v>82.673800215445084</v>
      </c>
      <c r="G18">
        <f t="shared" si="3"/>
        <v>0.64301844612012837</v>
      </c>
    </row>
    <row r="19" spans="1:7">
      <c r="A19">
        <f t="shared" si="4"/>
        <v>11</v>
      </c>
      <c r="B19">
        <f t="shared" si="0"/>
        <v>37</v>
      </c>
      <c r="C19">
        <f>IF(A19 &lt; 25, INDEX(Mortality_Table_Female!$B$2:$AB$97, MATCH('Premium Calculation'!$B$2, Mortality_Table_Female!$A$2:$A$97, 0), MATCH(A19, Mortality_Table_Female!$B$1:$AB$1, 0)), INDEX(Mortality_Table_Female!$AA$2:$AA$97, MATCH('Premium Calculation'!B19, Mortality_Table_Female!$AB$2:$AB$97, 0)))</f>
        <v>6.2E-4</v>
      </c>
      <c r="D19">
        <f t="shared" si="5"/>
        <v>0.9969939912250313</v>
      </c>
      <c r="E19">
        <f t="shared" si="1"/>
        <v>0.5846792890864374</v>
      </c>
      <c r="F19">
        <f t="shared" si="2"/>
        <v>90.352869391999675</v>
      </c>
      <c r="G19">
        <f t="shared" si="3"/>
        <v>0.61206782491354617</v>
      </c>
    </row>
    <row r="20" spans="1:7">
      <c r="A20">
        <f t="shared" si="4"/>
        <v>12</v>
      </c>
      <c r="B20">
        <f t="shared" si="0"/>
        <v>38</v>
      </c>
      <c r="C20">
        <f>IF(A20 &lt; 25, INDEX(Mortality_Table_Female!$B$2:$AB$97, MATCH('Premium Calculation'!$B$2, Mortality_Table_Female!$A$2:$A$97, 0), MATCH(A20, Mortality_Table_Female!$B$1:$AB$1, 0)), INDEX(Mortality_Table_Female!$AA$2:$AA$97, MATCH('Premium Calculation'!B20, Mortality_Table_Female!$AB$2:$AB$97, 0)))</f>
        <v>7.2000000000000005E-4</v>
      </c>
      <c r="D20">
        <f t="shared" si="5"/>
        <v>0.99637585495047187</v>
      </c>
      <c r="E20">
        <f t="shared" si="1"/>
        <v>0.5568374181775595</v>
      </c>
      <c r="F20">
        <f t="shared" si="2"/>
        <v>99.867484548914263</v>
      </c>
      <c r="G20">
        <f t="shared" si="3"/>
        <v>0.58256032653533318</v>
      </c>
    </row>
    <row r="21" spans="1:7">
      <c r="A21">
        <f t="shared" si="4"/>
        <v>13</v>
      </c>
      <c r="B21">
        <f t="shared" si="0"/>
        <v>39</v>
      </c>
      <c r="C21">
        <f>IF(A21 &lt; 25, INDEX(Mortality_Table_Female!$B$2:$AB$97, MATCH('Premium Calculation'!$B$2, Mortality_Table_Female!$A$2:$A$97, 0), MATCH(A21, Mortality_Table_Female!$B$1:$AB$1, 0)), INDEX(Mortality_Table_Female!$AA$2:$AA$97, MATCH('Premium Calculation'!B21, Mortality_Table_Female!$AB$2:$AB$97, 0)))</f>
        <v>8.3000000000000001E-4</v>
      </c>
      <c r="D21">
        <f t="shared" si="5"/>
        <v>0.99565846433490746</v>
      </c>
      <c r="E21">
        <f t="shared" si="1"/>
        <v>0.53032135064529462</v>
      </c>
      <c r="F21">
        <f t="shared" si="2"/>
        <v>109.56393037940792</v>
      </c>
      <c r="G21">
        <f t="shared" si="3"/>
        <v>0.55441988866688352</v>
      </c>
    </row>
    <row r="22" spans="1:7">
      <c r="A22">
        <f t="shared" si="4"/>
        <v>14</v>
      </c>
      <c r="B22">
        <f t="shared" si="0"/>
        <v>40</v>
      </c>
      <c r="C22">
        <f>IF(A22 &lt; 25, INDEX(Mortality_Table_Female!$B$2:$AB$97, MATCH('Premium Calculation'!$B$2, Mortality_Table_Female!$A$2:$A$97, 0), MATCH(A22, Mortality_Table_Female!$B$1:$AB$1, 0)), INDEX(Mortality_Table_Female!$AA$2:$AA$97, MATCH('Premium Calculation'!B22, Mortality_Table_Female!$AB$2:$AB$97, 0)))</f>
        <v>9.2000000000000003E-4</v>
      </c>
      <c r="D22">
        <f t="shared" si="5"/>
        <v>0.9948320678095095</v>
      </c>
      <c r="E22">
        <f t="shared" si="1"/>
        <v>0.50506795299551888</v>
      </c>
      <c r="F22">
        <f t="shared" si="2"/>
        <v>115.5652930944551</v>
      </c>
      <c r="G22">
        <f t="shared" si="3"/>
        <v>0.52758068586599038</v>
      </c>
    </row>
    <row r="23" spans="1:7">
      <c r="A23">
        <f t="shared" si="4"/>
        <v>15</v>
      </c>
      <c r="B23">
        <f t="shared" si="0"/>
        <v>41</v>
      </c>
      <c r="C23">
        <f>IF(A23 &lt; 25, INDEX(Mortality_Table_Female!$B$2:$AB$97, MATCH('Premium Calculation'!$B$2, Mortality_Table_Female!$A$2:$A$97, 0), MATCH(A23, Mortality_Table_Female!$B$1:$AB$1, 0)), INDEX(Mortality_Table_Female!$AA$2:$AA$97, MATCH('Premium Calculation'!B23, Mortality_Table_Female!$AB$2:$AB$97, 0)))</f>
        <v>9.8999999999999999E-4</v>
      </c>
      <c r="D23">
        <f t="shared" si="5"/>
        <v>0.99391682230712475</v>
      </c>
      <c r="E23">
        <f t="shared" si="1"/>
        <v>0.48101709809097021</v>
      </c>
      <c r="F23">
        <f t="shared" si="2"/>
        <v>118.32751893846799</v>
      </c>
      <c r="G23">
        <f t="shared" si="3"/>
        <v>0.50199553489047033</v>
      </c>
    </row>
    <row r="24" spans="1:7">
      <c r="A24">
        <f t="shared" si="4"/>
        <v>16</v>
      </c>
      <c r="B24">
        <f t="shared" si="0"/>
        <v>42</v>
      </c>
      <c r="C24">
        <f>IF(A24 &lt; 25, INDEX(Mortality_Table_Female!$B$2:$AB$97, MATCH('Premium Calculation'!$B$2, Mortality_Table_Female!$A$2:$A$97, 0), MATCH(A24, Mortality_Table_Female!$B$1:$AB$1, 0)), INDEX(Mortality_Table_Female!$AA$2:$AA$97, MATCH('Premium Calculation'!B24, Mortality_Table_Female!$AB$2:$AB$97, 0)))</f>
        <v>1.0499999999999999E-3</v>
      </c>
      <c r="D24">
        <f t="shared" si="5"/>
        <v>0.99293284465304066</v>
      </c>
      <c r="E24">
        <f t="shared" si="1"/>
        <v>0.45811152199140021</v>
      </c>
      <c r="F24">
        <f t="shared" si="2"/>
        <v>119.40441888355443</v>
      </c>
      <c r="G24">
        <f t="shared" si="3"/>
        <v>0.47761767553421774</v>
      </c>
    </row>
    <row r="25" spans="1:7">
      <c r="A25">
        <f t="shared" si="4"/>
        <v>17</v>
      </c>
      <c r="B25">
        <f t="shared" si="0"/>
        <v>43</v>
      </c>
      <c r="C25">
        <f>IF(A25 &lt; 25, INDEX(Mortality_Table_Female!$B$2:$AB$97, MATCH('Premium Calculation'!$B$2, Mortality_Table_Female!$A$2:$A$97, 0), MATCH(A25, Mortality_Table_Female!$B$1:$AB$1, 0)), INDEX(Mortality_Table_Female!$AA$2:$AA$97, MATCH('Premium Calculation'!B25, Mortality_Table_Female!$AB$2:$AB$97, 0)))</f>
        <v>1.1299999999999999E-3</v>
      </c>
      <c r="D25">
        <f t="shared" si="5"/>
        <v>0.99189026516615497</v>
      </c>
      <c r="E25">
        <f t="shared" si="1"/>
        <v>0.43629668761085727</v>
      </c>
      <c r="F25">
        <f t="shared" si="2"/>
        <v>122.25425849923913</v>
      </c>
      <c r="G25">
        <f t="shared" si="3"/>
        <v>0.45439635902372078</v>
      </c>
    </row>
    <row r="26" spans="1:7">
      <c r="A26">
        <f t="shared" si="4"/>
        <v>18</v>
      </c>
      <c r="B26">
        <f t="shared" si="0"/>
        <v>44</v>
      </c>
      <c r="C26">
        <f>IF(A26 &lt; 25, INDEX(Mortality_Table_Female!$B$2:$AB$97, MATCH('Premium Calculation'!$B$2, Mortality_Table_Female!$A$2:$A$97, 0), MATCH(A26, Mortality_Table_Female!$B$1:$AB$1, 0)), INDEX(Mortality_Table_Female!$AA$2:$AA$97, MATCH('Premium Calculation'!B26, Mortality_Table_Female!$AB$2:$AB$97, 0)))</f>
        <v>1.23E-3</v>
      </c>
      <c r="D26">
        <f t="shared" si="5"/>
        <v>0.99076942916651722</v>
      </c>
      <c r="E26">
        <f t="shared" si="1"/>
        <v>0.41552065486748313</v>
      </c>
      <c r="F26">
        <f t="shared" si="2"/>
        <v>126.59318732421076</v>
      </c>
      <c r="G26">
        <f t="shared" si="3"/>
        <v>0.43226942013145137</v>
      </c>
    </row>
    <row r="27" spans="1:7">
      <c r="A27">
        <f t="shared" si="4"/>
        <v>19</v>
      </c>
      <c r="B27">
        <f t="shared" si="0"/>
        <v>45</v>
      </c>
      <c r="C27">
        <f>IF(A27 &lt; 25, INDEX(Mortality_Table_Female!$B$2:$AB$97, MATCH('Premium Calculation'!$B$2, Mortality_Table_Female!$A$2:$A$97, 0), MATCH(A27, Mortality_Table_Female!$B$1:$AB$1, 0)), INDEX(Mortality_Table_Female!$AA$2:$AA$97, MATCH('Premium Calculation'!B27, Mortality_Table_Female!$AB$2:$AB$97, 0)))</f>
        <v>1.34E-3</v>
      </c>
      <c r="D27">
        <f t="shared" si="5"/>
        <v>0.9895507827686425</v>
      </c>
      <c r="E27">
        <f t="shared" si="1"/>
        <v>0.39573395701665059</v>
      </c>
      <c r="F27">
        <f t="shared" si="2"/>
        <v>131.18561372287624</v>
      </c>
      <c r="G27">
        <f t="shared" si="3"/>
        <v>0.41117878928065688</v>
      </c>
    </row>
    <row r="28" spans="1:7">
      <c r="A28">
        <f t="shared" si="4"/>
        <v>20</v>
      </c>
      <c r="B28">
        <f t="shared" si="0"/>
        <v>46</v>
      </c>
      <c r="C28">
        <f>IF(A28 &lt; 25, INDEX(Mortality_Table_Female!$B$2:$AB$97, MATCH('Premium Calculation'!$B$2, Mortality_Table_Female!$A$2:$A$97, 0), MATCH(A28, Mortality_Table_Female!$B$1:$AB$1, 0)), INDEX(Mortality_Table_Female!$AA$2:$AA$97, MATCH('Premium Calculation'!B28, Mortality_Table_Female!$AB$2:$AB$97, 0)))</f>
        <v>1.47E-3</v>
      </c>
      <c r="D28">
        <f t="shared" si="5"/>
        <v>0.98822478471973252</v>
      </c>
      <c r="E28">
        <f t="shared" si="1"/>
        <v>0.37688948287300061</v>
      </c>
      <c r="F28">
        <f t="shared" si="2"/>
        <v>136.87593656767359</v>
      </c>
      <c r="G28">
        <f t="shared" si="3"/>
        <v>0.39107410447906743</v>
      </c>
    </row>
    <row r="29" spans="1:7">
      <c r="A29">
        <f t="shared" si="4"/>
        <v>21</v>
      </c>
      <c r="B29">
        <f t="shared" si="0"/>
        <v>47</v>
      </c>
      <c r="C29">
        <f>IF(A29 &lt; 25, INDEX(Mortality_Table_Female!$B$2:$AB$97, MATCH('Premium Calculation'!$B$2, Mortality_Table_Female!$A$2:$A$97, 0), MATCH(A29, Mortality_Table_Female!$B$1:$AB$1, 0)), INDEX(Mortality_Table_Female!$AA$2:$AA$97, MATCH('Premium Calculation'!B29, Mortality_Table_Female!$AB$2:$AB$97, 0)))</f>
        <v>1.6000000000000001E-3</v>
      </c>
      <c r="D29">
        <f t="shared" si="5"/>
        <v>0.9867720942861945</v>
      </c>
      <c r="E29">
        <f t="shared" si="1"/>
        <v>0.35894236464095297</v>
      </c>
      <c r="F29">
        <f t="shared" si="2"/>
        <v>141.67772355391682</v>
      </c>
      <c r="G29">
        <f t="shared" si="3"/>
        <v>0.37190402432903163</v>
      </c>
    </row>
    <row r="30" spans="1:7">
      <c r="A30">
        <f t="shared" si="4"/>
        <v>22</v>
      </c>
      <c r="B30">
        <f t="shared" si="0"/>
        <v>48</v>
      </c>
      <c r="C30">
        <f>IF(A30 &lt; 25, INDEX(Mortality_Table_Female!$B$2:$AB$97, MATCH('Premium Calculation'!$B$2, Mortality_Table_Female!$A$2:$A$97, 0), MATCH(A30, Mortality_Table_Female!$B$1:$AB$1, 0)), INDEX(Mortality_Table_Female!$AA$2:$AA$97, MATCH('Premium Calculation'!B30, Mortality_Table_Female!$AB$2:$AB$97, 0)))</f>
        <v>1.73E-3</v>
      </c>
      <c r="D30">
        <f t="shared" si="5"/>
        <v>0.98519325893533649</v>
      </c>
      <c r="E30">
        <f t="shared" si="1"/>
        <v>0.3418498710866219</v>
      </c>
      <c r="F30">
        <f t="shared" si="2"/>
        <v>145.66089155326122</v>
      </c>
      <c r="G30">
        <f t="shared" si="3"/>
        <v>0.35362759799057636</v>
      </c>
    </row>
    <row r="31" spans="1:7">
      <c r="A31">
        <f t="shared" si="4"/>
        <v>23</v>
      </c>
      <c r="B31">
        <f t="shared" si="0"/>
        <v>49</v>
      </c>
      <c r="C31">
        <f>IF(A31 &lt; 25, INDEX(Mortality_Table_Female!$B$2:$AB$97, MATCH('Premium Calculation'!$B$2, Mortality_Table_Female!$A$2:$A$97, 0), MATCH(A31, Mortality_Table_Female!$B$1:$AB$1, 0)), INDEX(Mortality_Table_Female!$AA$2:$AA$97, MATCH('Premium Calculation'!B31, Mortality_Table_Female!$AB$2:$AB$97, 0)))</f>
        <v>1.8699999999999999E-3</v>
      </c>
      <c r="D31">
        <f t="shared" si="5"/>
        <v>0.98348887459737833</v>
      </c>
      <c r="E31">
        <f t="shared" si="1"/>
        <v>0.32557130579678267</v>
      </c>
      <c r="F31">
        <f t="shared" si="2"/>
        <v>149.69151646261184</v>
      </c>
      <c r="G31">
        <f t="shared" si="3"/>
        <v>0.33620554499624061</v>
      </c>
    </row>
    <row r="32" spans="1:7">
      <c r="A32">
        <f t="shared" si="4"/>
        <v>24</v>
      </c>
      <c r="B32">
        <f t="shared" si="0"/>
        <v>50</v>
      </c>
      <c r="C32">
        <f>IF(A32 &lt; 25, INDEX(Mortality_Table_Female!$B$2:$AB$97, MATCH('Premium Calculation'!$B$2, Mortality_Table_Female!$A$2:$A$97, 0), MATCH(A32, Mortality_Table_Female!$B$1:$AB$1, 0)), INDEX(Mortality_Table_Female!$AA$2:$AA$97, MATCH('Premium Calculation'!B32, Mortality_Table_Female!$AB$2:$AB$97, 0)))</f>
        <v>2.0200000000000001E-3</v>
      </c>
      <c r="D32">
        <f t="shared" si="5"/>
        <v>0.98164975040188118</v>
      </c>
      <c r="E32">
        <f t="shared" si="1"/>
        <v>0.31006791028265024</v>
      </c>
      <c r="F32">
        <f t="shared" si="2"/>
        <v>153.71093380198124</v>
      </c>
      <c r="G32">
        <f t="shared" si="3"/>
        <v>0.31959699107342626</v>
      </c>
    </row>
    <row r="33" spans="1:7">
      <c r="A33">
        <f t="shared" si="4"/>
        <v>25</v>
      </c>
      <c r="B33">
        <f t="shared" si="0"/>
        <v>51</v>
      </c>
      <c r="C33">
        <f>IF(A33 &lt; 25, INDEX(Mortality_Table_Female!$B$2:$AB$97, MATCH('Premium Calculation'!$B$2, Mortality_Table_Female!$A$2:$A$97, 0), MATCH(A33, Mortality_Table_Female!$B$1:$AB$1, 0)), INDEX(Mortality_Table_Female!$AA$2:$AA$97, MATCH('Premium Calculation'!B33, Mortality_Table_Female!$AB$2:$AB$97, 0)))</f>
        <v>2.1900000000000001E-3</v>
      </c>
      <c r="D33">
        <f t="shared" si="5"/>
        <v>0.97966681790606935</v>
      </c>
      <c r="E33">
        <f t="shared" si="1"/>
        <v>0.29530277169776209</v>
      </c>
      <c r="F33">
        <f t="shared" si="2"/>
        <v>158.39083385072402</v>
      </c>
      <c r="G33">
        <f t="shared" si="3"/>
        <v>0.30376324300138857</v>
      </c>
    </row>
    <row r="34" spans="1:7">
      <c r="A34">
        <f t="shared" si="4"/>
        <v>26</v>
      </c>
      <c r="B34">
        <f t="shared" si="0"/>
        <v>52</v>
      </c>
      <c r="C34">
        <f>IF(A34 &lt; 25, INDEX(Mortality_Table_Female!$B$2:$AB$97, MATCH('Premium Calculation'!$B$2, Mortality_Table_Female!$A$2:$A$97, 0), MATCH(A34, Mortality_Table_Female!$B$1:$AB$1, 0)), INDEX(Mortality_Table_Female!$AA$2:$AA$97, MATCH('Premium Calculation'!B34, Mortality_Table_Female!$AB$2:$AB$97, 0)))</f>
        <v>2.3800000000000002E-3</v>
      </c>
      <c r="D34">
        <f t="shared" si="5"/>
        <v>0.97752134757485498</v>
      </c>
      <c r="E34">
        <f t="shared" si="1"/>
        <v>0.28124073495024959</v>
      </c>
      <c r="F34">
        <f t="shared" si="2"/>
        <v>163.5766992217988</v>
      </c>
      <c r="G34">
        <f t="shared" si="3"/>
        <v>0.28866476333258617</v>
      </c>
    </row>
    <row r="35" spans="1:7">
      <c r="A35">
        <f t="shared" si="4"/>
        <v>27</v>
      </c>
      <c r="B35">
        <f t="shared" si="0"/>
        <v>53</v>
      </c>
      <c r="C35">
        <f>IF(A35 &lt; 25, INDEX(Mortality_Table_Female!$B$2:$AB$97, MATCH('Premium Calculation'!$B$2, Mortality_Table_Female!$A$2:$A$97, 0), MATCH(A35, Mortality_Table_Female!$B$1:$AB$1, 0)), INDEX(Mortality_Table_Female!$AA$2:$AA$97, MATCH('Premium Calculation'!B35, Mortality_Table_Female!$AB$2:$AB$97, 0)))</f>
        <v>2.5899999999999999E-3</v>
      </c>
      <c r="D35">
        <f t="shared" si="5"/>
        <v>0.9751948467676268</v>
      </c>
      <c r="E35">
        <f t="shared" si="1"/>
        <v>0.2678483190002377</v>
      </c>
      <c r="F35">
        <f t="shared" si="2"/>
        <v>169.12978451185108</v>
      </c>
      <c r="G35">
        <f t="shared" si="3"/>
        <v>0.27426451542462338</v>
      </c>
    </row>
    <row r="36" spans="1:7">
      <c r="A36">
        <f t="shared" si="4"/>
        <v>28</v>
      </c>
      <c r="B36">
        <f t="shared" si="0"/>
        <v>54</v>
      </c>
      <c r="C36">
        <f>IF(A36 &lt; 25, INDEX(Mortality_Table_Female!$B$2:$AB$97, MATCH('Premium Calculation'!$B$2, Mortality_Table_Female!$A$2:$A$97, 0), MATCH(A36, Mortality_Table_Female!$B$1:$AB$1, 0)), INDEX(Mortality_Table_Female!$AA$2:$AA$97, MATCH('Premium Calculation'!B36, Mortality_Table_Female!$AB$2:$AB$97, 0)))</f>
        <v>2.82E-3</v>
      </c>
      <c r="D36">
        <f t="shared" si="5"/>
        <v>0.9726690921144987</v>
      </c>
      <c r="E36">
        <f t="shared" si="1"/>
        <v>0.25509363714308358</v>
      </c>
      <c r="F36">
        <f t="shared" si="2"/>
        <v>174.92579599312467</v>
      </c>
      <c r="G36">
        <f t="shared" si="3"/>
        <v>0.26052778126635584</v>
      </c>
    </row>
    <row r="37" spans="1:7">
      <c r="A37">
        <f t="shared" si="4"/>
        <v>29</v>
      </c>
      <c r="B37">
        <f t="shared" si="0"/>
        <v>55</v>
      </c>
      <c r="C37">
        <f>IF(A37 &lt; 25, INDEX(Mortality_Table_Female!$B$2:$AB$97, MATCH('Premium Calculation'!$B$2, Mortality_Table_Female!$A$2:$A$97, 0), MATCH(A37, Mortality_Table_Female!$B$1:$AB$1, 0)), INDEX(Mortality_Table_Female!$AA$2:$AA$97, MATCH('Premium Calculation'!B37, Mortality_Table_Female!$AB$2:$AB$97, 0)))</f>
        <v>3.0799999999999998E-3</v>
      </c>
      <c r="D37">
        <f t="shared" si="5"/>
        <v>0.96992616527473574</v>
      </c>
      <c r="E37">
        <f t="shared" si="1"/>
        <v>0.24294632108865097</v>
      </c>
      <c r="F37">
        <f t="shared" si="2"/>
        <v>181.44279505746229</v>
      </c>
      <c r="G37">
        <f t="shared" si="3"/>
        <v>0.24742199326017597</v>
      </c>
    </row>
    <row r="38" spans="1:7">
      <c r="A38">
        <f t="shared" si="4"/>
        <v>30</v>
      </c>
      <c r="B38">
        <f t="shared" si="0"/>
        <v>56</v>
      </c>
      <c r="C38">
        <f>IF(A38 &lt; 25, INDEX(Mortality_Table_Female!$B$2:$AB$97, MATCH('Premium Calculation'!$B$2, Mortality_Table_Female!$A$2:$A$97, 0), MATCH(A38, Mortality_Table_Female!$B$1:$AB$1, 0)), INDEX(Mortality_Table_Female!$AA$2:$AA$97, MATCH('Premium Calculation'!B38, Mortality_Table_Female!$AB$2:$AB$97, 0)))</f>
        <v>3.3700000000000002E-3</v>
      </c>
      <c r="D38">
        <f t="shared" si="5"/>
        <v>0.96693879268568961</v>
      </c>
      <c r="E38">
        <f t="shared" si="1"/>
        <v>0.23137744865585813</v>
      </c>
      <c r="F38">
        <f t="shared" si="2"/>
        <v>188.4906974978571</v>
      </c>
      <c r="G38">
        <f t="shared" si="3"/>
        <v>0.23491422240089005</v>
      </c>
    </row>
    <row r="39" spans="1:7">
      <c r="A39">
        <f t="shared" si="4"/>
        <v>31</v>
      </c>
      <c r="B39">
        <f t="shared" si="0"/>
        <v>57</v>
      </c>
      <c r="C39">
        <f>IF(A39 &lt; 25, INDEX(Mortality_Table_Female!$B$2:$AB$97, MATCH('Premium Calculation'!$B$2, Mortality_Table_Female!$A$2:$A$97, 0), MATCH(A39, Mortality_Table_Female!$B$1:$AB$1, 0)), INDEX(Mortality_Table_Female!$AA$2:$AA$97, MATCH('Premium Calculation'!B39, Mortality_Table_Female!$AB$2:$AB$97, 0)))</f>
        <v>3.6900000000000001E-3</v>
      </c>
      <c r="D39">
        <f t="shared" si="5"/>
        <v>0.96368020895433881</v>
      </c>
      <c r="E39">
        <f t="shared" si="1"/>
        <v>0.220359474910341</v>
      </c>
      <c r="F39">
        <f t="shared" si="2"/>
        <v>195.89846980259921</v>
      </c>
      <c r="G39">
        <f t="shared" si="3"/>
        <v>0.22297386806799915</v>
      </c>
    </row>
    <row r="40" spans="1:7">
      <c r="A40">
        <f t="shared" si="4"/>
        <v>32</v>
      </c>
      <c r="B40">
        <f t="shared" si="0"/>
        <v>58</v>
      </c>
      <c r="C40">
        <f>IF(A40 &lt; 25, INDEX(Mortality_Table_Female!$B$2:$AB$97, MATCH('Premium Calculation'!$B$2, Mortality_Table_Female!$A$2:$A$97, 0), MATCH(A40, Mortality_Table_Female!$B$1:$AB$1, 0)), INDEX(Mortality_Table_Female!$AA$2:$AA$97, MATCH('Premium Calculation'!B40, Mortality_Table_Female!$AB$2:$AB$97, 0)))</f>
        <v>4.0499999999999998E-3</v>
      </c>
      <c r="D40">
        <f t="shared" si="5"/>
        <v>0.9601242289832973</v>
      </c>
      <c r="E40">
        <f t="shared" si="1"/>
        <v>0.20986616658127716</v>
      </c>
      <c r="F40">
        <f t="shared" si="2"/>
        <v>204.01631127076055</v>
      </c>
      <c r="G40">
        <f t="shared" si="3"/>
        <v>0.2115724709474554</v>
      </c>
    </row>
    <row r="41" spans="1:7">
      <c r="A41">
        <f t="shared" si="4"/>
        <v>33</v>
      </c>
      <c r="B41">
        <f t="shared" ref="B41:B72" si="6">$B$2 +A41 - 1</f>
        <v>59</v>
      </c>
      <c r="C41">
        <f>IF(A41 &lt; 25, INDEX(Mortality_Table_Female!$B$2:$AB$97, MATCH('Premium Calculation'!$B$2, Mortality_Table_Female!$A$2:$A$97, 0), MATCH(A41, Mortality_Table_Female!$B$1:$AB$1, 0)), INDEX(Mortality_Table_Female!$AA$2:$AA$97, MATCH('Premium Calculation'!B41, Mortality_Table_Female!$AB$2:$AB$97, 0)))</f>
        <v>4.4600000000000004E-3</v>
      </c>
      <c r="D41">
        <f t="shared" si="5"/>
        <v>0.95623572585591499</v>
      </c>
      <c r="E41">
        <f t="shared" ref="E41:E72" si="7">1/(1+$B$5)^A41</f>
        <v>0.19987253960121634</v>
      </c>
      <c r="F41">
        <f t="shared" ref="F41:F72" si="8">D41*E41*C41*$B$4</f>
        <v>213.10466822742117</v>
      </c>
      <c r="G41">
        <f t="shared" ref="G41:G72" si="9">D41*(1/(1+$B$5)^(A41-1))</f>
        <v>0.20068152613344592</v>
      </c>
    </row>
    <row r="42" spans="1:7">
      <c r="A42">
        <f t="shared" ref="A42:A73" si="10">A41+1</f>
        <v>34</v>
      </c>
      <c r="B42">
        <f t="shared" si="6"/>
        <v>60</v>
      </c>
      <c r="C42">
        <f>IF(A42 &lt; 25, INDEX(Mortality_Table_Female!$B$2:$AB$97, MATCH('Premium Calculation'!$B$2, Mortality_Table_Female!$A$2:$A$97, 0), MATCH(A42, Mortality_Table_Female!$B$1:$AB$1, 0)), INDEX(Mortality_Table_Female!$AA$2:$AA$97, MATCH('Premium Calculation'!B42, Mortality_Table_Female!$AB$2:$AB$97, 0)))</f>
        <v>4.9300000000000004E-3</v>
      </c>
      <c r="D42">
        <f t="shared" ref="D42:D73" si="11">D41*(1-C41)</f>
        <v>0.95197091451859761</v>
      </c>
      <c r="E42">
        <f t="shared" si="7"/>
        <v>0.19035479962020604</v>
      </c>
      <c r="F42">
        <f t="shared" si="8"/>
        <v>223.34407677495955</v>
      </c>
      <c r="G42">
        <f t="shared" si="9"/>
        <v>0.19027284431132455</v>
      </c>
    </row>
    <row r="43" spans="1:7">
      <c r="A43">
        <f t="shared" si="10"/>
        <v>35</v>
      </c>
      <c r="B43">
        <f t="shared" si="6"/>
        <v>61</v>
      </c>
      <c r="C43">
        <f>IF(A43 &lt; 25, INDEX(Mortality_Table_Female!$B$2:$AB$97, MATCH('Premium Calculation'!$B$2, Mortality_Table_Female!$A$2:$A$97, 0), MATCH(A43, Mortality_Table_Female!$B$1:$AB$1, 0)), INDEX(Mortality_Table_Female!$AA$2:$AA$97, MATCH('Premium Calculation'!B43, Mortality_Table_Female!$AB$2:$AB$97, 0)))</f>
        <v>5.4599999999999996E-3</v>
      </c>
      <c r="D43">
        <f t="shared" si="11"/>
        <v>0.94727769791002092</v>
      </c>
      <c r="E43">
        <f t="shared" si="7"/>
        <v>0.18129028535257716</v>
      </c>
      <c r="F43">
        <f t="shared" si="8"/>
        <v>234.41451328145772</v>
      </c>
      <c r="G43">
        <f t="shared" si="9"/>
        <v>0.18031885637035211</v>
      </c>
    </row>
    <row r="44" spans="1:7">
      <c r="A44">
        <f t="shared" si="10"/>
        <v>36</v>
      </c>
      <c r="B44">
        <f t="shared" si="6"/>
        <v>62</v>
      </c>
      <c r="C44">
        <f>IF(A44 &lt; 25, INDEX(Mortality_Table_Female!$B$2:$AB$97, MATCH('Premium Calculation'!$B$2, Mortality_Table_Female!$A$2:$A$97, 0), MATCH(A44, Mortality_Table_Female!$B$1:$AB$1, 0)), INDEX(Mortality_Table_Female!$AA$2:$AA$97, MATCH('Premium Calculation'!B44, Mortality_Table_Female!$AB$2:$AB$97, 0)))</f>
        <v>6.0499999999999998E-3</v>
      </c>
      <c r="D44">
        <f t="shared" si="11"/>
        <v>0.94210556167943216</v>
      </c>
      <c r="E44">
        <f t="shared" si="7"/>
        <v>0.17265741462150208</v>
      </c>
      <c r="F44">
        <f t="shared" si="8"/>
        <v>246.02553475241459</v>
      </c>
      <c r="G44">
        <f t="shared" si="9"/>
        <v>0.17079458610911424</v>
      </c>
    </row>
    <row r="45" spans="1:7">
      <c r="A45">
        <f t="shared" si="10"/>
        <v>37</v>
      </c>
      <c r="B45">
        <f t="shared" si="6"/>
        <v>63</v>
      </c>
      <c r="C45">
        <f>IF(A45 &lt; 25, INDEX(Mortality_Table_Female!$B$2:$AB$97, MATCH('Premium Calculation'!$B$2, Mortality_Table_Female!$A$2:$A$97, 0), MATCH(A45, Mortality_Table_Female!$B$1:$AB$1, 0)), INDEX(Mortality_Table_Female!$AA$2:$AA$97, MATCH('Premium Calculation'!B45, Mortality_Table_Female!$AB$2:$AB$97, 0)))</f>
        <v>6.7200000000000003E-3</v>
      </c>
      <c r="D45">
        <f t="shared" si="11"/>
        <v>0.93640582303127162</v>
      </c>
      <c r="E45">
        <f t="shared" si="7"/>
        <v>0.1644356329728591</v>
      </c>
      <c r="F45">
        <f t="shared" si="8"/>
        <v>258.68385350575863</v>
      </c>
      <c r="G45">
        <f t="shared" si="9"/>
        <v>0.16167740844109918</v>
      </c>
    </row>
    <row r="46" spans="1:7">
      <c r="A46">
        <f t="shared" si="10"/>
        <v>38</v>
      </c>
      <c r="B46">
        <f t="shared" si="6"/>
        <v>64</v>
      </c>
      <c r="C46">
        <f>IF(A46 &lt; 25, INDEX(Mortality_Table_Female!$B$2:$AB$97, MATCH('Premium Calculation'!$B$2, Mortality_Table_Female!$A$2:$A$97, 0), MATCH(A46, Mortality_Table_Female!$B$1:$AB$1, 0)), INDEX(Mortality_Table_Female!$AA$2:$AA$97, MATCH('Premium Calculation'!B46, Mortality_Table_Female!$AB$2:$AB$97, 0)))</f>
        <v>7.4700000000000001E-3</v>
      </c>
      <c r="D46">
        <f t="shared" si="11"/>
        <v>0.93011317590050158</v>
      </c>
      <c r="E46">
        <f t="shared" si="7"/>
        <v>0.15660536473605632</v>
      </c>
      <c r="F46">
        <f t="shared" si="8"/>
        <v>272.02138182202299</v>
      </c>
      <c r="G46">
        <f t="shared" si="9"/>
        <v>0.15294374881559522</v>
      </c>
    </row>
    <row r="47" spans="1:7">
      <c r="A47">
        <f t="shared" si="10"/>
        <v>39</v>
      </c>
      <c r="B47">
        <f t="shared" si="6"/>
        <v>65</v>
      </c>
      <c r="C47">
        <f>IF(A47 &lt; 25, INDEX(Mortality_Table_Female!$B$2:$AB$97, MATCH('Premium Calculation'!$B$2, Mortality_Table_Female!$A$2:$A$97, 0), MATCH(A47, Mortality_Table_Female!$B$1:$AB$1, 0)), INDEX(Mortality_Table_Female!$AA$2:$AA$97, MATCH('Premium Calculation'!B47, Mortality_Table_Female!$AB$2:$AB$97, 0)))</f>
        <v>8.3099999999999997E-3</v>
      </c>
      <c r="D47">
        <f t="shared" si="11"/>
        <v>0.92316523047652488</v>
      </c>
      <c r="E47">
        <f t="shared" si="7"/>
        <v>0.14914796641529171</v>
      </c>
      <c r="F47">
        <f t="shared" si="8"/>
        <v>286.0472703830485</v>
      </c>
      <c r="G47">
        <f t="shared" si="9"/>
        <v>0.14457262763042167</v>
      </c>
    </row>
    <row r="48" spans="1:7">
      <c r="A48">
        <f t="shared" si="10"/>
        <v>40</v>
      </c>
      <c r="B48">
        <f t="shared" si="6"/>
        <v>66</v>
      </c>
      <c r="C48">
        <f>IF(A48 &lt; 25, INDEX(Mortality_Table_Female!$B$2:$AB$97, MATCH('Premium Calculation'!$B$2, Mortality_Table_Female!$A$2:$A$97, 0), MATCH(A48, Mortality_Table_Female!$B$1:$AB$1, 0)), INDEX(Mortality_Table_Female!$AA$2:$AA$97, MATCH('Premium Calculation'!B48, Mortality_Table_Female!$AB$2:$AB$97, 0)))</f>
        <v>9.2399999999999999E-3</v>
      </c>
      <c r="D48">
        <f t="shared" si="11"/>
        <v>0.91549372741126489</v>
      </c>
      <c r="E48">
        <f t="shared" si="7"/>
        <v>0.14204568230027784</v>
      </c>
      <c r="F48">
        <f t="shared" si="8"/>
        <v>300.39686096056028</v>
      </c>
      <c r="G48">
        <f t="shared" si="9"/>
        <v>0.13654402770934557</v>
      </c>
    </row>
    <row r="49" spans="1:7">
      <c r="A49">
        <f t="shared" si="10"/>
        <v>41</v>
      </c>
      <c r="B49">
        <f t="shared" si="6"/>
        <v>67</v>
      </c>
      <c r="C49">
        <f>IF(A49 &lt; 25, INDEX(Mortality_Table_Female!$B$2:$AB$97, MATCH('Premium Calculation'!$B$2, Mortality_Table_Female!$A$2:$A$97, 0), MATCH(A49, Mortality_Table_Female!$B$1:$AB$1, 0)), INDEX(Mortality_Table_Female!$AA$2:$AA$97, MATCH('Premium Calculation'!B49, Mortality_Table_Female!$AB$2:$AB$97, 0)))</f>
        <v>1.027E-2</v>
      </c>
      <c r="D49">
        <f t="shared" si="11"/>
        <v>0.90703456536998472</v>
      </c>
      <c r="E49">
        <f t="shared" si="7"/>
        <v>0.13528160219074079</v>
      </c>
      <c r="F49">
        <f t="shared" si="8"/>
        <v>315.04531663816459</v>
      </c>
      <c r="G49">
        <f t="shared" si="9"/>
        <v>0.12884034370791544</v>
      </c>
    </row>
    <row r="50" spans="1:7">
      <c r="A50">
        <f t="shared" si="10"/>
        <v>42</v>
      </c>
      <c r="B50">
        <f t="shared" si="6"/>
        <v>68</v>
      </c>
      <c r="C50">
        <f>IF(A50 &lt; 25, INDEX(Mortality_Table_Female!$B$2:$AB$97, MATCH('Premium Calculation'!$B$2, Mortality_Table_Female!$A$2:$A$97, 0), MATCH(A50, Mortality_Table_Female!$B$1:$AB$1, 0)), INDEX(Mortality_Table_Female!$AA$2:$AA$97, MATCH('Premium Calculation'!B50, Mortality_Table_Female!$AB$2:$AB$97, 0)))</f>
        <v>1.141E-2</v>
      </c>
      <c r="D50">
        <f t="shared" si="11"/>
        <v>0.897719320383635</v>
      </c>
      <c r="E50">
        <f t="shared" si="7"/>
        <v>0.12883962113403885</v>
      </c>
      <c r="F50">
        <f t="shared" si="8"/>
        <v>329.92533334317028</v>
      </c>
      <c r="G50">
        <f t="shared" si="9"/>
        <v>0.12144490797908108</v>
      </c>
    </row>
    <row r="51" spans="1:7">
      <c r="A51">
        <f t="shared" si="10"/>
        <v>43</v>
      </c>
      <c r="B51">
        <f t="shared" si="6"/>
        <v>69</v>
      </c>
      <c r="C51">
        <f>IF(A51 &lt; 25, INDEX(Mortality_Table_Female!$B$2:$AB$97, MATCH('Premium Calculation'!$B$2, Mortality_Table_Female!$A$2:$A$97, 0), MATCH(A51, Mortality_Table_Female!$B$1:$AB$1, 0)), INDEX(Mortality_Table_Female!$AA$2:$AA$97, MATCH('Premium Calculation'!B51, Mortality_Table_Female!$AB$2:$AB$97, 0)))</f>
        <v>1.2659999999999999E-2</v>
      </c>
      <c r="D51">
        <f t="shared" si="11"/>
        <v>0.88747634293805766</v>
      </c>
      <c r="E51">
        <f t="shared" si="7"/>
        <v>0.12270440108003698</v>
      </c>
      <c r="F51">
        <f t="shared" si="8"/>
        <v>344.65980616567873</v>
      </c>
      <c r="G51">
        <f t="shared" si="9"/>
        <v>0.11434211578956169</v>
      </c>
    </row>
    <row r="52" spans="1:7">
      <c r="A52">
        <f t="shared" si="10"/>
        <v>44</v>
      </c>
      <c r="B52">
        <f t="shared" si="6"/>
        <v>70</v>
      </c>
      <c r="C52">
        <f>IF(A52 &lt; 25, INDEX(Mortality_Table_Female!$B$2:$AB$97, MATCH('Premium Calculation'!$B$2, Mortality_Table_Female!$A$2:$A$97, 0), MATCH(A52, Mortality_Table_Female!$B$1:$AB$1, 0)), INDEX(Mortality_Table_Female!$AA$2:$AA$97, MATCH('Premium Calculation'!B52, Mortality_Table_Female!$AB$2:$AB$97, 0)))</f>
        <v>1.404E-2</v>
      </c>
      <c r="D52">
        <f t="shared" si="11"/>
        <v>0.87624089243646186</v>
      </c>
      <c r="E52">
        <f t="shared" si="7"/>
        <v>0.11686133436193999</v>
      </c>
      <c r="F52">
        <f t="shared" si="8"/>
        <v>359.41936649330347</v>
      </c>
      <c r="G52">
        <f t="shared" si="9"/>
        <v>0.10751861390825317</v>
      </c>
    </row>
    <row r="53" spans="1:7">
      <c r="A53">
        <f t="shared" si="10"/>
        <v>45</v>
      </c>
      <c r="B53">
        <f t="shared" si="6"/>
        <v>71</v>
      </c>
      <c r="C53">
        <f>IF(A53 &lt; 25, INDEX(Mortality_Table_Female!$B$2:$AB$97, MATCH('Premium Calculation'!$B$2, Mortality_Table_Female!$A$2:$A$97, 0), MATCH(A53, Mortality_Table_Female!$B$1:$AB$1, 0)), INDEX(Mortality_Table_Female!$AA$2:$AA$97, MATCH('Premium Calculation'!B53, Mortality_Table_Female!$AB$2:$AB$97, 0)))</f>
        <v>1.553E-2</v>
      </c>
      <c r="D53">
        <f t="shared" si="11"/>
        <v>0.86393847030665394</v>
      </c>
      <c r="E53">
        <f t="shared" si="7"/>
        <v>0.1112965089161333</v>
      </c>
      <c r="F53">
        <f t="shared" si="8"/>
        <v>373.31532571344201</v>
      </c>
      <c r="G53">
        <f t="shared" si="9"/>
        <v>0.10096100244664885</v>
      </c>
    </row>
    <row r="54" spans="1:7">
      <c r="A54">
        <f t="shared" si="10"/>
        <v>46</v>
      </c>
      <c r="B54">
        <f t="shared" si="6"/>
        <v>72</v>
      </c>
      <c r="C54">
        <f>IF(A54 &lt; 25, INDEX(Mortality_Table_Female!$B$2:$AB$97, MATCH('Premium Calculation'!$B$2, Mortality_Table_Female!$A$2:$A$97, 0), MATCH(A54, Mortality_Table_Female!$B$1:$AB$1, 0)), INDEX(Mortality_Table_Female!$AA$2:$AA$97, MATCH('Premium Calculation'!B54, Mortality_Table_Female!$AB$2:$AB$97, 0)))</f>
        <v>1.7170000000000001E-2</v>
      </c>
      <c r="D54">
        <f t="shared" si="11"/>
        <v>0.85052150586279152</v>
      </c>
      <c r="E54">
        <f t="shared" si="7"/>
        <v>0.10599667515822221</v>
      </c>
      <c r="F54">
        <f t="shared" si="8"/>
        <v>386.97939923139722</v>
      </c>
      <c r="G54">
        <f t="shared" si="9"/>
        <v>9.4660074360621294E-2</v>
      </c>
    </row>
    <row r="55" spans="1:7">
      <c r="A55">
        <f t="shared" si="10"/>
        <v>47</v>
      </c>
      <c r="B55">
        <f t="shared" si="6"/>
        <v>73</v>
      </c>
      <c r="C55">
        <f>IF(A55 &lt; 25, INDEX(Mortality_Table_Female!$B$2:$AB$97, MATCH('Premium Calculation'!$B$2, Mortality_Table_Female!$A$2:$A$97, 0), MATCH(A55, Mortality_Table_Female!$B$1:$AB$1, 0)), INDEX(Mortality_Table_Female!$AA$2:$AA$97, MATCH('Premium Calculation'!B55, Mortality_Table_Female!$AB$2:$AB$97, 0)))</f>
        <v>1.8970000000000001E-2</v>
      </c>
      <c r="D55">
        <f t="shared" si="11"/>
        <v>0.8359180516071274</v>
      </c>
      <c r="E55">
        <f t="shared" si="7"/>
        <v>0.10094921443640208</v>
      </c>
      <c r="F55">
        <f t="shared" si="8"/>
        <v>400.1971460241777</v>
      </c>
      <c r="G55">
        <f t="shared" si="9"/>
        <v>8.8604534175094715E-2</v>
      </c>
    </row>
    <row r="56" spans="1:7">
      <c r="A56">
        <f t="shared" si="10"/>
        <v>48</v>
      </c>
      <c r="B56">
        <f t="shared" si="6"/>
        <v>74</v>
      </c>
      <c r="C56">
        <f>IF(A56 &lt; 25, INDEX(Mortality_Table_Female!$B$2:$AB$97, MATCH('Premium Calculation'!$B$2, Mortality_Table_Female!$A$2:$A$97, 0), MATCH(A56, Mortality_Table_Female!$B$1:$AB$1, 0)), INDEX(Mortality_Table_Female!$AA$2:$AA$97, MATCH('Premium Calculation'!B56, Mortality_Table_Female!$AB$2:$AB$97, 0)))</f>
        <v>2.0979999999999999E-2</v>
      </c>
      <c r="D56">
        <f t="shared" si="11"/>
        <v>0.82006068616814021</v>
      </c>
      <c r="E56">
        <f t="shared" si="7"/>
        <v>9.6142108987049613E-2</v>
      </c>
      <c r="F56">
        <f t="shared" si="8"/>
        <v>413.52819847492526</v>
      </c>
      <c r="G56">
        <f t="shared" si="9"/>
        <v>8.2784482058850611E-2</v>
      </c>
    </row>
    <row r="57" spans="1:7">
      <c r="A57">
        <f t="shared" si="10"/>
        <v>49</v>
      </c>
      <c r="B57">
        <f t="shared" si="6"/>
        <v>75</v>
      </c>
      <c r="C57">
        <f>IF(A57 &lt; 25, INDEX(Mortality_Table_Female!$B$2:$AB$97, MATCH('Premium Calculation'!$B$2, Mortality_Table_Female!$A$2:$A$97, 0), MATCH(A57, Mortality_Table_Female!$B$1:$AB$1, 0)), INDEX(Mortality_Table_Female!$AA$2:$AA$97, MATCH('Premium Calculation'!B57, Mortality_Table_Female!$AB$2:$AB$97, 0)))</f>
        <v>2.325E-2</v>
      </c>
      <c r="D57">
        <f t="shared" si="11"/>
        <v>0.80285581297233266</v>
      </c>
      <c r="E57">
        <f t="shared" si="7"/>
        <v>9.1563913320999626E-2</v>
      </c>
      <c r="F57">
        <f t="shared" si="8"/>
        <v>427.29210414675754</v>
      </c>
      <c r="G57">
        <f t="shared" si="9"/>
        <v>7.718825107167232E-2</v>
      </c>
    </row>
    <row r="58" spans="1:7">
      <c r="A58">
        <f t="shared" si="10"/>
        <v>50</v>
      </c>
      <c r="B58">
        <f t="shared" si="6"/>
        <v>76</v>
      </c>
      <c r="C58">
        <f>IF(A58 &lt; 25, INDEX(Mortality_Table_Female!$B$2:$AB$97, MATCH('Premium Calculation'!$B$2, Mortality_Table_Female!$A$2:$A$97, 0), MATCH(A58, Mortality_Table_Female!$B$1:$AB$1, 0)), INDEX(Mortality_Table_Female!$AA$2:$AA$97, MATCH('Premium Calculation'!B58, Mortality_Table_Female!$AB$2:$AB$97, 0)))</f>
        <v>2.58E-2</v>
      </c>
      <c r="D58">
        <f t="shared" si="11"/>
        <v>0.78418941532072595</v>
      </c>
      <c r="E58">
        <f t="shared" si="7"/>
        <v>8.7203726972380588E-2</v>
      </c>
      <c r="F58">
        <f t="shared" si="8"/>
        <v>441.0783458602728</v>
      </c>
      <c r="G58">
        <f t="shared" si="9"/>
        <v>7.1803451651672331E-2</v>
      </c>
    </row>
    <row r="59" spans="1:7">
      <c r="A59">
        <f t="shared" si="10"/>
        <v>51</v>
      </c>
      <c r="B59">
        <f t="shared" si="6"/>
        <v>77</v>
      </c>
      <c r="C59">
        <f>IF(A59 &lt; 25, INDEX(Mortality_Table_Female!$B$2:$AB$97, MATCH('Premium Calculation'!$B$2, Mortality_Table_Female!$A$2:$A$97, 0), MATCH(A59, Mortality_Table_Female!$B$1:$AB$1, 0)), INDEX(Mortality_Table_Female!$AA$2:$AA$97, MATCH('Premium Calculation'!B59, Mortality_Table_Female!$AB$2:$AB$97, 0)))</f>
        <v>2.8719999999999999E-2</v>
      </c>
      <c r="D59">
        <f t="shared" si="11"/>
        <v>0.76395732840545116</v>
      </c>
      <c r="E59">
        <f t="shared" si="7"/>
        <v>8.3051168545124371E-2</v>
      </c>
      <c r="F59">
        <f t="shared" si="8"/>
        <v>455.55340069047151</v>
      </c>
      <c r="G59">
        <f t="shared" si="9"/>
        <v>6.6619926284818262E-2</v>
      </c>
    </row>
    <row r="60" spans="1:7">
      <c r="A60">
        <f t="shared" si="10"/>
        <v>52</v>
      </c>
      <c r="B60">
        <f t="shared" si="6"/>
        <v>78</v>
      </c>
      <c r="C60">
        <f>IF(A60 &lt; 25, INDEX(Mortality_Table_Female!$B$2:$AB$97, MATCH('Premium Calculation'!$B$2, Mortality_Table_Female!$A$2:$A$97, 0), MATCH(A60, Mortality_Table_Female!$B$1:$AB$1, 0)), INDEX(Mortality_Table_Female!$AA$2:$AA$97, MATCH('Premium Calculation'!B60, Mortality_Table_Female!$AB$2:$AB$97, 0)))</f>
        <v>3.1989999999999998E-2</v>
      </c>
      <c r="D60">
        <f t="shared" si="11"/>
        <v>0.74201647393364667</v>
      </c>
      <c r="E60">
        <f t="shared" si="7"/>
        <v>7.9096350995356543E-2</v>
      </c>
      <c r="F60">
        <f t="shared" si="8"/>
        <v>469.37963674407382</v>
      </c>
      <c r="G60">
        <f t="shared" si="9"/>
        <v>6.1625335239922176E-2</v>
      </c>
    </row>
    <row r="61" spans="1:7">
      <c r="A61">
        <f t="shared" si="10"/>
        <v>53</v>
      </c>
      <c r="B61">
        <f t="shared" si="6"/>
        <v>79</v>
      </c>
      <c r="C61">
        <f>IF(A61 &lt; 25, INDEX(Mortality_Table_Female!$B$2:$AB$97, MATCH('Premium Calculation'!$B$2, Mortality_Table_Female!$A$2:$A$97, 0), MATCH(A61, Mortality_Table_Female!$B$1:$AB$1, 0)), INDEX(Mortality_Table_Female!$AA$2:$AA$97, MATCH('Premium Calculation'!B61, Mortality_Table_Female!$AB$2:$AB$97, 0)))</f>
        <v>3.569E-2</v>
      </c>
      <c r="D61">
        <f t="shared" si="11"/>
        <v>0.71827936693250938</v>
      </c>
      <c r="E61">
        <f t="shared" si="7"/>
        <v>7.5329858090815757E-2</v>
      </c>
      <c r="F61">
        <f t="shared" si="8"/>
        <v>482.77758410978669</v>
      </c>
      <c r="G61">
        <f t="shared" si="9"/>
        <v>5.6813276919616254E-2</v>
      </c>
    </row>
    <row r="62" spans="1:7">
      <c r="A62">
        <f t="shared" si="10"/>
        <v>54</v>
      </c>
      <c r="B62">
        <f t="shared" si="6"/>
        <v>80</v>
      </c>
      <c r="C62">
        <f>IF(A62 &lt; 25, INDEX(Mortality_Table_Female!$B$2:$AB$97, MATCH('Premium Calculation'!$B$2, Mortality_Table_Female!$A$2:$A$97, 0), MATCH(A62, Mortality_Table_Female!$B$1:$AB$1, 0)), INDEX(Mortality_Table_Female!$AA$2:$AA$97, MATCH('Premium Calculation'!B62, Mortality_Table_Female!$AB$2:$AB$97, 0)))</f>
        <v>3.986E-2</v>
      </c>
      <c r="D62">
        <f t="shared" si="11"/>
        <v>0.69264397632668817</v>
      </c>
      <c r="E62">
        <f t="shared" si="7"/>
        <v>7.1742721991253117E-2</v>
      </c>
      <c r="F62">
        <f t="shared" si="8"/>
        <v>495.18241657707864</v>
      </c>
      <c r="G62">
        <f t="shared" si="9"/>
        <v>5.217677244414777E-2</v>
      </c>
    </row>
    <row r="63" spans="1:7">
      <c r="A63">
        <f t="shared" si="10"/>
        <v>55</v>
      </c>
      <c r="B63">
        <f t="shared" si="6"/>
        <v>81</v>
      </c>
      <c r="C63">
        <f>IF(A63 &lt; 25, INDEX(Mortality_Table_Female!$B$2:$AB$97, MATCH('Premium Calculation'!$B$2, Mortality_Table_Female!$A$2:$A$97, 0), MATCH(A63, Mortality_Table_Female!$B$1:$AB$1, 0)), INDEX(Mortality_Table_Female!$AA$2:$AA$97, MATCH('Premium Calculation'!B63, Mortality_Table_Female!$AB$2:$AB$97, 0)))</f>
        <v>4.4880000000000003E-2</v>
      </c>
      <c r="D63">
        <f t="shared" si="11"/>
        <v>0.66503518743030643</v>
      </c>
      <c r="E63">
        <f t="shared" si="7"/>
        <v>6.8326401896431521E-2</v>
      </c>
      <c r="F63">
        <f t="shared" si="8"/>
        <v>509.83075793610868</v>
      </c>
      <c r="G63">
        <f t="shared" si="9"/>
        <v>4.7711434566213386E-2</v>
      </c>
    </row>
    <row r="64" spans="1:7">
      <c r="A64">
        <f t="shared" si="10"/>
        <v>56</v>
      </c>
      <c r="B64">
        <f t="shared" si="6"/>
        <v>82</v>
      </c>
      <c r="C64">
        <f>IF(A64 &lt; 25, INDEX(Mortality_Table_Female!$B$2:$AB$97, MATCH('Premium Calculation'!$B$2, Mortality_Table_Female!$A$2:$A$97, 0), MATCH(A64, Mortality_Table_Female!$B$1:$AB$1, 0)), INDEX(Mortality_Table_Female!$AA$2:$AA$97, MATCH('Premium Calculation'!B64, Mortality_Table_Female!$AB$2:$AB$97, 0)))</f>
        <v>5.0599999999999999E-2</v>
      </c>
      <c r="D64">
        <f t="shared" si="11"/>
        <v>0.63518840821843425</v>
      </c>
      <c r="E64">
        <f t="shared" si="7"/>
        <v>6.5072763710887174E-2</v>
      </c>
      <c r="F64">
        <f t="shared" si="8"/>
        <v>522.86833477864286</v>
      </c>
      <c r="G64">
        <f t="shared" si="9"/>
        <v>4.3400138459887348E-2</v>
      </c>
    </row>
    <row r="65" spans="1:7">
      <c r="A65">
        <f t="shared" si="10"/>
        <v>57</v>
      </c>
      <c r="B65">
        <f t="shared" si="6"/>
        <v>83</v>
      </c>
      <c r="C65">
        <f>IF(A65 &lt; 25, INDEX(Mortality_Table_Female!$B$2:$AB$97, MATCH('Premium Calculation'!$B$2, Mortality_Table_Female!$A$2:$A$97, 0), MATCH(A65, Mortality_Table_Female!$B$1:$AB$1, 0)), INDEX(Mortality_Table_Female!$AA$2:$AA$97, MATCH('Premium Calculation'!B65, Mortality_Table_Female!$AB$2:$AB$97, 0)))</f>
        <v>5.704E-2</v>
      </c>
      <c r="D65">
        <f t="shared" si="11"/>
        <v>0.60304787476258148</v>
      </c>
      <c r="E65">
        <f t="shared" si="7"/>
        <v>6.1974060677035397E-2</v>
      </c>
      <c r="F65">
        <f t="shared" si="8"/>
        <v>532.94362279494885</v>
      </c>
      <c r="G65">
        <f t="shared" si="9"/>
        <v>3.9241991860778147E-2</v>
      </c>
    </row>
    <row r="66" spans="1:7">
      <c r="A66">
        <f t="shared" si="10"/>
        <v>58</v>
      </c>
      <c r="B66">
        <f t="shared" si="6"/>
        <v>84</v>
      </c>
      <c r="C66">
        <f>IF(A66 &lt; 25, INDEX(Mortality_Table_Female!$B$2:$AB$97, MATCH('Premium Calculation'!$B$2, Mortality_Table_Female!$A$2:$A$97, 0), MATCH(A66, Mortality_Table_Female!$B$1:$AB$1, 0)), INDEX(Mortality_Table_Female!$AA$2:$AA$97, MATCH('Premium Calculation'!B66, Mortality_Table_Female!$AB$2:$AB$97, 0)))</f>
        <v>6.4490000000000006E-2</v>
      </c>
      <c r="D66">
        <f t="shared" si="11"/>
        <v>0.56865002398612385</v>
      </c>
      <c r="E66">
        <f t="shared" si="7"/>
        <v>5.9022914930509894E-2</v>
      </c>
      <c r="F66">
        <f t="shared" si="8"/>
        <v>541.12562614933972</v>
      </c>
      <c r="G66">
        <f t="shared" si="9"/>
        <v>3.5241551090513676E-2</v>
      </c>
    </row>
    <row r="67" spans="1:7">
      <c r="A67">
        <f t="shared" si="10"/>
        <v>59</v>
      </c>
      <c r="B67">
        <f t="shared" si="6"/>
        <v>85</v>
      </c>
      <c r="C67">
        <f>IF(A67 &lt; 25, INDEX(Mortality_Table_Female!$B$2:$AB$97, MATCH('Premium Calculation'!$B$2, Mortality_Table_Female!$A$2:$A$97, 0), MATCH(A67, Mortality_Table_Female!$B$1:$AB$1, 0)), INDEX(Mortality_Table_Female!$AA$2:$AA$97, MATCH('Premium Calculation'!B67, Mortality_Table_Female!$AB$2:$AB$97, 0)))</f>
        <v>7.2980000000000003E-2</v>
      </c>
      <c r="D67">
        <f t="shared" si="11"/>
        <v>0.53197778393925865</v>
      </c>
      <c r="E67">
        <f t="shared" si="7"/>
        <v>5.6212299933818946E-2</v>
      </c>
      <c r="F67">
        <f t="shared" si="8"/>
        <v>545.59291069408084</v>
      </c>
      <c r="G67">
        <f t="shared" si="9"/>
        <v>3.1398879486368034E-2</v>
      </c>
    </row>
    <row r="68" spans="1:7">
      <c r="A68">
        <f t="shared" si="10"/>
        <v>60</v>
      </c>
      <c r="B68">
        <f t="shared" si="6"/>
        <v>86</v>
      </c>
      <c r="C68">
        <f>IF(A68 &lt; 25, INDEX(Mortality_Table_Female!$B$2:$AB$97, MATCH('Premium Calculation'!$B$2, Mortality_Table_Female!$A$2:$A$97, 0), MATCH(A68, Mortality_Table_Female!$B$1:$AB$1, 0)), INDEX(Mortality_Table_Female!$AA$2:$AA$97, MATCH('Premium Calculation'!B68, Mortality_Table_Female!$AB$2:$AB$97, 0)))</f>
        <v>8.2710000000000006E-2</v>
      </c>
      <c r="D68">
        <f t="shared" si="11"/>
        <v>0.49315404526737155</v>
      </c>
      <c r="E68">
        <f t="shared" si="7"/>
        <v>5.3535523746494243E-2</v>
      </c>
      <c r="F68">
        <f t="shared" si="8"/>
        <v>545.91205574031051</v>
      </c>
      <c r="G68">
        <f t="shared" si="9"/>
        <v>2.7721323106145616E-2</v>
      </c>
    </row>
    <row r="69" spans="1:7">
      <c r="A69">
        <f t="shared" si="10"/>
        <v>61</v>
      </c>
      <c r="B69">
        <f t="shared" si="6"/>
        <v>87</v>
      </c>
      <c r="C69">
        <f>IF(A69 &lt; 25, INDEX(Mortality_Table_Female!$B$2:$AB$97, MATCH('Premium Calculation'!$B$2, Mortality_Table_Female!$A$2:$A$97, 0), MATCH(A69, Mortality_Table_Female!$B$1:$AB$1, 0)), INDEX(Mortality_Table_Female!$AA$2:$AA$97, MATCH('Premium Calculation'!B69, Mortality_Table_Female!$AB$2:$AB$97, 0)))</f>
        <v>9.3240000000000003E-2</v>
      </c>
      <c r="D69">
        <f t="shared" si="11"/>
        <v>0.45236527418330724</v>
      </c>
      <c r="E69">
        <f t="shared" si="7"/>
        <v>5.0986213091899268E-2</v>
      </c>
      <c r="F69">
        <f t="shared" si="8"/>
        <v>537.63098369448198</v>
      </c>
      <c r="G69">
        <f t="shared" si="9"/>
        <v>2.4217611878129822E-2</v>
      </c>
    </row>
    <row r="70" spans="1:7">
      <c r="A70">
        <f t="shared" si="10"/>
        <v>62</v>
      </c>
      <c r="B70">
        <f t="shared" si="6"/>
        <v>88</v>
      </c>
      <c r="C70">
        <f>IF(A70 &lt; 25, INDEX(Mortality_Table_Female!$B$2:$AB$97, MATCH('Premium Calculation'!$B$2, Mortality_Table_Female!$A$2:$A$97, 0), MATCH(A70, Mortality_Table_Female!$B$1:$AB$1, 0)), INDEX(Mortality_Table_Female!$AA$2:$AA$97, MATCH('Premium Calculation'!B70, Mortality_Table_Female!$AB$2:$AB$97, 0)))</f>
        <v>0.10484</v>
      </c>
      <c r="D70">
        <f t="shared" si="11"/>
        <v>0.41018673601845568</v>
      </c>
      <c r="E70">
        <f t="shared" si="7"/>
        <v>4.855829818276123E-2</v>
      </c>
      <c r="F70">
        <f t="shared" si="8"/>
        <v>522.0499894591627</v>
      </c>
      <c r="G70">
        <f t="shared" si="9"/>
        <v>2.0913868330107614E-2</v>
      </c>
    </row>
    <row r="71" spans="1:7">
      <c r="A71">
        <f t="shared" si="10"/>
        <v>63</v>
      </c>
      <c r="B71">
        <f t="shared" si="6"/>
        <v>89</v>
      </c>
      <c r="C71">
        <f>IF(A71 &lt; 25, INDEX(Mortality_Table_Female!$B$2:$AB$97, MATCH('Premium Calculation'!$B$2, Mortality_Table_Female!$A$2:$A$97, 0), MATCH(A71, Mortality_Table_Female!$B$1:$AB$1, 0)), INDEX(Mortality_Table_Female!$AA$2:$AA$97, MATCH('Premium Calculation'!B71, Mortality_Table_Female!$AB$2:$AB$97, 0)))</f>
        <v>0.11754000000000001</v>
      </c>
      <c r="D71">
        <f t="shared" si="11"/>
        <v>0.36718275861428079</v>
      </c>
      <c r="E71">
        <f t="shared" si="7"/>
        <v>4.6245998269296387E-2</v>
      </c>
      <c r="F71">
        <f t="shared" si="8"/>
        <v>498.97884565181937</v>
      </c>
      <c r="G71">
        <f t="shared" si="9"/>
        <v>1.7829769880361085E-2</v>
      </c>
    </row>
    <row r="72" spans="1:7">
      <c r="A72">
        <f t="shared" si="10"/>
        <v>64</v>
      </c>
      <c r="B72">
        <f t="shared" si="6"/>
        <v>90</v>
      </c>
      <c r="C72">
        <f>IF(A72 &lt; 25, INDEX(Mortality_Table_Female!$B$2:$AB$97, MATCH('Premium Calculation'!$B$2, Mortality_Table_Female!$A$2:$A$97, 0), MATCH(A72, Mortality_Table_Female!$B$1:$AB$1, 0)), INDEX(Mortality_Table_Female!$AA$2:$AA$97, MATCH('Premium Calculation'!B72, Mortality_Table_Female!$AB$2:$AB$97, 0)))</f>
        <v>0.13125000000000001</v>
      </c>
      <c r="D72">
        <f t="shared" si="11"/>
        <v>0.32402409716675823</v>
      </c>
      <c r="E72">
        <f t="shared" si="7"/>
        <v>4.4043807875520369E-2</v>
      </c>
      <c r="F72">
        <f t="shared" si="8"/>
        <v>468.27555739950702</v>
      </c>
      <c r="G72">
        <f t="shared" si="9"/>
        <v>1.4984817836784226E-2</v>
      </c>
    </row>
    <row r="73" spans="1:7">
      <c r="A73">
        <f t="shared" si="10"/>
        <v>65</v>
      </c>
      <c r="B73">
        <f t="shared" ref="B73:B104" si="12">$B$2 +A73 - 1</f>
        <v>91</v>
      </c>
      <c r="C73">
        <f>IF(A73 &lt; 25, INDEX(Mortality_Table_Female!$B$2:$AB$97, MATCH('Premium Calculation'!$B$2, Mortality_Table_Female!$A$2:$A$97, 0), MATCH(A73, Mortality_Table_Female!$B$1:$AB$1, 0)), INDEX(Mortality_Table_Female!$AA$2:$AA$97, MATCH('Premium Calculation'!B73, Mortality_Table_Female!$AB$2:$AB$97, 0)))</f>
        <v>0.14560000000000001</v>
      </c>
      <c r="D73">
        <f t="shared" si="11"/>
        <v>0.2814959344136212</v>
      </c>
      <c r="E73">
        <f t="shared" ref="E73:E102" si="13">1/(1+$B$5)^A73</f>
        <v>4.1946483690971779E-2</v>
      </c>
      <c r="F73">
        <f t="shared" ref="F73:F104" si="14">D73*E73*C73*$B$4</f>
        <v>429.80263223919201</v>
      </c>
      <c r="G73">
        <f t="shared" ref="G73:G102" si="15">D73*(1/(1+$B$5)^(A73-1))</f>
        <v>1.2398152853053615E-2</v>
      </c>
    </row>
    <row r="74" spans="1:7">
      <c r="A74">
        <f t="shared" ref="A74:A102" si="16">A73+1</f>
        <v>66</v>
      </c>
      <c r="B74">
        <f t="shared" si="12"/>
        <v>92</v>
      </c>
      <c r="C74">
        <f>IF(A74 &lt; 25, INDEX(Mortality_Table_Female!$B$2:$AB$97, MATCH('Premium Calculation'!$B$2, Mortality_Table_Female!$A$2:$A$97, 0), MATCH(A74, Mortality_Table_Female!$B$1:$AB$1, 0)), INDEX(Mortality_Table_Female!$AA$2:$AA$97, MATCH('Premium Calculation'!B74, Mortality_Table_Female!$AB$2:$AB$97, 0)))</f>
        <v>0.16095000000000001</v>
      </c>
      <c r="D74">
        <f t="shared" ref="D74:D102" si="17">D73*(1-C73)</f>
        <v>0.24051012636299796</v>
      </c>
      <c r="E74">
        <f t="shared" si="13"/>
        <v>3.9949032086639788E-2</v>
      </c>
      <c r="F74">
        <f t="shared" si="14"/>
        <v>386.60780506385669</v>
      </c>
      <c r="G74">
        <f t="shared" si="15"/>
        <v>1.0088554092999056E-2</v>
      </c>
    </row>
    <row r="75" spans="1:7">
      <c r="A75">
        <f t="shared" si="16"/>
        <v>67</v>
      </c>
      <c r="B75">
        <f t="shared" si="12"/>
        <v>93</v>
      </c>
      <c r="C75">
        <f>IF(A75 &lt; 25, INDEX(Mortality_Table_Female!$B$2:$AB$97, MATCH('Premium Calculation'!$B$2, Mortality_Table_Female!$A$2:$A$97, 0), MATCH(A75, Mortality_Table_Female!$B$1:$AB$1, 0)), INDEX(Mortality_Table_Female!$AA$2:$AA$97, MATCH('Premium Calculation'!B75, Mortality_Table_Female!$AB$2:$AB$97, 0)))</f>
        <v>0.17724999999999999</v>
      </c>
      <c r="D75">
        <f t="shared" si="17"/>
        <v>0.20180002152487342</v>
      </c>
      <c r="E75">
        <f t="shared" si="13"/>
        <v>3.8046697225371226E-2</v>
      </c>
      <c r="F75">
        <f t="shared" si="14"/>
        <v>340.22359013702817</v>
      </c>
      <c r="G75">
        <f t="shared" si="15"/>
        <v>8.0617155349817678E-3</v>
      </c>
    </row>
    <row r="76" spans="1:7">
      <c r="A76">
        <f t="shared" si="16"/>
        <v>68</v>
      </c>
      <c r="B76">
        <f t="shared" si="12"/>
        <v>94</v>
      </c>
      <c r="C76">
        <f>IF(A76 &lt; 25, INDEX(Mortality_Table_Female!$B$2:$AB$97, MATCH('Premium Calculation'!$B$2, Mortality_Table_Female!$A$2:$A$97, 0), MATCH(A76, Mortality_Table_Female!$B$1:$AB$1, 0)), INDEX(Mortality_Table_Female!$AA$2:$AA$97, MATCH('Premium Calculation'!B76, Mortality_Table_Female!$AB$2:$AB$97, 0)))</f>
        <v>0.19328999999999999</v>
      </c>
      <c r="D76">
        <f t="shared" si="17"/>
        <v>0.16603096770958961</v>
      </c>
      <c r="E76">
        <f t="shared" si="13"/>
        <v>3.6234949738448791E-2</v>
      </c>
      <c r="F76">
        <f t="shared" si="14"/>
        <v>290.71414087500318</v>
      </c>
      <c r="G76">
        <f t="shared" si="15"/>
        <v>6.3169299584821424E-3</v>
      </c>
    </row>
    <row r="77" spans="1:7">
      <c r="A77">
        <f t="shared" si="16"/>
        <v>69</v>
      </c>
      <c r="B77">
        <f t="shared" si="12"/>
        <v>95</v>
      </c>
      <c r="C77">
        <f>IF(A77 &lt; 25, INDEX(Mortality_Table_Female!$B$2:$AB$97, MATCH('Premium Calculation'!$B$2, Mortality_Table_Female!$A$2:$A$97, 0), MATCH(A77, Mortality_Table_Female!$B$1:$AB$1, 0)), INDEX(Mortality_Table_Female!$AA$2:$AA$97, MATCH('Premium Calculation'!B77, Mortality_Table_Female!$AB$2:$AB$97, 0)))</f>
        <v>0.21031</v>
      </c>
      <c r="D77">
        <f t="shared" si="17"/>
        <v>0.13393884196100303</v>
      </c>
      <c r="E77">
        <f t="shared" si="13"/>
        <v>3.4509475941379798E-2</v>
      </c>
      <c r="F77">
        <f t="shared" si="14"/>
        <v>243.02157766557991</v>
      </c>
      <c r="G77">
        <f t="shared" si="15"/>
        <v>4.8532672064829805E-3</v>
      </c>
    </row>
    <row r="78" spans="1:7">
      <c r="A78">
        <f t="shared" si="16"/>
        <v>70</v>
      </c>
      <c r="B78">
        <f t="shared" si="12"/>
        <v>96</v>
      </c>
      <c r="C78">
        <f>IF(A78 &lt; 25, INDEX(Mortality_Table_Female!$B$2:$AB$97, MATCH('Premium Calculation'!$B$2, Mortality_Table_Female!$A$2:$A$97, 0), MATCH(A78, Mortality_Table_Female!$B$1:$AB$1, 0)), INDEX(Mortality_Table_Female!$AA$2:$AA$97, MATCH('Premium Calculation'!B78, Mortality_Table_Female!$AB$2:$AB$97, 0)))</f>
        <v>0.23144000000000001</v>
      </c>
      <c r="D78">
        <f t="shared" si="17"/>
        <v>0.10577016410818449</v>
      </c>
      <c r="E78">
        <f t="shared" si="13"/>
        <v>3.2866167563218862E-2</v>
      </c>
      <c r="F78">
        <f t="shared" si="14"/>
        <v>201.13639994143983</v>
      </c>
      <c r="G78">
        <f t="shared" si="15"/>
        <v>3.6500729336071858E-3</v>
      </c>
    </row>
    <row r="79" spans="1:7">
      <c r="A79">
        <f t="shared" si="16"/>
        <v>71</v>
      </c>
      <c r="B79">
        <f t="shared" si="12"/>
        <v>97</v>
      </c>
      <c r="C79">
        <f>IF(A79 &lt; 25, INDEX(Mortality_Table_Female!$B$2:$AB$97, MATCH('Premium Calculation'!$B$2, Mortality_Table_Female!$A$2:$A$97, 0), MATCH(A79, Mortality_Table_Female!$B$1:$AB$1, 0)), INDEX(Mortality_Table_Female!$AA$2:$AA$97, MATCH('Premium Calculation'!B79, Mortality_Table_Female!$AB$2:$AB$97, 0)))</f>
        <v>0.25438</v>
      </c>
      <c r="D79">
        <f t="shared" si="17"/>
        <v>8.129071732698627E-2</v>
      </c>
      <c r="E79">
        <f t="shared" si="13"/>
        <v>3.1301111964970339E-2</v>
      </c>
      <c r="F79">
        <f t="shared" si="14"/>
        <v>161.81683167781438</v>
      </c>
      <c r="G79">
        <f t="shared" si="15"/>
        <v>2.6717143370029897E-3</v>
      </c>
    </row>
    <row r="80" spans="1:7">
      <c r="A80">
        <f t="shared" si="16"/>
        <v>72</v>
      </c>
      <c r="B80">
        <f t="shared" si="12"/>
        <v>98</v>
      </c>
      <c r="C80">
        <f>IF(A80 &lt; 25, INDEX(Mortality_Table_Female!$B$2:$AB$97, MATCH('Premium Calculation'!$B$2, Mortality_Table_Female!$A$2:$A$97, 0), MATCH(A80, Mortality_Table_Female!$B$1:$AB$1, 0)), INDEX(Mortality_Table_Female!$AA$2:$AA$97, MATCH('Premium Calculation'!B80, Mortality_Table_Female!$AB$2:$AB$97, 0)))</f>
        <v>0.27907999999999999</v>
      </c>
      <c r="D80">
        <f t="shared" si="17"/>
        <v>6.0611984653347502E-2</v>
      </c>
      <c r="E80">
        <f t="shared" si="13"/>
        <v>2.9810582823781274E-2</v>
      </c>
      <c r="F80">
        <f t="shared" si="14"/>
        <v>126.06591912818311</v>
      </c>
      <c r="G80">
        <f t="shared" si="15"/>
        <v>1.897222518053494E-3</v>
      </c>
    </row>
    <row r="81" spans="1:7">
      <c r="A81">
        <f t="shared" si="16"/>
        <v>73</v>
      </c>
      <c r="B81">
        <f t="shared" si="12"/>
        <v>99</v>
      </c>
      <c r="C81">
        <f>IF(A81 &lt; 25, INDEX(Mortality_Table_Female!$B$2:$AB$97, MATCH('Premium Calculation'!$B$2, Mortality_Table_Female!$A$2:$A$97, 0), MATCH(A81, Mortality_Table_Female!$B$1:$AB$1, 0)), INDEX(Mortality_Table_Female!$AA$2:$AA$97, MATCH('Premium Calculation'!B81, Mortality_Table_Female!$AB$2:$AB$97, 0)))</f>
        <v>0.30508999999999997</v>
      </c>
      <c r="D81">
        <f t="shared" si="17"/>
        <v>4.3696391976291278E-2</v>
      </c>
      <c r="E81">
        <f t="shared" si="13"/>
        <v>2.8391031260744073E-2</v>
      </c>
      <c r="F81">
        <f t="shared" si="14"/>
        <v>94.622567508459738</v>
      </c>
      <c r="G81">
        <f t="shared" si="15"/>
        <v>1.3026149121096427E-3</v>
      </c>
    </row>
    <row r="82" spans="1:7">
      <c r="A82">
        <f t="shared" si="16"/>
        <v>74</v>
      </c>
      <c r="B82">
        <f t="shared" si="12"/>
        <v>100</v>
      </c>
      <c r="C82">
        <f>IF(A82 &lt; 25, INDEX(Mortality_Table_Female!$B$2:$AB$97, MATCH('Premium Calculation'!$B$2, Mortality_Table_Female!$A$2:$A$97, 0), MATCH(A82, Mortality_Table_Female!$B$1:$AB$1, 0)), INDEX(Mortality_Table_Female!$AA$2:$AA$97, MATCH('Premium Calculation'!B82, Mortality_Table_Female!$AB$2:$AB$97, 0)))</f>
        <v>0.33199000000000001</v>
      </c>
      <c r="D82">
        <f t="shared" si="17"/>
        <v>3.0365059748244574E-2</v>
      </c>
      <c r="E82">
        <f t="shared" si="13"/>
        <v>2.7039077391184833E-2</v>
      </c>
      <c r="F82">
        <f t="shared" si="14"/>
        <v>68.144533035219823</v>
      </c>
      <c r="G82">
        <f t="shared" si="15"/>
        <v>8.6209536054677322E-4</v>
      </c>
    </row>
    <row r="83" spans="1:7">
      <c r="A83">
        <f t="shared" si="16"/>
        <v>75</v>
      </c>
      <c r="B83">
        <f t="shared" si="12"/>
        <v>101</v>
      </c>
      <c r="C83">
        <f>IF(A83 &lt; 25, INDEX(Mortality_Table_Female!$B$2:$AB$97, MATCH('Premium Calculation'!$B$2, Mortality_Table_Female!$A$2:$A$97, 0), MATCH(A83, Mortality_Table_Female!$B$1:$AB$1, 0)), INDEX(Mortality_Table_Female!$AA$2:$AA$97, MATCH('Premium Calculation'!B83, Mortality_Table_Female!$AB$2:$AB$97, 0)))</f>
        <v>0.35742000000000002</v>
      </c>
      <c r="D83">
        <f t="shared" si="17"/>
        <v>2.0284163562424858E-2</v>
      </c>
      <c r="E83">
        <f t="shared" si="13"/>
        <v>2.5751502277318886E-2</v>
      </c>
      <c r="F83">
        <f t="shared" si="14"/>
        <v>46.674377319125838</v>
      </c>
      <c r="G83">
        <f t="shared" si="15"/>
        <v>5.4846506837985716E-4</v>
      </c>
    </row>
    <row r="84" spans="1:7">
      <c r="A84">
        <f t="shared" si="16"/>
        <v>76</v>
      </c>
      <c r="B84">
        <f t="shared" si="12"/>
        <v>102</v>
      </c>
      <c r="C84">
        <f>IF(A84 &lt; 25, INDEX(Mortality_Table_Female!$B$2:$AB$97, MATCH('Premium Calculation'!$B$2, Mortality_Table_Female!$A$2:$A$97, 0), MATCH(A84, Mortality_Table_Female!$B$1:$AB$1, 0)), INDEX(Mortality_Table_Female!$AA$2:$AA$97, MATCH('Premium Calculation'!B84, Mortality_Table_Female!$AB$2:$AB$97, 0)))</f>
        <v>0.38257999999999998</v>
      </c>
      <c r="D84">
        <f t="shared" si="17"/>
        <v>1.3034197821942964E-2</v>
      </c>
      <c r="E84">
        <f t="shared" si="13"/>
        <v>2.4525240264113228E-2</v>
      </c>
      <c r="F84">
        <f t="shared" si="14"/>
        <v>30.574534264582962</v>
      </c>
      <c r="G84">
        <f t="shared" si="15"/>
        <v>3.3565017489478908E-4</v>
      </c>
    </row>
    <row r="85" spans="1:7">
      <c r="A85">
        <f t="shared" si="16"/>
        <v>77</v>
      </c>
      <c r="B85">
        <f t="shared" si="12"/>
        <v>103</v>
      </c>
      <c r="C85">
        <f>IF(A85 &lt; 25, INDEX(Mortality_Table_Female!$B$2:$AB$97, MATCH('Premium Calculation'!$B$2, Mortality_Table_Female!$A$2:$A$97, 0), MATCH(A85, Mortality_Table_Female!$B$1:$AB$1, 0)), INDEX(Mortality_Table_Female!$AA$2:$AA$97, MATCH('Premium Calculation'!B85, Mortality_Table_Female!$AB$2:$AB$97, 0)))</f>
        <v>0.40703</v>
      </c>
      <c r="D85">
        <f t="shared" si="17"/>
        <v>8.0475744192240253E-3</v>
      </c>
      <c r="E85">
        <f t="shared" si="13"/>
        <v>2.3357371680107829E-2</v>
      </c>
      <c r="F85">
        <f t="shared" si="14"/>
        <v>19.127376286673599</v>
      </c>
      <c r="G85">
        <f t="shared" si="15"/>
        <v>1.9736869617480068E-4</v>
      </c>
    </row>
    <row r="86" spans="1:7">
      <c r="A86">
        <f t="shared" si="16"/>
        <v>78</v>
      </c>
      <c r="B86">
        <f t="shared" si="12"/>
        <v>104</v>
      </c>
      <c r="C86">
        <f>IF(A86 &lt; 25, INDEX(Mortality_Table_Female!$B$2:$AB$97, MATCH('Premium Calculation'!$B$2, Mortality_Table_Female!$A$2:$A$97, 0), MATCH(A86, Mortality_Table_Female!$B$1:$AB$1, 0)), INDEX(Mortality_Table_Female!$AA$2:$AA$97, MATCH('Premium Calculation'!B86, Mortality_Table_Female!$AB$2:$AB$97, 0)))</f>
        <v>0.43036999999999997</v>
      </c>
      <c r="D86">
        <f t="shared" si="17"/>
        <v>4.7719702033672705E-3</v>
      </c>
      <c r="E86">
        <f t="shared" si="13"/>
        <v>2.2245115885816989E-2</v>
      </c>
      <c r="F86">
        <f t="shared" si="14"/>
        <v>11.421269899380263</v>
      </c>
      <c r="G86">
        <f t="shared" si="15"/>
        <v>1.1146068168644908E-4</v>
      </c>
    </row>
    <row r="87" spans="1:7">
      <c r="A87">
        <f t="shared" si="16"/>
        <v>79</v>
      </c>
      <c r="B87">
        <f t="shared" si="12"/>
        <v>105</v>
      </c>
      <c r="C87">
        <f>IF(A87 &lt; 25, INDEX(Mortality_Table_Female!$B$2:$AB$97, MATCH('Premium Calculation'!$B$2, Mortality_Table_Female!$A$2:$A$97, 0), MATCH(A87, Mortality_Table_Female!$B$1:$AB$1, 0)), INDEX(Mortality_Table_Female!$AA$2:$AA$97, MATCH('Premium Calculation'!B87, Mortality_Table_Female!$AB$2:$AB$97, 0)))</f>
        <v>0.45218999999999998</v>
      </c>
      <c r="D87">
        <f t="shared" si="17"/>
        <v>2.7182573869440987E-3</v>
      </c>
      <c r="E87">
        <f t="shared" si="13"/>
        <v>2.1185824653159029E-2</v>
      </c>
      <c r="F87">
        <f t="shared" si="14"/>
        <v>6.5102387078077602</v>
      </c>
      <c r="G87">
        <f t="shared" si="15"/>
        <v>6.0467950580049546E-5</v>
      </c>
    </row>
    <row r="88" spans="1:7">
      <c r="A88">
        <f t="shared" si="16"/>
        <v>80</v>
      </c>
      <c r="B88">
        <f t="shared" si="12"/>
        <v>106</v>
      </c>
      <c r="C88">
        <f>IF(A88 &lt; 25, INDEX(Mortality_Table_Female!$B$2:$AB$97, MATCH('Premium Calculation'!$B$2, Mortality_Table_Female!$A$2:$A$97, 0), MATCH(A88, Mortality_Table_Female!$B$1:$AB$1, 0)), INDEX(Mortality_Table_Female!$AA$2:$AA$97, MATCH('Premium Calculation'!B88, Mortality_Table_Female!$AB$2:$AB$97, 0)))</f>
        <v>0.47210000000000002</v>
      </c>
      <c r="D88">
        <f t="shared" si="17"/>
        <v>1.4890885791418468E-3</v>
      </c>
      <c r="E88">
        <f t="shared" si="13"/>
        <v>2.0176975860151457E-2</v>
      </c>
      <c r="F88">
        <f t="shared" si="14"/>
        <v>3.5460970417746029</v>
      </c>
      <c r="G88">
        <f t="shared" si="15"/>
        <v>3.1547569530720891E-5</v>
      </c>
    </row>
    <row r="89" spans="1:7">
      <c r="A89">
        <f t="shared" si="16"/>
        <v>81</v>
      </c>
      <c r="B89">
        <f t="shared" si="12"/>
        <v>107</v>
      </c>
      <c r="C89">
        <f>IF(A89 &lt; 25, INDEX(Mortality_Table_Female!$B$2:$AB$97, MATCH('Premium Calculation'!$B$2, Mortality_Table_Female!$A$2:$A$97, 0), MATCH(A89, Mortality_Table_Female!$B$1:$AB$1, 0)), INDEX(Mortality_Table_Female!$AA$2:$AA$97, MATCH('Premium Calculation'!B89, Mortality_Table_Female!$AB$2:$AB$97, 0)))</f>
        <v>0.49811</v>
      </c>
      <c r="D89">
        <f t="shared" si="17"/>
        <v>7.8608986092898101E-4</v>
      </c>
      <c r="E89">
        <f t="shared" si="13"/>
        <v>1.9216167485858526E-2</v>
      </c>
      <c r="F89">
        <f t="shared" si="14"/>
        <v>1.8810668910517736</v>
      </c>
      <c r="G89">
        <f t="shared" si="15"/>
        <v>1.5860916147873866E-5</v>
      </c>
    </row>
    <row r="90" spans="1:7">
      <c r="A90">
        <f t="shared" si="16"/>
        <v>82</v>
      </c>
      <c r="B90">
        <f t="shared" si="12"/>
        <v>108</v>
      </c>
      <c r="C90">
        <f>IF(A90 &lt; 25, INDEX(Mortality_Table_Female!$B$2:$AB$97, MATCH('Premium Calculation'!$B$2, Mortality_Table_Female!$A$2:$A$97, 0), MATCH(A90, Mortality_Table_Female!$B$1:$AB$1, 0)), INDEX(Mortality_Table_Female!$AA$2:$AA$97, MATCH('Premium Calculation'!B90, Mortality_Table_Female!$AB$2:$AB$97, 0)))</f>
        <v>0.52554000000000001</v>
      </c>
      <c r="D90">
        <f t="shared" si="17"/>
        <v>3.9453064030164621E-4</v>
      </c>
      <c r="E90">
        <f t="shared" si="13"/>
        <v>1.8301111891293836E-2</v>
      </c>
      <c r="F90">
        <f t="shared" si="14"/>
        <v>0.94864560496044514</v>
      </c>
      <c r="G90">
        <f t="shared" si="15"/>
        <v>7.5813668623394394E-6</v>
      </c>
    </row>
    <row r="91" spans="1:7">
      <c r="A91">
        <f t="shared" si="16"/>
        <v>83</v>
      </c>
      <c r="B91">
        <f t="shared" si="12"/>
        <v>109</v>
      </c>
      <c r="C91">
        <f>IF(A91 &lt; 25, INDEX(Mortality_Table_Female!$B$2:$AB$97, MATCH('Premium Calculation'!$B$2, Mortality_Table_Female!$A$2:$A$97, 0), MATCH(A91, Mortality_Table_Female!$B$1:$AB$1, 0)), INDEX(Mortality_Table_Female!$AA$2:$AA$97, MATCH('Premium Calculation'!B91, Mortality_Table_Female!$AB$2:$AB$97, 0)))</f>
        <v>0.55447999999999997</v>
      </c>
      <c r="D91">
        <f t="shared" si="17"/>
        <v>1.8718900759751906E-4</v>
      </c>
      <c r="E91">
        <f t="shared" si="13"/>
        <v>1.7429630372660796E-2</v>
      </c>
      <c r="F91">
        <f t="shared" si="14"/>
        <v>0.45226649312208816</v>
      </c>
      <c r="G91">
        <f t="shared" si="15"/>
        <v>3.4257669728624484E-6</v>
      </c>
    </row>
    <row r="92" spans="1:7">
      <c r="A92">
        <f t="shared" si="16"/>
        <v>84</v>
      </c>
      <c r="B92">
        <f t="shared" si="12"/>
        <v>110</v>
      </c>
      <c r="C92">
        <f>IF(A92 &lt; 25, INDEX(Mortality_Table_Female!$B$2:$AB$97, MATCH('Premium Calculation'!$B$2, Mortality_Table_Female!$A$2:$A$97, 0), MATCH(A92, Mortality_Table_Female!$B$1:$AB$1, 0)), INDEX(Mortality_Table_Female!$AA$2:$AA$97, MATCH('Premium Calculation'!B92, Mortality_Table_Female!$AB$2:$AB$97, 0)))</f>
        <v>0.58501999999999998</v>
      </c>
      <c r="D92">
        <f t="shared" si="17"/>
        <v>8.3396446664846697E-5</v>
      </c>
      <c r="E92">
        <f t="shared" si="13"/>
        <v>1.6599647973962663E-2</v>
      </c>
      <c r="F92">
        <f t="shared" si="14"/>
        <v>0.20246835158222146</v>
      </c>
      <c r="G92">
        <f t="shared" si="15"/>
        <v>1.4535692397615981E-6</v>
      </c>
    </row>
    <row r="93" spans="1:7">
      <c r="A93">
        <f t="shared" si="16"/>
        <v>85</v>
      </c>
      <c r="B93">
        <f t="shared" si="12"/>
        <v>111</v>
      </c>
      <c r="C93">
        <f>IF(A93 &lt; 25, INDEX(Mortality_Table_Female!$B$2:$AB$97, MATCH('Premium Calculation'!$B$2, Mortality_Table_Female!$A$2:$A$97, 0), MATCH(A93, Mortality_Table_Female!$B$1:$AB$1, 0)), INDEX(Mortality_Table_Female!$AA$2:$AA$97, MATCH('Premium Calculation'!B93, Mortality_Table_Female!$AB$2:$AB$97, 0)))</f>
        <v>0.61724000000000001</v>
      </c>
      <c r="D93">
        <f t="shared" si="17"/>
        <v>3.4607857436978084E-5</v>
      </c>
      <c r="E93">
        <f t="shared" si="13"/>
        <v>1.580918854663111E-2</v>
      </c>
      <c r="F93">
        <f t="shared" si="14"/>
        <v>8.44264179505409E-2</v>
      </c>
      <c r="G93">
        <f t="shared" si="15"/>
        <v>5.7447825058692189E-7</v>
      </c>
    </row>
    <row r="94" spans="1:7">
      <c r="A94">
        <f t="shared" si="16"/>
        <v>86</v>
      </c>
      <c r="B94">
        <f t="shared" si="12"/>
        <v>112</v>
      </c>
      <c r="C94">
        <f>IF(A94 &lt; 25, INDEX(Mortality_Table_Female!$B$2:$AB$97, MATCH('Premium Calculation'!$B$2, Mortality_Table_Female!$A$2:$A$97, 0), MATCH(A94, Mortality_Table_Female!$B$1:$AB$1, 0)), INDEX(Mortality_Table_Female!$AA$2:$AA$97, MATCH('Premium Calculation'!B94, Mortality_Table_Female!$AB$2:$AB$97, 0)))</f>
        <v>0.65122999999999998</v>
      </c>
      <c r="D94">
        <f t="shared" si="17"/>
        <v>1.3246503512577732E-5</v>
      </c>
      <c r="E94">
        <f t="shared" si="13"/>
        <v>1.5056370044410581E-2</v>
      </c>
      <c r="F94">
        <f t="shared" si="14"/>
        <v>3.2471021145036756E-2</v>
      </c>
      <c r="G94">
        <f t="shared" si="15"/>
        <v>2.0941647161395266E-7</v>
      </c>
    </row>
    <row r="95" spans="1:7">
      <c r="A95">
        <f t="shared" si="16"/>
        <v>87</v>
      </c>
      <c r="B95">
        <f t="shared" si="12"/>
        <v>113</v>
      </c>
      <c r="C95">
        <f>IF(A95 &lt; 25, INDEX(Mortality_Table_Female!$B$2:$AB$97, MATCH('Premium Calculation'!$B$2, Mortality_Table_Female!$A$2:$A$97, 0), MATCH(A95, Mortality_Table_Female!$B$1:$AB$1, 0)), INDEX(Mortality_Table_Female!$AA$2:$AA$97, MATCH('Premium Calculation'!B95, Mortality_Table_Female!$AB$2:$AB$97, 0)))</f>
        <v>0.68710000000000004</v>
      </c>
      <c r="D95">
        <f t="shared" si="17"/>
        <v>4.6199830300817356E-6</v>
      </c>
      <c r="E95">
        <f t="shared" si="13"/>
        <v>1.4339400042295789E-2</v>
      </c>
      <c r="F95">
        <f t="shared" si="14"/>
        <v>1.1379713243804282E-2</v>
      </c>
      <c r="G95">
        <f t="shared" si="15"/>
        <v>6.9560174099807869E-8</v>
      </c>
    </row>
    <row r="96" spans="1:7">
      <c r="A96">
        <f t="shared" si="16"/>
        <v>88</v>
      </c>
      <c r="B96">
        <f t="shared" si="12"/>
        <v>114</v>
      </c>
      <c r="C96">
        <f>IF(A96 &lt; 25, INDEX(Mortality_Table_Female!$B$2:$AB$97, MATCH('Premium Calculation'!$B$2, Mortality_Table_Female!$A$2:$A$97, 0), MATCH(A96, Mortality_Table_Female!$B$1:$AB$1, 0)), INDEX(Mortality_Table_Female!$AA$2:$AA$97, MATCH('Premium Calculation'!B96, Mortality_Table_Female!$AB$2:$AB$97, 0)))</f>
        <v>0.72494000000000003</v>
      </c>
      <c r="D96">
        <f t="shared" si="17"/>
        <v>1.4455926901125748E-6</v>
      </c>
      <c r="E96">
        <f t="shared" si="13"/>
        <v>1.3656571468853134E-2</v>
      </c>
      <c r="F96">
        <f t="shared" si="14"/>
        <v>3.5779123519882345E-3</v>
      </c>
      <c r="G96">
        <f t="shared" si="15"/>
        <v>2.0728931881742737E-8</v>
      </c>
    </row>
    <row r="97" spans="1:7">
      <c r="A97">
        <f t="shared" si="16"/>
        <v>89</v>
      </c>
      <c r="B97">
        <f t="shared" si="12"/>
        <v>115</v>
      </c>
      <c r="C97">
        <f>IF(A97 &lt; 25, INDEX(Mortality_Table_Female!$B$2:$AB$97, MATCH('Premium Calculation'!$B$2, Mortality_Table_Female!$A$2:$A$97, 0), MATCH(A97, Mortality_Table_Female!$B$1:$AB$1, 0)), INDEX(Mortality_Table_Female!$AA$2:$AA$97, MATCH('Premium Calculation'!B97, Mortality_Table_Female!$AB$2:$AB$97, 0)))</f>
        <v>0.76487000000000005</v>
      </c>
      <c r="D97">
        <f t="shared" si="17"/>
        <v>3.9762472534236481E-7</v>
      </c>
      <c r="E97">
        <f t="shared" si="13"/>
        <v>1.3006258541764888E-2</v>
      </c>
      <c r="F97">
        <f t="shared" si="14"/>
        <v>9.8890233142733788E-4</v>
      </c>
      <c r="G97">
        <f t="shared" si="15"/>
        <v>5.4301904794211029E-9</v>
      </c>
    </row>
    <row r="98" spans="1:7">
      <c r="A98">
        <f t="shared" si="16"/>
        <v>90</v>
      </c>
      <c r="B98">
        <f t="shared" si="12"/>
        <v>116</v>
      </c>
      <c r="C98">
        <f>IF(A98 &lt; 25, INDEX(Mortality_Table_Female!$B$2:$AB$97, MATCH('Premium Calculation'!$B$2, Mortality_Table_Female!$A$2:$A$97, 0), MATCH(A98, Mortality_Table_Female!$B$1:$AB$1, 0)), INDEX(Mortality_Table_Female!$AA$2:$AA$97, MATCH('Premium Calculation'!B98, Mortality_Table_Female!$AB$2:$AB$97, 0)))</f>
        <v>0.80698999999999999</v>
      </c>
      <c r="D98">
        <f t="shared" si="17"/>
        <v>9.3493501669750215E-8</v>
      </c>
      <c r="E98">
        <f t="shared" si="13"/>
        <v>1.2386912896918942E-2</v>
      </c>
      <c r="F98">
        <f t="shared" si="14"/>
        <v>2.3364294484039377E-4</v>
      </c>
      <c r="G98">
        <f t="shared" si="15"/>
        <v>1.2160006546916985E-9</v>
      </c>
    </row>
    <row r="99" spans="1:7">
      <c r="A99">
        <f t="shared" si="16"/>
        <v>91</v>
      </c>
      <c r="B99">
        <f t="shared" si="12"/>
        <v>117</v>
      </c>
      <c r="C99">
        <f>IF(A99 &lt; 25, INDEX(Mortality_Table_Female!$B$2:$AB$97, MATCH('Premium Calculation'!$B$2, Mortality_Table_Female!$A$2:$A$97, 0), MATCH(A99, Mortality_Table_Female!$B$1:$AB$1, 0)), INDEX(Mortality_Table_Female!$AA$2:$AA$97, MATCH('Premium Calculation'!B99, Mortality_Table_Female!$AB$2:$AB$97, 0)))</f>
        <v>0.85143000000000002</v>
      </c>
      <c r="D99">
        <f t="shared" si="17"/>
        <v>1.8045180757278489E-8</v>
      </c>
      <c r="E99">
        <f t="shared" si="13"/>
        <v>1.1797059901827561E-2</v>
      </c>
      <c r="F99">
        <f t="shared" si="14"/>
        <v>4.5313121273749599E-5</v>
      </c>
      <c r="G99">
        <f t="shared" si="15"/>
        <v>2.2352408224956643E-10</v>
      </c>
    </row>
    <row r="100" spans="1:7">
      <c r="A100">
        <f t="shared" si="16"/>
        <v>92</v>
      </c>
      <c r="B100">
        <f t="shared" si="12"/>
        <v>118</v>
      </c>
      <c r="C100">
        <f>IF(A100 &lt; 25, INDEX(Mortality_Table_Female!$B$2:$AB$97, MATCH('Premium Calculation'!$B$2, Mortality_Table_Female!$A$2:$A$97, 0), MATCH(A100, Mortality_Table_Female!$B$1:$AB$1, 0)), INDEX(Mortality_Table_Female!$AA$2:$AA$97, MATCH('Premium Calculation'!B100, Mortality_Table_Female!$AB$2:$AB$97, 0)))</f>
        <v>0.89832999999999996</v>
      </c>
      <c r="D100">
        <f t="shared" si="17"/>
        <v>2.6809725051088648E-9</v>
      </c>
      <c r="E100">
        <f t="shared" si="13"/>
        <v>1.123529514459768E-2</v>
      </c>
      <c r="F100">
        <f t="shared" si="14"/>
        <v>6.7647656746243944E-6</v>
      </c>
      <c r="G100">
        <f t="shared" si="15"/>
        <v>3.1627593237921977E-11</v>
      </c>
    </row>
    <row r="101" spans="1:7">
      <c r="A101">
        <f t="shared" si="16"/>
        <v>93</v>
      </c>
      <c r="B101">
        <f t="shared" si="12"/>
        <v>119</v>
      </c>
      <c r="C101">
        <f>IF(A101 &lt; 25, INDEX(Mortality_Table_Female!$B$2:$AB$97, MATCH('Premium Calculation'!$B$2, Mortality_Table_Female!$A$2:$A$97, 0), MATCH(A101, Mortality_Table_Female!$B$1:$AB$1, 0)), INDEX(Mortality_Table_Female!$AA$2:$AA$97, MATCH('Premium Calculation'!B101, Mortality_Table_Female!$AB$2:$AB$97, 0)))</f>
        <v>0.94779999999999998</v>
      </c>
      <c r="D101">
        <f t="shared" si="17"/>
        <v>2.7257447459441841E-10</v>
      </c>
      <c r="E101">
        <f t="shared" si="13"/>
        <v>1.0700281090093026E-2</v>
      </c>
      <c r="F101">
        <f t="shared" si="14"/>
        <v>6.9109393741148603E-7</v>
      </c>
      <c r="G101">
        <f t="shared" si="15"/>
        <v>3.0624546709519328E-12</v>
      </c>
    </row>
    <row r="102" spans="1:7">
      <c r="A102">
        <f t="shared" si="16"/>
        <v>94</v>
      </c>
      <c r="B102">
        <f t="shared" si="12"/>
        <v>120</v>
      </c>
      <c r="C102">
        <f>IF(A102 &lt; 25, INDEX(Mortality_Table_Female!$B$2:$AB$97, MATCH('Premium Calculation'!$B$2, Mortality_Table_Female!$A$2:$A$97, 0), MATCH(A102, Mortality_Table_Female!$B$1:$AB$1, 0)), INDEX(Mortality_Table_Female!$AA$2:$AA$97, MATCH('Premium Calculation'!B102, Mortality_Table_Female!$AB$2:$AB$97, 0)))</f>
        <v>1</v>
      </c>
      <c r="D102">
        <f t="shared" si="17"/>
        <v>1.4228387573828647E-11</v>
      </c>
      <c r="E102">
        <f t="shared" si="13"/>
        <v>1.0190743895326695E-2</v>
      </c>
      <c r="F102">
        <f t="shared" si="14"/>
        <v>3.6249463452084123E-8</v>
      </c>
      <c r="G102">
        <f t="shared" si="15"/>
        <v>1.5224774649875325E-13</v>
      </c>
    </row>
    <row r="103" spans="1:7">
      <c r="F103">
        <f>SUM(F9:F102)</f>
        <v>19160.444793035134</v>
      </c>
      <c r="G103">
        <f>SUM(G9:G102)</f>
        <v>19.390522637385025</v>
      </c>
    </row>
    <row r="106" spans="1:7">
      <c r="A106" s="32" t="s">
        <v>54</v>
      </c>
      <c r="B106" s="33"/>
      <c r="C106" s="34"/>
      <c r="D106" s="41">
        <f>'Premium Calculation'!F103/'Premium Calculation'!G103</f>
        <v>988.1345207319838</v>
      </c>
    </row>
    <row r="107" spans="1:7">
      <c r="A107" s="35"/>
      <c r="B107" s="36"/>
      <c r="C107" s="37"/>
      <c r="D107" s="42"/>
    </row>
    <row r="108" spans="1:7">
      <c r="A108" s="38"/>
      <c r="B108" s="39"/>
      <c r="C108" s="40"/>
      <c r="D108" s="43"/>
    </row>
  </sheetData>
  <mergeCells count="4">
    <mergeCell ref="D3:F5"/>
    <mergeCell ref="D106:D108"/>
    <mergeCell ref="A106:C108"/>
    <mergeCell ref="G3:G5"/>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5"/>
  <sheetViews>
    <sheetView topLeftCell="A20" zoomScale="106" zoomScaleNormal="106" workbookViewId="0">
      <selection activeCell="I66" sqref="I66"/>
    </sheetView>
  </sheetViews>
  <sheetFormatPr baseColWidth="10" defaultColWidth="10.5" defaultRowHeight="16"/>
  <cols>
    <col min="2" max="2" width="16.33203125" customWidth="1"/>
    <col min="4" max="4" width="20" customWidth="1"/>
    <col min="5" max="5" width="16.83203125" customWidth="1"/>
    <col min="6" max="6" width="17" customWidth="1"/>
    <col min="7" max="7" width="27.1640625" customWidth="1"/>
    <col min="8" max="8" width="26.33203125" customWidth="1"/>
    <col min="9" max="9" width="19" customWidth="1"/>
  </cols>
  <sheetData>
    <row r="1" spans="1:9">
      <c r="A1" s="12" t="s">
        <v>44</v>
      </c>
      <c r="B1" s="13" t="s">
        <v>6</v>
      </c>
    </row>
    <row r="2" spans="1:9">
      <c r="A2" s="12" t="s">
        <v>45</v>
      </c>
      <c r="B2" s="14">
        <v>27</v>
      </c>
    </row>
    <row r="3" spans="1:9">
      <c r="A3" s="12" t="s">
        <v>3</v>
      </c>
      <c r="B3" s="15" t="s">
        <v>7</v>
      </c>
    </row>
    <row r="4" spans="1:9">
      <c r="A4" s="12" t="s">
        <v>47</v>
      </c>
      <c r="B4" s="14">
        <v>250000</v>
      </c>
    </row>
    <row r="5" spans="1:9">
      <c r="A5" s="12" t="s">
        <v>48</v>
      </c>
      <c r="B5" s="16">
        <v>0.05</v>
      </c>
    </row>
    <row r="6" spans="1:9">
      <c r="A6" s="18" t="s">
        <v>46</v>
      </c>
      <c r="B6" s="19">
        <f>'Premium Calculation'!F103/'Premium Calculation'!G103</f>
        <v>988.1345207319838</v>
      </c>
    </row>
    <row r="8" spans="1:9">
      <c r="A8" s="17" t="s">
        <v>1</v>
      </c>
      <c r="B8" t="s">
        <v>2</v>
      </c>
      <c r="C8" t="s">
        <v>49</v>
      </c>
      <c r="D8" t="s">
        <v>55</v>
      </c>
      <c r="E8" t="s">
        <v>56</v>
      </c>
      <c r="F8" t="s">
        <v>57</v>
      </c>
      <c r="G8" t="s">
        <v>58</v>
      </c>
      <c r="H8" t="s">
        <v>59</v>
      </c>
      <c r="I8" t="s">
        <v>60</v>
      </c>
    </row>
    <row r="9" spans="1:9">
      <c r="A9">
        <v>1</v>
      </c>
      <c r="B9">
        <f t="shared" ref="B9:B40" si="0">$B$2 + A9 - 1</f>
        <v>27</v>
      </c>
      <c r="C9">
        <f>IF(A9 &lt; 25, INDEX(Mortality_Table_Female!$B$2:$AB$97, MATCH('Premium Calculation'!$B$2, Mortality_Table_Female!$A$2:$A$97, 0), MATCH(A9, Mortality_Table_Female!$B$1:$AB$1, 0)), INDEX(Mortality_Table_Female!$AA$2:$AA$97, MATCH('Premium Calculation'!B9, Mortality_Table_Female!$AB$2:$AB$97, 0)))</f>
        <v>1.2E-4</v>
      </c>
      <c r="D9">
        <v>0</v>
      </c>
      <c r="E9" s="19">
        <f t="shared" ref="E9:E40" si="1">$B$6</f>
        <v>988.1345207319838</v>
      </c>
      <c r="F9" s="19">
        <f t="shared" ref="F9:F40" si="2">E9+D9</f>
        <v>988.1345207319838</v>
      </c>
      <c r="G9">
        <f t="shared" ref="G9:G40" si="3">F9*(1+$B$5)</f>
        <v>1037.5412467685831</v>
      </c>
      <c r="H9">
        <f t="shared" ref="H9:H40" si="4">C9*$B$4</f>
        <v>30</v>
      </c>
      <c r="I9">
        <f t="shared" ref="I9:I40" si="5">(G9 - H9)/(1-C9)</f>
        <v>1007.6621662285305</v>
      </c>
    </row>
    <row r="10" spans="1:9">
      <c r="A10">
        <f t="shared" ref="A10:A41" si="6">A9+1</f>
        <v>2</v>
      </c>
      <c r="B10">
        <f t="shared" si="0"/>
        <v>28</v>
      </c>
      <c r="C10">
        <f>IF(A10 &lt; 25, INDEX(Mortality_Table_Female!$B$2:$AB$97, MATCH('Premium Calculation'!$B$2, Mortality_Table_Female!$A$2:$A$97, 0), MATCH(A10, Mortality_Table_Female!$B$1:$AB$1, 0)), INDEX(Mortality_Table_Female!$AA$2:$AA$97, MATCH('Premium Calculation'!B10, Mortality_Table_Female!$AB$2:$AB$97, 0)))</f>
        <v>1.7000000000000001E-4</v>
      </c>
      <c r="D10">
        <f t="shared" ref="D10:D41" si="7">I9</f>
        <v>1007.6621662285305</v>
      </c>
      <c r="E10" s="19">
        <f t="shared" si="1"/>
        <v>988.1345207319838</v>
      </c>
      <c r="F10" s="19">
        <f t="shared" si="2"/>
        <v>1995.7966869605143</v>
      </c>
      <c r="G10">
        <f t="shared" si="3"/>
        <v>2095.5865213085399</v>
      </c>
      <c r="H10">
        <f t="shared" si="4"/>
        <v>42.5</v>
      </c>
      <c r="I10">
        <f t="shared" si="5"/>
        <v>2053.4356053614515</v>
      </c>
    </row>
    <row r="11" spans="1:9">
      <c r="A11">
        <f t="shared" si="6"/>
        <v>3</v>
      </c>
      <c r="B11">
        <f t="shared" si="0"/>
        <v>29</v>
      </c>
      <c r="C11">
        <f>IF(A11 &lt; 25, INDEX(Mortality_Table_Female!$B$2:$AB$97, MATCH('Premium Calculation'!$B$2, Mortality_Table_Female!$A$2:$A$97, 0), MATCH(A11, Mortality_Table_Female!$B$1:$AB$1, 0)), INDEX(Mortality_Table_Female!$AA$2:$AA$97, MATCH('Premium Calculation'!B11, Mortality_Table_Female!$AB$2:$AB$97, 0)))</f>
        <v>2.0000000000000001E-4</v>
      </c>
      <c r="D11">
        <f t="shared" si="7"/>
        <v>2053.4356053614515</v>
      </c>
      <c r="E11" s="19">
        <f t="shared" si="1"/>
        <v>988.1345207319838</v>
      </c>
      <c r="F11" s="19">
        <f t="shared" si="2"/>
        <v>3041.5701260934352</v>
      </c>
      <c r="G11">
        <f t="shared" si="3"/>
        <v>3193.6486323981071</v>
      </c>
      <c r="H11">
        <f t="shared" si="4"/>
        <v>50</v>
      </c>
      <c r="I11">
        <f t="shared" si="5"/>
        <v>3144.2774878956861</v>
      </c>
    </row>
    <row r="12" spans="1:9">
      <c r="A12">
        <f t="shared" si="6"/>
        <v>4</v>
      </c>
      <c r="B12">
        <f t="shared" si="0"/>
        <v>30</v>
      </c>
      <c r="C12">
        <f>IF(A12 &lt; 25, INDEX(Mortality_Table_Female!$B$2:$AB$97, MATCH('Premium Calculation'!$B$2, Mortality_Table_Female!$A$2:$A$97, 0), MATCH(A12, Mortality_Table_Female!$B$1:$AB$1, 0)), INDEX(Mortality_Table_Female!$AA$2:$AA$97, MATCH('Premium Calculation'!B12, Mortality_Table_Female!$AB$2:$AB$97, 0)))</f>
        <v>2.2000000000000001E-4</v>
      </c>
      <c r="D12">
        <f t="shared" si="7"/>
        <v>3144.2774878956861</v>
      </c>
      <c r="E12" s="19">
        <f t="shared" si="1"/>
        <v>988.1345207319838</v>
      </c>
      <c r="F12" s="19">
        <f t="shared" si="2"/>
        <v>4132.4120086276698</v>
      </c>
      <c r="G12">
        <f t="shared" si="3"/>
        <v>4339.0326090590534</v>
      </c>
      <c r="H12">
        <f t="shared" si="4"/>
        <v>55</v>
      </c>
      <c r="I12">
        <f t="shared" si="5"/>
        <v>4284.9753036258508</v>
      </c>
    </row>
    <row r="13" spans="1:9">
      <c r="A13">
        <f t="shared" si="6"/>
        <v>5</v>
      </c>
      <c r="B13">
        <f t="shared" si="0"/>
        <v>31</v>
      </c>
      <c r="C13">
        <f>IF(A13 &lt; 25, INDEX(Mortality_Table_Female!$B$2:$AB$97, MATCH('Premium Calculation'!$B$2, Mortality_Table_Female!$A$2:$A$97, 0), MATCH(A13, Mortality_Table_Female!$B$1:$AB$1, 0)), INDEX(Mortality_Table_Female!$AA$2:$AA$97, MATCH('Premium Calculation'!B13, Mortality_Table_Female!$AB$2:$AB$97, 0)))</f>
        <v>2.5999999999999998E-4</v>
      </c>
      <c r="D13">
        <f t="shared" si="7"/>
        <v>4284.9753036258508</v>
      </c>
      <c r="E13" s="19">
        <f t="shared" si="1"/>
        <v>988.1345207319838</v>
      </c>
      <c r="F13" s="19">
        <f t="shared" si="2"/>
        <v>5273.1098243578344</v>
      </c>
      <c r="G13">
        <f t="shared" si="3"/>
        <v>5536.7653155757262</v>
      </c>
      <c r="H13">
        <f t="shared" si="4"/>
        <v>65</v>
      </c>
      <c r="I13">
        <f t="shared" si="5"/>
        <v>5473.1883445453077</v>
      </c>
    </row>
    <row r="14" spans="1:9">
      <c r="A14">
        <f t="shared" si="6"/>
        <v>6</v>
      </c>
      <c r="B14">
        <f t="shared" si="0"/>
        <v>32</v>
      </c>
      <c r="C14">
        <f>IF(A14 &lt; 25, INDEX(Mortality_Table_Female!$B$2:$AB$97, MATCH('Premium Calculation'!$B$2, Mortality_Table_Female!$A$2:$A$97, 0), MATCH(A14, Mortality_Table_Female!$B$1:$AB$1, 0)), INDEX(Mortality_Table_Female!$AA$2:$AA$97, MATCH('Premium Calculation'!B14, Mortality_Table_Female!$AB$2:$AB$97, 0)))</f>
        <v>2.9E-4</v>
      </c>
      <c r="D14">
        <f t="shared" si="7"/>
        <v>5473.1883445453077</v>
      </c>
      <c r="E14" s="19">
        <f t="shared" si="1"/>
        <v>988.1345207319838</v>
      </c>
      <c r="F14" s="19">
        <f t="shared" si="2"/>
        <v>6461.3228652772914</v>
      </c>
      <c r="G14">
        <f t="shared" si="3"/>
        <v>6784.3890085411558</v>
      </c>
      <c r="H14">
        <f t="shared" si="4"/>
        <v>72.5</v>
      </c>
      <c r="I14">
        <f t="shared" si="5"/>
        <v>6713.8360209872426</v>
      </c>
    </row>
    <row r="15" spans="1:9">
      <c r="A15">
        <f t="shared" si="6"/>
        <v>7</v>
      </c>
      <c r="B15">
        <f t="shared" si="0"/>
        <v>33</v>
      </c>
      <c r="C15">
        <f>IF(A15 &lt; 25, INDEX(Mortality_Table_Female!$B$2:$AB$97, MATCH('Premium Calculation'!$B$2, Mortality_Table_Female!$A$2:$A$97, 0), MATCH(A15, Mortality_Table_Female!$B$1:$AB$1, 0)), INDEX(Mortality_Table_Female!$AA$2:$AA$97, MATCH('Premium Calculation'!B15, Mortality_Table_Female!$AB$2:$AB$97, 0)))</f>
        <v>3.4000000000000002E-4</v>
      </c>
      <c r="D15">
        <f t="shared" si="7"/>
        <v>6713.8360209872426</v>
      </c>
      <c r="E15" s="19">
        <f t="shared" si="1"/>
        <v>988.1345207319838</v>
      </c>
      <c r="F15" s="19">
        <f t="shared" si="2"/>
        <v>7701.9705417192263</v>
      </c>
      <c r="G15">
        <f t="shared" si="3"/>
        <v>8087.0690688051882</v>
      </c>
      <c r="H15">
        <f t="shared" si="4"/>
        <v>85</v>
      </c>
      <c r="I15">
        <f t="shared" si="5"/>
        <v>8004.7906976423865</v>
      </c>
    </row>
    <row r="16" spans="1:9">
      <c r="A16">
        <f t="shared" si="6"/>
        <v>8</v>
      </c>
      <c r="B16">
        <f t="shared" si="0"/>
        <v>34</v>
      </c>
      <c r="C16">
        <f>IF(A16 &lt; 25, INDEX(Mortality_Table_Female!$B$2:$AB$97, MATCH('Premium Calculation'!$B$2, Mortality_Table_Female!$A$2:$A$97, 0), MATCH(A16, Mortality_Table_Female!$B$1:$AB$1, 0)), INDEX(Mortality_Table_Female!$AA$2:$AA$97, MATCH('Premium Calculation'!B16, Mortality_Table_Female!$AB$2:$AB$97, 0)))</f>
        <v>4.0000000000000002E-4</v>
      </c>
      <c r="D16">
        <f t="shared" si="7"/>
        <v>8004.7906976423865</v>
      </c>
      <c r="E16" s="19">
        <f t="shared" si="1"/>
        <v>988.1345207319838</v>
      </c>
      <c r="F16" s="19">
        <f t="shared" si="2"/>
        <v>8992.9252183743702</v>
      </c>
      <c r="G16">
        <f t="shared" si="3"/>
        <v>9442.5714792930885</v>
      </c>
      <c r="H16">
        <f t="shared" si="4"/>
        <v>100</v>
      </c>
      <c r="I16">
        <f t="shared" si="5"/>
        <v>9346.3100032944058</v>
      </c>
    </row>
    <row r="17" spans="1:9">
      <c r="A17">
        <f t="shared" si="6"/>
        <v>9</v>
      </c>
      <c r="B17">
        <f t="shared" si="0"/>
        <v>35</v>
      </c>
      <c r="C17">
        <f>IF(A17 &lt; 25, INDEX(Mortality_Table_Female!$B$2:$AB$97, MATCH('Premium Calculation'!$B$2, Mortality_Table_Female!$A$2:$A$97, 0), MATCH(A17, Mortality_Table_Female!$B$1:$AB$1, 0)), INDEX(Mortality_Table_Female!$AA$2:$AA$97, MATCH('Premium Calculation'!B17, Mortality_Table_Female!$AB$2:$AB$97, 0)))</f>
        <v>4.6999999999999999E-4</v>
      </c>
      <c r="D17">
        <f t="shared" si="7"/>
        <v>9346.3100032944058</v>
      </c>
      <c r="E17" s="19">
        <f t="shared" si="1"/>
        <v>988.1345207319838</v>
      </c>
      <c r="F17" s="19">
        <f t="shared" si="2"/>
        <v>10334.44452402639</v>
      </c>
      <c r="G17">
        <f t="shared" si="3"/>
        <v>10851.166750227711</v>
      </c>
      <c r="H17">
        <f t="shared" si="4"/>
        <v>117.5</v>
      </c>
      <c r="I17">
        <f t="shared" si="5"/>
        <v>10738.713945782229</v>
      </c>
    </row>
    <row r="18" spans="1:9">
      <c r="A18">
        <f t="shared" si="6"/>
        <v>10</v>
      </c>
      <c r="B18">
        <f t="shared" si="0"/>
        <v>36</v>
      </c>
      <c r="C18">
        <f>IF(A18 &lt; 25, INDEX(Mortality_Table_Female!$B$2:$AB$97, MATCH('Premium Calculation'!$B$2, Mortality_Table_Female!$A$2:$A$97, 0), MATCH(A18, Mortality_Table_Female!$B$1:$AB$1, 0)), INDEX(Mortality_Table_Female!$AA$2:$AA$97, MATCH('Premium Calculation'!B18, Mortality_Table_Female!$AB$2:$AB$97, 0)))</f>
        <v>5.4000000000000001E-4</v>
      </c>
      <c r="D18">
        <f t="shared" si="7"/>
        <v>10738.713945782229</v>
      </c>
      <c r="E18" s="19">
        <f t="shared" si="1"/>
        <v>988.1345207319838</v>
      </c>
      <c r="F18" s="19">
        <f t="shared" si="2"/>
        <v>11726.848466514213</v>
      </c>
      <c r="G18">
        <f t="shared" si="3"/>
        <v>12313.190889839925</v>
      </c>
      <c r="H18">
        <f t="shared" si="4"/>
        <v>135</v>
      </c>
      <c r="I18">
        <f t="shared" si="5"/>
        <v>12184.770665999566</v>
      </c>
    </row>
    <row r="19" spans="1:9">
      <c r="A19">
        <f t="shared" si="6"/>
        <v>11</v>
      </c>
      <c r="B19">
        <f t="shared" si="0"/>
        <v>37</v>
      </c>
      <c r="C19">
        <f>IF(A19 &lt; 25, INDEX(Mortality_Table_Female!$B$2:$AB$97, MATCH('Premium Calculation'!$B$2, Mortality_Table_Female!$A$2:$A$97, 0), MATCH(A19, Mortality_Table_Female!$B$1:$AB$1, 0)), INDEX(Mortality_Table_Female!$AA$2:$AA$97, MATCH('Premium Calculation'!B19, Mortality_Table_Female!$AB$2:$AB$97, 0)))</f>
        <v>6.2E-4</v>
      </c>
      <c r="D19">
        <f t="shared" si="7"/>
        <v>12184.770665999566</v>
      </c>
      <c r="E19" s="19">
        <f t="shared" si="1"/>
        <v>988.1345207319838</v>
      </c>
      <c r="F19" s="19">
        <f t="shared" si="2"/>
        <v>13172.90518673155</v>
      </c>
      <c r="G19">
        <f t="shared" si="3"/>
        <v>13831.550446068128</v>
      </c>
      <c r="H19">
        <f t="shared" si="4"/>
        <v>155</v>
      </c>
      <c r="I19">
        <f t="shared" si="5"/>
        <v>13685.035167872207</v>
      </c>
    </row>
    <row r="20" spans="1:9">
      <c r="A20">
        <f t="shared" si="6"/>
        <v>12</v>
      </c>
      <c r="B20">
        <f t="shared" si="0"/>
        <v>38</v>
      </c>
      <c r="C20">
        <f>IF(A20 &lt; 25, INDEX(Mortality_Table_Female!$B$2:$AB$97, MATCH('Premium Calculation'!$B$2, Mortality_Table_Female!$A$2:$A$97, 0), MATCH(A20, Mortality_Table_Female!$B$1:$AB$1, 0)), INDEX(Mortality_Table_Female!$AA$2:$AA$97, MATCH('Premium Calculation'!B20, Mortality_Table_Female!$AB$2:$AB$97, 0)))</f>
        <v>7.2000000000000005E-4</v>
      </c>
      <c r="D20">
        <f t="shared" si="7"/>
        <v>13685.035167872207</v>
      </c>
      <c r="E20" s="19">
        <f t="shared" si="1"/>
        <v>988.1345207319838</v>
      </c>
      <c r="F20" s="19">
        <f t="shared" si="2"/>
        <v>14673.169688604192</v>
      </c>
      <c r="G20">
        <f t="shared" si="3"/>
        <v>15406.828173034402</v>
      </c>
      <c r="H20">
        <f t="shared" si="4"/>
        <v>180</v>
      </c>
      <c r="I20">
        <f t="shared" si="5"/>
        <v>15237.799388594191</v>
      </c>
    </row>
    <row r="21" spans="1:9">
      <c r="A21">
        <f t="shared" si="6"/>
        <v>13</v>
      </c>
      <c r="B21">
        <f t="shared" si="0"/>
        <v>39</v>
      </c>
      <c r="C21">
        <f>IF(A21 &lt; 25, INDEX(Mortality_Table_Female!$B$2:$AB$97, MATCH('Premium Calculation'!$B$2, Mortality_Table_Female!$A$2:$A$97, 0), MATCH(A21, Mortality_Table_Female!$B$1:$AB$1, 0)), INDEX(Mortality_Table_Female!$AA$2:$AA$97, MATCH('Premium Calculation'!B21, Mortality_Table_Female!$AB$2:$AB$97, 0)))</f>
        <v>8.3000000000000001E-4</v>
      </c>
      <c r="D21">
        <f t="shared" si="7"/>
        <v>15237.799388594191</v>
      </c>
      <c r="E21" s="19">
        <f t="shared" si="1"/>
        <v>988.1345207319838</v>
      </c>
      <c r="F21" s="19">
        <f t="shared" si="2"/>
        <v>16225.933909326175</v>
      </c>
      <c r="G21">
        <f t="shared" si="3"/>
        <v>17037.230604792483</v>
      </c>
      <c r="H21">
        <f t="shared" si="4"/>
        <v>207.5</v>
      </c>
      <c r="I21">
        <f t="shared" si="5"/>
        <v>16843.710884826891</v>
      </c>
    </row>
    <row r="22" spans="1:9">
      <c r="A22">
        <f t="shared" si="6"/>
        <v>14</v>
      </c>
      <c r="B22">
        <f t="shared" si="0"/>
        <v>40</v>
      </c>
      <c r="C22">
        <f>IF(A22 &lt; 25, INDEX(Mortality_Table_Female!$B$2:$AB$97, MATCH('Premium Calculation'!$B$2, Mortality_Table_Female!$A$2:$A$97, 0), MATCH(A22, Mortality_Table_Female!$B$1:$AB$1, 0)), INDEX(Mortality_Table_Female!$AA$2:$AA$97, MATCH('Premium Calculation'!B22, Mortality_Table_Female!$AB$2:$AB$97, 0)))</f>
        <v>9.2000000000000003E-4</v>
      </c>
      <c r="D22">
        <f t="shared" si="7"/>
        <v>16843.710884826891</v>
      </c>
      <c r="E22" s="19">
        <f t="shared" si="1"/>
        <v>988.1345207319838</v>
      </c>
      <c r="F22" s="19">
        <f t="shared" si="2"/>
        <v>17831.845405558874</v>
      </c>
      <c r="G22">
        <f t="shared" si="3"/>
        <v>18723.43767583682</v>
      </c>
      <c r="H22">
        <f t="shared" si="4"/>
        <v>230</v>
      </c>
      <c r="I22">
        <f t="shared" si="5"/>
        <v>18510.467305758117</v>
      </c>
    </row>
    <row r="23" spans="1:9">
      <c r="A23">
        <f t="shared" si="6"/>
        <v>15</v>
      </c>
      <c r="B23">
        <f t="shared" si="0"/>
        <v>41</v>
      </c>
      <c r="C23">
        <f>IF(A23 &lt; 25, INDEX(Mortality_Table_Female!$B$2:$AB$97, MATCH('Premium Calculation'!$B$2, Mortality_Table_Female!$A$2:$A$97, 0), MATCH(A23, Mortality_Table_Female!$B$1:$AB$1, 0)), INDEX(Mortality_Table_Female!$AA$2:$AA$97, MATCH('Premium Calculation'!B23, Mortality_Table_Female!$AB$2:$AB$97, 0)))</f>
        <v>9.8999999999999999E-4</v>
      </c>
      <c r="D23">
        <f t="shared" si="7"/>
        <v>18510.467305758117</v>
      </c>
      <c r="E23" s="19">
        <f t="shared" si="1"/>
        <v>988.1345207319838</v>
      </c>
      <c r="F23" s="19">
        <f t="shared" si="2"/>
        <v>19498.601826490099</v>
      </c>
      <c r="G23">
        <f t="shared" si="3"/>
        <v>20473.531917814606</v>
      </c>
      <c r="H23">
        <f t="shared" si="4"/>
        <v>247.5</v>
      </c>
      <c r="I23">
        <f t="shared" si="5"/>
        <v>20246.075532591873</v>
      </c>
    </row>
    <row r="24" spans="1:9">
      <c r="A24">
        <f t="shared" si="6"/>
        <v>16</v>
      </c>
      <c r="B24">
        <f t="shared" si="0"/>
        <v>42</v>
      </c>
      <c r="C24">
        <f>IF(A24 &lt; 25, INDEX(Mortality_Table_Female!$B$2:$AB$97, MATCH('Premium Calculation'!$B$2, Mortality_Table_Female!$A$2:$A$97, 0), MATCH(A24, Mortality_Table_Female!$B$1:$AB$1, 0)), INDEX(Mortality_Table_Female!$AA$2:$AA$97, MATCH('Premium Calculation'!B24, Mortality_Table_Female!$AB$2:$AB$97, 0)))</f>
        <v>1.0499999999999999E-3</v>
      </c>
      <c r="D24">
        <f t="shared" si="7"/>
        <v>20246.075532591873</v>
      </c>
      <c r="E24" s="19">
        <f t="shared" si="1"/>
        <v>988.1345207319838</v>
      </c>
      <c r="F24" s="19">
        <f t="shared" si="2"/>
        <v>21234.210053323855</v>
      </c>
      <c r="G24">
        <f t="shared" si="3"/>
        <v>22295.920555990047</v>
      </c>
      <c r="H24">
        <f t="shared" si="4"/>
        <v>262.5</v>
      </c>
      <c r="I24">
        <f t="shared" si="5"/>
        <v>22056.579964953249</v>
      </c>
    </row>
    <row r="25" spans="1:9">
      <c r="A25">
        <f t="shared" si="6"/>
        <v>17</v>
      </c>
      <c r="B25">
        <f t="shared" si="0"/>
        <v>43</v>
      </c>
      <c r="C25">
        <f>IF(A25 &lt; 25, INDEX(Mortality_Table_Female!$B$2:$AB$97, MATCH('Premium Calculation'!$B$2, Mortality_Table_Female!$A$2:$A$97, 0), MATCH(A25, Mortality_Table_Female!$B$1:$AB$1, 0)), INDEX(Mortality_Table_Female!$AA$2:$AA$97, MATCH('Premium Calculation'!B25, Mortality_Table_Female!$AB$2:$AB$97, 0)))</f>
        <v>1.1299999999999999E-3</v>
      </c>
      <c r="D25">
        <f t="shared" si="7"/>
        <v>22056.579964953249</v>
      </c>
      <c r="E25" s="19">
        <f t="shared" si="1"/>
        <v>988.1345207319838</v>
      </c>
      <c r="F25" s="19">
        <f t="shared" si="2"/>
        <v>23044.714485685232</v>
      </c>
      <c r="G25">
        <f t="shared" si="3"/>
        <v>24196.950209969495</v>
      </c>
      <c r="H25">
        <f t="shared" si="4"/>
        <v>282.5</v>
      </c>
      <c r="I25">
        <f t="shared" si="5"/>
        <v>23941.504109613357</v>
      </c>
    </row>
    <row r="26" spans="1:9">
      <c r="A26">
        <f t="shared" si="6"/>
        <v>18</v>
      </c>
      <c r="B26">
        <f t="shared" si="0"/>
        <v>44</v>
      </c>
      <c r="C26">
        <f>IF(A26 &lt; 25, INDEX(Mortality_Table_Female!$B$2:$AB$97, MATCH('Premium Calculation'!$B$2, Mortality_Table_Female!$A$2:$A$97, 0), MATCH(A26, Mortality_Table_Female!$B$1:$AB$1, 0)), INDEX(Mortality_Table_Female!$AA$2:$AA$97, MATCH('Premium Calculation'!B26, Mortality_Table_Female!$AB$2:$AB$97, 0)))</f>
        <v>1.23E-3</v>
      </c>
      <c r="D26">
        <f t="shared" si="7"/>
        <v>23941.504109613357</v>
      </c>
      <c r="E26" s="19">
        <f t="shared" si="1"/>
        <v>988.1345207319838</v>
      </c>
      <c r="F26" s="19">
        <f t="shared" si="2"/>
        <v>24929.63863034534</v>
      </c>
      <c r="G26">
        <f t="shared" si="3"/>
        <v>26176.120561862608</v>
      </c>
      <c r="H26">
        <f t="shared" si="4"/>
        <v>307.5</v>
      </c>
      <c r="I26">
        <f t="shared" si="5"/>
        <v>25900.478149987091</v>
      </c>
    </row>
    <row r="27" spans="1:9">
      <c r="A27">
        <f t="shared" si="6"/>
        <v>19</v>
      </c>
      <c r="B27">
        <f t="shared" si="0"/>
        <v>45</v>
      </c>
      <c r="C27">
        <f>IF(A27 &lt; 25, INDEX(Mortality_Table_Female!$B$2:$AB$97, MATCH('Premium Calculation'!$B$2, Mortality_Table_Female!$A$2:$A$97, 0), MATCH(A27, Mortality_Table_Female!$B$1:$AB$1, 0)), INDEX(Mortality_Table_Female!$AA$2:$AA$97, MATCH('Premium Calculation'!B27, Mortality_Table_Female!$AB$2:$AB$97, 0)))</f>
        <v>1.34E-3</v>
      </c>
      <c r="D27">
        <f t="shared" si="7"/>
        <v>25900.478149987091</v>
      </c>
      <c r="E27" s="19">
        <f t="shared" si="1"/>
        <v>988.1345207319838</v>
      </c>
      <c r="F27" s="19">
        <f t="shared" si="2"/>
        <v>26888.612670719074</v>
      </c>
      <c r="G27">
        <f t="shared" si="3"/>
        <v>28233.043304255028</v>
      </c>
      <c r="H27">
        <f t="shared" si="4"/>
        <v>335</v>
      </c>
      <c r="I27">
        <f t="shared" si="5"/>
        <v>27935.476843224951</v>
      </c>
    </row>
    <row r="28" spans="1:9">
      <c r="A28">
        <f t="shared" si="6"/>
        <v>20</v>
      </c>
      <c r="B28">
        <f t="shared" si="0"/>
        <v>46</v>
      </c>
      <c r="C28">
        <f>IF(A28 &lt; 25, INDEX(Mortality_Table_Female!$B$2:$AB$97, MATCH('Premium Calculation'!$B$2, Mortality_Table_Female!$A$2:$A$97, 0), MATCH(A28, Mortality_Table_Female!$B$1:$AB$1, 0)), INDEX(Mortality_Table_Female!$AA$2:$AA$97, MATCH('Premium Calculation'!B28, Mortality_Table_Female!$AB$2:$AB$97, 0)))</f>
        <v>1.47E-3</v>
      </c>
      <c r="D28">
        <f t="shared" si="7"/>
        <v>27935.476843224951</v>
      </c>
      <c r="E28" s="19">
        <f t="shared" si="1"/>
        <v>988.1345207319838</v>
      </c>
      <c r="F28" s="19">
        <f t="shared" si="2"/>
        <v>28923.611363956934</v>
      </c>
      <c r="G28">
        <f t="shared" si="3"/>
        <v>30369.791932154782</v>
      </c>
      <c r="H28">
        <f t="shared" si="4"/>
        <v>367.5</v>
      </c>
      <c r="I28">
        <f t="shared" si="5"/>
        <v>30046.460228690958</v>
      </c>
    </row>
    <row r="29" spans="1:9">
      <c r="A29">
        <f t="shared" si="6"/>
        <v>21</v>
      </c>
      <c r="B29">
        <f t="shared" si="0"/>
        <v>47</v>
      </c>
      <c r="C29">
        <f>IF(A29 &lt; 25, INDEX(Mortality_Table_Female!$B$2:$AB$97, MATCH('Premium Calculation'!$B$2, Mortality_Table_Female!$A$2:$A$97, 0), MATCH(A29, Mortality_Table_Female!$B$1:$AB$1, 0)), INDEX(Mortality_Table_Female!$AA$2:$AA$97, MATCH('Premium Calculation'!B29, Mortality_Table_Female!$AB$2:$AB$97, 0)))</f>
        <v>1.6000000000000001E-3</v>
      </c>
      <c r="D29">
        <f t="shared" si="7"/>
        <v>30046.460228690958</v>
      </c>
      <c r="E29" s="19">
        <f t="shared" si="1"/>
        <v>988.1345207319838</v>
      </c>
      <c r="F29" s="19">
        <f t="shared" si="2"/>
        <v>31034.59474942294</v>
      </c>
      <c r="G29">
        <f t="shared" si="3"/>
        <v>32586.324486894089</v>
      </c>
      <c r="H29">
        <f t="shared" si="4"/>
        <v>400</v>
      </c>
      <c r="I29">
        <f t="shared" si="5"/>
        <v>32237.905135110268</v>
      </c>
    </row>
    <row r="30" spans="1:9">
      <c r="A30">
        <f t="shared" si="6"/>
        <v>22</v>
      </c>
      <c r="B30">
        <f t="shared" si="0"/>
        <v>48</v>
      </c>
      <c r="C30">
        <f>IF(A30 &lt; 25, INDEX(Mortality_Table_Female!$B$2:$AB$97, MATCH('Premium Calculation'!$B$2, Mortality_Table_Female!$A$2:$A$97, 0), MATCH(A30, Mortality_Table_Female!$B$1:$AB$1, 0)), INDEX(Mortality_Table_Female!$AA$2:$AA$97, MATCH('Premium Calculation'!B30, Mortality_Table_Female!$AB$2:$AB$97, 0)))</f>
        <v>1.73E-3</v>
      </c>
      <c r="D30">
        <f t="shared" si="7"/>
        <v>32237.905135110268</v>
      </c>
      <c r="E30" s="19">
        <f t="shared" si="1"/>
        <v>988.1345207319838</v>
      </c>
      <c r="F30" s="19">
        <f t="shared" si="2"/>
        <v>33226.039655842251</v>
      </c>
      <c r="G30">
        <f t="shared" si="3"/>
        <v>34887.341638634367</v>
      </c>
      <c r="H30">
        <f t="shared" si="4"/>
        <v>432.5</v>
      </c>
      <c r="I30">
        <f t="shared" si="5"/>
        <v>34514.551813271326</v>
      </c>
    </row>
    <row r="31" spans="1:9">
      <c r="A31">
        <f t="shared" si="6"/>
        <v>23</v>
      </c>
      <c r="B31">
        <f t="shared" si="0"/>
        <v>49</v>
      </c>
      <c r="C31">
        <f>IF(A31 &lt; 25, INDEX(Mortality_Table_Female!$B$2:$AB$97, MATCH('Premium Calculation'!$B$2, Mortality_Table_Female!$A$2:$A$97, 0), MATCH(A31, Mortality_Table_Female!$B$1:$AB$1, 0)), INDEX(Mortality_Table_Female!$AA$2:$AA$97, MATCH('Premium Calculation'!B31, Mortality_Table_Female!$AB$2:$AB$97, 0)))</f>
        <v>1.8699999999999999E-3</v>
      </c>
      <c r="D31">
        <f t="shared" si="7"/>
        <v>34514.551813271326</v>
      </c>
      <c r="E31" s="19">
        <f t="shared" si="1"/>
        <v>988.1345207319838</v>
      </c>
      <c r="F31" s="19">
        <f t="shared" si="2"/>
        <v>35502.686334003309</v>
      </c>
      <c r="G31">
        <f t="shared" si="3"/>
        <v>37277.820650703477</v>
      </c>
      <c r="H31">
        <f t="shared" si="4"/>
        <v>467.5</v>
      </c>
      <c r="I31">
        <f t="shared" si="5"/>
        <v>36879.284913491705</v>
      </c>
    </row>
    <row r="32" spans="1:9">
      <c r="A32">
        <f t="shared" si="6"/>
        <v>24</v>
      </c>
      <c r="B32">
        <f t="shared" si="0"/>
        <v>50</v>
      </c>
      <c r="C32">
        <f>IF(A32 &lt; 25, INDEX(Mortality_Table_Female!$B$2:$AB$97, MATCH('Premium Calculation'!$B$2, Mortality_Table_Female!$A$2:$A$97, 0), MATCH(A32, Mortality_Table_Female!$B$1:$AB$1, 0)), INDEX(Mortality_Table_Female!$AA$2:$AA$97, MATCH('Premium Calculation'!B32, Mortality_Table_Female!$AB$2:$AB$97, 0)))</f>
        <v>2.0200000000000001E-3</v>
      </c>
      <c r="D32">
        <f t="shared" si="7"/>
        <v>36879.284913491705</v>
      </c>
      <c r="E32" s="19">
        <f t="shared" si="1"/>
        <v>988.1345207319838</v>
      </c>
      <c r="F32" s="19">
        <f t="shared" si="2"/>
        <v>37867.419434223688</v>
      </c>
      <c r="G32">
        <f t="shared" si="3"/>
        <v>39760.790405934873</v>
      </c>
      <c r="H32">
        <f t="shared" si="4"/>
        <v>505</v>
      </c>
      <c r="I32">
        <f t="shared" si="5"/>
        <v>39335.247606099198</v>
      </c>
    </row>
    <row r="33" spans="1:9">
      <c r="A33">
        <f t="shared" si="6"/>
        <v>25</v>
      </c>
      <c r="B33">
        <f t="shared" si="0"/>
        <v>51</v>
      </c>
      <c r="C33">
        <f>IF(A33 &lt; 25, INDEX(Mortality_Table_Female!$B$2:$AB$97, MATCH('Premium Calculation'!$B$2, Mortality_Table_Female!$A$2:$A$97, 0), MATCH(A33, Mortality_Table_Female!$B$1:$AB$1, 0)), INDEX(Mortality_Table_Female!$AA$2:$AA$97, MATCH('Premium Calculation'!B33, Mortality_Table_Female!$AB$2:$AB$97, 0)))</f>
        <v>2.1900000000000001E-3</v>
      </c>
      <c r="D33">
        <f t="shared" si="7"/>
        <v>39335.247606099198</v>
      </c>
      <c r="E33" s="19">
        <f t="shared" si="1"/>
        <v>988.1345207319838</v>
      </c>
      <c r="F33" s="19">
        <f t="shared" si="2"/>
        <v>40323.38212683118</v>
      </c>
      <c r="G33">
        <f t="shared" si="3"/>
        <v>42339.551233172744</v>
      </c>
      <c r="H33">
        <f t="shared" si="4"/>
        <v>547.5</v>
      </c>
      <c r="I33">
        <f t="shared" si="5"/>
        <v>41883.776704154843</v>
      </c>
    </row>
    <row r="34" spans="1:9">
      <c r="A34">
        <f t="shared" si="6"/>
        <v>26</v>
      </c>
      <c r="B34">
        <f t="shared" si="0"/>
        <v>52</v>
      </c>
      <c r="C34">
        <f>IF(A34 &lt; 25, INDEX(Mortality_Table_Female!$B$2:$AB$97, MATCH('Premium Calculation'!$B$2, Mortality_Table_Female!$A$2:$A$97, 0), MATCH(A34, Mortality_Table_Female!$B$1:$AB$1, 0)), INDEX(Mortality_Table_Female!$AA$2:$AA$97, MATCH('Premium Calculation'!B34, Mortality_Table_Female!$AB$2:$AB$97, 0)))</f>
        <v>2.3800000000000002E-3</v>
      </c>
      <c r="D34">
        <f t="shared" si="7"/>
        <v>41883.776704154843</v>
      </c>
      <c r="E34" s="19">
        <f t="shared" si="1"/>
        <v>988.1345207319838</v>
      </c>
      <c r="F34" s="19">
        <f t="shared" si="2"/>
        <v>42871.911224886826</v>
      </c>
      <c r="G34">
        <f t="shared" si="3"/>
        <v>45015.506786131169</v>
      </c>
      <c r="H34">
        <f t="shared" si="4"/>
        <v>595</v>
      </c>
      <c r="I34">
        <f t="shared" si="5"/>
        <v>44526.479808074386</v>
      </c>
    </row>
    <row r="35" spans="1:9">
      <c r="A35">
        <f t="shared" si="6"/>
        <v>27</v>
      </c>
      <c r="B35">
        <f t="shared" si="0"/>
        <v>53</v>
      </c>
      <c r="C35">
        <f>IF(A35 &lt; 25, INDEX(Mortality_Table_Female!$B$2:$AB$97, MATCH('Premium Calculation'!$B$2, Mortality_Table_Female!$A$2:$A$97, 0), MATCH(A35, Mortality_Table_Female!$B$1:$AB$1, 0)), INDEX(Mortality_Table_Female!$AA$2:$AA$97, MATCH('Premium Calculation'!B35, Mortality_Table_Female!$AB$2:$AB$97, 0)))</f>
        <v>2.5899999999999999E-3</v>
      </c>
      <c r="D35">
        <f t="shared" si="7"/>
        <v>44526.479808074386</v>
      </c>
      <c r="E35" s="19">
        <f t="shared" si="1"/>
        <v>988.1345207319838</v>
      </c>
      <c r="F35" s="19">
        <f t="shared" si="2"/>
        <v>45514.614328806369</v>
      </c>
      <c r="G35">
        <f t="shared" si="3"/>
        <v>47790.345045246686</v>
      </c>
      <c r="H35">
        <f t="shared" si="4"/>
        <v>647.5</v>
      </c>
      <c r="I35">
        <f t="shared" si="5"/>
        <v>47265.262074018392</v>
      </c>
    </row>
    <row r="36" spans="1:9">
      <c r="A36">
        <f t="shared" si="6"/>
        <v>28</v>
      </c>
      <c r="B36">
        <f t="shared" si="0"/>
        <v>54</v>
      </c>
      <c r="C36">
        <f>IF(A36 &lt; 25, INDEX(Mortality_Table_Female!$B$2:$AB$97, MATCH('Premium Calculation'!$B$2, Mortality_Table_Female!$A$2:$A$97, 0), MATCH(A36, Mortality_Table_Female!$B$1:$AB$1, 0)), INDEX(Mortality_Table_Female!$AA$2:$AA$97, MATCH('Premium Calculation'!B36, Mortality_Table_Female!$AB$2:$AB$97, 0)))</f>
        <v>2.82E-3</v>
      </c>
      <c r="D36">
        <f t="shared" si="7"/>
        <v>47265.262074018392</v>
      </c>
      <c r="E36" s="19">
        <f t="shared" si="1"/>
        <v>988.1345207319838</v>
      </c>
      <c r="F36" s="19">
        <f t="shared" si="2"/>
        <v>48253.396594750375</v>
      </c>
      <c r="G36">
        <f t="shared" si="3"/>
        <v>50666.066424487894</v>
      </c>
      <c r="H36">
        <f t="shared" si="4"/>
        <v>705</v>
      </c>
      <c r="I36">
        <f t="shared" si="5"/>
        <v>50102.355065773379</v>
      </c>
    </row>
    <row r="37" spans="1:9">
      <c r="A37">
        <f t="shared" si="6"/>
        <v>29</v>
      </c>
      <c r="B37">
        <f t="shared" si="0"/>
        <v>55</v>
      </c>
      <c r="C37">
        <f>IF(A37 &lt; 25, INDEX(Mortality_Table_Female!$B$2:$AB$97, MATCH('Premium Calculation'!$B$2, Mortality_Table_Female!$A$2:$A$97, 0), MATCH(A37, Mortality_Table_Female!$B$1:$AB$1, 0)), INDEX(Mortality_Table_Female!$AA$2:$AA$97, MATCH('Premium Calculation'!B37, Mortality_Table_Female!$AB$2:$AB$97, 0)))</f>
        <v>3.0799999999999998E-3</v>
      </c>
      <c r="D37">
        <f t="shared" si="7"/>
        <v>50102.355065773379</v>
      </c>
      <c r="E37" s="19">
        <f t="shared" si="1"/>
        <v>988.1345207319838</v>
      </c>
      <c r="F37" s="19">
        <f t="shared" si="2"/>
        <v>51090.489586505362</v>
      </c>
      <c r="G37">
        <f t="shared" si="3"/>
        <v>53645.014065830634</v>
      </c>
      <c r="H37">
        <f t="shared" si="4"/>
        <v>770</v>
      </c>
      <c r="I37">
        <f t="shared" si="5"/>
        <v>53038.372252367924</v>
      </c>
    </row>
    <row r="38" spans="1:9">
      <c r="A38">
        <f t="shared" si="6"/>
        <v>30</v>
      </c>
      <c r="B38">
        <f t="shared" si="0"/>
        <v>56</v>
      </c>
      <c r="C38">
        <f>IF(A38 &lt; 25, INDEX(Mortality_Table_Female!$B$2:$AB$97, MATCH('Premium Calculation'!$B$2, Mortality_Table_Female!$A$2:$A$97, 0), MATCH(A38, Mortality_Table_Female!$B$1:$AB$1, 0)), INDEX(Mortality_Table_Female!$AA$2:$AA$97, MATCH('Premium Calculation'!B38, Mortality_Table_Female!$AB$2:$AB$97, 0)))</f>
        <v>3.3700000000000002E-3</v>
      </c>
      <c r="D38">
        <f t="shared" si="7"/>
        <v>53038.372252367924</v>
      </c>
      <c r="E38" s="19">
        <f t="shared" si="1"/>
        <v>988.1345207319838</v>
      </c>
      <c r="F38" s="19">
        <f t="shared" si="2"/>
        <v>54026.506773099907</v>
      </c>
      <c r="G38">
        <f t="shared" si="3"/>
        <v>56727.832111754906</v>
      </c>
      <c r="H38">
        <f t="shared" si="4"/>
        <v>842.5</v>
      </c>
      <c r="I38">
        <f t="shared" si="5"/>
        <v>56074.302511217706</v>
      </c>
    </row>
    <row r="39" spans="1:9">
      <c r="A39">
        <f t="shared" si="6"/>
        <v>31</v>
      </c>
      <c r="B39">
        <f t="shared" si="0"/>
        <v>57</v>
      </c>
      <c r="C39">
        <f>IF(A39 &lt; 25, INDEX(Mortality_Table_Female!$B$2:$AB$97, MATCH('Premium Calculation'!$B$2, Mortality_Table_Female!$A$2:$A$97, 0), MATCH(A39, Mortality_Table_Female!$B$1:$AB$1, 0)), INDEX(Mortality_Table_Female!$AA$2:$AA$97, MATCH('Premium Calculation'!B39, Mortality_Table_Female!$AB$2:$AB$97, 0)))</f>
        <v>3.6900000000000001E-3</v>
      </c>
      <c r="D39">
        <f t="shared" si="7"/>
        <v>56074.302511217706</v>
      </c>
      <c r="E39" s="19">
        <f t="shared" si="1"/>
        <v>988.1345207319838</v>
      </c>
      <c r="F39" s="19">
        <f t="shared" si="2"/>
        <v>57062.437031949688</v>
      </c>
      <c r="G39">
        <f t="shared" si="3"/>
        <v>59915.558883547172</v>
      </c>
      <c r="H39">
        <f t="shared" si="4"/>
        <v>922.5</v>
      </c>
      <c r="I39">
        <f t="shared" si="5"/>
        <v>59211.549501206624</v>
      </c>
    </row>
    <row r="40" spans="1:9">
      <c r="A40">
        <f t="shared" si="6"/>
        <v>32</v>
      </c>
      <c r="B40">
        <f t="shared" si="0"/>
        <v>58</v>
      </c>
      <c r="C40">
        <f>IF(A40 &lt; 25, INDEX(Mortality_Table_Female!$B$2:$AB$97, MATCH('Premium Calculation'!$B$2, Mortality_Table_Female!$A$2:$A$97, 0), MATCH(A40, Mortality_Table_Female!$B$1:$AB$1, 0)), INDEX(Mortality_Table_Female!$AA$2:$AA$97, MATCH('Premium Calculation'!B40, Mortality_Table_Female!$AB$2:$AB$97, 0)))</f>
        <v>4.0499999999999998E-3</v>
      </c>
      <c r="D40">
        <f t="shared" si="7"/>
        <v>59211.549501206624</v>
      </c>
      <c r="E40" s="19">
        <f t="shared" si="1"/>
        <v>988.1345207319838</v>
      </c>
      <c r="F40" s="19">
        <f t="shared" si="2"/>
        <v>60199.684021938607</v>
      </c>
      <c r="G40">
        <f t="shared" si="3"/>
        <v>63209.668223035536</v>
      </c>
      <c r="H40">
        <f t="shared" si="4"/>
        <v>1012.5</v>
      </c>
      <c r="I40">
        <f t="shared" si="5"/>
        <v>62450.091091957969</v>
      </c>
    </row>
    <row r="41" spans="1:9">
      <c r="A41">
        <f t="shared" si="6"/>
        <v>33</v>
      </c>
      <c r="B41">
        <f t="shared" ref="B41:B72" si="8">$B$2 + A41 - 1</f>
        <v>59</v>
      </c>
      <c r="C41">
        <f>IF(A41 &lt; 25, INDEX(Mortality_Table_Female!$B$2:$AB$97, MATCH('Premium Calculation'!$B$2, Mortality_Table_Female!$A$2:$A$97, 0), MATCH(A41, Mortality_Table_Female!$B$1:$AB$1, 0)), INDEX(Mortality_Table_Female!$AA$2:$AA$97, MATCH('Premium Calculation'!B41, Mortality_Table_Female!$AB$2:$AB$97, 0)))</f>
        <v>4.4600000000000004E-3</v>
      </c>
      <c r="D41">
        <f t="shared" si="7"/>
        <v>62450.091091957969</v>
      </c>
      <c r="E41" s="19">
        <f t="shared" ref="E41:E72" si="9">$B$6</f>
        <v>988.1345207319838</v>
      </c>
      <c r="F41" s="19">
        <f t="shared" ref="F41:F72" si="10">E41+D41</f>
        <v>63438.225612689952</v>
      </c>
      <c r="G41">
        <f t="shared" ref="G41:G72" si="11">F41*(1+$B$5)</f>
        <v>66610.136893324452</v>
      </c>
      <c r="H41">
        <f t="shared" ref="H41:H72" si="12">C41*$B$4</f>
        <v>1115</v>
      </c>
      <c r="I41">
        <f t="shared" ref="I41:I72" si="13">(G41 - H41)/(1-C41)</f>
        <v>65788.553843466318</v>
      </c>
    </row>
    <row r="42" spans="1:9">
      <c r="A42">
        <f t="shared" ref="A42:A73" si="14">A41+1</f>
        <v>34</v>
      </c>
      <c r="B42">
        <f t="shared" si="8"/>
        <v>60</v>
      </c>
      <c r="C42">
        <f>IF(A42 &lt; 25, INDEX(Mortality_Table_Female!$B$2:$AB$97, MATCH('Premium Calculation'!$B$2, Mortality_Table_Female!$A$2:$A$97, 0), MATCH(A42, Mortality_Table_Female!$B$1:$AB$1, 0)), INDEX(Mortality_Table_Female!$AA$2:$AA$97, MATCH('Premium Calculation'!B42, Mortality_Table_Female!$AB$2:$AB$97, 0)))</f>
        <v>4.9300000000000004E-3</v>
      </c>
      <c r="D42">
        <f t="shared" ref="D42:D73" si="15">I41</f>
        <v>65788.553843466318</v>
      </c>
      <c r="E42" s="19">
        <f t="shared" si="9"/>
        <v>988.1345207319838</v>
      </c>
      <c r="F42" s="19">
        <f t="shared" si="10"/>
        <v>66776.6883641983</v>
      </c>
      <c r="G42">
        <f t="shared" si="11"/>
        <v>70115.522782408225</v>
      </c>
      <c r="H42">
        <f t="shared" si="12"/>
        <v>1232.5</v>
      </c>
      <c r="I42">
        <f t="shared" si="13"/>
        <v>69224.298574379922</v>
      </c>
    </row>
    <row r="43" spans="1:9">
      <c r="A43">
        <f t="shared" si="14"/>
        <v>35</v>
      </c>
      <c r="B43">
        <f t="shared" si="8"/>
        <v>61</v>
      </c>
      <c r="C43">
        <f>IF(A43 &lt; 25, INDEX(Mortality_Table_Female!$B$2:$AB$97, MATCH('Premium Calculation'!$B$2, Mortality_Table_Female!$A$2:$A$97, 0), MATCH(A43, Mortality_Table_Female!$B$1:$AB$1, 0)), INDEX(Mortality_Table_Female!$AA$2:$AA$97, MATCH('Premium Calculation'!B43, Mortality_Table_Female!$AB$2:$AB$97, 0)))</f>
        <v>5.4599999999999996E-3</v>
      </c>
      <c r="D43">
        <f t="shared" si="15"/>
        <v>69224.298574379922</v>
      </c>
      <c r="E43" s="19">
        <f t="shared" si="9"/>
        <v>988.1345207319838</v>
      </c>
      <c r="F43" s="19">
        <f t="shared" si="10"/>
        <v>70212.433095111905</v>
      </c>
      <c r="G43">
        <f t="shared" si="11"/>
        <v>73723.054749867501</v>
      </c>
      <c r="H43">
        <f t="shared" si="12"/>
        <v>1365</v>
      </c>
      <c r="I43">
        <f t="shared" si="13"/>
        <v>72755.298680663924</v>
      </c>
    </row>
    <row r="44" spans="1:9">
      <c r="A44">
        <f t="shared" si="14"/>
        <v>36</v>
      </c>
      <c r="B44">
        <f t="shared" si="8"/>
        <v>62</v>
      </c>
      <c r="C44">
        <f>IF(A44 &lt; 25, INDEX(Mortality_Table_Female!$B$2:$AB$97, MATCH('Premium Calculation'!$B$2, Mortality_Table_Female!$A$2:$A$97, 0), MATCH(A44, Mortality_Table_Female!$B$1:$AB$1, 0)), INDEX(Mortality_Table_Female!$AA$2:$AA$97, MATCH('Premium Calculation'!B44, Mortality_Table_Female!$AB$2:$AB$97, 0)))</f>
        <v>6.0499999999999998E-3</v>
      </c>
      <c r="D44">
        <f t="shared" si="15"/>
        <v>72755.298680663924</v>
      </c>
      <c r="E44" s="19">
        <f t="shared" si="9"/>
        <v>988.1345207319838</v>
      </c>
      <c r="F44" s="19">
        <f t="shared" si="10"/>
        <v>73743.433201395907</v>
      </c>
      <c r="G44">
        <f t="shared" si="11"/>
        <v>77430.604861465705</v>
      </c>
      <c r="H44">
        <f t="shared" si="12"/>
        <v>1512.5</v>
      </c>
      <c r="I44">
        <f t="shared" si="13"/>
        <v>76380.205102334832</v>
      </c>
    </row>
    <row r="45" spans="1:9">
      <c r="A45">
        <f t="shared" si="14"/>
        <v>37</v>
      </c>
      <c r="B45">
        <f t="shared" si="8"/>
        <v>63</v>
      </c>
      <c r="C45">
        <f>IF(A45 &lt; 25, INDEX(Mortality_Table_Female!$B$2:$AB$97, MATCH('Premium Calculation'!$B$2, Mortality_Table_Female!$A$2:$A$97, 0), MATCH(A45, Mortality_Table_Female!$B$1:$AB$1, 0)), INDEX(Mortality_Table_Female!$AA$2:$AA$97, MATCH('Premium Calculation'!B45, Mortality_Table_Female!$AB$2:$AB$97, 0)))</f>
        <v>6.7200000000000003E-3</v>
      </c>
      <c r="D45">
        <f t="shared" si="15"/>
        <v>76380.205102334832</v>
      </c>
      <c r="E45" s="19">
        <f t="shared" si="9"/>
        <v>988.1345207319838</v>
      </c>
      <c r="F45" s="19">
        <f t="shared" si="10"/>
        <v>77368.339623066815</v>
      </c>
      <c r="G45">
        <f t="shared" si="11"/>
        <v>81236.756604220165</v>
      </c>
      <c r="H45">
        <f t="shared" si="12"/>
        <v>1680</v>
      </c>
      <c r="I45">
        <f t="shared" si="13"/>
        <v>80094.994970421394</v>
      </c>
    </row>
    <row r="46" spans="1:9">
      <c r="A46">
        <f t="shared" si="14"/>
        <v>38</v>
      </c>
      <c r="B46">
        <f t="shared" si="8"/>
        <v>64</v>
      </c>
      <c r="C46">
        <f>IF(A46 &lt; 25, INDEX(Mortality_Table_Female!$B$2:$AB$97, MATCH('Premium Calculation'!$B$2, Mortality_Table_Female!$A$2:$A$97, 0), MATCH(A46, Mortality_Table_Female!$B$1:$AB$1, 0)), INDEX(Mortality_Table_Female!$AA$2:$AA$97, MATCH('Premium Calculation'!B46, Mortality_Table_Female!$AB$2:$AB$97, 0)))</f>
        <v>7.4700000000000001E-3</v>
      </c>
      <c r="D46">
        <f t="shared" si="15"/>
        <v>80094.994970421394</v>
      </c>
      <c r="E46" s="19">
        <f t="shared" si="9"/>
        <v>988.1345207319838</v>
      </c>
      <c r="F46" s="19">
        <f t="shared" si="10"/>
        <v>81083.129491153377</v>
      </c>
      <c r="G46">
        <f t="shared" si="11"/>
        <v>85137.285965711053</v>
      </c>
      <c r="H46">
        <f t="shared" si="12"/>
        <v>1867.5</v>
      </c>
      <c r="I46">
        <f t="shared" si="13"/>
        <v>83896.49276667813</v>
      </c>
    </row>
    <row r="47" spans="1:9">
      <c r="A47">
        <f t="shared" si="14"/>
        <v>39</v>
      </c>
      <c r="B47">
        <f t="shared" si="8"/>
        <v>65</v>
      </c>
      <c r="C47">
        <f>IF(A47 &lt; 25, INDEX(Mortality_Table_Female!$B$2:$AB$97, MATCH('Premium Calculation'!$B$2, Mortality_Table_Female!$A$2:$A$97, 0), MATCH(A47, Mortality_Table_Female!$B$1:$AB$1, 0)), INDEX(Mortality_Table_Female!$AA$2:$AA$97, MATCH('Premium Calculation'!B47, Mortality_Table_Female!$AB$2:$AB$97, 0)))</f>
        <v>8.3099999999999997E-3</v>
      </c>
      <c r="D47">
        <f t="shared" si="15"/>
        <v>83896.49276667813</v>
      </c>
      <c r="E47" s="19">
        <f t="shared" si="9"/>
        <v>988.1345207319838</v>
      </c>
      <c r="F47" s="19">
        <f t="shared" si="10"/>
        <v>84884.627287410112</v>
      </c>
      <c r="G47">
        <f t="shared" si="11"/>
        <v>89128.858651780625</v>
      </c>
      <c r="H47">
        <f t="shared" si="12"/>
        <v>2077.5</v>
      </c>
      <c r="I47">
        <f t="shared" si="13"/>
        <v>87780.817243070545</v>
      </c>
    </row>
    <row r="48" spans="1:9">
      <c r="A48">
        <f t="shared" si="14"/>
        <v>40</v>
      </c>
      <c r="B48">
        <f t="shared" si="8"/>
        <v>66</v>
      </c>
      <c r="C48">
        <f>IF(A48 &lt; 25, INDEX(Mortality_Table_Female!$B$2:$AB$97, MATCH('Premium Calculation'!$B$2, Mortality_Table_Female!$A$2:$A$97, 0), MATCH(A48, Mortality_Table_Female!$B$1:$AB$1, 0)), INDEX(Mortality_Table_Female!$AA$2:$AA$97, MATCH('Premium Calculation'!B48, Mortality_Table_Female!$AB$2:$AB$97, 0)))</f>
        <v>9.2399999999999999E-3</v>
      </c>
      <c r="D48">
        <f t="shared" si="15"/>
        <v>87780.817243070545</v>
      </c>
      <c r="E48" s="19">
        <f t="shared" si="9"/>
        <v>988.1345207319838</v>
      </c>
      <c r="F48" s="19">
        <f t="shared" si="10"/>
        <v>88768.951763802528</v>
      </c>
      <c r="G48">
        <f t="shared" si="11"/>
        <v>93207.399351992659</v>
      </c>
      <c r="H48">
        <f t="shared" si="12"/>
        <v>2310</v>
      </c>
      <c r="I48">
        <f t="shared" si="13"/>
        <v>91745.124300529555</v>
      </c>
    </row>
    <row r="49" spans="1:9">
      <c r="A49">
        <f t="shared" si="14"/>
        <v>41</v>
      </c>
      <c r="B49">
        <f t="shared" si="8"/>
        <v>67</v>
      </c>
      <c r="C49">
        <f>IF(A49 &lt; 25, INDEX(Mortality_Table_Female!$B$2:$AB$97, MATCH('Premium Calculation'!$B$2, Mortality_Table_Female!$A$2:$A$97, 0), MATCH(A49, Mortality_Table_Female!$B$1:$AB$1, 0)), INDEX(Mortality_Table_Female!$AA$2:$AA$97, MATCH('Premium Calculation'!B49, Mortality_Table_Female!$AB$2:$AB$97, 0)))</f>
        <v>1.027E-2</v>
      </c>
      <c r="D49">
        <f t="shared" si="15"/>
        <v>91745.124300529555</v>
      </c>
      <c r="E49" s="19">
        <f t="shared" si="9"/>
        <v>988.1345207319838</v>
      </c>
      <c r="F49" s="19">
        <f t="shared" si="10"/>
        <v>92733.258821261537</v>
      </c>
      <c r="G49">
        <f t="shared" si="11"/>
        <v>97369.921762324622</v>
      </c>
      <c r="H49">
        <f t="shared" si="12"/>
        <v>2567.5</v>
      </c>
      <c r="I49">
        <f t="shared" si="13"/>
        <v>95786.145476366917</v>
      </c>
    </row>
    <row r="50" spans="1:9">
      <c r="A50">
        <f t="shared" si="14"/>
        <v>42</v>
      </c>
      <c r="B50">
        <f t="shared" si="8"/>
        <v>68</v>
      </c>
      <c r="C50">
        <f>IF(A50 &lt; 25, INDEX(Mortality_Table_Female!$B$2:$AB$97, MATCH('Premium Calculation'!$B$2, Mortality_Table_Female!$A$2:$A$97, 0), MATCH(A50, Mortality_Table_Female!$B$1:$AB$1, 0)), INDEX(Mortality_Table_Female!$AA$2:$AA$97, MATCH('Premium Calculation'!B50, Mortality_Table_Female!$AB$2:$AB$97, 0)))</f>
        <v>1.141E-2</v>
      </c>
      <c r="D50">
        <f t="shared" si="15"/>
        <v>95786.145476366917</v>
      </c>
      <c r="E50" s="19">
        <f t="shared" si="9"/>
        <v>988.1345207319838</v>
      </c>
      <c r="F50" s="19">
        <f t="shared" si="10"/>
        <v>96774.2799970989</v>
      </c>
      <c r="G50">
        <f t="shared" si="11"/>
        <v>101612.99399695385</v>
      </c>
      <c r="H50">
        <f t="shared" si="12"/>
        <v>2852.5</v>
      </c>
      <c r="I50">
        <f t="shared" si="13"/>
        <v>99900.357071135513</v>
      </c>
    </row>
    <row r="51" spans="1:9">
      <c r="A51">
        <f t="shared" si="14"/>
        <v>43</v>
      </c>
      <c r="B51">
        <f t="shared" si="8"/>
        <v>69</v>
      </c>
      <c r="C51">
        <f>IF(A51 &lt; 25, INDEX(Mortality_Table_Female!$B$2:$AB$97, MATCH('Premium Calculation'!$B$2, Mortality_Table_Female!$A$2:$A$97, 0), MATCH(A51, Mortality_Table_Female!$B$1:$AB$1, 0)), INDEX(Mortality_Table_Female!$AA$2:$AA$97, MATCH('Premium Calculation'!B51, Mortality_Table_Female!$AB$2:$AB$97, 0)))</f>
        <v>1.2659999999999999E-2</v>
      </c>
      <c r="D51">
        <f t="shared" si="15"/>
        <v>99900.357071135513</v>
      </c>
      <c r="E51" s="19">
        <f t="shared" si="9"/>
        <v>988.1345207319838</v>
      </c>
      <c r="F51" s="19">
        <f t="shared" si="10"/>
        <v>100888.4915918675</v>
      </c>
      <c r="G51">
        <f t="shared" si="11"/>
        <v>105932.91617146088</v>
      </c>
      <c r="H51">
        <f t="shared" si="12"/>
        <v>3165</v>
      </c>
      <c r="I51">
        <f t="shared" si="13"/>
        <v>104085.64037865464</v>
      </c>
    </row>
    <row r="52" spans="1:9">
      <c r="A52">
        <f t="shared" si="14"/>
        <v>44</v>
      </c>
      <c r="B52">
        <f t="shared" si="8"/>
        <v>70</v>
      </c>
      <c r="C52">
        <f>IF(A52 &lt; 25, INDEX(Mortality_Table_Female!$B$2:$AB$97, MATCH('Premium Calculation'!$B$2, Mortality_Table_Female!$A$2:$A$97, 0), MATCH(A52, Mortality_Table_Female!$B$1:$AB$1, 0)), INDEX(Mortality_Table_Female!$AA$2:$AA$97, MATCH('Premium Calculation'!B52, Mortality_Table_Female!$AB$2:$AB$97, 0)))</f>
        <v>1.404E-2</v>
      </c>
      <c r="D52">
        <f t="shared" si="15"/>
        <v>104085.64037865464</v>
      </c>
      <c r="E52" s="19">
        <f t="shared" si="9"/>
        <v>988.1345207319838</v>
      </c>
      <c r="F52" s="19">
        <f t="shared" si="10"/>
        <v>105073.77489938663</v>
      </c>
      <c r="G52">
        <f t="shared" si="11"/>
        <v>110327.46364435596</v>
      </c>
      <c r="H52">
        <f t="shared" si="12"/>
        <v>3510</v>
      </c>
      <c r="I52">
        <f t="shared" si="13"/>
        <v>108338.53669961861</v>
      </c>
    </row>
    <row r="53" spans="1:9">
      <c r="A53">
        <f t="shared" si="14"/>
        <v>45</v>
      </c>
      <c r="B53">
        <f t="shared" si="8"/>
        <v>71</v>
      </c>
      <c r="C53">
        <f>IF(A53 &lt; 25, INDEX(Mortality_Table_Female!$B$2:$AB$97, MATCH('Premium Calculation'!$B$2, Mortality_Table_Female!$A$2:$A$97, 0), MATCH(A53, Mortality_Table_Female!$B$1:$AB$1, 0)), INDEX(Mortality_Table_Female!$AA$2:$AA$97, MATCH('Premium Calculation'!B53, Mortality_Table_Female!$AB$2:$AB$97, 0)))</f>
        <v>1.553E-2</v>
      </c>
      <c r="D53">
        <f t="shared" si="15"/>
        <v>108338.53669961861</v>
      </c>
      <c r="E53" s="19">
        <f t="shared" si="9"/>
        <v>988.1345207319838</v>
      </c>
      <c r="F53" s="19">
        <f t="shared" si="10"/>
        <v>109326.67122035059</v>
      </c>
      <c r="G53">
        <f t="shared" si="11"/>
        <v>114793.00478136812</v>
      </c>
      <c r="H53">
        <f t="shared" si="12"/>
        <v>3882.5</v>
      </c>
      <c r="I53">
        <f t="shared" si="13"/>
        <v>112660.11638888755</v>
      </c>
    </row>
    <row r="54" spans="1:9">
      <c r="A54">
        <f t="shared" si="14"/>
        <v>46</v>
      </c>
      <c r="B54">
        <f t="shared" si="8"/>
        <v>72</v>
      </c>
      <c r="C54">
        <f>IF(A54 &lt; 25, INDEX(Mortality_Table_Female!$B$2:$AB$97, MATCH('Premium Calculation'!$B$2, Mortality_Table_Female!$A$2:$A$97, 0), MATCH(A54, Mortality_Table_Female!$B$1:$AB$1, 0)), INDEX(Mortality_Table_Female!$AA$2:$AA$97, MATCH('Premium Calculation'!B54, Mortality_Table_Female!$AB$2:$AB$97, 0)))</f>
        <v>1.7170000000000001E-2</v>
      </c>
      <c r="D54">
        <f t="shared" si="15"/>
        <v>112660.11638888755</v>
      </c>
      <c r="E54" s="19">
        <f t="shared" si="9"/>
        <v>988.1345207319838</v>
      </c>
      <c r="F54" s="19">
        <f t="shared" si="10"/>
        <v>113648.25090961953</v>
      </c>
      <c r="G54">
        <f t="shared" si="11"/>
        <v>119330.66345510051</v>
      </c>
      <c r="H54">
        <f t="shared" si="12"/>
        <v>4292.5</v>
      </c>
      <c r="I54">
        <f t="shared" si="13"/>
        <v>117047.87547704131</v>
      </c>
    </row>
    <row r="55" spans="1:9">
      <c r="A55">
        <f t="shared" si="14"/>
        <v>47</v>
      </c>
      <c r="B55">
        <f t="shared" si="8"/>
        <v>73</v>
      </c>
      <c r="C55">
        <f>IF(A55 &lt; 25, INDEX(Mortality_Table_Female!$B$2:$AB$97, MATCH('Premium Calculation'!$B$2, Mortality_Table_Female!$A$2:$A$97, 0), MATCH(A55, Mortality_Table_Female!$B$1:$AB$1, 0)), INDEX(Mortality_Table_Female!$AA$2:$AA$97, MATCH('Premium Calculation'!B55, Mortality_Table_Female!$AB$2:$AB$97, 0)))</f>
        <v>1.8970000000000001E-2</v>
      </c>
      <c r="D55">
        <f t="shared" si="15"/>
        <v>117047.87547704131</v>
      </c>
      <c r="E55" s="19">
        <f t="shared" si="9"/>
        <v>988.1345207319838</v>
      </c>
      <c r="F55" s="19">
        <f t="shared" si="10"/>
        <v>118036.00999777329</v>
      </c>
      <c r="G55">
        <f t="shared" si="11"/>
        <v>123937.81049766197</v>
      </c>
      <c r="H55">
        <f t="shared" si="12"/>
        <v>4742.5</v>
      </c>
      <c r="I55">
        <f t="shared" si="13"/>
        <v>121500.16869786038</v>
      </c>
    </row>
    <row r="56" spans="1:9">
      <c r="A56">
        <f t="shared" si="14"/>
        <v>48</v>
      </c>
      <c r="B56">
        <f t="shared" si="8"/>
        <v>74</v>
      </c>
      <c r="C56">
        <f>IF(A56 &lt; 25, INDEX(Mortality_Table_Female!$B$2:$AB$97, MATCH('Premium Calculation'!$B$2, Mortality_Table_Female!$A$2:$A$97, 0), MATCH(A56, Mortality_Table_Female!$B$1:$AB$1, 0)), INDEX(Mortality_Table_Female!$AA$2:$AA$97, MATCH('Premium Calculation'!B56, Mortality_Table_Female!$AB$2:$AB$97, 0)))</f>
        <v>2.0979999999999999E-2</v>
      </c>
      <c r="D56">
        <f t="shared" si="15"/>
        <v>121500.16869786038</v>
      </c>
      <c r="E56" s="19">
        <f t="shared" si="9"/>
        <v>988.1345207319838</v>
      </c>
      <c r="F56" s="19">
        <f t="shared" si="10"/>
        <v>122488.30321859237</v>
      </c>
      <c r="G56">
        <f t="shared" si="11"/>
        <v>128612.71837952199</v>
      </c>
      <c r="H56">
        <f t="shared" si="12"/>
        <v>5245</v>
      </c>
      <c r="I56">
        <f t="shared" si="13"/>
        <v>126011.43835623581</v>
      </c>
    </row>
    <row r="57" spans="1:9">
      <c r="A57">
        <f t="shared" si="14"/>
        <v>49</v>
      </c>
      <c r="B57">
        <f t="shared" si="8"/>
        <v>75</v>
      </c>
      <c r="C57">
        <f>IF(A57 &lt; 25, INDEX(Mortality_Table_Female!$B$2:$AB$97, MATCH('Premium Calculation'!$B$2, Mortality_Table_Female!$A$2:$A$97, 0), MATCH(A57, Mortality_Table_Female!$B$1:$AB$1, 0)), INDEX(Mortality_Table_Female!$AA$2:$AA$97, MATCH('Premium Calculation'!B57, Mortality_Table_Female!$AB$2:$AB$97, 0)))</f>
        <v>2.325E-2</v>
      </c>
      <c r="D57">
        <f t="shared" si="15"/>
        <v>126011.43835623581</v>
      </c>
      <c r="E57" s="19">
        <f t="shared" si="9"/>
        <v>988.1345207319838</v>
      </c>
      <c r="F57" s="19">
        <f t="shared" si="10"/>
        <v>126999.5728769678</v>
      </c>
      <c r="G57">
        <f t="shared" si="11"/>
        <v>133349.5515208162</v>
      </c>
      <c r="H57">
        <f t="shared" si="12"/>
        <v>5812.5</v>
      </c>
      <c r="I57">
        <f t="shared" si="13"/>
        <v>130572.87076612869</v>
      </c>
    </row>
    <row r="58" spans="1:9">
      <c r="A58">
        <f t="shared" si="14"/>
        <v>50</v>
      </c>
      <c r="B58">
        <f t="shared" si="8"/>
        <v>76</v>
      </c>
      <c r="C58">
        <f>IF(A58 &lt; 25, INDEX(Mortality_Table_Female!$B$2:$AB$97, MATCH('Premium Calculation'!$B$2, Mortality_Table_Female!$A$2:$A$97, 0), MATCH(A58, Mortality_Table_Female!$B$1:$AB$1, 0)), INDEX(Mortality_Table_Female!$AA$2:$AA$97, MATCH('Premium Calculation'!B58, Mortality_Table_Female!$AB$2:$AB$97, 0)))</f>
        <v>2.58E-2</v>
      </c>
      <c r="D58">
        <f t="shared" si="15"/>
        <v>130572.87076612869</v>
      </c>
      <c r="E58" s="19">
        <f t="shared" si="9"/>
        <v>988.1345207319838</v>
      </c>
      <c r="F58" s="19">
        <f t="shared" si="10"/>
        <v>131561.00528686069</v>
      </c>
      <c r="G58">
        <f t="shared" si="11"/>
        <v>138139.05555120372</v>
      </c>
      <c r="H58">
        <f t="shared" si="12"/>
        <v>6450</v>
      </c>
      <c r="I58">
        <f t="shared" si="13"/>
        <v>135176.61214453267</v>
      </c>
    </row>
    <row r="59" spans="1:9">
      <c r="A59">
        <f t="shared" si="14"/>
        <v>51</v>
      </c>
      <c r="B59">
        <f t="shared" si="8"/>
        <v>77</v>
      </c>
      <c r="C59">
        <f>IF(A59 &lt; 25, INDEX(Mortality_Table_Female!$B$2:$AB$97, MATCH('Premium Calculation'!$B$2, Mortality_Table_Female!$A$2:$A$97, 0), MATCH(A59, Mortality_Table_Female!$B$1:$AB$1, 0)), INDEX(Mortality_Table_Female!$AA$2:$AA$97, MATCH('Premium Calculation'!B59, Mortality_Table_Female!$AB$2:$AB$97, 0)))</f>
        <v>2.8719999999999999E-2</v>
      </c>
      <c r="D59">
        <f t="shared" si="15"/>
        <v>135176.61214453267</v>
      </c>
      <c r="E59" s="19">
        <f t="shared" si="9"/>
        <v>988.1345207319838</v>
      </c>
      <c r="F59" s="19">
        <f t="shared" si="10"/>
        <v>136164.74666526465</v>
      </c>
      <c r="G59">
        <f t="shared" si="11"/>
        <v>142972.9839985279</v>
      </c>
      <c r="H59">
        <f t="shared" si="12"/>
        <v>7180</v>
      </c>
      <c r="I59">
        <f t="shared" si="13"/>
        <v>139808.27773507938</v>
      </c>
    </row>
    <row r="60" spans="1:9">
      <c r="A60">
        <f t="shared" si="14"/>
        <v>52</v>
      </c>
      <c r="B60">
        <f t="shared" si="8"/>
        <v>78</v>
      </c>
      <c r="C60">
        <f>IF(A60 &lt; 25, INDEX(Mortality_Table_Female!$B$2:$AB$97, MATCH('Premium Calculation'!$B$2, Mortality_Table_Female!$A$2:$A$97, 0), MATCH(A60, Mortality_Table_Female!$B$1:$AB$1, 0)), INDEX(Mortality_Table_Female!$AA$2:$AA$97, MATCH('Premium Calculation'!B60, Mortality_Table_Female!$AB$2:$AB$97, 0)))</f>
        <v>3.1989999999999998E-2</v>
      </c>
      <c r="D60">
        <f t="shared" si="15"/>
        <v>139808.27773507938</v>
      </c>
      <c r="E60" s="19">
        <f t="shared" si="9"/>
        <v>988.1345207319838</v>
      </c>
      <c r="F60" s="19">
        <f t="shared" si="10"/>
        <v>140796.41225581136</v>
      </c>
      <c r="G60">
        <f t="shared" si="11"/>
        <v>147836.23286860195</v>
      </c>
      <c r="H60">
        <f t="shared" si="12"/>
        <v>7997.4999999999991</v>
      </c>
      <c r="I60">
        <f t="shared" si="13"/>
        <v>144460.0085418559</v>
      </c>
    </row>
    <row r="61" spans="1:9">
      <c r="A61">
        <f t="shared" si="14"/>
        <v>53</v>
      </c>
      <c r="B61">
        <f t="shared" si="8"/>
        <v>79</v>
      </c>
      <c r="C61">
        <f>IF(A61 &lt; 25, INDEX(Mortality_Table_Female!$B$2:$AB$97, MATCH('Premium Calculation'!$B$2, Mortality_Table_Female!$A$2:$A$97, 0), MATCH(A61, Mortality_Table_Female!$B$1:$AB$1, 0)), INDEX(Mortality_Table_Female!$AA$2:$AA$97, MATCH('Premium Calculation'!B61, Mortality_Table_Female!$AB$2:$AB$97, 0)))</f>
        <v>3.569E-2</v>
      </c>
      <c r="D61">
        <f t="shared" si="15"/>
        <v>144460.0085418559</v>
      </c>
      <c r="E61" s="19">
        <f t="shared" si="9"/>
        <v>988.1345207319838</v>
      </c>
      <c r="F61" s="19">
        <f t="shared" si="10"/>
        <v>145448.14306258789</v>
      </c>
      <c r="G61">
        <f t="shared" si="11"/>
        <v>152720.55021571729</v>
      </c>
      <c r="H61">
        <f t="shared" si="12"/>
        <v>8922.5</v>
      </c>
      <c r="I61">
        <f t="shared" si="13"/>
        <v>149120.14830886052</v>
      </c>
    </row>
    <row r="62" spans="1:9">
      <c r="A62">
        <f t="shared" si="14"/>
        <v>54</v>
      </c>
      <c r="B62">
        <f t="shared" si="8"/>
        <v>80</v>
      </c>
      <c r="C62">
        <f>IF(A62 &lt; 25, INDEX(Mortality_Table_Female!$B$2:$AB$97, MATCH('Premium Calculation'!$B$2, Mortality_Table_Female!$A$2:$A$97, 0), MATCH(A62, Mortality_Table_Female!$B$1:$AB$1, 0)), INDEX(Mortality_Table_Female!$AA$2:$AA$97, MATCH('Premium Calculation'!B62, Mortality_Table_Female!$AB$2:$AB$97, 0)))</f>
        <v>3.986E-2</v>
      </c>
      <c r="D62">
        <f t="shared" si="15"/>
        <v>149120.14830886052</v>
      </c>
      <c r="E62" s="19">
        <f t="shared" si="9"/>
        <v>988.1345207319838</v>
      </c>
      <c r="F62" s="19">
        <f t="shared" si="10"/>
        <v>150108.2828295925</v>
      </c>
      <c r="G62">
        <f t="shared" si="11"/>
        <v>157613.69697107212</v>
      </c>
      <c r="H62">
        <f t="shared" si="12"/>
        <v>9965</v>
      </c>
      <c r="I62">
        <f t="shared" si="13"/>
        <v>153778.30000944875</v>
      </c>
    </row>
    <row r="63" spans="1:9">
      <c r="A63">
        <f t="shared" si="14"/>
        <v>55</v>
      </c>
      <c r="B63">
        <f t="shared" si="8"/>
        <v>81</v>
      </c>
      <c r="C63">
        <f>IF(A63 &lt; 25, INDEX(Mortality_Table_Female!$B$2:$AB$97, MATCH('Premium Calculation'!$B$2, Mortality_Table_Female!$A$2:$A$97, 0), MATCH(A63, Mortality_Table_Female!$B$1:$AB$1, 0)), INDEX(Mortality_Table_Female!$AA$2:$AA$97, MATCH('Premium Calculation'!B63, Mortality_Table_Female!$AB$2:$AB$97, 0)))</f>
        <v>4.4880000000000003E-2</v>
      </c>
      <c r="D63">
        <f t="shared" si="15"/>
        <v>153778.30000944875</v>
      </c>
      <c r="E63" s="19">
        <f t="shared" si="9"/>
        <v>988.1345207319838</v>
      </c>
      <c r="F63" s="19">
        <f t="shared" si="10"/>
        <v>154766.43453018073</v>
      </c>
      <c r="G63">
        <f t="shared" si="11"/>
        <v>162504.75625668978</v>
      </c>
      <c r="H63">
        <f t="shared" si="12"/>
        <v>11220</v>
      </c>
      <c r="I63">
        <f t="shared" si="13"/>
        <v>158393.45449439838</v>
      </c>
    </row>
    <row r="64" spans="1:9">
      <c r="A64">
        <f t="shared" si="14"/>
        <v>56</v>
      </c>
      <c r="B64">
        <f t="shared" si="8"/>
        <v>82</v>
      </c>
      <c r="C64">
        <f>IF(A64 &lt; 25, INDEX(Mortality_Table_Female!$B$2:$AB$97, MATCH('Premium Calculation'!$B$2, Mortality_Table_Female!$A$2:$A$97, 0), MATCH(A64, Mortality_Table_Female!$B$1:$AB$1, 0)), INDEX(Mortality_Table_Female!$AA$2:$AA$97, MATCH('Premium Calculation'!B64, Mortality_Table_Female!$AB$2:$AB$97, 0)))</f>
        <v>5.0599999999999999E-2</v>
      </c>
      <c r="D64">
        <f t="shared" si="15"/>
        <v>158393.45449439838</v>
      </c>
      <c r="E64" s="19">
        <f t="shared" si="9"/>
        <v>988.1345207319838</v>
      </c>
      <c r="F64" s="19">
        <f t="shared" si="10"/>
        <v>159381.58901513036</v>
      </c>
      <c r="G64">
        <f t="shared" si="11"/>
        <v>167350.66846588688</v>
      </c>
      <c r="H64">
        <f t="shared" si="12"/>
        <v>12650</v>
      </c>
      <c r="I64">
        <f t="shared" si="13"/>
        <v>162945.72199903821</v>
      </c>
    </row>
    <row r="65" spans="1:9">
      <c r="A65">
        <f t="shared" si="14"/>
        <v>57</v>
      </c>
      <c r="B65">
        <f t="shared" si="8"/>
        <v>83</v>
      </c>
      <c r="C65">
        <f>IF(A65 &lt; 25, INDEX(Mortality_Table_Female!$B$2:$AB$97, MATCH('Premium Calculation'!$B$2, Mortality_Table_Female!$A$2:$A$97, 0), MATCH(A65, Mortality_Table_Female!$B$1:$AB$1, 0)), INDEX(Mortality_Table_Female!$AA$2:$AA$97, MATCH('Premium Calculation'!B65, Mortality_Table_Female!$AB$2:$AB$97, 0)))</f>
        <v>5.704E-2</v>
      </c>
      <c r="D65">
        <f t="shared" si="15"/>
        <v>162945.72199903821</v>
      </c>
      <c r="E65" s="19">
        <f t="shared" si="9"/>
        <v>988.1345207319838</v>
      </c>
      <c r="F65" s="19">
        <f t="shared" si="10"/>
        <v>163933.8565197702</v>
      </c>
      <c r="G65">
        <f t="shared" si="11"/>
        <v>172130.54934575871</v>
      </c>
      <c r="H65">
        <f t="shared" si="12"/>
        <v>14260</v>
      </c>
      <c r="I65">
        <f t="shared" si="13"/>
        <v>167420.19740578468</v>
      </c>
    </row>
    <row r="66" spans="1:9">
      <c r="A66">
        <f t="shared" si="14"/>
        <v>58</v>
      </c>
      <c r="B66">
        <f t="shared" si="8"/>
        <v>84</v>
      </c>
      <c r="C66">
        <f>IF(A66 &lt; 25, INDEX(Mortality_Table_Female!$B$2:$AB$97, MATCH('Premium Calculation'!$B$2, Mortality_Table_Female!$A$2:$A$97, 0), MATCH(A66, Mortality_Table_Female!$B$1:$AB$1, 0)), INDEX(Mortality_Table_Female!$AA$2:$AA$97, MATCH('Premium Calculation'!B66, Mortality_Table_Female!$AB$2:$AB$97, 0)))</f>
        <v>6.4490000000000006E-2</v>
      </c>
      <c r="D66">
        <f t="shared" si="15"/>
        <v>167420.19740578468</v>
      </c>
      <c r="E66" s="19">
        <f t="shared" si="9"/>
        <v>988.1345207319838</v>
      </c>
      <c r="F66" s="19">
        <f t="shared" si="10"/>
        <v>168408.33192651666</v>
      </c>
      <c r="G66">
        <f t="shared" si="11"/>
        <v>176828.74852284251</v>
      </c>
      <c r="H66">
        <f t="shared" si="12"/>
        <v>16122.500000000002</v>
      </c>
      <c r="I66">
        <f t="shared" si="13"/>
        <v>171784.63995343985</v>
      </c>
    </row>
    <row r="67" spans="1:9">
      <c r="A67">
        <f t="shared" si="14"/>
        <v>59</v>
      </c>
      <c r="B67">
        <f t="shared" si="8"/>
        <v>85</v>
      </c>
      <c r="C67">
        <f>IF(A67 &lt; 25, INDEX(Mortality_Table_Female!$B$2:$AB$97, MATCH('Premium Calculation'!$B$2, Mortality_Table_Female!$A$2:$A$97, 0), MATCH(A67, Mortality_Table_Female!$B$1:$AB$1, 0)), INDEX(Mortality_Table_Female!$AA$2:$AA$97, MATCH('Premium Calculation'!B67, Mortality_Table_Female!$AB$2:$AB$97, 0)))</f>
        <v>7.2980000000000003E-2</v>
      </c>
      <c r="D67">
        <f t="shared" si="15"/>
        <v>171784.63995343985</v>
      </c>
      <c r="E67" s="19">
        <f t="shared" si="9"/>
        <v>988.1345207319838</v>
      </c>
      <c r="F67" s="19">
        <f t="shared" si="10"/>
        <v>172772.77447417183</v>
      </c>
      <c r="G67">
        <f t="shared" si="11"/>
        <v>181411.41319788044</v>
      </c>
      <c r="H67">
        <f t="shared" si="12"/>
        <v>18245</v>
      </c>
      <c r="I67">
        <f t="shared" si="13"/>
        <v>176011.75076900222</v>
      </c>
    </row>
    <row r="68" spans="1:9">
      <c r="A68">
        <f t="shared" si="14"/>
        <v>60</v>
      </c>
      <c r="B68">
        <f t="shared" si="8"/>
        <v>86</v>
      </c>
      <c r="C68">
        <f>IF(A68 &lt; 25, INDEX(Mortality_Table_Female!$B$2:$AB$97, MATCH('Premium Calculation'!$B$2, Mortality_Table_Female!$A$2:$A$97, 0), MATCH(A68, Mortality_Table_Female!$B$1:$AB$1, 0)), INDEX(Mortality_Table_Female!$AA$2:$AA$97, MATCH('Premium Calculation'!B68, Mortality_Table_Female!$AB$2:$AB$97, 0)))</f>
        <v>8.2710000000000006E-2</v>
      </c>
      <c r="D68">
        <f t="shared" si="15"/>
        <v>176011.75076900222</v>
      </c>
      <c r="E68" s="19">
        <f t="shared" si="9"/>
        <v>988.1345207319838</v>
      </c>
      <c r="F68" s="19">
        <f t="shared" si="10"/>
        <v>176999.8852897342</v>
      </c>
      <c r="G68">
        <f t="shared" si="11"/>
        <v>185849.87955422091</v>
      </c>
      <c r="H68">
        <f t="shared" si="12"/>
        <v>20677.5</v>
      </c>
      <c r="I68">
        <f t="shared" si="13"/>
        <v>180065.60581083508</v>
      </c>
    </row>
    <row r="69" spans="1:9">
      <c r="A69">
        <f t="shared" si="14"/>
        <v>61</v>
      </c>
      <c r="B69">
        <f t="shared" si="8"/>
        <v>87</v>
      </c>
      <c r="C69">
        <f>IF(A69 &lt; 25, INDEX(Mortality_Table_Female!$B$2:$AB$97, MATCH('Premium Calculation'!$B$2, Mortality_Table_Female!$A$2:$A$97, 0), MATCH(A69, Mortality_Table_Female!$B$1:$AB$1, 0)), INDEX(Mortality_Table_Female!$AA$2:$AA$97, MATCH('Premium Calculation'!B69, Mortality_Table_Female!$AB$2:$AB$97, 0)))</f>
        <v>9.3240000000000003E-2</v>
      </c>
      <c r="D69">
        <f t="shared" si="15"/>
        <v>180065.60581083508</v>
      </c>
      <c r="E69" s="19">
        <f t="shared" si="9"/>
        <v>988.1345207319838</v>
      </c>
      <c r="F69" s="19">
        <f t="shared" si="10"/>
        <v>181053.74033156707</v>
      </c>
      <c r="G69">
        <f t="shared" si="11"/>
        <v>190106.42734814543</v>
      </c>
      <c r="H69">
        <f t="shared" si="12"/>
        <v>23310</v>
      </c>
      <c r="I69">
        <f t="shared" si="13"/>
        <v>183947.71201657047</v>
      </c>
    </row>
    <row r="70" spans="1:9">
      <c r="A70">
        <f t="shared" si="14"/>
        <v>62</v>
      </c>
      <c r="B70">
        <f t="shared" si="8"/>
        <v>88</v>
      </c>
      <c r="C70">
        <f>IF(A70 &lt; 25, INDEX(Mortality_Table_Female!$B$2:$AB$97, MATCH('Premium Calculation'!$B$2, Mortality_Table_Female!$A$2:$A$97, 0), MATCH(A70, Mortality_Table_Female!$B$1:$AB$1, 0)), INDEX(Mortality_Table_Female!$AA$2:$AA$97, MATCH('Premium Calculation'!B70, Mortality_Table_Female!$AB$2:$AB$97, 0)))</f>
        <v>0.10484</v>
      </c>
      <c r="D70">
        <f t="shared" si="15"/>
        <v>183947.71201657047</v>
      </c>
      <c r="E70" s="19">
        <f t="shared" si="9"/>
        <v>988.1345207319838</v>
      </c>
      <c r="F70" s="19">
        <f t="shared" si="10"/>
        <v>184935.84653730245</v>
      </c>
      <c r="G70">
        <f t="shared" si="11"/>
        <v>194182.63886416759</v>
      </c>
      <c r="H70">
        <f t="shared" si="12"/>
        <v>26210</v>
      </c>
      <c r="I70">
        <f t="shared" si="13"/>
        <v>187645.38056232137</v>
      </c>
    </row>
    <row r="71" spans="1:9">
      <c r="A71">
        <f t="shared" si="14"/>
        <v>63</v>
      </c>
      <c r="B71">
        <f t="shared" si="8"/>
        <v>89</v>
      </c>
      <c r="C71">
        <f>IF(A71 &lt; 25, INDEX(Mortality_Table_Female!$B$2:$AB$97, MATCH('Premium Calculation'!$B$2, Mortality_Table_Female!$A$2:$A$97, 0), MATCH(A71, Mortality_Table_Female!$B$1:$AB$1, 0)), INDEX(Mortality_Table_Female!$AA$2:$AA$97, MATCH('Premium Calculation'!B71, Mortality_Table_Female!$AB$2:$AB$97, 0)))</f>
        <v>0.11754000000000001</v>
      </c>
      <c r="D71">
        <f t="shared" si="15"/>
        <v>187645.38056232137</v>
      </c>
      <c r="E71" s="19">
        <f t="shared" si="9"/>
        <v>988.1345207319838</v>
      </c>
      <c r="F71" s="19">
        <f t="shared" si="10"/>
        <v>188633.51508305335</v>
      </c>
      <c r="G71">
        <f t="shared" si="11"/>
        <v>198065.19083720603</v>
      </c>
      <c r="H71">
        <f t="shared" si="12"/>
        <v>29385</v>
      </c>
      <c r="I71">
        <f t="shared" si="13"/>
        <v>191147.69036240285</v>
      </c>
    </row>
    <row r="72" spans="1:9">
      <c r="A72">
        <f t="shared" si="14"/>
        <v>64</v>
      </c>
      <c r="B72">
        <f t="shared" si="8"/>
        <v>90</v>
      </c>
      <c r="C72">
        <f>IF(A72 &lt; 25, INDEX(Mortality_Table_Female!$B$2:$AB$97, MATCH('Premium Calculation'!$B$2, Mortality_Table_Female!$A$2:$A$97, 0), MATCH(A72, Mortality_Table_Female!$B$1:$AB$1, 0)), INDEX(Mortality_Table_Female!$AA$2:$AA$97, MATCH('Premium Calculation'!B72, Mortality_Table_Female!$AB$2:$AB$97, 0)))</f>
        <v>0.13125000000000001</v>
      </c>
      <c r="D72">
        <f t="shared" si="15"/>
        <v>191147.69036240285</v>
      </c>
      <c r="E72" s="19">
        <f t="shared" si="9"/>
        <v>988.1345207319838</v>
      </c>
      <c r="F72" s="19">
        <f t="shared" si="10"/>
        <v>192135.82488313483</v>
      </c>
      <c r="G72">
        <f t="shared" si="11"/>
        <v>201742.61612729158</v>
      </c>
      <c r="H72">
        <f t="shared" si="12"/>
        <v>32812.5</v>
      </c>
      <c r="I72">
        <f t="shared" si="13"/>
        <v>194451.93223285361</v>
      </c>
    </row>
    <row r="73" spans="1:9">
      <c r="A73">
        <f t="shared" si="14"/>
        <v>65</v>
      </c>
      <c r="B73">
        <f t="shared" ref="B73:B104" si="16">$B$2 + A73 - 1</f>
        <v>91</v>
      </c>
      <c r="C73">
        <f>IF(A73 &lt; 25, INDEX(Mortality_Table_Female!$B$2:$AB$97, MATCH('Premium Calculation'!$B$2, Mortality_Table_Female!$A$2:$A$97, 0), MATCH(A73, Mortality_Table_Female!$B$1:$AB$1, 0)), INDEX(Mortality_Table_Female!$AA$2:$AA$97, MATCH('Premium Calculation'!B73, Mortality_Table_Female!$AB$2:$AB$97, 0)))</f>
        <v>0.14560000000000001</v>
      </c>
      <c r="D73">
        <f t="shared" si="15"/>
        <v>194451.93223285361</v>
      </c>
      <c r="E73" s="19">
        <f t="shared" ref="E73:E102" si="17">$B$6</f>
        <v>988.1345207319838</v>
      </c>
      <c r="F73" s="19">
        <f t="shared" ref="F73:F104" si="18">E73+D73</f>
        <v>195440.06675358559</v>
      </c>
      <c r="G73">
        <f t="shared" ref="G73:G104" si="19">F73*(1+$B$5)</f>
        <v>205212.07009126488</v>
      </c>
      <c r="H73">
        <f t="shared" ref="H73:H102" si="20">C73*$B$4</f>
        <v>36400</v>
      </c>
      <c r="I73">
        <f t="shared" ref="I73:I104" si="21">(G73 - H73)/(1-C73)</f>
        <v>197579.67005063771</v>
      </c>
    </row>
    <row r="74" spans="1:9">
      <c r="A74">
        <f t="shared" ref="A74:A105" si="22">A73+1</f>
        <v>66</v>
      </c>
      <c r="B74">
        <f t="shared" si="16"/>
        <v>92</v>
      </c>
      <c r="C74">
        <f>IF(A74 &lt; 25, INDEX(Mortality_Table_Female!$B$2:$AB$97, MATCH('Premium Calculation'!$B$2, Mortality_Table_Female!$A$2:$A$97, 0), MATCH(A74, Mortality_Table_Female!$B$1:$AB$1, 0)), INDEX(Mortality_Table_Female!$AA$2:$AA$97, MATCH('Premium Calculation'!B74, Mortality_Table_Female!$AB$2:$AB$97, 0)))</f>
        <v>0.16095000000000001</v>
      </c>
      <c r="D74">
        <f t="shared" ref="D74:D102" si="23">I73</f>
        <v>197579.67005063771</v>
      </c>
      <c r="E74" s="19">
        <f t="shared" si="17"/>
        <v>988.1345207319838</v>
      </c>
      <c r="F74" s="19">
        <f t="shared" si="18"/>
        <v>198567.80457136969</v>
      </c>
      <c r="G74">
        <f t="shared" si="19"/>
        <v>208496.19479993818</v>
      </c>
      <c r="H74">
        <f t="shared" si="20"/>
        <v>40237.5</v>
      </c>
      <c r="I74">
        <f t="shared" si="21"/>
        <v>200534.76527017244</v>
      </c>
    </row>
    <row r="75" spans="1:9">
      <c r="A75">
        <f t="shared" si="22"/>
        <v>67</v>
      </c>
      <c r="B75">
        <f t="shared" si="16"/>
        <v>93</v>
      </c>
      <c r="C75">
        <f>IF(A75 &lt; 25, INDEX(Mortality_Table_Female!$B$2:$AB$97, MATCH('Premium Calculation'!$B$2, Mortality_Table_Female!$A$2:$A$97, 0), MATCH(A75, Mortality_Table_Female!$B$1:$AB$1, 0)), INDEX(Mortality_Table_Female!$AA$2:$AA$97, MATCH('Premium Calculation'!B75, Mortality_Table_Female!$AB$2:$AB$97, 0)))</f>
        <v>0.17724999999999999</v>
      </c>
      <c r="D75">
        <f t="shared" si="23"/>
        <v>200534.76527017244</v>
      </c>
      <c r="E75" s="19">
        <f t="shared" si="17"/>
        <v>988.1345207319838</v>
      </c>
      <c r="F75" s="19">
        <f t="shared" si="18"/>
        <v>201522.89979090443</v>
      </c>
      <c r="G75">
        <f t="shared" si="19"/>
        <v>211599.04478044965</v>
      </c>
      <c r="H75">
        <f t="shared" si="20"/>
        <v>44312.5</v>
      </c>
      <c r="I75">
        <f t="shared" si="21"/>
        <v>203326.09514487957</v>
      </c>
    </row>
    <row r="76" spans="1:9">
      <c r="A76">
        <f t="shared" si="22"/>
        <v>68</v>
      </c>
      <c r="B76">
        <f t="shared" si="16"/>
        <v>94</v>
      </c>
      <c r="C76">
        <f>IF(A76 &lt; 25, INDEX(Mortality_Table_Female!$B$2:$AB$97, MATCH('Premium Calculation'!$B$2, Mortality_Table_Female!$A$2:$A$97, 0), MATCH(A76, Mortality_Table_Female!$B$1:$AB$1, 0)), INDEX(Mortality_Table_Female!$AA$2:$AA$97, MATCH('Premium Calculation'!B76, Mortality_Table_Female!$AB$2:$AB$97, 0)))</f>
        <v>0.19328999999999999</v>
      </c>
      <c r="D76">
        <f t="shared" si="23"/>
        <v>203326.09514487957</v>
      </c>
      <c r="E76" s="19">
        <f t="shared" si="17"/>
        <v>988.1345207319838</v>
      </c>
      <c r="F76" s="19">
        <f t="shared" si="18"/>
        <v>204314.22966561155</v>
      </c>
      <c r="G76">
        <f t="shared" si="19"/>
        <v>214529.94114889213</v>
      </c>
      <c r="H76">
        <f t="shared" si="20"/>
        <v>48322.5</v>
      </c>
      <c r="I76">
        <f t="shared" si="21"/>
        <v>206031.21462346087</v>
      </c>
    </row>
    <row r="77" spans="1:9">
      <c r="A77">
        <f t="shared" si="22"/>
        <v>69</v>
      </c>
      <c r="B77">
        <f t="shared" si="16"/>
        <v>95</v>
      </c>
      <c r="C77">
        <f>IF(A77 &lt; 25, INDEX(Mortality_Table_Female!$B$2:$AB$97, MATCH('Premium Calculation'!$B$2, Mortality_Table_Female!$A$2:$A$97, 0), MATCH(A77, Mortality_Table_Female!$B$1:$AB$1, 0)), INDEX(Mortality_Table_Female!$AA$2:$AA$97, MATCH('Premium Calculation'!B77, Mortality_Table_Female!$AB$2:$AB$97, 0)))</f>
        <v>0.21031</v>
      </c>
      <c r="D77">
        <f t="shared" si="23"/>
        <v>206031.21462346087</v>
      </c>
      <c r="E77" s="19">
        <f t="shared" si="17"/>
        <v>988.1345207319838</v>
      </c>
      <c r="F77" s="19">
        <f t="shared" si="18"/>
        <v>207019.34914419285</v>
      </c>
      <c r="G77">
        <f t="shared" si="19"/>
        <v>217370.3166014025</v>
      </c>
      <c r="H77">
        <f t="shared" si="20"/>
        <v>52577.5</v>
      </c>
      <c r="I77">
        <f t="shared" si="21"/>
        <v>208680.38926845029</v>
      </c>
    </row>
    <row r="78" spans="1:9">
      <c r="A78">
        <f t="shared" si="22"/>
        <v>70</v>
      </c>
      <c r="B78">
        <f t="shared" si="16"/>
        <v>96</v>
      </c>
      <c r="C78">
        <f>IF(A78 &lt; 25, INDEX(Mortality_Table_Female!$B$2:$AB$97, MATCH('Premium Calculation'!$B$2, Mortality_Table_Female!$A$2:$A$97, 0), MATCH(A78, Mortality_Table_Female!$B$1:$AB$1, 0)), INDEX(Mortality_Table_Female!$AA$2:$AA$97, MATCH('Premium Calculation'!B78, Mortality_Table_Female!$AB$2:$AB$97, 0)))</f>
        <v>0.23144000000000001</v>
      </c>
      <c r="D78">
        <f t="shared" si="23"/>
        <v>208680.38926845029</v>
      </c>
      <c r="E78" s="19">
        <f t="shared" si="17"/>
        <v>988.1345207319838</v>
      </c>
      <c r="F78" s="19">
        <f t="shared" si="18"/>
        <v>209668.52378918228</v>
      </c>
      <c r="G78">
        <f t="shared" si="19"/>
        <v>220151.94997864141</v>
      </c>
      <c r="H78">
        <f t="shared" si="20"/>
        <v>57860</v>
      </c>
      <c r="I78">
        <f t="shared" si="21"/>
        <v>211163.66969220544</v>
      </c>
    </row>
    <row r="79" spans="1:9">
      <c r="A79">
        <f t="shared" si="22"/>
        <v>71</v>
      </c>
      <c r="B79">
        <f t="shared" si="16"/>
        <v>97</v>
      </c>
      <c r="C79">
        <f>IF(A79 &lt; 25, INDEX(Mortality_Table_Female!$B$2:$AB$97, MATCH('Premium Calculation'!$B$2, Mortality_Table_Female!$A$2:$A$97, 0), MATCH(A79, Mortality_Table_Female!$B$1:$AB$1, 0)), INDEX(Mortality_Table_Female!$AA$2:$AA$97, MATCH('Premium Calculation'!B79, Mortality_Table_Female!$AB$2:$AB$97, 0)))</f>
        <v>0.25438</v>
      </c>
      <c r="D79">
        <f t="shared" si="23"/>
        <v>211163.66969220544</v>
      </c>
      <c r="E79" s="19">
        <f t="shared" si="17"/>
        <v>988.1345207319838</v>
      </c>
      <c r="F79" s="19">
        <f t="shared" si="18"/>
        <v>212151.80421293742</v>
      </c>
      <c r="G79">
        <f t="shared" si="19"/>
        <v>222759.39442358431</v>
      </c>
      <c r="H79">
        <f t="shared" si="20"/>
        <v>63595</v>
      </c>
      <c r="I79">
        <f t="shared" si="21"/>
        <v>213465.83302967239</v>
      </c>
    </row>
    <row r="80" spans="1:9">
      <c r="A80">
        <f t="shared" si="22"/>
        <v>72</v>
      </c>
      <c r="B80">
        <f t="shared" si="16"/>
        <v>98</v>
      </c>
      <c r="C80">
        <f>IF(A80 &lt; 25, INDEX(Mortality_Table_Female!$B$2:$AB$97, MATCH('Premium Calculation'!$B$2, Mortality_Table_Female!$A$2:$A$97, 0), MATCH(A80, Mortality_Table_Female!$B$1:$AB$1, 0)), INDEX(Mortality_Table_Female!$AA$2:$AA$97, MATCH('Premium Calculation'!B80, Mortality_Table_Female!$AB$2:$AB$97, 0)))</f>
        <v>0.27907999999999999</v>
      </c>
      <c r="D80">
        <f t="shared" si="23"/>
        <v>213465.83302967239</v>
      </c>
      <c r="E80" s="19">
        <f t="shared" si="17"/>
        <v>988.1345207319838</v>
      </c>
      <c r="F80" s="19">
        <f t="shared" si="18"/>
        <v>214453.96755040437</v>
      </c>
      <c r="G80">
        <f t="shared" si="19"/>
        <v>225176.66592792459</v>
      </c>
      <c r="H80">
        <f t="shared" si="20"/>
        <v>69770</v>
      </c>
      <c r="I80">
        <f t="shared" si="21"/>
        <v>215567.14465949702</v>
      </c>
    </row>
    <row r="81" spans="1:9">
      <c r="A81">
        <f t="shared" si="22"/>
        <v>73</v>
      </c>
      <c r="B81">
        <f t="shared" si="16"/>
        <v>99</v>
      </c>
      <c r="C81">
        <f>IF(A81 &lt; 25, INDEX(Mortality_Table_Female!$B$2:$AB$97, MATCH('Premium Calculation'!$B$2, Mortality_Table_Female!$A$2:$A$97, 0), MATCH(A81, Mortality_Table_Female!$B$1:$AB$1, 0)), INDEX(Mortality_Table_Female!$AA$2:$AA$97, MATCH('Premium Calculation'!B81, Mortality_Table_Female!$AB$2:$AB$97, 0)))</f>
        <v>0.30508999999999997</v>
      </c>
      <c r="D81">
        <f t="shared" si="23"/>
        <v>215567.14465949702</v>
      </c>
      <c r="E81" s="19">
        <f t="shared" si="17"/>
        <v>988.1345207319838</v>
      </c>
      <c r="F81" s="19">
        <f t="shared" si="18"/>
        <v>216555.279180229</v>
      </c>
      <c r="G81">
        <f t="shared" si="19"/>
        <v>227383.04313924047</v>
      </c>
      <c r="H81">
        <f t="shared" si="20"/>
        <v>76272.5</v>
      </c>
      <c r="I81">
        <f t="shared" si="21"/>
        <v>217453.40136023436</v>
      </c>
    </row>
    <row r="82" spans="1:9">
      <c r="A82">
        <f t="shared" si="22"/>
        <v>74</v>
      </c>
      <c r="B82">
        <f t="shared" si="16"/>
        <v>100</v>
      </c>
      <c r="C82">
        <f>IF(A82 &lt; 25, INDEX(Mortality_Table_Female!$B$2:$AB$97, MATCH('Premium Calculation'!$B$2, Mortality_Table_Female!$A$2:$A$97, 0), MATCH(A82, Mortality_Table_Female!$B$1:$AB$1, 0)), INDEX(Mortality_Table_Female!$AA$2:$AA$97, MATCH('Premium Calculation'!B82, Mortality_Table_Female!$AB$2:$AB$97, 0)))</f>
        <v>0.33199000000000001</v>
      </c>
      <c r="D82">
        <f t="shared" si="23"/>
        <v>217453.40136023436</v>
      </c>
      <c r="E82" s="19">
        <f t="shared" si="17"/>
        <v>988.1345207319838</v>
      </c>
      <c r="F82" s="19">
        <f t="shared" si="18"/>
        <v>218441.53588096634</v>
      </c>
      <c r="G82">
        <f t="shared" si="19"/>
        <v>229363.61267501468</v>
      </c>
      <c r="H82">
        <f t="shared" si="20"/>
        <v>82997.5</v>
      </c>
      <c r="I82">
        <f t="shared" si="21"/>
        <v>219107.66706338929</v>
      </c>
    </row>
    <row r="83" spans="1:9">
      <c r="A83">
        <f t="shared" si="22"/>
        <v>75</v>
      </c>
      <c r="B83">
        <f t="shared" si="16"/>
        <v>101</v>
      </c>
      <c r="C83">
        <f>IF(A83 &lt; 25, INDEX(Mortality_Table_Female!$B$2:$AB$97, MATCH('Premium Calculation'!$B$2, Mortality_Table_Female!$A$2:$A$97, 0), MATCH(A83, Mortality_Table_Female!$B$1:$AB$1, 0)), INDEX(Mortality_Table_Female!$AA$2:$AA$97, MATCH('Premium Calculation'!B83, Mortality_Table_Female!$AB$2:$AB$97, 0)))</f>
        <v>0.35742000000000002</v>
      </c>
      <c r="D83">
        <f t="shared" si="23"/>
        <v>219107.66706338929</v>
      </c>
      <c r="E83" s="19">
        <f t="shared" si="17"/>
        <v>988.1345207319838</v>
      </c>
      <c r="F83" s="19">
        <f t="shared" si="18"/>
        <v>220095.80158412128</v>
      </c>
      <c r="G83">
        <f t="shared" si="19"/>
        <v>231100.59166332736</v>
      </c>
      <c r="H83">
        <f t="shared" si="20"/>
        <v>89355</v>
      </c>
      <c r="I83">
        <f t="shared" si="21"/>
        <v>220588.24062891371</v>
      </c>
    </row>
    <row r="84" spans="1:9">
      <c r="A84">
        <f t="shared" si="22"/>
        <v>76</v>
      </c>
      <c r="B84">
        <f t="shared" si="16"/>
        <v>102</v>
      </c>
      <c r="C84">
        <f>IF(A84 &lt; 25, INDEX(Mortality_Table_Female!$B$2:$AB$97, MATCH('Premium Calculation'!$B$2, Mortality_Table_Female!$A$2:$A$97, 0), MATCH(A84, Mortality_Table_Female!$B$1:$AB$1, 0)), INDEX(Mortality_Table_Female!$AA$2:$AA$97, MATCH('Premium Calculation'!B84, Mortality_Table_Female!$AB$2:$AB$97, 0)))</f>
        <v>0.38257999999999998</v>
      </c>
      <c r="D84">
        <f t="shared" si="23"/>
        <v>220588.24062891371</v>
      </c>
      <c r="E84" s="19">
        <f t="shared" si="17"/>
        <v>988.1345207319838</v>
      </c>
      <c r="F84" s="19">
        <f t="shared" si="18"/>
        <v>221576.3751496457</v>
      </c>
      <c r="G84">
        <f t="shared" si="19"/>
        <v>232655.19390712798</v>
      </c>
      <c r="H84">
        <f t="shared" si="20"/>
        <v>95645</v>
      </c>
      <c r="I84">
        <f t="shared" si="21"/>
        <v>221907.6056932525</v>
      </c>
    </row>
    <row r="85" spans="1:9">
      <c r="A85">
        <f t="shared" si="22"/>
        <v>77</v>
      </c>
      <c r="B85">
        <f t="shared" si="16"/>
        <v>103</v>
      </c>
      <c r="C85">
        <f>IF(A85 &lt; 25, INDEX(Mortality_Table_Female!$B$2:$AB$97, MATCH('Premium Calculation'!$B$2, Mortality_Table_Female!$A$2:$A$97, 0), MATCH(A85, Mortality_Table_Female!$B$1:$AB$1, 0)), INDEX(Mortality_Table_Female!$AA$2:$AA$97, MATCH('Premium Calculation'!B85, Mortality_Table_Female!$AB$2:$AB$97, 0)))</f>
        <v>0.40703</v>
      </c>
      <c r="D85">
        <f t="shared" si="23"/>
        <v>221907.6056932525</v>
      </c>
      <c r="E85" s="19">
        <f t="shared" si="17"/>
        <v>988.1345207319838</v>
      </c>
      <c r="F85" s="19">
        <f t="shared" si="18"/>
        <v>222895.74021398448</v>
      </c>
      <c r="G85">
        <f t="shared" si="19"/>
        <v>234040.5272246837</v>
      </c>
      <c r="H85">
        <f t="shared" si="20"/>
        <v>101757.5</v>
      </c>
      <c r="I85">
        <f t="shared" si="21"/>
        <v>223085.53084419735</v>
      </c>
    </row>
    <row r="86" spans="1:9">
      <c r="A86">
        <f t="shared" si="22"/>
        <v>78</v>
      </c>
      <c r="B86">
        <f t="shared" si="16"/>
        <v>104</v>
      </c>
      <c r="C86">
        <f>IF(A86 &lt; 25, INDEX(Mortality_Table_Female!$B$2:$AB$97, MATCH('Premium Calculation'!$B$2, Mortality_Table_Female!$A$2:$A$97, 0), MATCH(A86, Mortality_Table_Female!$B$1:$AB$1, 0)), INDEX(Mortality_Table_Female!$AA$2:$AA$97, MATCH('Premium Calculation'!B86, Mortality_Table_Female!$AB$2:$AB$97, 0)))</f>
        <v>0.43036999999999997</v>
      </c>
      <c r="D86">
        <f t="shared" si="23"/>
        <v>223085.53084419735</v>
      </c>
      <c r="E86" s="19">
        <f t="shared" si="17"/>
        <v>988.1345207319838</v>
      </c>
      <c r="F86" s="19">
        <f t="shared" si="18"/>
        <v>224073.66536492933</v>
      </c>
      <c r="G86">
        <f t="shared" si="19"/>
        <v>235277.3486331758</v>
      </c>
      <c r="H86">
        <f t="shared" si="20"/>
        <v>107592.5</v>
      </c>
      <c r="I86">
        <f t="shared" si="21"/>
        <v>224154.00985407332</v>
      </c>
    </row>
    <row r="87" spans="1:9">
      <c r="A87">
        <f t="shared" si="22"/>
        <v>79</v>
      </c>
      <c r="B87">
        <f t="shared" si="16"/>
        <v>105</v>
      </c>
      <c r="C87">
        <f>IF(A87 &lt; 25, INDEX(Mortality_Table_Female!$B$2:$AB$97, MATCH('Premium Calculation'!$B$2, Mortality_Table_Female!$A$2:$A$97, 0), MATCH(A87, Mortality_Table_Female!$B$1:$AB$1, 0)), INDEX(Mortality_Table_Female!$AA$2:$AA$97, MATCH('Premium Calculation'!B87, Mortality_Table_Female!$AB$2:$AB$97, 0)))</f>
        <v>0.45218999999999998</v>
      </c>
      <c r="D87">
        <f t="shared" si="23"/>
        <v>224154.00985407332</v>
      </c>
      <c r="E87" s="19">
        <f t="shared" si="17"/>
        <v>988.1345207319838</v>
      </c>
      <c r="F87" s="19">
        <f t="shared" si="18"/>
        <v>225142.1443748053</v>
      </c>
      <c r="G87">
        <f t="shared" si="19"/>
        <v>236399.25159354557</v>
      </c>
      <c r="H87">
        <f t="shared" si="20"/>
        <v>113047.5</v>
      </c>
      <c r="I87">
        <f t="shared" si="21"/>
        <v>225172.5079745634</v>
      </c>
    </row>
    <row r="88" spans="1:9">
      <c r="A88">
        <f t="shared" si="22"/>
        <v>80</v>
      </c>
      <c r="B88">
        <f t="shared" si="16"/>
        <v>106</v>
      </c>
      <c r="C88">
        <f>IF(A88 &lt; 25, INDEX(Mortality_Table_Female!$B$2:$AB$97, MATCH('Premium Calculation'!$B$2, Mortality_Table_Female!$A$2:$A$97, 0), MATCH(A88, Mortality_Table_Female!$B$1:$AB$1, 0)), INDEX(Mortality_Table_Female!$AA$2:$AA$97, MATCH('Premium Calculation'!B88, Mortality_Table_Female!$AB$2:$AB$97, 0)))</f>
        <v>0.47210000000000002</v>
      </c>
      <c r="D88">
        <f t="shared" si="23"/>
        <v>225172.5079745634</v>
      </c>
      <c r="E88" s="19">
        <f t="shared" si="17"/>
        <v>988.1345207319838</v>
      </c>
      <c r="F88" s="19">
        <f t="shared" si="18"/>
        <v>226160.64249529538</v>
      </c>
      <c r="G88">
        <f t="shared" si="19"/>
        <v>237468.67462006016</v>
      </c>
      <c r="H88">
        <f t="shared" si="20"/>
        <v>118025</v>
      </c>
      <c r="I88">
        <f t="shared" si="21"/>
        <v>226261.93335870458</v>
      </c>
    </row>
    <row r="89" spans="1:9">
      <c r="A89">
        <f t="shared" si="22"/>
        <v>81</v>
      </c>
      <c r="B89">
        <f t="shared" si="16"/>
        <v>107</v>
      </c>
      <c r="C89">
        <f>IF(A89 &lt; 25, INDEX(Mortality_Table_Female!$B$2:$AB$97, MATCH('Premium Calculation'!$B$2, Mortality_Table_Female!$A$2:$A$97, 0), MATCH(A89, Mortality_Table_Female!$B$1:$AB$1, 0)), INDEX(Mortality_Table_Female!$AA$2:$AA$97, MATCH('Premium Calculation'!B89, Mortality_Table_Female!$AB$2:$AB$97, 0)))</f>
        <v>0.49811</v>
      </c>
      <c r="D89">
        <f t="shared" si="23"/>
        <v>226261.93335870458</v>
      </c>
      <c r="E89" s="19">
        <f t="shared" si="17"/>
        <v>988.1345207319838</v>
      </c>
      <c r="F89" s="19">
        <f t="shared" si="18"/>
        <v>227250.06787943657</v>
      </c>
      <c r="G89">
        <f t="shared" si="19"/>
        <v>238612.57127340839</v>
      </c>
      <c r="H89">
        <f t="shared" si="20"/>
        <v>124527.5</v>
      </c>
      <c r="I89">
        <f t="shared" si="21"/>
        <v>227310.90731715795</v>
      </c>
    </row>
    <row r="90" spans="1:9">
      <c r="A90">
        <f t="shared" si="22"/>
        <v>82</v>
      </c>
      <c r="B90">
        <f t="shared" si="16"/>
        <v>108</v>
      </c>
      <c r="C90">
        <f>IF(A90 &lt; 25, INDEX(Mortality_Table_Female!$B$2:$AB$97, MATCH('Premium Calculation'!$B$2, Mortality_Table_Female!$A$2:$A$97, 0), MATCH(A90, Mortality_Table_Female!$B$1:$AB$1, 0)), INDEX(Mortality_Table_Female!$AA$2:$AA$97, MATCH('Premium Calculation'!B90, Mortality_Table_Female!$AB$2:$AB$97, 0)))</f>
        <v>0.52554000000000001</v>
      </c>
      <c r="D90">
        <f t="shared" si="23"/>
        <v>227310.90731715795</v>
      </c>
      <c r="E90" s="19">
        <f t="shared" si="17"/>
        <v>988.1345207319838</v>
      </c>
      <c r="F90" s="19">
        <f t="shared" si="18"/>
        <v>228299.04183788993</v>
      </c>
      <c r="G90">
        <f t="shared" si="19"/>
        <v>239713.99392978445</v>
      </c>
      <c r="H90">
        <f t="shared" si="20"/>
        <v>131385</v>
      </c>
      <c r="I90">
        <f t="shared" si="21"/>
        <v>228320.60432867779</v>
      </c>
    </row>
    <row r="91" spans="1:9">
      <c r="A91">
        <f t="shared" si="22"/>
        <v>83</v>
      </c>
      <c r="B91">
        <f t="shared" si="16"/>
        <v>109</v>
      </c>
      <c r="C91">
        <f>IF(A91 &lt; 25, INDEX(Mortality_Table_Female!$B$2:$AB$97, MATCH('Premium Calculation'!$B$2, Mortality_Table_Female!$A$2:$A$97, 0), MATCH(A91, Mortality_Table_Female!$B$1:$AB$1, 0)), INDEX(Mortality_Table_Female!$AA$2:$AA$97, MATCH('Premium Calculation'!B91, Mortality_Table_Female!$AB$2:$AB$97, 0)))</f>
        <v>0.55447999999999997</v>
      </c>
      <c r="D91">
        <f t="shared" si="23"/>
        <v>228320.60432867779</v>
      </c>
      <c r="E91" s="19">
        <f t="shared" si="17"/>
        <v>988.1345207319838</v>
      </c>
      <c r="F91" s="19">
        <f t="shared" si="18"/>
        <v>229308.73884940977</v>
      </c>
      <c r="G91">
        <f t="shared" si="19"/>
        <v>240774.17579188026</v>
      </c>
      <c r="H91">
        <f t="shared" si="20"/>
        <v>138620</v>
      </c>
      <c r="I91">
        <f t="shared" si="21"/>
        <v>229292.00887026454</v>
      </c>
    </row>
    <row r="92" spans="1:9">
      <c r="A92">
        <f t="shared" si="22"/>
        <v>84</v>
      </c>
      <c r="B92">
        <f t="shared" si="16"/>
        <v>110</v>
      </c>
      <c r="C92">
        <f>IF(A92 &lt; 25, INDEX(Mortality_Table_Female!$B$2:$AB$97, MATCH('Premium Calculation'!$B$2, Mortality_Table_Female!$A$2:$A$97, 0), MATCH(A92, Mortality_Table_Female!$B$1:$AB$1, 0)), INDEX(Mortality_Table_Female!$AA$2:$AA$97, MATCH('Premium Calculation'!B92, Mortality_Table_Female!$AB$2:$AB$97, 0)))</f>
        <v>0.58501999999999998</v>
      </c>
      <c r="D92">
        <f t="shared" si="23"/>
        <v>229292.00887026454</v>
      </c>
      <c r="E92" s="19">
        <f t="shared" si="17"/>
        <v>988.1345207319838</v>
      </c>
      <c r="F92" s="19">
        <f t="shared" si="18"/>
        <v>230280.14339099653</v>
      </c>
      <c r="G92">
        <f t="shared" si="19"/>
        <v>241794.15056054638</v>
      </c>
      <c r="H92">
        <f t="shared" si="20"/>
        <v>146255</v>
      </c>
      <c r="I92">
        <f t="shared" si="21"/>
        <v>230225.91585268296</v>
      </c>
    </row>
    <row r="93" spans="1:9">
      <c r="A93">
        <f t="shared" si="22"/>
        <v>85</v>
      </c>
      <c r="B93">
        <f t="shared" si="16"/>
        <v>111</v>
      </c>
      <c r="C93">
        <f>IF(A93 &lt; 25, INDEX(Mortality_Table_Female!$B$2:$AB$97, MATCH('Premium Calculation'!$B$2, Mortality_Table_Female!$A$2:$A$97, 0), MATCH(A93, Mortality_Table_Female!$B$1:$AB$1, 0)), INDEX(Mortality_Table_Female!$AA$2:$AA$97, MATCH('Premium Calculation'!B93, Mortality_Table_Female!$AB$2:$AB$97, 0)))</f>
        <v>0.61724000000000001</v>
      </c>
      <c r="D93">
        <f t="shared" si="23"/>
        <v>230225.91585268296</v>
      </c>
      <c r="E93" s="19">
        <f t="shared" si="17"/>
        <v>988.1345207319838</v>
      </c>
      <c r="F93" s="19">
        <f t="shared" si="18"/>
        <v>231214.05037341494</v>
      </c>
      <c r="G93">
        <f t="shared" si="19"/>
        <v>242774.7528920857</v>
      </c>
      <c r="H93">
        <f t="shared" si="20"/>
        <v>154310</v>
      </c>
      <c r="I93">
        <f t="shared" si="21"/>
        <v>231123.29630077779</v>
      </c>
    </row>
    <row r="94" spans="1:9">
      <c r="A94">
        <f t="shared" si="22"/>
        <v>86</v>
      </c>
      <c r="B94">
        <f t="shared" si="16"/>
        <v>112</v>
      </c>
      <c r="C94">
        <f>IF(A94 &lt; 25, INDEX(Mortality_Table_Female!$B$2:$AB$97, MATCH('Premium Calculation'!$B$2, Mortality_Table_Female!$A$2:$A$97, 0), MATCH(A94, Mortality_Table_Female!$B$1:$AB$1, 0)), INDEX(Mortality_Table_Female!$AA$2:$AA$97, MATCH('Premium Calculation'!B94, Mortality_Table_Female!$AB$2:$AB$97, 0)))</f>
        <v>0.65122999999999998</v>
      </c>
      <c r="D94">
        <f t="shared" si="23"/>
        <v>231123.29630077779</v>
      </c>
      <c r="E94" s="19">
        <f t="shared" si="17"/>
        <v>988.1345207319838</v>
      </c>
      <c r="F94" s="19">
        <f t="shared" si="18"/>
        <v>232111.43082150977</v>
      </c>
      <c r="G94">
        <f t="shared" si="19"/>
        <v>243717.00236258528</v>
      </c>
      <c r="H94">
        <f t="shared" si="20"/>
        <v>162807.5</v>
      </c>
      <c r="I94">
        <f t="shared" si="21"/>
        <v>231985.26926795673</v>
      </c>
    </row>
    <row r="95" spans="1:9">
      <c r="A95">
        <f t="shared" si="22"/>
        <v>87</v>
      </c>
      <c r="B95">
        <f t="shared" si="16"/>
        <v>113</v>
      </c>
      <c r="C95">
        <f>IF(A95 &lt; 25, INDEX(Mortality_Table_Female!$B$2:$AB$97, MATCH('Premium Calculation'!$B$2, Mortality_Table_Female!$A$2:$A$97, 0), MATCH(A95, Mortality_Table_Female!$B$1:$AB$1, 0)), INDEX(Mortality_Table_Female!$AA$2:$AA$97, MATCH('Premium Calculation'!B95, Mortality_Table_Female!$AB$2:$AB$97, 0)))</f>
        <v>0.68710000000000004</v>
      </c>
      <c r="D95">
        <f t="shared" si="23"/>
        <v>231985.26926795673</v>
      </c>
      <c r="E95" s="19">
        <f t="shared" si="17"/>
        <v>988.1345207319838</v>
      </c>
      <c r="F95" s="19">
        <f t="shared" si="18"/>
        <v>232973.40378868871</v>
      </c>
      <c r="G95">
        <f t="shared" si="19"/>
        <v>244622.07397812317</v>
      </c>
      <c r="H95">
        <f t="shared" si="20"/>
        <v>171775</v>
      </c>
      <c r="I95">
        <f t="shared" si="21"/>
        <v>232812.6365552035</v>
      </c>
    </row>
    <row r="96" spans="1:9">
      <c r="A96">
        <f t="shared" si="22"/>
        <v>88</v>
      </c>
      <c r="B96">
        <f t="shared" si="16"/>
        <v>114</v>
      </c>
      <c r="C96">
        <f>IF(A96 &lt; 25, INDEX(Mortality_Table_Female!$B$2:$AB$97, MATCH('Premium Calculation'!$B$2, Mortality_Table_Female!$A$2:$A$97, 0), MATCH(A96, Mortality_Table_Female!$B$1:$AB$1, 0)), INDEX(Mortality_Table_Female!$AA$2:$AA$97, MATCH('Premium Calculation'!B96, Mortality_Table_Female!$AB$2:$AB$97, 0)))</f>
        <v>0.72494000000000003</v>
      </c>
      <c r="D96">
        <f t="shared" si="23"/>
        <v>232812.6365552035</v>
      </c>
      <c r="E96" s="19">
        <f t="shared" si="17"/>
        <v>988.1345207319838</v>
      </c>
      <c r="F96" s="19">
        <f t="shared" si="18"/>
        <v>233800.77107593548</v>
      </c>
      <c r="G96">
        <f t="shared" si="19"/>
        <v>245490.80962973228</v>
      </c>
      <c r="H96">
        <f t="shared" si="20"/>
        <v>181235</v>
      </c>
      <c r="I96">
        <f t="shared" si="21"/>
        <v>233606.52086720092</v>
      </c>
    </row>
    <row r="97" spans="1:9">
      <c r="A97">
        <f t="shared" si="22"/>
        <v>89</v>
      </c>
      <c r="B97">
        <f t="shared" si="16"/>
        <v>115</v>
      </c>
      <c r="C97">
        <f>IF(A97 &lt; 25, INDEX(Mortality_Table_Female!$B$2:$AB$97, MATCH('Premium Calculation'!$B$2, Mortality_Table_Female!$A$2:$A$97, 0), MATCH(A97, Mortality_Table_Female!$B$1:$AB$1, 0)), INDEX(Mortality_Table_Female!$AA$2:$AA$97, MATCH('Premium Calculation'!B97, Mortality_Table_Female!$AB$2:$AB$97, 0)))</f>
        <v>0.76487000000000005</v>
      </c>
      <c r="D97">
        <f t="shared" si="23"/>
        <v>233606.52086720092</v>
      </c>
      <c r="E97" s="19">
        <f t="shared" si="17"/>
        <v>988.1345207319838</v>
      </c>
      <c r="F97" s="19">
        <f t="shared" si="18"/>
        <v>234594.6553879329</v>
      </c>
      <c r="G97">
        <f t="shared" si="19"/>
        <v>246324.38815732955</v>
      </c>
      <c r="H97">
        <f t="shared" si="20"/>
        <v>191217.5</v>
      </c>
      <c r="I97">
        <f t="shared" si="21"/>
        <v>234367.74617160534</v>
      </c>
    </row>
    <row r="98" spans="1:9">
      <c r="A98">
        <f t="shared" si="22"/>
        <v>90</v>
      </c>
      <c r="B98">
        <f t="shared" si="16"/>
        <v>116</v>
      </c>
      <c r="C98">
        <f>IF(A98 &lt; 25, INDEX(Mortality_Table_Female!$B$2:$AB$97, MATCH('Premium Calculation'!$B$2, Mortality_Table_Female!$A$2:$A$97, 0), MATCH(A98, Mortality_Table_Female!$B$1:$AB$1, 0)), INDEX(Mortality_Table_Female!$AA$2:$AA$97, MATCH('Premium Calculation'!B98, Mortality_Table_Female!$AB$2:$AB$97, 0)))</f>
        <v>0.80698999999999999</v>
      </c>
      <c r="D98">
        <f t="shared" si="23"/>
        <v>234367.74617160534</v>
      </c>
      <c r="E98" s="19">
        <f t="shared" si="17"/>
        <v>988.1345207319838</v>
      </c>
      <c r="F98" s="19">
        <f t="shared" si="18"/>
        <v>235355.88069233732</v>
      </c>
      <c r="G98">
        <f t="shared" si="19"/>
        <v>247123.6747269542</v>
      </c>
      <c r="H98">
        <f t="shared" si="20"/>
        <v>201747.5</v>
      </c>
      <c r="I98">
        <f t="shared" si="21"/>
        <v>235097.5323918667</v>
      </c>
    </row>
    <row r="99" spans="1:9">
      <c r="A99">
        <f t="shared" si="22"/>
        <v>91</v>
      </c>
      <c r="B99">
        <f t="shared" si="16"/>
        <v>117</v>
      </c>
      <c r="C99">
        <f>IF(A99 &lt; 25, INDEX(Mortality_Table_Female!$B$2:$AB$97, MATCH('Premium Calculation'!$B$2, Mortality_Table_Female!$A$2:$A$97, 0), MATCH(A99, Mortality_Table_Female!$B$1:$AB$1, 0)), INDEX(Mortality_Table_Female!$AA$2:$AA$97, MATCH('Premium Calculation'!B99, Mortality_Table_Female!$AB$2:$AB$97, 0)))</f>
        <v>0.85143000000000002</v>
      </c>
      <c r="D99">
        <f t="shared" si="23"/>
        <v>235097.5323918667</v>
      </c>
      <c r="E99" s="19">
        <f t="shared" si="17"/>
        <v>988.1345207319838</v>
      </c>
      <c r="F99" s="19">
        <f t="shared" si="18"/>
        <v>236085.66691259868</v>
      </c>
      <c r="G99">
        <f t="shared" si="19"/>
        <v>247889.95025822864</v>
      </c>
      <c r="H99">
        <f t="shared" si="20"/>
        <v>212857.5</v>
      </c>
      <c r="I99">
        <f t="shared" si="21"/>
        <v>235797.60556120781</v>
      </c>
    </row>
    <row r="100" spans="1:9">
      <c r="A100">
        <f t="shared" si="22"/>
        <v>92</v>
      </c>
      <c r="B100">
        <f t="shared" si="16"/>
        <v>118</v>
      </c>
      <c r="C100">
        <f>IF(A100 &lt; 25, INDEX(Mortality_Table_Female!$B$2:$AB$97, MATCH('Premium Calculation'!$B$2, Mortality_Table_Female!$A$2:$A$97, 0), MATCH(A100, Mortality_Table_Female!$B$1:$AB$1, 0)), INDEX(Mortality_Table_Female!$AA$2:$AA$97, MATCH('Premium Calculation'!B100, Mortality_Table_Female!$AB$2:$AB$97, 0)))</f>
        <v>0.89832999999999996</v>
      </c>
      <c r="D100">
        <f t="shared" si="23"/>
        <v>235797.60556120781</v>
      </c>
      <c r="E100" s="19">
        <f t="shared" si="17"/>
        <v>988.1345207319838</v>
      </c>
      <c r="F100" s="19">
        <f t="shared" si="18"/>
        <v>236785.74008193979</v>
      </c>
      <c r="G100">
        <f t="shared" si="19"/>
        <v>248625.02708603677</v>
      </c>
      <c r="H100">
        <f t="shared" si="20"/>
        <v>224582.5</v>
      </c>
      <c r="I100">
        <f t="shared" si="21"/>
        <v>236476.11966201206</v>
      </c>
    </row>
    <row r="101" spans="1:9">
      <c r="A101">
        <f t="shared" si="22"/>
        <v>93</v>
      </c>
      <c r="B101">
        <f t="shared" si="16"/>
        <v>119</v>
      </c>
      <c r="C101">
        <f>IF(A101 &lt; 25, INDEX(Mortality_Table_Female!$B$2:$AB$97, MATCH('Premium Calculation'!$B$2, Mortality_Table_Female!$A$2:$A$97, 0), MATCH(A101, Mortality_Table_Female!$B$1:$AB$1, 0)), INDEX(Mortality_Table_Female!$AA$2:$AA$97, MATCH('Premium Calculation'!B101, Mortality_Table_Female!$AB$2:$AB$97, 0)))</f>
        <v>0.94779999999999998</v>
      </c>
      <c r="D101">
        <f t="shared" si="23"/>
        <v>236476.11966201206</v>
      </c>
      <c r="E101" s="19">
        <f t="shared" si="17"/>
        <v>988.1345207319838</v>
      </c>
      <c r="F101" s="19">
        <f t="shared" si="18"/>
        <v>237464.25418274404</v>
      </c>
      <c r="G101">
        <f t="shared" si="19"/>
        <v>249337.46689188125</v>
      </c>
      <c r="H101">
        <f t="shared" si="20"/>
        <v>236950</v>
      </c>
      <c r="I101">
        <f t="shared" si="21"/>
        <v>237307.79486362543</v>
      </c>
    </row>
    <row r="102" spans="1:9">
      <c r="A102">
        <f t="shared" si="22"/>
        <v>94</v>
      </c>
      <c r="B102">
        <f t="shared" si="16"/>
        <v>120</v>
      </c>
      <c r="C102">
        <f>IF(A102 &lt; 25, INDEX(Mortality_Table_Female!$B$2:$AB$97, MATCH('Premium Calculation'!$B$2, Mortality_Table_Female!$A$2:$A$97, 0), MATCH(A102, Mortality_Table_Female!$B$1:$AB$1, 0)), INDEX(Mortality_Table_Female!$AA$2:$AA$97, MATCH('Premium Calculation'!B102, Mortality_Table_Female!$AB$2:$AB$97, 0)))</f>
        <v>1</v>
      </c>
      <c r="D102">
        <f t="shared" si="23"/>
        <v>237307.79486362543</v>
      </c>
      <c r="E102" s="19">
        <f t="shared" si="17"/>
        <v>988.1345207319838</v>
      </c>
      <c r="F102" s="19">
        <f t="shared" si="18"/>
        <v>238295.92938435741</v>
      </c>
      <c r="G102">
        <f t="shared" si="19"/>
        <v>250210.72585357531</v>
      </c>
      <c r="H102">
        <f t="shared" si="20"/>
        <v>250000</v>
      </c>
      <c r="I102">
        <v>0</v>
      </c>
    </row>
    <row r="103" spans="1:9">
      <c r="A103">
        <f t="shared" si="22"/>
        <v>95</v>
      </c>
    </row>
    <row r="104" spans="1:9">
      <c r="A104">
        <f t="shared" si="22"/>
        <v>96</v>
      </c>
    </row>
    <row r="105" spans="1:9">
      <c r="A105">
        <f t="shared" si="22"/>
        <v>97</v>
      </c>
    </row>
    <row r="106" spans="1:9">
      <c r="A106">
        <f t="shared" ref="A106:A135" si="24">A105+1</f>
        <v>98</v>
      </c>
    </row>
    <row r="107" spans="1:9">
      <c r="A107">
        <f t="shared" si="24"/>
        <v>99</v>
      </c>
    </row>
    <row r="108" spans="1:9">
      <c r="A108">
        <f t="shared" si="24"/>
        <v>100</v>
      </c>
    </row>
    <row r="109" spans="1:9">
      <c r="A109">
        <f t="shared" si="24"/>
        <v>101</v>
      </c>
    </row>
    <row r="110" spans="1:9">
      <c r="A110">
        <f t="shared" si="24"/>
        <v>102</v>
      </c>
    </row>
    <row r="111" spans="1:9">
      <c r="A111">
        <f t="shared" si="24"/>
        <v>103</v>
      </c>
    </row>
    <row r="112" spans="1:9">
      <c r="A112">
        <f t="shared" si="24"/>
        <v>104</v>
      </c>
    </row>
    <row r="113" spans="1:1">
      <c r="A113">
        <f t="shared" si="24"/>
        <v>105</v>
      </c>
    </row>
    <row r="114" spans="1:1">
      <c r="A114">
        <f t="shared" si="24"/>
        <v>106</v>
      </c>
    </row>
    <row r="115" spans="1:1">
      <c r="A115">
        <f t="shared" si="24"/>
        <v>107</v>
      </c>
    </row>
    <row r="116" spans="1:1">
      <c r="A116">
        <f t="shared" si="24"/>
        <v>108</v>
      </c>
    </row>
    <row r="117" spans="1:1">
      <c r="A117">
        <f t="shared" si="24"/>
        <v>109</v>
      </c>
    </row>
    <row r="118" spans="1:1">
      <c r="A118">
        <f t="shared" si="24"/>
        <v>110</v>
      </c>
    </row>
    <row r="119" spans="1:1">
      <c r="A119">
        <f t="shared" si="24"/>
        <v>111</v>
      </c>
    </row>
    <row r="120" spans="1:1">
      <c r="A120">
        <f t="shared" si="24"/>
        <v>112</v>
      </c>
    </row>
    <row r="121" spans="1:1">
      <c r="A121">
        <f t="shared" si="24"/>
        <v>113</v>
      </c>
    </row>
    <row r="122" spans="1:1">
      <c r="A122">
        <f t="shared" si="24"/>
        <v>114</v>
      </c>
    </row>
    <row r="123" spans="1:1">
      <c r="A123">
        <f t="shared" si="24"/>
        <v>115</v>
      </c>
    </row>
    <row r="124" spans="1:1">
      <c r="A124">
        <f t="shared" si="24"/>
        <v>116</v>
      </c>
    </row>
    <row r="125" spans="1:1">
      <c r="A125">
        <f t="shared" si="24"/>
        <v>117</v>
      </c>
    </row>
    <row r="126" spans="1:1">
      <c r="A126">
        <f t="shared" si="24"/>
        <v>118</v>
      </c>
    </row>
    <row r="127" spans="1:1">
      <c r="A127">
        <f t="shared" si="24"/>
        <v>119</v>
      </c>
    </row>
    <row r="128" spans="1:1">
      <c r="A128">
        <f t="shared" si="24"/>
        <v>120</v>
      </c>
    </row>
    <row r="129" spans="1:2">
      <c r="A129">
        <f t="shared" si="24"/>
        <v>121</v>
      </c>
    </row>
    <row r="130" spans="1:2">
      <c r="A130">
        <f t="shared" si="24"/>
        <v>122</v>
      </c>
    </row>
    <row r="131" spans="1:2">
      <c r="A131">
        <f t="shared" si="24"/>
        <v>123</v>
      </c>
    </row>
    <row r="132" spans="1:2">
      <c r="A132">
        <f t="shared" si="24"/>
        <v>124</v>
      </c>
    </row>
    <row r="133" spans="1:2">
      <c r="A133">
        <f t="shared" si="24"/>
        <v>125</v>
      </c>
    </row>
    <row r="134" spans="1:2">
      <c r="A134">
        <f t="shared" si="24"/>
        <v>126</v>
      </c>
    </row>
    <row r="135" spans="1:2">
      <c r="A135">
        <f t="shared" si="24"/>
        <v>127</v>
      </c>
      <c r="B135">
        <f>$B$2 + A135 - 1</f>
        <v>153</v>
      </c>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8"/>
  <sheetViews>
    <sheetView zoomScale="82" zoomScaleNormal="82" workbookViewId="0">
      <selection activeCell="B4" sqref="B4"/>
    </sheetView>
  </sheetViews>
  <sheetFormatPr baseColWidth="10" defaultColWidth="10.5" defaultRowHeight="16"/>
  <cols>
    <col min="1" max="1" width="15.33203125" customWidth="1"/>
    <col min="2" max="2" width="16.33203125" customWidth="1"/>
    <col min="3" max="3" width="12.33203125" customWidth="1"/>
    <col min="4" max="4" width="24.33203125" customWidth="1"/>
    <col min="5" max="5" width="13.6640625" customWidth="1"/>
    <col min="6" max="6" width="19.1640625" customWidth="1"/>
    <col min="7" max="7" width="20" customWidth="1"/>
  </cols>
  <sheetData>
    <row r="1" spans="1:7">
      <c r="A1" s="12" t="s">
        <v>44</v>
      </c>
      <c r="B1" s="13" t="s">
        <v>8</v>
      </c>
    </row>
    <row r="2" spans="1:7">
      <c r="A2" s="12" t="s">
        <v>45</v>
      </c>
      <c r="B2" s="14">
        <v>42</v>
      </c>
    </row>
    <row r="3" spans="1:7">
      <c r="A3" s="12" t="s">
        <v>3</v>
      </c>
      <c r="B3" s="15" t="s">
        <v>9</v>
      </c>
      <c r="D3" s="32" t="s">
        <v>46</v>
      </c>
      <c r="E3" s="33"/>
      <c r="F3" s="34"/>
      <c r="G3" s="44">
        <f>D106</f>
        <v>921.82929051948679</v>
      </c>
    </row>
    <row r="4" spans="1:7">
      <c r="A4" s="12" t="s">
        <v>47</v>
      </c>
      <c r="B4" s="14">
        <v>100000</v>
      </c>
      <c r="D4" s="35"/>
      <c r="E4" s="36"/>
      <c r="F4" s="37"/>
      <c r="G4" s="42"/>
    </row>
    <row r="5" spans="1:7">
      <c r="A5" s="12" t="s">
        <v>48</v>
      </c>
      <c r="B5" s="16">
        <v>0.05</v>
      </c>
      <c r="D5" s="38"/>
      <c r="E5" s="39"/>
      <c r="F5" s="40"/>
      <c r="G5" s="43"/>
    </row>
    <row r="8" spans="1:7">
      <c r="A8" s="17" t="s">
        <v>1</v>
      </c>
      <c r="B8" t="s">
        <v>2</v>
      </c>
      <c r="C8" t="s">
        <v>49</v>
      </c>
      <c r="D8" t="s">
        <v>50</v>
      </c>
      <c r="E8" t="s">
        <v>51</v>
      </c>
      <c r="F8" t="s">
        <v>52</v>
      </c>
      <c r="G8" t="s">
        <v>53</v>
      </c>
    </row>
    <row r="9" spans="1:7">
      <c r="A9">
        <v>1</v>
      </c>
      <c r="B9">
        <f t="shared" ref="B9:B40" si="0">$B$2 +A9 - 1</f>
        <v>42</v>
      </c>
      <c r="C9">
        <f>IF(A9 &lt; 25, INDEX(Mortality_Table_Male!$B$2:$AB$97, MATCH('Premium Calculation (2)'!$B$2, Mortality_Table_Male!$A$2:$A$97, 0), MATCH(A9, Mortality_Table_Male!$B$1:$AB$1, 0)), INDEX(Mortality_Table_Male!$AA$2:$AA$97, MATCH('Premium Calculation (2)'!B9, Mortality_Table_Male!$AB$2:$AB$97, 0)))</f>
        <v>3.8999999999999999E-4</v>
      </c>
      <c r="D9">
        <v>1</v>
      </c>
      <c r="E9">
        <f t="shared" ref="E9:E40" si="1">1/(1+$B$5)^A9</f>
        <v>0.95238095238095233</v>
      </c>
      <c r="F9">
        <f t="shared" ref="F9:F40" si="2">D9*E9*C9*$B$4</f>
        <v>37.142857142857139</v>
      </c>
      <c r="G9">
        <f t="shared" ref="G9:G40" si="3">D9*(1/(1+$B$5)^(A9-1))</f>
        <v>1</v>
      </c>
    </row>
    <row r="10" spans="1:7">
      <c r="A10">
        <f t="shared" ref="A10:A41" si="4">A9+1</f>
        <v>2</v>
      </c>
      <c r="B10">
        <f t="shared" si="0"/>
        <v>43</v>
      </c>
      <c r="C10">
        <f>IF(A10 &lt; 25, INDEX(Mortality_Table_Male!$B$2:$AB$97, MATCH('Premium Calculation (2)'!$B$2, Mortality_Table_Male!$A$2:$A$97, 0), MATCH(A10, Mortality_Table_Male!$B$1:$AB$1, 0)), INDEX(Mortality_Table_Male!$AA$2:$AA$97, MATCH('Premium Calculation (2)'!B10, Mortality_Table_Male!$AB$2:$AB$97, 0)))</f>
        <v>6.7000000000000002E-4</v>
      </c>
      <c r="D10">
        <f t="shared" ref="D10:D41" si="5">D9*(1-C9)</f>
        <v>0.99961</v>
      </c>
      <c r="E10">
        <f t="shared" si="1"/>
        <v>0.90702947845804982</v>
      </c>
      <c r="F10">
        <f t="shared" si="2"/>
        <v>60.747274376417231</v>
      </c>
      <c r="G10">
        <f t="shared" si="3"/>
        <v>0.95200952380952375</v>
      </c>
    </row>
    <row r="11" spans="1:7">
      <c r="A11">
        <f t="shared" si="4"/>
        <v>3</v>
      </c>
      <c r="B11">
        <f t="shared" si="0"/>
        <v>44</v>
      </c>
      <c r="C11">
        <f>IF(A11 &lt; 25, INDEX(Mortality_Table_Male!$B$2:$AB$97, MATCH('Premium Calculation (2)'!$B$2, Mortality_Table_Male!$A$2:$A$97, 0), MATCH(A11, Mortality_Table_Male!$B$1:$AB$1, 0)), INDEX(Mortality_Table_Male!$AA$2:$AA$97, MATCH('Premium Calculation (2)'!B11, Mortality_Table_Male!$AB$2:$AB$97, 0)))</f>
        <v>8.7000000000000001E-4</v>
      </c>
      <c r="D11">
        <f t="shared" si="5"/>
        <v>0.99894026130000002</v>
      </c>
      <c r="E11">
        <f t="shared" si="1"/>
        <v>0.86383759853147601</v>
      </c>
      <c r="F11">
        <f t="shared" si="2"/>
        <v>75.074227606608346</v>
      </c>
      <c r="G11">
        <f t="shared" si="3"/>
        <v>0.90606826421768705</v>
      </c>
    </row>
    <row r="12" spans="1:7">
      <c r="A12">
        <f t="shared" si="4"/>
        <v>4</v>
      </c>
      <c r="B12">
        <f t="shared" si="0"/>
        <v>45</v>
      </c>
      <c r="C12">
        <f>IF(A12 &lt; 25, INDEX(Mortality_Table_Male!$B$2:$AB$97, MATCH('Premium Calculation (2)'!$B$2, Mortality_Table_Male!$A$2:$A$97, 0), MATCH(A12, Mortality_Table_Male!$B$1:$AB$1, 0)), INDEX(Mortality_Table_Male!$AA$2:$AA$97, MATCH('Premium Calculation (2)'!B12, Mortality_Table_Male!$AB$2:$AB$97, 0)))</f>
        <v>1.01E-3</v>
      </c>
      <c r="D12">
        <f t="shared" si="5"/>
        <v>0.99807118327266897</v>
      </c>
      <c r="E12">
        <f t="shared" si="1"/>
        <v>0.82270247479188197</v>
      </c>
      <c r="F12">
        <f t="shared" si="2"/>
        <v>82.93267888218557</v>
      </c>
      <c r="G12">
        <f t="shared" si="3"/>
        <v>0.86217141412173104</v>
      </c>
    </row>
    <row r="13" spans="1:7">
      <c r="A13">
        <f t="shared" si="4"/>
        <v>5</v>
      </c>
      <c r="B13">
        <f t="shared" si="0"/>
        <v>46</v>
      </c>
      <c r="C13">
        <f>IF(A13 &lt; 25, INDEX(Mortality_Table_Male!$B$2:$AB$97, MATCH('Premium Calculation (2)'!$B$2, Mortality_Table_Male!$A$2:$A$97, 0), MATCH(A13, Mortality_Table_Male!$B$1:$AB$1, 0)), INDEX(Mortality_Table_Male!$AA$2:$AA$97, MATCH('Premium Calculation (2)'!B13, Mortality_Table_Male!$AB$2:$AB$97, 0)))</f>
        <v>1.17E-3</v>
      </c>
      <c r="D13">
        <f t="shared" si="5"/>
        <v>0.99706313137756364</v>
      </c>
      <c r="E13">
        <f t="shared" si="1"/>
        <v>0.78352616646845896</v>
      </c>
      <c r="F13">
        <f t="shared" si="2"/>
        <v>91.403331207470089</v>
      </c>
      <c r="G13">
        <f t="shared" si="3"/>
        <v>0.82028630570806493</v>
      </c>
    </row>
    <row r="14" spans="1:7">
      <c r="A14">
        <f t="shared" si="4"/>
        <v>6</v>
      </c>
      <c r="B14">
        <f t="shared" si="0"/>
        <v>47</v>
      </c>
      <c r="C14">
        <f>IF(A14 &lt; 25, INDEX(Mortality_Table_Male!$B$2:$AB$97, MATCH('Premium Calculation (2)'!$B$2, Mortality_Table_Male!$A$2:$A$97, 0), MATCH(A14, Mortality_Table_Male!$B$1:$AB$1, 0)), INDEX(Mortality_Table_Male!$AA$2:$AA$97, MATCH('Premium Calculation (2)'!B14, Mortality_Table_Male!$AB$2:$AB$97, 0)))</f>
        <v>1.33E-3</v>
      </c>
      <c r="D14">
        <f t="shared" si="5"/>
        <v>0.99589656751385192</v>
      </c>
      <c r="E14">
        <f t="shared" si="1"/>
        <v>0.74621539663662761</v>
      </c>
      <c r="F14">
        <f t="shared" si="2"/>
        <v>98.839395834141854</v>
      </c>
      <c r="G14">
        <f t="shared" si="3"/>
        <v>0.78031101974322525</v>
      </c>
    </row>
    <row r="15" spans="1:7">
      <c r="A15">
        <f t="shared" si="4"/>
        <v>7</v>
      </c>
      <c r="B15">
        <f t="shared" si="0"/>
        <v>48</v>
      </c>
      <c r="C15">
        <f>IF(A15 &lt; 25, INDEX(Mortality_Table_Male!$B$2:$AB$97, MATCH('Premium Calculation (2)'!$B$2, Mortality_Table_Male!$A$2:$A$97, 0), MATCH(A15, Mortality_Table_Male!$B$1:$AB$1, 0)), INDEX(Mortality_Table_Male!$AA$2:$AA$97, MATCH('Premium Calculation (2)'!B15, Mortality_Table_Male!$AB$2:$AB$97, 0)))</f>
        <v>1.5200000000000001E-3</v>
      </c>
      <c r="D15">
        <f t="shared" si="5"/>
        <v>0.9945720250790584</v>
      </c>
      <c r="E15">
        <f t="shared" si="1"/>
        <v>0.71068133013012147</v>
      </c>
      <c r="F15">
        <f t="shared" si="2"/>
        <v>107.43721299339586</v>
      </c>
      <c r="G15">
        <f t="shared" si="3"/>
        <v>0.74216495817806349</v>
      </c>
    </row>
    <row r="16" spans="1:7">
      <c r="A16">
        <f t="shared" si="4"/>
        <v>8</v>
      </c>
      <c r="B16">
        <f t="shared" si="0"/>
        <v>49</v>
      </c>
      <c r="C16">
        <f>IF(A16 &lt; 25, INDEX(Mortality_Table_Male!$B$2:$AB$97, MATCH('Premium Calculation (2)'!$B$2, Mortality_Table_Male!$A$2:$A$97, 0), MATCH(A16, Mortality_Table_Male!$B$1:$AB$1, 0)), INDEX(Mortality_Table_Male!$AA$2:$AA$97, MATCH('Premium Calculation (2)'!B16, Mortality_Table_Male!$AB$2:$AB$97, 0)))</f>
        <v>1.74E-3</v>
      </c>
      <c r="D16">
        <f t="shared" si="5"/>
        <v>0.99306027560093824</v>
      </c>
      <c r="E16">
        <f t="shared" si="1"/>
        <v>0.67683936202868722</v>
      </c>
      <c r="F16">
        <f t="shared" si="2"/>
        <v>116.95275731051622</v>
      </c>
      <c r="G16">
        <f t="shared" si="3"/>
        <v>0.70574939756345978</v>
      </c>
    </row>
    <row r="17" spans="1:7">
      <c r="A17">
        <f t="shared" si="4"/>
        <v>9</v>
      </c>
      <c r="B17">
        <f t="shared" si="0"/>
        <v>50</v>
      </c>
      <c r="C17">
        <f>IF(A17 &lt; 25, INDEX(Mortality_Table_Male!$B$2:$AB$97, MATCH('Premium Calculation (2)'!$B$2, Mortality_Table_Male!$A$2:$A$97, 0), MATCH(A17, Mortality_Table_Male!$B$1:$AB$1, 0)), INDEX(Mortality_Table_Male!$AA$2:$AA$97, MATCH('Premium Calculation (2)'!B17, Mortality_Table_Male!$AB$2:$AB$97, 0)))</f>
        <v>2E-3</v>
      </c>
      <c r="D17">
        <f t="shared" si="5"/>
        <v>0.99133235072139259</v>
      </c>
      <c r="E17">
        <f t="shared" si="1"/>
        <v>0.64460891621779726</v>
      </c>
      <c r="F17">
        <f t="shared" si="2"/>
        <v>127.80433444203162</v>
      </c>
      <c r="G17">
        <f t="shared" si="3"/>
        <v>0.67097275582066618</v>
      </c>
    </row>
    <row r="18" spans="1:7">
      <c r="A18">
        <f t="shared" si="4"/>
        <v>10</v>
      </c>
      <c r="B18">
        <f t="shared" si="0"/>
        <v>51</v>
      </c>
      <c r="C18">
        <f>IF(A18 &lt; 25, INDEX(Mortality_Table_Male!$B$2:$AB$97, MATCH('Premium Calculation (2)'!$B$2, Mortality_Table_Male!$A$2:$A$97, 0), MATCH(A18, Mortality_Table_Male!$B$1:$AB$1, 0)), INDEX(Mortality_Table_Male!$AA$2:$AA$97, MATCH('Premium Calculation (2)'!B18, Mortality_Table_Male!$AB$2:$AB$97, 0)))</f>
        <v>2.2799999999999999E-3</v>
      </c>
      <c r="D18">
        <f t="shared" si="5"/>
        <v>0.98934968601994977</v>
      </c>
      <c r="E18">
        <f t="shared" si="1"/>
        <v>0.61391325354075932</v>
      </c>
      <c r="F18">
        <f t="shared" si="2"/>
        <v>138.48147369656022</v>
      </c>
      <c r="G18">
        <f t="shared" si="3"/>
        <v>0.63774362886573788</v>
      </c>
    </row>
    <row r="19" spans="1:7">
      <c r="A19">
        <f t="shared" si="4"/>
        <v>11</v>
      </c>
      <c r="B19">
        <f t="shared" si="0"/>
        <v>52</v>
      </c>
      <c r="C19">
        <f>IF(A19 &lt; 25, INDEX(Mortality_Table_Male!$B$2:$AB$97, MATCH('Premium Calculation (2)'!$B$2, Mortality_Table_Male!$A$2:$A$97, 0), MATCH(A19, Mortality_Table_Male!$B$1:$AB$1, 0)), INDEX(Mortality_Table_Male!$AA$2:$AA$97, MATCH('Premium Calculation (2)'!B19, Mortality_Table_Male!$AB$2:$AB$97, 0)))</f>
        <v>2.5400000000000002E-3</v>
      </c>
      <c r="D19">
        <f t="shared" si="5"/>
        <v>0.98709396873582433</v>
      </c>
      <c r="E19">
        <f t="shared" si="1"/>
        <v>0.5846792890864374</v>
      </c>
      <c r="F19">
        <f t="shared" si="2"/>
        <v>146.59188357510087</v>
      </c>
      <c r="G19">
        <f t="shared" si="3"/>
        <v>0.60599006989707049</v>
      </c>
    </row>
    <row r="20" spans="1:7">
      <c r="A20">
        <f t="shared" si="4"/>
        <v>12</v>
      </c>
      <c r="B20">
        <f t="shared" si="0"/>
        <v>53</v>
      </c>
      <c r="C20">
        <f>IF(A20 &lt; 25, INDEX(Mortality_Table_Male!$B$2:$AB$97, MATCH('Premium Calculation (2)'!$B$2, Mortality_Table_Male!$A$2:$A$97, 0), MATCH(A20, Mortality_Table_Male!$B$1:$AB$1, 0)), INDEX(Mortality_Table_Male!$AA$2:$AA$97, MATCH('Premium Calculation (2)'!B20, Mortality_Table_Male!$AB$2:$AB$97, 0)))</f>
        <v>2.8300000000000001E-3</v>
      </c>
      <c r="D20">
        <f t="shared" si="5"/>
        <v>0.98458675005523533</v>
      </c>
      <c r="E20">
        <f t="shared" si="1"/>
        <v>0.5568374181775595</v>
      </c>
      <c r="F20">
        <f t="shared" si="2"/>
        <v>155.15609251594336</v>
      </c>
      <c r="G20">
        <f t="shared" si="3"/>
        <v>0.57566748106622079</v>
      </c>
    </row>
    <row r="21" spans="1:7">
      <c r="A21">
        <f t="shared" si="4"/>
        <v>13</v>
      </c>
      <c r="B21">
        <f t="shared" si="0"/>
        <v>54</v>
      </c>
      <c r="C21">
        <f>IF(A21 &lt; 25, INDEX(Mortality_Table_Male!$B$2:$AB$97, MATCH('Premium Calculation (2)'!$B$2, Mortality_Table_Male!$A$2:$A$97, 0), MATCH(A21, Mortality_Table_Male!$B$1:$AB$1, 0)), INDEX(Mortality_Table_Male!$AA$2:$AA$97, MATCH('Premium Calculation (2)'!B21, Mortality_Table_Male!$AB$2:$AB$97, 0)))</f>
        <v>3.2100000000000002E-3</v>
      </c>
      <c r="D21">
        <f t="shared" si="5"/>
        <v>0.98180036955257899</v>
      </c>
      <c r="E21">
        <f t="shared" si="1"/>
        <v>0.53032135064529462</v>
      </c>
      <c r="F21">
        <f t="shared" si="2"/>
        <v>167.13497307250057</v>
      </c>
      <c r="G21">
        <f t="shared" si="3"/>
        <v>0.54670318294743192</v>
      </c>
    </row>
    <row r="22" spans="1:7">
      <c r="A22">
        <f t="shared" si="4"/>
        <v>14</v>
      </c>
      <c r="B22">
        <f t="shared" si="0"/>
        <v>55</v>
      </c>
      <c r="C22">
        <f>IF(A22 &lt; 25, INDEX(Mortality_Table_Male!$B$2:$AB$97, MATCH('Premium Calculation (2)'!$B$2, Mortality_Table_Male!$A$2:$A$97, 0), MATCH(A22, Mortality_Table_Male!$B$1:$AB$1, 0)), INDEX(Mortality_Table_Male!$AA$2:$AA$97, MATCH('Premium Calculation (2)'!B22, Mortality_Table_Male!$AB$2:$AB$97, 0)))</f>
        <v>3.5899999999999999E-3</v>
      </c>
      <c r="D22">
        <f t="shared" si="5"/>
        <v>0.97864879036631514</v>
      </c>
      <c r="E22">
        <f t="shared" si="1"/>
        <v>0.50506795299551888</v>
      </c>
      <c r="F22">
        <f t="shared" si="2"/>
        <v>177.44800670941609</v>
      </c>
      <c r="G22">
        <f t="shared" si="3"/>
        <v>0.51899834831444802</v>
      </c>
    </row>
    <row r="23" spans="1:7">
      <c r="A23">
        <f t="shared" si="4"/>
        <v>15</v>
      </c>
      <c r="B23">
        <f t="shared" si="0"/>
        <v>56</v>
      </c>
      <c r="C23">
        <f>IF(A23 &lt; 25, INDEX(Mortality_Table_Male!$B$2:$AB$97, MATCH('Premium Calculation (2)'!$B$2, Mortality_Table_Male!$A$2:$A$97, 0), MATCH(A23, Mortality_Table_Male!$B$1:$AB$1, 0)), INDEX(Mortality_Table_Male!$AA$2:$AA$97, MATCH('Premium Calculation (2)'!B23, Mortality_Table_Male!$AB$2:$AB$97, 0)))</f>
        <v>3.9899999999999996E-3</v>
      </c>
      <c r="D23">
        <f t="shared" si="5"/>
        <v>0.97513544120890006</v>
      </c>
      <c r="E23">
        <f t="shared" si="1"/>
        <v>0.48101709809097021</v>
      </c>
      <c r="F23">
        <f t="shared" si="2"/>
        <v>187.15367125020924</v>
      </c>
      <c r="G23">
        <f t="shared" si="3"/>
        <v>0.4925096611847613</v>
      </c>
    </row>
    <row r="24" spans="1:7">
      <c r="A24">
        <f t="shared" si="4"/>
        <v>16</v>
      </c>
      <c r="B24">
        <f t="shared" si="0"/>
        <v>57</v>
      </c>
      <c r="C24">
        <f>IF(A24 &lt; 25, INDEX(Mortality_Table_Male!$B$2:$AB$97, MATCH('Premium Calculation (2)'!$B$2, Mortality_Table_Male!$A$2:$A$97, 0), MATCH(A24, Mortality_Table_Male!$B$1:$AB$1, 0)), INDEX(Mortality_Table_Male!$AA$2:$AA$97, MATCH('Premium Calculation (2)'!B24, Mortality_Table_Male!$AB$2:$AB$97, 0)))</f>
        <v>4.47E-3</v>
      </c>
      <c r="D24">
        <f t="shared" si="5"/>
        <v>0.97124465079847655</v>
      </c>
      <c r="E24">
        <f t="shared" si="1"/>
        <v>0.45811152199140021</v>
      </c>
      <c r="F24">
        <f t="shared" si="2"/>
        <v>198.88744924587337</v>
      </c>
      <c r="G24">
        <f t="shared" si="3"/>
        <v>0.46718528346346089</v>
      </c>
    </row>
    <row r="25" spans="1:7">
      <c r="A25">
        <f t="shared" si="4"/>
        <v>17</v>
      </c>
      <c r="B25">
        <f t="shared" si="0"/>
        <v>58</v>
      </c>
      <c r="C25">
        <f>IF(A25 &lt; 25, INDEX(Mortality_Table_Male!$B$2:$AB$97, MATCH('Premium Calculation (2)'!$B$2, Mortality_Table_Male!$A$2:$A$97, 0), MATCH(A25, Mortality_Table_Male!$B$1:$AB$1, 0)), INDEX(Mortality_Table_Male!$AA$2:$AA$97, MATCH('Premium Calculation (2)'!B25, Mortality_Table_Male!$AB$2:$AB$97, 0)))</f>
        <v>5.1200000000000004E-3</v>
      </c>
      <c r="D25">
        <f t="shared" si="5"/>
        <v>0.96690318720940738</v>
      </c>
      <c r="E25">
        <f t="shared" si="1"/>
        <v>0.43629668761085727</v>
      </c>
      <c r="F25">
        <f t="shared" si="2"/>
        <v>215.99060880376067</v>
      </c>
      <c r="G25">
        <f t="shared" si="3"/>
        <v>0.44294949071083739</v>
      </c>
    </row>
    <row r="26" spans="1:7">
      <c r="A26">
        <f t="shared" si="4"/>
        <v>18</v>
      </c>
      <c r="B26">
        <f t="shared" si="0"/>
        <v>59</v>
      </c>
      <c r="C26">
        <f>IF(A26 &lt; 25, INDEX(Mortality_Table_Male!$B$2:$AB$97, MATCH('Premium Calculation (2)'!$B$2, Mortality_Table_Male!$A$2:$A$97, 0), MATCH(A26, Mortality_Table_Male!$B$1:$AB$1, 0)), INDEX(Mortality_Table_Male!$AA$2:$AA$97, MATCH('Premium Calculation (2)'!B26, Mortality_Table_Male!$AB$2:$AB$97, 0)))</f>
        <v>5.7400000000000003E-3</v>
      </c>
      <c r="D26">
        <f t="shared" si="5"/>
        <v>0.96195264289089522</v>
      </c>
      <c r="E26">
        <f t="shared" si="1"/>
        <v>0.41552065486748313</v>
      </c>
      <c r="F26">
        <f t="shared" si="2"/>
        <v>229.43422428005474</v>
      </c>
      <c r="G26">
        <f t="shared" si="3"/>
        <v>0.41969675173180743</v>
      </c>
    </row>
    <row r="27" spans="1:7">
      <c r="A27">
        <f t="shared" si="4"/>
        <v>19</v>
      </c>
      <c r="B27">
        <f t="shared" si="0"/>
        <v>60</v>
      </c>
      <c r="C27">
        <f>IF(A27 &lt; 25, INDEX(Mortality_Table_Male!$B$2:$AB$97, MATCH('Premium Calculation (2)'!$B$2, Mortality_Table_Male!$A$2:$A$97, 0), MATCH(A27, Mortality_Table_Male!$B$1:$AB$1, 0)), INDEX(Mortality_Table_Male!$AA$2:$AA$97, MATCH('Premium Calculation (2)'!B27, Mortality_Table_Male!$AB$2:$AB$97, 0)))</f>
        <v>6.3299999999999997E-3</v>
      </c>
      <c r="D27">
        <f t="shared" si="5"/>
        <v>0.95643103472070146</v>
      </c>
      <c r="E27">
        <f t="shared" si="1"/>
        <v>0.39573395701665059</v>
      </c>
      <c r="F27">
        <f t="shared" si="2"/>
        <v>239.5855866435889</v>
      </c>
      <c r="G27">
        <f t="shared" si="3"/>
        <v>0.39741684988273035</v>
      </c>
    </row>
    <row r="28" spans="1:7">
      <c r="A28">
        <f t="shared" si="4"/>
        <v>20</v>
      </c>
      <c r="B28">
        <f t="shared" si="0"/>
        <v>61</v>
      </c>
      <c r="C28">
        <f>IF(A28 &lt; 25, INDEX(Mortality_Table_Male!$B$2:$AB$97, MATCH('Premium Calculation (2)'!$B$2, Mortality_Table_Male!$A$2:$A$97, 0), MATCH(A28, Mortality_Table_Male!$B$1:$AB$1, 0)), INDEX(Mortality_Table_Male!$AA$2:$AA$97, MATCH('Premium Calculation (2)'!B28, Mortality_Table_Male!$AB$2:$AB$97, 0)))</f>
        <v>7.0200000000000002E-3</v>
      </c>
      <c r="D28">
        <f t="shared" si="5"/>
        <v>0.95037682627091946</v>
      </c>
      <c r="E28">
        <f t="shared" si="1"/>
        <v>0.37688948287300061</v>
      </c>
      <c r="F28">
        <f t="shared" si="2"/>
        <v>251.44729547258672</v>
      </c>
      <c r="G28">
        <f t="shared" si="3"/>
        <v>0.37609638211711688</v>
      </c>
    </row>
    <row r="29" spans="1:7">
      <c r="A29">
        <f t="shared" si="4"/>
        <v>21</v>
      </c>
      <c r="B29">
        <f t="shared" si="0"/>
        <v>62</v>
      </c>
      <c r="C29">
        <f>IF(A29 &lt; 25, INDEX(Mortality_Table_Male!$B$2:$AB$97, MATCH('Premium Calculation (2)'!$B$2, Mortality_Table_Male!$A$2:$A$97, 0), MATCH(A29, Mortality_Table_Male!$B$1:$AB$1, 0)), INDEX(Mortality_Table_Male!$AA$2:$AA$97, MATCH('Premium Calculation (2)'!B29, Mortality_Table_Male!$AB$2:$AB$97, 0)))</f>
        <v>7.7400000000000004E-3</v>
      </c>
      <c r="D29">
        <f t="shared" si="5"/>
        <v>0.9437051809504976</v>
      </c>
      <c r="E29">
        <f t="shared" si="1"/>
        <v>0.35894236464095297</v>
      </c>
      <c r="F29">
        <f t="shared" si="2"/>
        <v>262.18148534090045</v>
      </c>
      <c r="G29">
        <f t="shared" si="3"/>
        <v>0.35567255763300454</v>
      </c>
    </row>
    <row r="30" spans="1:7">
      <c r="A30">
        <f t="shared" si="4"/>
        <v>22</v>
      </c>
      <c r="B30">
        <f t="shared" si="0"/>
        <v>63</v>
      </c>
      <c r="C30">
        <f>IF(A30 &lt; 25, INDEX(Mortality_Table_Male!$B$2:$AB$97, MATCH('Premium Calculation (2)'!$B$2, Mortality_Table_Male!$A$2:$A$97, 0), MATCH(A30, Mortality_Table_Male!$B$1:$AB$1, 0)), INDEX(Mortality_Table_Male!$AA$2:$AA$97, MATCH('Premium Calculation (2)'!B30, Mortality_Table_Male!$AB$2:$AB$97, 0)))</f>
        <v>8.5000000000000006E-3</v>
      </c>
      <c r="D30">
        <f t="shared" si="5"/>
        <v>0.93640090284994082</v>
      </c>
      <c r="E30">
        <f t="shared" si="1"/>
        <v>0.3418498710866219</v>
      </c>
      <c r="F30">
        <f t="shared" si="2"/>
        <v>272.09224873595139</v>
      </c>
      <c r="G30">
        <f t="shared" si="3"/>
        <v>0.33611395432088104</v>
      </c>
    </row>
    <row r="31" spans="1:7">
      <c r="A31">
        <f t="shared" si="4"/>
        <v>23</v>
      </c>
      <c r="B31">
        <f t="shared" si="0"/>
        <v>64</v>
      </c>
      <c r="C31">
        <f>IF(A31 &lt; 25, INDEX(Mortality_Table_Male!$B$2:$AB$97, MATCH('Premium Calculation (2)'!$B$2, Mortality_Table_Male!$A$2:$A$97, 0), MATCH(A31, Mortality_Table_Male!$B$1:$AB$1, 0)), INDEX(Mortality_Table_Male!$AA$2:$AA$97, MATCH('Premium Calculation (2)'!B31, Mortality_Table_Male!$AB$2:$AB$97, 0)))</f>
        <v>9.3900000000000008E-3</v>
      </c>
      <c r="D31">
        <f t="shared" si="5"/>
        <v>0.92844149517571639</v>
      </c>
      <c r="E31">
        <f t="shared" si="1"/>
        <v>0.32557130579678267</v>
      </c>
      <c r="F31">
        <f t="shared" si="2"/>
        <v>283.83520143391854</v>
      </c>
      <c r="G31">
        <f t="shared" si="3"/>
        <v>0.31738760543728917</v>
      </c>
    </row>
    <row r="32" spans="1:7">
      <c r="A32">
        <f t="shared" si="4"/>
        <v>24</v>
      </c>
      <c r="B32">
        <f t="shared" si="0"/>
        <v>65</v>
      </c>
      <c r="C32">
        <f>IF(A32 &lt; 25, INDEX(Mortality_Table_Male!$B$2:$AB$97, MATCH('Premium Calculation (2)'!$B$2, Mortality_Table_Male!$A$2:$A$97, 0), MATCH(A32, Mortality_Table_Male!$B$1:$AB$1, 0)), INDEX(Mortality_Table_Male!$AA$2:$AA$97, MATCH('Premium Calculation (2)'!B32, Mortality_Table_Male!$AB$2:$AB$97, 0)))</f>
        <v>1.0449999999999999E-2</v>
      </c>
      <c r="D32">
        <f t="shared" si="5"/>
        <v>0.91972342953601638</v>
      </c>
      <c r="E32">
        <f t="shared" si="1"/>
        <v>0.31006791028265024</v>
      </c>
      <c r="F32">
        <f t="shared" si="2"/>
        <v>298.00967431676503</v>
      </c>
      <c r="G32">
        <f t="shared" si="3"/>
        <v>0.29943555792593607</v>
      </c>
    </row>
    <row r="33" spans="1:7">
      <c r="A33">
        <f t="shared" si="4"/>
        <v>25</v>
      </c>
      <c r="B33">
        <f t="shared" si="0"/>
        <v>66</v>
      </c>
      <c r="C33">
        <f>IF(A33 &lt; 25, INDEX(Mortality_Table_Male!$B$2:$AB$97, MATCH('Premium Calculation (2)'!$B$2, Mortality_Table_Male!$A$2:$A$97, 0), MATCH(A33, Mortality_Table_Male!$B$1:$AB$1, 0)), INDEX(Mortality_Table_Male!$AA$2:$AA$97, MATCH('Premium Calculation (2)'!B33, Mortality_Table_Male!$AB$2:$AB$97, 0)))</f>
        <v>1.1730000000000001E-2</v>
      </c>
      <c r="D33">
        <f t="shared" si="5"/>
        <v>0.91011231969736506</v>
      </c>
      <c r="E33">
        <f t="shared" si="1"/>
        <v>0.29530277169776209</v>
      </c>
      <c r="F33">
        <f t="shared" si="2"/>
        <v>315.25394403029543</v>
      </c>
      <c r="G33">
        <f t="shared" si="3"/>
        <v>0.28219662509105731</v>
      </c>
    </row>
    <row r="34" spans="1:7">
      <c r="A34">
        <f t="shared" si="4"/>
        <v>26</v>
      </c>
      <c r="B34">
        <f t="shared" si="0"/>
        <v>67</v>
      </c>
      <c r="C34">
        <f>IF(A34 &lt; 25, INDEX(Mortality_Table_Male!$B$2:$AB$97, MATCH('Premium Calculation (2)'!$B$2, Mortality_Table_Male!$A$2:$A$97, 0), MATCH(A34, Mortality_Table_Male!$B$1:$AB$1, 0)), INDEX(Mortality_Table_Male!$AA$2:$AA$97, MATCH('Premium Calculation (2)'!B34, Mortality_Table_Male!$AB$2:$AB$97, 0)))</f>
        <v>1.2880000000000001E-2</v>
      </c>
      <c r="D34">
        <f t="shared" si="5"/>
        <v>0.89943670218731497</v>
      </c>
      <c r="E34">
        <f t="shared" si="1"/>
        <v>0.28124073495024959</v>
      </c>
      <c r="F34">
        <f t="shared" si="2"/>
        <v>325.81021204373337</v>
      </c>
      <c r="G34">
        <f t="shared" si="3"/>
        <v>0.26560615112260871</v>
      </c>
    </row>
    <row r="35" spans="1:7">
      <c r="A35">
        <f t="shared" si="4"/>
        <v>27</v>
      </c>
      <c r="B35">
        <f t="shared" si="0"/>
        <v>68</v>
      </c>
      <c r="C35">
        <f>IF(A35 &lt; 25, INDEX(Mortality_Table_Male!$B$2:$AB$97, MATCH('Premium Calculation (2)'!$B$2, Mortality_Table_Male!$A$2:$A$97, 0), MATCH(A35, Mortality_Table_Male!$B$1:$AB$1, 0)), INDEX(Mortality_Table_Male!$AA$2:$AA$97, MATCH('Premium Calculation (2)'!B35, Mortality_Table_Male!$AB$2:$AB$97, 0)))</f>
        <v>1.413E-2</v>
      </c>
      <c r="D35">
        <f t="shared" si="5"/>
        <v>0.88785195746314238</v>
      </c>
      <c r="E35">
        <f t="shared" si="1"/>
        <v>0.2678483190002377</v>
      </c>
      <c r="F35">
        <f t="shared" si="2"/>
        <v>336.02504156486094</v>
      </c>
      <c r="G35">
        <f t="shared" si="3"/>
        <v>0.24970013704395191</v>
      </c>
    </row>
    <row r="36" spans="1:7">
      <c r="A36">
        <f t="shared" si="4"/>
        <v>28</v>
      </c>
      <c r="B36">
        <f t="shared" si="0"/>
        <v>69</v>
      </c>
      <c r="C36">
        <f>IF(A36 &lt; 25, INDEX(Mortality_Table_Male!$B$2:$AB$97, MATCH('Premium Calculation (2)'!$B$2, Mortality_Table_Male!$A$2:$A$97, 0), MATCH(A36, Mortality_Table_Male!$B$1:$AB$1, 0)), INDEX(Mortality_Table_Male!$AA$2:$AA$97, MATCH('Premium Calculation (2)'!B36, Mortality_Table_Male!$AB$2:$AB$97, 0)))</f>
        <v>1.553E-2</v>
      </c>
      <c r="D36">
        <f t="shared" si="5"/>
        <v>0.87530660930418824</v>
      </c>
      <c r="E36">
        <f t="shared" si="1"/>
        <v>0.25509363714308358</v>
      </c>
      <c r="F36">
        <f t="shared" si="2"/>
        <v>346.76183264306576</v>
      </c>
      <c r="G36">
        <f t="shared" si="3"/>
        <v>0.23444940391192465</v>
      </c>
    </row>
    <row r="37" spans="1:7">
      <c r="A37">
        <f t="shared" si="4"/>
        <v>29</v>
      </c>
      <c r="B37">
        <f t="shared" si="0"/>
        <v>70</v>
      </c>
      <c r="C37">
        <f>IF(A37 &lt; 25, INDEX(Mortality_Table_Male!$B$2:$AB$97, MATCH('Premium Calculation (2)'!$B$2, Mortality_Table_Male!$A$2:$A$97, 0), MATCH(A37, Mortality_Table_Male!$B$1:$AB$1, 0)), INDEX(Mortality_Table_Male!$AA$2:$AA$97, MATCH('Premium Calculation (2)'!B37, Mortality_Table_Male!$AB$2:$AB$97, 0)))</f>
        <v>1.7160000000000002E-2</v>
      </c>
      <c r="D37">
        <f t="shared" si="5"/>
        <v>0.86171309766169413</v>
      </c>
      <c r="E37">
        <f t="shared" si="1"/>
        <v>0.24294632108865097</v>
      </c>
      <c r="F37">
        <f t="shared" si="2"/>
        <v>359.24464617895688</v>
      </c>
      <c r="G37">
        <f t="shared" si="3"/>
        <v>0.21981752825635476</v>
      </c>
    </row>
    <row r="38" spans="1:7">
      <c r="A38">
        <f t="shared" si="4"/>
        <v>30</v>
      </c>
      <c r="B38">
        <f t="shared" si="0"/>
        <v>71</v>
      </c>
      <c r="C38">
        <f>IF(A38 &lt; 25, INDEX(Mortality_Table_Male!$B$2:$AB$97, MATCH('Premium Calculation (2)'!$B$2, Mortality_Table_Male!$A$2:$A$97, 0), MATCH(A38, Mortality_Table_Male!$B$1:$AB$1, 0)), INDEX(Mortality_Table_Male!$AA$2:$AA$97, MATCH('Premium Calculation (2)'!B38, Mortality_Table_Male!$AB$2:$AB$97, 0)))</f>
        <v>1.9089999999999999E-2</v>
      </c>
      <c r="D38">
        <f t="shared" si="5"/>
        <v>0.84692610090581955</v>
      </c>
      <c r="E38">
        <f t="shared" si="1"/>
        <v>0.23137744865585813</v>
      </c>
      <c r="F38">
        <f t="shared" si="2"/>
        <v>374.08687721636926</v>
      </c>
      <c r="G38">
        <f t="shared" si="3"/>
        <v>0.20575758044902445</v>
      </c>
    </row>
    <row r="39" spans="1:7">
      <c r="A39">
        <f t="shared" si="4"/>
        <v>31</v>
      </c>
      <c r="B39">
        <f t="shared" si="0"/>
        <v>72</v>
      </c>
      <c r="C39">
        <f>IF(A39 &lt; 25, INDEX(Mortality_Table_Male!$B$2:$AB$97, MATCH('Premium Calculation (2)'!$B$2, Mortality_Table_Male!$A$2:$A$97, 0), MATCH(A39, Mortality_Table_Male!$B$1:$AB$1, 0)), INDEX(Mortality_Table_Male!$AA$2:$AA$97, MATCH('Premium Calculation (2)'!B39, Mortality_Table_Male!$AB$2:$AB$97, 0)))</f>
        <v>2.1340000000000001E-2</v>
      </c>
      <c r="D39">
        <f t="shared" si="5"/>
        <v>0.83075828163952736</v>
      </c>
      <c r="E39">
        <f t="shared" si="1"/>
        <v>0.220359474910341</v>
      </c>
      <c r="F39">
        <f t="shared" si="2"/>
        <v>390.66168890742028</v>
      </c>
      <c r="G39">
        <f t="shared" si="3"/>
        <v>0.19221873165547868</v>
      </c>
    </row>
    <row r="40" spans="1:7">
      <c r="A40">
        <f t="shared" si="4"/>
        <v>32</v>
      </c>
      <c r="B40">
        <f t="shared" si="0"/>
        <v>73</v>
      </c>
      <c r="C40">
        <f>IF(A40 &lt; 25, INDEX(Mortality_Table_Male!$B$2:$AB$97, MATCH('Premium Calculation (2)'!$B$2, Mortality_Table_Male!$A$2:$A$97, 0), MATCH(A40, Mortality_Table_Male!$B$1:$AB$1, 0)), INDEX(Mortality_Table_Male!$AA$2:$AA$97, MATCH('Premium Calculation (2)'!B40, Mortality_Table_Male!$AB$2:$AB$97, 0)))</f>
        <v>2.3939999999999999E-2</v>
      </c>
      <c r="D40">
        <f t="shared" si="5"/>
        <v>0.81302989990933983</v>
      </c>
      <c r="E40">
        <f t="shared" si="1"/>
        <v>0.20986616658127716</v>
      </c>
      <c r="F40">
        <f t="shared" si="2"/>
        <v>408.48215937337869</v>
      </c>
      <c r="G40">
        <f t="shared" si="3"/>
        <v>0.17915884183042921</v>
      </c>
    </row>
    <row r="41" spans="1:7">
      <c r="A41">
        <f t="shared" si="4"/>
        <v>33</v>
      </c>
      <c r="B41">
        <f t="shared" ref="B41:B72" si="6">$B$2 +A41 - 1</f>
        <v>74</v>
      </c>
      <c r="C41">
        <f>IF(A41 &lt; 25, INDEX(Mortality_Table_Male!$B$2:$AB$97, MATCH('Premium Calculation (2)'!$B$2, Mortality_Table_Male!$A$2:$A$97, 0), MATCH(A41, Mortality_Table_Male!$B$1:$AB$1, 0)), INDEX(Mortality_Table_Male!$AA$2:$AA$97, MATCH('Premium Calculation (2)'!B41, Mortality_Table_Male!$AB$2:$AB$97, 0)))</f>
        <v>2.6859999999999998E-2</v>
      </c>
      <c r="D41">
        <f t="shared" si="5"/>
        <v>0.79356596410551028</v>
      </c>
      <c r="E41">
        <f t="shared" ref="E41:E72" si="7">1/(1+$B$5)^A41</f>
        <v>0.19987253960121634</v>
      </c>
      <c r="F41">
        <f t="shared" ref="F41:F72" si="8">D41*E41*C41*$B$4</f>
        <v>426.03195176029527</v>
      </c>
      <c r="G41">
        <f t="shared" ref="G41:G72" si="9">D41*(1/(1+$B$5)^(A41-1))</f>
        <v>0.16654264681619882</v>
      </c>
    </row>
    <row r="42" spans="1:7">
      <c r="A42">
        <f t="shared" ref="A42:A73" si="10">A41+1</f>
        <v>34</v>
      </c>
      <c r="B42">
        <f t="shared" si="6"/>
        <v>75</v>
      </c>
      <c r="C42">
        <f>IF(A42 &lt; 25, INDEX(Mortality_Table_Male!$B$2:$AB$97, MATCH('Premium Calculation (2)'!$B$2, Mortality_Table_Male!$A$2:$A$97, 0), MATCH(A42, Mortality_Table_Male!$B$1:$AB$1, 0)), INDEX(Mortality_Table_Male!$AA$2:$AA$97, MATCH('Premium Calculation (2)'!B42, Mortality_Table_Male!$AB$2:$AB$97, 0)))</f>
        <v>3.006E-2</v>
      </c>
      <c r="D42">
        <f t="shared" ref="D42:D73" si="11">D41*(1-C41)</f>
        <v>0.77225078230963629</v>
      </c>
      <c r="E42">
        <f t="shared" si="7"/>
        <v>0.19035479962020604</v>
      </c>
      <c r="F42">
        <f t="shared" si="8"/>
        <v>441.88693862683311</v>
      </c>
      <c r="G42">
        <f t="shared" si="9"/>
        <v>0.15435172506925307</v>
      </c>
    </row>
    <row r="43" spans="1:7">
      <c r="A43">
        <f t="shared" si="10"/>
        <v>35</v>
      </c>
      <c r="B43">
        <f t="shared" si="6"/>
        <v>76</v>
      </c>
      <c r="C43">
        <f>IF(A43 &lt; 25, INDEX(Mortality_Table_Male!$B$2:$AB$97, MATCH('Premium Calculation (2)'!$B$2, Mortality_Table_Male!$A$2:$A$97, 0), MATCH(A43, Mortality_Table_Male!$B$1:$AB$1, 0)), INDEX(Mortality_Table_Male!$AA$2:$AA$97, MATCH('Premium Calculation (2)'!B43, Mortality_Table_Male!$AB$2:$AB$97, 0)))</f>
        <v>3.3509999999999998E-2</v>
      </c>
      <c r="D43">
        <f t="shared" si="11"/>
        <v>0.74903692379340858</v>
      </c>
      <c r="E43">
        <f t="shared" si="7"/>
        <v>0.18129028535257716</v>
      </c>
      <c r="F43">
        <f t="shared" si="8"/>
        <v>455.04273725896832</v>
      </c>
      <c r="G43">
        <f t="shared" si="9"/>
        <v>0.14258277353682983</v>
      </c>
    </row>
    <row r="44" spans="1:7">
      <c r="A44">
        <f t="shared" si="10"/>
        <v>36</v>
      </c>
      <c r="B44">
        <f t="shared" si="6"/>
        <v>77</v>
      </c>
      <c r="C44">
        <f>IF(A44 &lt; 25, INDEX(Mortality_Table_Male!$B$2:$AB$97, MATCH('Premium Calculation (2)'!$B$2, Mortality_Table_Male!$A$2:$A$97, 0), MATCH(A44, Mortality_Table_Male!$B$1:$AB$1, 0)), INDEX(Mortality_Table_Male!$AA$2:$AA$97, MATCH('Premium Calculation (2)'!B44, Mortality_Table_Male!$AB$2:$AB$97, 0)))</f>
        <v>3.7220000000000003E-2</v>
      </c>
      <c r="D44">
        <f t="shared" si="11"/>
        <v>0.72393669647709147</v>
      </c>
      <c r="E44">
        <f t="shared" si="7"/>
        <v>0.17265741462150208</v>
      </c>
      <c r="F44">
        <f t="shared" si="8"/>
        <v>465.22408878844709</v>
      </c>
      <c r="G44">
        <f t="shared" si="9"/>
        <v>0.13124269028153396</v>
      </c>
    </row>
    <row r="45" spans="1:7">
      <c r="A45">
        <f t="shared" si="10"/>
        <v>37</v>
      </c>
      <c r="B45">
        <f t="shared" si="6"/>
        <v>78</v>
      </c>
      <c r="C45">
        <f>IF(A45 &lt; 25, INDEX(Mortality_Table_Male!$B$2:$AB$97, MATCH('Premium Calculation (2)'!$B$2, Mortality_Table_Male!$A$2:$A$97, 0), MATCH(A45, Mortality_Table_Male!$B$1:$AB$1, 0)), INDEX(Mortality_Table_Male!$AA$2:$AA$97, MATCH('Premium Calculation (2)'!B45, Mortality_Table_Male!$AB$2:$AB$97, 0)))</f>
        <v>4.1250000000000002E-2</v>
      </c>
      <c r="D45">
        <f t="shared" si="11"/>
        <v>0.69699177263421408</v>
      </c>
      <c r="E45">
        <f t="shared" si="7"/>
        <v>0.1644356329728591</v>
      </c>
      <c r="F45">
        <f t="shared" si="8"/>
        <v>472.76741865367609</v>
      </c>
      <c r="G45">
        <f t="shared" si="9"/>
        <v>0.12034079747548121</v>
      </c>
    </row>
    <row r="46" spans="1:7">
      <c r="A46">
        <f t="shared" si="10"/>
        <v>38</v>
      </c>
      <c r="B46">
        <f t="shared" si="6"/>
        <v>79</v>
      </c>
      <c r="C46">
        <f>IF(A46 &lt; 25, INDEX(Mortality_Table_Male!$B$2:$AB$97, MATCH('Premium Calculation (2)'!$B$2, Mortality_Table_Male!$A$2:$A$97, 0), MATCH(A46, Mortality_Table_Male!$B$1:$AB$1, 0)), INDEX(Mortality_Table_Male!$AA$2:$AA$97, MATCH('Premium Calculation (2)'!B46, Mortality_Table_Male!$AB$2:$AB$97, 0)))</f>
        <v>4.5769999999999998E-2</v>
      </c>
      <c r="D46">
        <f t="shared" si="11"/>
        <v>0.66824086201305277</v>
      </c>
      <c r="E46">
        <f t="shared" si="7"/>
        <v>0.15660536473605632</v>
      </c>
      <c r="F46">
        <f t="shared" si="8"/>
        <v>478.98352567429464</v>
      </c>
      <c r="G46">
        <f t="shared" si="9"/>
        <v>0.10988260912344533</v>
      </c>
    </row>
    <row r="47" spans="1:7">
      <c r="A47">
        <f t="shared" si="10"/>
        <v>39</v>
      </c>
      <c r="B47">
        <f t="shared" si="6"/>
        <v>80</v>
      </c>
      <c r="C47">
        <f>IF(A47 &lt; 25, INDEX(Mortality_Table_Male!$B$2:$AB$97, MATCH('Premium Calculation (2)'!$B$2, Mortality_Table_Male!$A$2:$A$97, 0), MATCH(A47, Mortality_Table_Male!$B$1:$AB$1, 0)), INDEX(Mortality_Table_Male!$AA$2:$AA$97, MATCH('Premium Calculation (2)'!B47, Mortality_Table_Male!$AB$2:$AB$97, 0)))</f>
        <v>5.0909999999999997E-2</v>
      </c>
      <c r="D47">
        <f t="shared" si="11"/>
        <v>0.63765547775871534</v>
      </c>
      <c r="E47">
        <f t="shared" si="7"/>
        <v>0.14914796641529171</v>
      </c>
      <c r="F47">
        <f t="shared" si="8"/>
        <v>484.17964552451514</v>
      </c>
      <c r="G47">
        <f t="shared" si="9"/>
        <v>9.9860268670347863E-2</v>
      </c>
    </row>
    <row r="48" spans="1:7">
      <c r="A48">
        <f t="shared" si="10"/>
        <v>40</v>
      </c>
      <c r="B48">
        <f t="shared" si="6"/>
        <v>81</v>
      </c>
      <c r="C48">
        <f>IF(A48 &lt; 25, INDEX(Mortality_Table_Male!$B$2:$AB$97, MATCH('Premium Calculation (2)'!$B$2, Mortality_Table_Male!$A$2:$A$97, 0), MATCH(A48, Mortality_Table_Male!$B$1:$AB$1, 0)), INDEX(Mortality_Table_Male!$AA$2:$AA$97, MATCH('Premium Calculation (2)'!B48, Mortality_Table_Male!$AB$2:$AB$97, 0)))</f>
        <v>5.6829999999999999E-2</v>
      </c>
      <c r="D48">
        <f t="shared" si="11"/>
        <v>0.60519243738601913</v>
      </c>
      <c r="E48">
        <f t="shared" si="7"/>
        <v>0.14204568230027784</v>
      </c>
      <c r="F48">
        <f t="shared" si="8"/>
        <v>488.53893980559707</v>
      </c>
      <c r="G48">
        <f t="shared" si="9"/>
        <v>9.0263221326038506E-2</v>
      </c>
    </row>
    <row r="49" spans="1:7">
      <c r="A49">
        <f t="shared" si="10"/>
        <v>41</v>
      </c>
      <c r="B49">
        <f t="shared" si="6"/>
        <v>82</v>
      </c>
      <c r="C49">
        <f>IF(A49 &lt; 25, INDEX(Mortality_Table_Male!$B$2:$AB$97, MATCH('Premium Calculation (2)'!$B$2, Mortality_Table_Male!$A$2:$A$97, 0), MATCH(A49, Mortality_Table_Male!$B$1:$AB$1, 0)), INDEX(Mortality_Table_Male!$AA$2:$AA$97, MATCH('Premium Calculation (2)'!B49, Mortality_Table_Male!$AB$2:$AB$97, 0)))</f>
        <v>6.3329999999999997E-2</v>
      </c>
      <c r="D49">
        <f t="shared" si="11"/>
        <v>0.57079935116937164</v>
      </c>
      <c r="E49">
        <f t="shared" si="7"/>
        <v>0.13528160219074079</v>
      </c>
      <c r="F49">
        <f t="shared" si="8"/>
        <v>489.02571523539137</v>
      </c>
      <c r="G49">
        <f t="shared" si="9"/>
        <v>8.107958329340928E-2</v>
      </c>
    </row>
    <row r="50" spans="1:7">
      <c r="A50">
        <f t="shared" si="10"/>
        <v>42</v>
      </c>
      <c r="B50">
        <f t="shared" si="6"/>
        <v>83</v>
      </c>
      <c r="C50">
        <f>IF(A50 &lt; 25, INDEX(Mortality_Table_Male!$B$2:$AB$97, MATCH('Premium Calculation (2)'!$B$2, Mortality_Table_Male!$A$2:$A$97, 0), MATCH(A50, Mortality_Table_Male!$B$1:$AB$1, 0)), INDEX(Mortality_Table_Male!$AA$2:$AA$97, MATCH('Premium Calculation (2)'!B50, Mortality_Table_Male!$AB$2:$AB$97, 0)))</f>
        <v>7.1389999999999995E-2</v>
      </c>
      <c r="D50">
        <f t="shared" si="11"/>
        <v>0.53465062825981535</v>
      </c>
      <c r="E50">
        <f t="shared" si="7"/>
        <v>0.12883962113403885</v>
      </c>
      <c r="F50">
        <f t="shared" si="8"/>
        <v>491.76419231787901</v>
      </c>
      <c r="G50">
        <f t="shared" si="9"/>
        <v>7.2328393603273977E-2</v>
      </c>
    </row>
    <row r="51" spans="1:7">
      <c r="A51">
        <f t="shared" si="10"/>
        <v>43</v>
      </c>
      <c r="B51">
        <f t="shared" si="6"/>
        <v>84</v>
      </c>
      <c r="C51">
        <f>IF(A51 &lt; 25, INDEX(Mortality_Table_Male!$B$2:$AB$97, MATCH('Premium Calculation (2)'!$B$2, Mortality_Table_Male!$A$2:$A$97, 0), MATCH(A51, Mortality_Table_Male!$B$1:$AB$1, 0)), INDEX(Mortality_Table_Male!$AA$2:$AA$97, MATCH('Premium Calculation (2)'!B51, Mortality_Table_Male!$AB$2:$AB$97, 0)))</f>
        <v>8.0629999999999993E-2</v>
      </c>
      <c r="D51">
        <f t="shared" si="11"/>
        <v>0.49648191990834717</v>
      </c>
      <c r="E51">
        <f t="shared" si="7"/>
        <v>0.12270440108003698</v>
      </c>
      <c r="F51">
        <f t="shared" si="8"/>
        <v>491.20212558301853</v>
      </c>
      <c r="G51">
        <f t="shared" si="9"/>
        <v>6.3966542460891673E-2</v>
      </c>
    </row>
    <row r="52" spans="1:7">
      <c r="A52">
        <f t="shared" si="10"/>
        <v>44</v>
      </c>
      <c r="B52">
        <f t="shared" si="6"/>
        <v>85</v>
      </c>
      <c r="C52">
        <f>IF(A52 &lt; 25, INDEX(Mortality_Table_Male!$B$2:$AB$97, MATCH('Premium Calculation (2)'!$B$2, Mortality_Table_Male!$A$2:$A$97, 0), MATCH(A52, Mortality_Table_Male!$B$1:$AB$1, 0)), INDEX(Mortality_Table_Male!$AA$2:$AA$97, MATCH('Premium Calculation (2)'!B52, Mortality_Table_Male!$AB$2:$AB$97, 0)))</f>
        <v>9.1270000000000004E-2</v>
      </c>
      <c r="D52">
        <f t="shared" si="11"/>
        <v>0.45645058270613714</v>
      </c>
      <c r="E52">
        <f t="shared" si="7"/>
        <v>0.11686133436193999</v>
      </c>
      <c r="F52">
        <f t="shared" si="8"/>
        <v>486.84717835691436</v>
      </c>
      <c r="G52">
        <f t="shared" si="9"/>
        <v>5.6008495373590442E-2</v>
      </c>
    </row>
    <row r="53" spans="1:7">
      <c r="A53">
        <f t="shared" si="10"/>
        <v>45</v>
      </c>
      <c r="B53">
        <f t="shared" si="6"/>
        <v>86</v>
      </c>
      <c r="C53">
        <f>IF(A53 &lt; 25, INDEX(Mortality_Table_Male!$B$2:$AB$97, MATCH('Premium Calculation (2)'!$B$2, Mortality_Table_Male!$A$2:$A$97, 0), MATCH(A53, Mortality_Table_Male!$B$1:$AB$1, 0)), INDEX(Mortality_Table_Male!$AA$2:$AA$97, MATCH('Premium Calculation (2)'!B53, Mortality_Table_Male!$AB$2:$AB$97, 0)))</f>
        <v>0.10347000000000001</v>
      </c>
      <c r="D53">
        <f t="shared" si="11"/>
        <v>0.414790338022548</v>
      </c>
      <c r="E53">
        <f t="shared" si="7"/>
        <v>0.1112965089161333</v>
      </c>
      <c r="F53">
        <f t="shared" si="8"/>
        <v>477.66632218478077</v>
      </c>
      <c r="G53">
        <f t="shared" si="9"/>
        <v>4.8472952381755093E-2</v>
      </c>
    </row>
    <row r="54" spans="1:7">
      <c r="A54">
        <f t="shared" si="10"/>
        <v>46</v>
      </c>
      <c r="B54">
        <f t="shared" si="6"/>
        <v>87</v>
      </c>
      <c r="C54">
        <f>IF(A54 &lt; 25, INDEX(Mortality_Table_Male!$B$2:$AB$97, MATCH('Premium Calculation (2)'!$B$2, Mortality_Table_Male!$A$2:$A$97, 0), MATCH(A54, Mortality_Table_Male!$B$1:$AB$1, 0)), INDEX(Mortality_Table_Male!$AA$2:$AA$97, MATCH('Premium Calculation (2)'!B54, Mortality_Table_Male!$AB$2:$AB$97, 0)))</f>
        <v>0.11724</v>
      </c>
      <c r="D54">
        <f t="shared" si="11"/>
        <v>0.37187198174735497</v>
      </c>
      <c r="E54">
        <f t="shared" si="7"/>
        <v>0.10599667515822221</v>
      </c>
      <c r="F54">
        <f t="shared" si="8"/>
        <v>462.12717834930237</v>
      </c>
      <c r="G54">
        <f t="shared" si="9"/>
        <v>4.1388053332204654E-2</v>
      </c>
    </row>
    <row r="55" spans="1:7">
      <c r="A55">
        <f t="shared" si="10"/>
        <v>47</v>
      </c>
      <c r="B55">
        <f t="shared" si="6"/>
        <v>88</v>
      </c>
      <c r="C55">
        <f>IF(A55 &lt; 25, INDEX(Mortality_Table_Male!$B$2:$AB$97, MATCH('Premium Calculation (2)'!$B$2, Mortality_Table_Male!$A$2:$A$97, 0), MATCH(A55, Mortality_Table_Male!$B$1:$AB$1, 0)), INDEX(Mortality_Table_Male!$AA$2:$AA$97, MATCH('Premium Calculation (2)'!B55, Mortality_Table_Male!$AB$2:$AB$97, 0)))</f>
        <v>0.13258</v>
      </c>
      <c r="D55">
        <f t="shared" si="11"/>
        <v>0.3282737106072951</v>
      </c>
      <c r="E55">
        <f t="shared" si="7"/>
        <v>0.10094921443640208</v>
      </c>
      <c r="F55">
        <f t="shared" si="8"/>
        <v>439.35650676420977</v>
      </c>
      <c r="G55">
        <f t="shared" si="9"/>
        <v>3.4795921866225703E-2</v>
      </c>
    </row>
    <row r="56" spans="1:7">
      <c r="A56">
        <f t="shared" si="10"/>
        <v>48</v>
      </c>
      <c r="B56">
        <f t="shared" si="6"/>
        <v>89</v>
      </c>
      <c r="C56">
        <f>IF(A56 &lt; 25, INDEX(Mortality_Table_Male!$B$2:$AB$97, MATCH('Premium Calculation (2)'!$B$2, Mortality_Table_Male!$A$2:$A$97, 0), MATCH(A56, Mortality_Table_Male!$B$1:$AB$1, 0)), INDEX(Mortality_Table_Male!$AA$2:$AA$97, MATCH('Premium Calculation (2)'!B56, Mortality_Table_Male!$AB$2:$AB$97, 0)))</f>
        <v>0.14893999999999999</v>
      </c>
      <c r="D56">
        <f t="shared" si="11"/>
        <v>0.2847511820549799</v>
      </c>
      <c r="E56">
        <f t="shared" si="7"/>
        <v>9.6142108987049613E-2</v>
      </c>
      <c r="F56">
        <f t="shared" si="8"/>
        <v>407.74677029680817</v>
      </c>
      <c r="G56">
        <f t="shared" si="9"/>
        <v>2.8745408138287132E-2</v>
      </c>
    </row>
    <row r="57" spans="1:7">
      <c r="A57">
        <f t="shared" si="10"/>
        <v>49</v>
      </c>
      <c r="B57">
        <f t="shared" si="6"/>
        <v>90</v>
      </c>
      <c r="C57">
        <f>IF(A57 &lt; 25, INDEX(Mortality_Table_Male!$B$2:$AB$97, MATCH('Premium Calculation (2)'!$B$2, Mortality_Table_Male!$A$2:$A$97, 0), MATCH(A57, Mortality_Table_Male!$B$1:$AB$1, 0)), INDEX(Mortality_Table_Male!$AA$2:$AA$97, MATCH('Premium Calculation (2)'!B57, Mortality_Table_Male!$AB$2:$AB$97, 0)))</f>
        <v>0.16611999999999999</v>
      </c>
      <c r="D57">
        <f t="shared" si="11"/>
        <v>0.24234034099971122</v>
      </c>
      <c r="E57">
        <f t="shared" si="7"/>
        <v>9.1563913320999626E-2</v>
      </c>
      <c r="F57">
        <f t="shared" si="8"/>
        <v>368.614133185882</v>
      </c>
      <c r="G57">
        <f t="shared" si="9"/>
        <v>2.3299111476353003E-2</v>
      </c>
    </row>
    <row r="58" spans="1:7">
      <c r="A58">
        <f t="shared" si="10"/>
        <v>50</v>
      </c>
      <c r="B58">
        <f t="shared" si="6"/>
        <v>91</v>
      </c>
      <c r="C58">
        <f>IF(A58 &lt; 25, INDEX(Mortality_Table_Male!$B$2:$AB$97, MATCH('Premium Calculation (2)'!$B$2, Mortality_Table_Male!$A$2:$A$97, 0), MATCH(A58, Mortality_Table_Male!$B$1:$AB$1, 0)), INDEX(Mortality_Table_Male!$AA$2:$AA$97, MATCH('Premium Calculation (2)'!B58, Mortality_Table_Male!$AB$2:$AB$97, 0)))</f>
        <v>0.18354999999999999</v>
      </c>
      <c r="D58">
        <f t="shared" si="11"/>
        <v>0.20208276355283919</v>
      </c>
      <c r="E58">
        <f t="shared" si="7"/>
        <v>8.7203726972380588E-2</v>
      </c>
      <c r="F58">
        <f t="shared" si="8"/>
        <v>323.45860389558027</v>
      </c>
      <c r="G58">
        <f t="shared" si="9"/>
        <v>1.8503488645620229E-2</v>
      </c>
    </row>
    <row r="59" spans="1:7">
      <c r="A59">
        <f t="shared" si="10"/>
        <v>51</v>
      </c>
      <c r="B59">
        <f t="shared" si="6"/>
        <v>92</v>
      </c>
      <c r="C59">
        <f>IF(A59 &lt; 25, INDEX(Mortality_Table_Male!$B$2:$AB$97, MATCH('Premium Calculation (2)'!$B$2, Mortality_Table_Male!$A$2:$A$97, 0), MATCH(A59, Mortality_Table_Male!$B$1:$AB$1, 0)), INDEX(Mortality_Table_Male!$AA$2:$AA$97, MATCH('Premium Calculation (2)'!B59, Mortality_Table_Male!$AB$2:$AB$97, 0)))</f>
        <v>0.20075000000000001</v>
      </c>
      <c r="D59">
        <f t="shared" si="11"/>
        <v>0.16499047230271555</v>
      </c>
      <c r="E59">
        <f t="shared" si="7"/>
        <v>8.3051168545124371E-2</v>
      </c>
      <c r="F59">
        <f t="shared" si="8"/>
        <v>275.08072933531651</v>
      </c>
      <c r="G59">
        <f t="shared" si="9"/>
        <v>1.4387784099730128E-2</v>
      </c>
    </row>
    <row r="60" spans="1:7">
      <c r="A60">
        <f t="shared" si="10"/>
        <v>52</v>
      </c>
      <c r="B60">
        <f t="shared" si="6"/>
        <v>93</v>
      </c>
      <c r="C60">
        <f>IF(A60 &lt; 25, INDEX(Mortality_Table_Male!$B$2:$AB$97, MATCH('Premium Calculation (2)'!$B$2, Mortality_Table_Male!$A$2:$A$97, 0), MATCH(A60, Mortality_Table_Male!$B$1:$AB$1, 0)), INDEX(Mortality_Table_Male!$AA$2:$AA$97, MATCH('Premium Calculation (2)'!B60, Mortality_Table_Male!$AB$2:$AB$97, 0)))</f>
        <v>0.21762000000000001</v>
      </c>
      <c r="D60">
        <f t="shared" si="11"/>
        <v>0.1318686349879454</v>
      </c>
      <c r="E60">
        <f t="shared" si="7"/>
        <v>7.9096350995356543E-2</v>
      </c>
      <c r="F60">
        <f t="shared" si="8"/>
        <v>226.98479441675997</v>
      </c>
      <c r="G60">
        <f t="shared" si="9"/>
        <v>1.0951844230199339E-2</v>
      </c>
    </row>
    <row r="61" spans="1:7">
      <c r="A61">
        <f t="shared" si="10"/>
        <v>53</v>
      </c>
      <c r="B61">
        <f t="shared" si="6"/>
        <v>94</v>
      </c>
      <c r="C61">
        <f>IF(A61 &lt; 25, INDEX(Mortality_Table_Male!$B$2:$AB$97, MATCH('Premium Calculation (2)'!$B$2, Mortality_Table_Male!$A$2:$A$97, 0), MATCH(A61, Mortality_Table_Male!$B$1:$AB$1, 0)), INDEX(Mortality_Table_Male!$AA$2:$AA$97, MATCH('Premium Calculation (2)'!B61, Mortality_Table_Male!$AB$2:$AB$97, 0)))</f>
        <v>0.23330999999999999</v>
      </c>
      <c r="D61">
        <f t="shared" si="11"/>
        <v>0.10317138264186872</v>
      </c>
      <c r="E61">
        <f t="shared" si="7"/>
        <v>7.5329858090815757E-2</v>
      </c>
      <c r="F61">
        <f t="shared" si="8"/>
        <v>181.3258632472905</v>
      </c>
      <c r="G61">
        <f t="shared" si="9"/>
        <v>8.1604798941174832E-3</v>
      </c>
    </row>
    <row r="62" spans="1:7">
      <c r="A62">
        <f t="shared" si="10"/>
        <v>54</v>
      </c>
      <c r="B62">
        <f t="shared" si="6"/>
        <v>95</v>
      </c>
      <c r="C62">
        <f>IF(A62 &lt; 25, INDEX(Mortality_Table_Male!$B$2:$AB$97, MATCH('Premium Calculation (2)'!$B$2, Mortality_Table_Male!$A$2:$A$97, 0), MATCH(A62, Mortality_Table_Male!$B$1:$AB$1, 0)), INDEX(Mortality_Table_Male!$AA$2:$AA$97, MATCH('Premium Calculation (2)'!B62, Mortality_Table_Male!$AB$2:$AB$97, 0)))</f>
        <v>0.24714</v>
      </c>
      <c r="D62">
        <f t="shared" si="11"/>
        <v>7.9100467357694326E-2</v>
      </c>
      <c r="E62">
        <f t="shared" si="7"/>
        <v>7.1742721991253117E-2</v>
      </c>
      <c r="F62">
        <f t="shared" si="8"/>
        <v>140.24905448357131</v>
      </c>
      <c r="G62">
        <f t="shared" si="9"/>
        <v>5.958626980972318E-3</v>
      </c>
    </row>
    <row r="63" spans="1:7">
      <c r="A63">
        <f t="shared" si="10"/>
        <v>55</v>
      </c>
      <c r="B63">
        <f t="shared" si="6"/>
        <v>96</v>
      </c>
      <c r="C63">
        <f>IF(A63 &lt; 25, INDEX(Mortality_Table_Male!$B$2:$AB$97, MATCH('Premium Calculation (2)'!$B$2, Mortality_Table_Male!$A$2:$A$97, 0), MATCH(A63, Mortality_Table_Male!$B$1:$AB$1, 0)), INDEX(Mortality_Table_Male!$AA$2:$AA$97, MATCH('Premium Calculation (2)'!B63, Mortality_Table_Male!$AB$2:$AB$97, 0)))</f>
        <v>0.26511000000000001</v>
      </c>
      <c r="D63">
        <f t="shared" si="11"/>
        <v>5.9551577854913745E-2</v>
      </c>
      <c r="E63">
        <f t="shared" si="7"/>
        <v>6.8326401896431521E-2</v>
      </c>
      <c r="F63">
        <f t="shared" si="8"/>
        <v>107.87180201062179</v>
      </c>
      <c r="G63">
        <f t="shared" si="9"/>
        <v>4.2723922941855421E-3</v>
      </c>
    </row>
    <row r="64" spans="1:7">
      <c r="A64">
        <f t="shared" si="10"/>
        <v>56</v>
      </c>
      <c r="B64">
        <f t="shared" si="6"/>
        <v>97</v>
      </c>
      <c r="C64">
        <f>IF(A64 &lt; 25, INDEX(Mortality_Table_Male!$B$2:$AB$97, MATCH('Premium Calculation (2)'!$B$2, Mortality_Table_Male!$A$2:$A$97, 0), MATCH(A64, Mortality_Table_Male!$B$1:$AB$1, 0)), INDEX(Mortality_Table_Male!$AA$2:$AA$97, MATCH('Premium Calculation (2)'!B64, Mortality_Table_Male!$AB$2:$AB$97, 0)))</f>
        <v>0.28442000000000001</v>
      </c>
      <c r="D64">
        <f t="shared" si="11"/>
        <v>4.3763859049797564E-2</v>
      </c>
      <c r="E64">
        <f t="shared" si="7"/>
        <v>6.5072763710887174E-2</v>
      </c>
      <c r="F64">
        <f t="shared" si="8"/>
        <v>80.998130437161976</v>
      </c>
      <c r="G64">
        <f t="shared" si="9"/>
        <v>2.99022702197525E-3</v>
      </c>
    </row>
    <row r="65" spans="1:7">
      <c r="A65">
        <f t="shared" si="10"/>
        <v>57</v>
      </c>
      <c r="B65">
        <f t="shared" si="6"/>
        <v>98</v>
      </c>
      <c r="C65">
        <f>IF(A65 &lt; 25, INDEX(Mortality_Table_Male!$B$2:$AB$97, MATCH('Premium Calculation (2)'!$B$2, Mortality_Table_Male!$A$2:$A$97, 0), MATCH(A65, Mortality_Table_Male!$B$1:$AB$1, 0)), INDEX(Mortality_Table_Male!$AA$2:$AA$97, MATCH('Premium Calculation (2)'!B65, Mortality_Table_Male!$AB$2:$AB$97, 0)))</f>
        <v>0.30563000000000001</v>
      </c>
      <c r="D65">
        <f t="shared" si="11"/>
        <v>3.1316542258854142E-2</v>
      </c>
      <c r="E65">
        <f t="shared" si="7"/>
        <v>6.1974060677035397E-2</v>
      </c>
      <c r="F65">
        <f t="shared" si="8"/>
        <v>59.317076586706833</v>
      </c>
      <c r="G65">
        <f t="shared" si="9"/>
        <v>2.0378539546524283E-3</v>
      </c>
    </row>
    <row r="66" spans="1:7">
      <c r="A66">
        <f t="shared" si="10"/>
        <v>58</v>
      </c>
      <c r="B66">
        <f t="shared" si="6"/>
        <v>99</v>
      </c>
      <c r="C66">
        <f>IF(A66 &lt; 25, INDEX(Mortality_Table_Male!$B$2:$AB$97, MATCH('Premium Calculation (2)'!$B$2, Mortality_Table_Male!$A$2:$A$97, 0), MATCH(A66, Mortality_Table_Male!$B$1:$AB$1, 0)), INDEX(Mortality_Table_Male!$AA$2:$AA$97, MATCH('Premium Calculation (2)'!B66, Mortality_Table_Male!$AB$2:$AB$97, 0)))</f>
        <v>0.32833000000000001</v>
      </c>
      <c r="D66">
        <f t="shared" si="11"/>
        <v>2.174526744828055E-2</v>
      </c>
      <c r="E66">
        <f t="shared" si="7"/>
        <v>5.9022914930509894E-2</v>
      </c>
      <c r="F66">
        <f t="shared" si="8"/>
        <v>42.140139999640859</v>
      </c>
      <c r="G66">
        <f t="shared" si="9"/>
        <v>1.3476425242781014E-3</v>
      </c>
    </row>
    <row r="67" spans="1:7">
      <c r="A67">
        <f t="shared" si="10"/>
        <v>59</v>
      </c>
      <c r="B67">
        <f t="shared" si="6"/>
        <v>100</v>
      </c>
      <c r="C67">
        <f>IF(A67 &lt; 25, INDEX(Mortality_Table_Male!$B$2:$AB$97, MATCH('Premium Calculation (2)'!$B$2, Mortality_Table_Male!$A$2:$A$97, 0), MATCH(A67, Mortality_Table_Male!$B$1:$AB$1, 0)), INDEX(Mortality_Table_Male!$AA$2:$AA$97, MATCH('Premium Calculation (2)'!B67, Mortality_Table_Male!$AB$2:$AB$97, 0)))</f>
        <v>0.35209000000000001</v>
      </c>
      <c r="D67">
        <f t="shared" si="11"/>
        <v>1.4605643786986597E-2</v>
      </c>
      <c r="E67">
        <f t="shared" si="7"/>
        <v>5.6212299933818946E-2</v>
      </c>
      <c r="F67">
        <f t="shared" si="8"/>
        <v>28.907181542140993</v>
      </c>
      <c r="G67">
        <f t="shared" si="9"/>
        <v>8.6206767074464028E-4</v>
      </c>
    </row>
    <row r="68" spans="1:7">
      <c r="A68">
        <f t="shared" si="10"/>
        <v>60</v>
      </c>
      <c r="B68">
        <f t="shared" si="6"/>
        <v>101</v>
      </c>
      <c r="C68">
        <f>IF(A68 &lt; 25, INDEX(Mortality_Table_Male!$B$2:$AB$97, MATCH('Premium Calculation (2)'!$B$2, Mortality_Table_Male!$A$2:$A$97, 0), MATCH(A68, Mortality_Table_Male!$B$1:$AB$1, 0)), INDEX(Mortality_Table_Male!$AA$2:$AA$97, MATCH('Premium Calculation (2)'!B68, Mortality_Table_Male!$AB$2:$AB$97, 0)))</f>
        <v>0.37447000000000003</v>
      </c>
      <c r="D68">
        <f t="shared" si="11"/>
        <v>9.4631426660264865E-3</v>
      </c>
      <c r="E68">
        <f t="shared" si="7"/>
        <v>5.3535523746494243E-2</v>
      </c>
      <c r="F68">
        <f t="shared" si="8"/>
        <v>18.971185651414729</v>
      </c>
      <c r="G68">
        <f t="shared" si="9"/>
        <v>5.3194501385919995E-4</v>
      </c>
    </row>
    <row r="69" spans="1:7">
      <c r="A69">
        <f t="shared" si="10"/>
        <v>61</v>
      </c>
      <c r="B69">
        <f t="shared" si="6"/>
        <v>102</v>
      </c>
      <c r="C69">
        <f>IF(A69 &lt; 25, INDEX(Mortality_Table_Male!$B$2:$AB$97, MATCH('Premium Calculation (2)'!$B$2, Mortality_Table_Male!$A$2:$A$97, 0), MATCH(A69, Mortality_Table_Male!$B$1:$AB$1, 0)), INDEX(Mortality_Table_Male!$AA$2:$AA$97, MATCH('Premium Calculation (2)'!B69, Mortality_Table_Male!$AB$2:$AB$97, 0)))</f>
        <v>0.39679999999999999</v>
      </c>
      <c r="D69">
        <f t="shared" si="11"/>
        <v>5.919479631879547E-3</v>
      </c>
      <c r="E69">
        <f t="shared" si="7"/>
        <v>5.0986213091899268E-2</v>
      </c>
      <c r="F69">
        <f t="shared" si="8"/>
        <v>11.975894204197386</v>
      </c>
      <c r="G69">
        <f t="shared" si="9"/>
        <v>3.169024423993765E-4</v>
      </c>
    </row>
    <row r="70" spans="1:7">
      <c r="A70">
        <f t="shared" si="10"/>
        <v>62</v>
      </c>
      <c r="B70">
        <f t="shared" si="6"/>
        <v>103</v>
      </c>
      <c r="C70">
        <f>IF(A70 &lt; 25, INDEX(Mortality_Table_Male!$B$2:$AB$97, MATCH('Premium Calculation (2)'!$B$2, Mortality_Table_Male!$A$2:$A$97, 0), MATCH(A70, Mortality_Table_Male!$B$1:$AB$1, 0)), INDEX(Mortality_Table_Male!$AA$2:$AA$97, MATCH('Premium Calculation (2)'!B70, Mortality_Table_Male!$AB$2:$AB$97, 0)))</f>
        <v>0.41865999999999998</v>
      </c>
      <c r="D70">
        <f t="shared" si="11"/>
        <v>3.5706301139497424E-3</v>
      </c>
      <c r="E70">
        <f t="shared" si="7"/>
        <v>4.855829818276123E-2</v>
      </c>
      <c r="F70">
        <f t="shared" si="8"/>
        <v>7.2588828957701166</v>
      </c>
      <c r="G70">
        <f t="shared" si="9"/>
        <v>1.8205290786219412E-4</v>
      </c>
    </row>
    <row r="71" spans="1:7">
      <c r="A71">
        <f t="shared" si="10"/>
        <v>63</v>
      </c>
      <c r="B71">
        <f t="shared" si="6"/>
        <v>104</v>
      </c>
      <c r="C71">
        <f>IF(A71 &lt; 25, INDEX(Mortality_Table_Male!$B$2:$AB$97, MATCH('Premium Calculation (2)'!$B$2, Mortality_Table_Male!$A$2:$A$97, 0), MATCH(A71, Mortality_Table_Male!$B$1:$AB$1, 0)), INDEX(Mortality_Table_Male!$AA$2:$AA$97, MATCH('Premium Calculation (2)'!B71, Mortality_Table_Male!$AB$2:$AB$97, 0)))</f>
        <v>0.43964999999999999</v>
      </c>
      <c r="D71">
        <f t="shared" si="11"/>
        <v>2.0757501104435431E-3</v>
      </c>
      <c r="E71">
        <f t="shared" si="7"/>
        <v>4.6245998269296387E-2</v>
      </c>
      <c r="F71">
        <f t="shared" si="8"/>
        <v>4.2204261549022837</v>
      </c>
      <c r="G71">
        <f t="shared" si="9"/>
        <v>1.0079489281581712E-4</v>
      </c>
    </row>
    <row r="72" spans="1:7">
      <c r="A72">
        <f t="shared" si="10"/>
        <v>64</v>
      </c>
      <c r="B72">
        <f t="shared" si="6"/>
        <v>105</v>
      </c>
      <c r="C72">
        <f>IF(A72 &lt; 25, INDEX(Mortality_Table_Male!$B$2:$AB$97, MATCH('Premium Calculation (2)'!$B$2, Mortality_Table_Male!$A$2:$A$97, 0), MATCH(A72, Mortality_Table_Male!$B$1:$AB$1, 0)), INDEX(Mortality_Table_Male!$AA$2:$AA$97, MATCH('Premium Calculation (2)'!B72, Mortality_Table_Male!$AB$2:$AB$97, 0)))</f>
        <v>0.45935999999999999</v>
      </c>
      <c r="D72">
        <f t="shared" si="11"/>
        <v>1.1631465743870393E-3</v>
      </c>
      <c r="E72">
        <f t="shared" si="7"/>
        <v>4.4043807875520369E-2</v>
      </c>
      <c r="F72">
        <f t="shared" si="8"/>
        <v>2.3532739137829157</v>
      </c>
      <c r="G72">
        <f t="shared" si="9"/>
        <v>5.379087446604104E-5</v>
      </c>
    </row>
    <row r="73" spans="1:7">
      <c r="A73">
        <f t="shared" si="10"/>
        <v>65</v>
      </c>
      <c r="B73">
        <f t="shared" ref="B73:B104" si="12">$B$2 +A73 - 1</f>
        <v>106</v>
      </c>
      <c r="C73">
        <f>IF(A73 &lt; 25, INDEX(Mortality_Table_Male!$B$2:$AB$97, MATCH('Premium Calculation (2)'!$B$2, Mortality_Table_Male!$A$2:$A$97, 0), MATCH(A73, Mortality_Table_Male!$B$1:$AB$1, 0)), INDEX(Mortality_Table_Male!$AA$2:$AA$97, MATCH('Premium Calculation (2)'!B73, Mortality_Table_Male!$AB$2:$AB$97, 0)))</f>
        <v>0.47743000000000002</v>
      </c>
      <c r="D73">
        <f t="shared" si="11"/>
        <v>6.2884356397660893E-4</v>
      </c>
      <c r="E73">
        <f t="shared" ref="E73:E87" si="13">1/(1+$B$5)^A73</f>
        <v>4.1946483690971779E-2</v>
      </c>
      <c r="F73">
        <f t="shared" ref="F73:F104" si="14">D73*E73*C73*$B$4</f>
        <v>1.259354173915602</v>
      </c>
      <c r="G73">
        <f t="shared" ref="G73:G87" si="15">D73*(1/(1+$B$5)^(A73-1))</f>
        <v>2.7696665115543266E-5</v>
      </c>
    </row>
    <row r="74" spans="1:7">
      <c r="A74">
        <f t="shared" ref="A74:A87" si="16">A73+1</f>
        <v>66</v>
      </c>
      <c r="B74">
        <f t="shared" si="12"/>
        <v>107</v>
      </c>
      <c r="C74">
        <f>IF(A74 &lt; 25, INDEX(Mortality_Table_Male!$B$2:$AB$97, MATCH('Premium Calculation (2)'!$B$2, Mortality_Table_Male!$A$2:$A$97, 0), MATCH(A74, Mortality_Table_Male!$B$1:$AB$1, 0)), INDEX(Mortality_Table_Male!$AA$2:$AA$97, MATCH('Premium Calculation (2)'!B74, Mortality_Table_Male!$AB$2:$AB$97, 0)))</f>
        <v>0.50331999999999999</v>
      </c>
      <c r="D74">
        <f t="shared" ref="D74:D87" si="17">D73*(1-C73)</f>
        <v>3.2861478122725652E-4</v>
      </c>
      <c r="E74">
        <f t="shared" si="13"/>
        <v>3.9949032086639788E-2</v>
      </c>
      <c r="F74">
        <f t="shared" si="14"/>
        <v>0.66075056565946733</v>
      </c>
      <c r="G74">
        <f t="shared" si="15"/>
        <v>1.3784234561361374E-5</v>
      </c>
    </row>
    <row r="75" spans="1:7">
      <c r="A75">
        <f t="shared" si="16"/>
        <v>67</v>
      </c>
      <c r="B75">
        <f t="shared" si="12"/>
        <v>108</v>
      </c>
      <c r="C75">
        <f>IF(A75 &lt; 25, INDEX(Mortality_Table_Male!$B$2:$AB$97, MATCH('Premium Calculation (2)'!$B$2, Mortality_Table_Male!$A$2:$A$97, 0), MATCH(A75, Mortality_Table_Male!$B$1:$AB$1, 0)), INDEX(Mortality_Table_Male!$AA$2:$AA$97, MATCH('Premium Calculation (2)'!B75, Mortality_Table_Male!$AB$2:$AB$97, 0)))</f>
        <v>0.53061000000000003</v>
      </c>
      <c r="D75">
        <f t="shared" si="17"/>
        <v>1.6321638953995378E-4</v>
      </c>
      <c r="E75">
        <f t="shared" si="13"/>
        <v>3.8046697225371226E-2</v>
      </c>
      <c r="F75">
        <f t="shared" si="14"/>
        <v>0.32950056193523575</v>
      </c>
      <c r="G75">
        <f t="shared" si="15"/>
        <v>6.5203367827971121E-6</v>
      </c>
    </row>
    <row r="76" spans="1:7">
      <c r="A76">
        <f t="shared" si="16"/>
        <v>68</v>
      </c>
      <c r="B76">
        <f t="shared" si="12"/>
        <v>109</v>
      </c>
      <c r="C76">
        <f>IF(A76 &lt; 25, INDEX(Mortality_Table_Male!$B$2:$AB$97, MATCH('Premium Calculation (2)'!$B$2, Mortality_Table_Male!$A$2:$A$97, 0), MATCH(A76, Mortality_Table_Male!$B$1:$AB$1, 0)), INDEX(Mortality_Table_Male!$AA$2:$AA$97, MATCH('Premium Calculation (2)'!B76, Mortality_Table_Male!$AB$2:$AB$97, 0)))</f>
        <v>0.55939000000000005</v>
      </c>
      <c r="D76">
        <f t="shared" si="17"/>
        <v>7.6612141086158901E-5</v>
      </c>
      <c r="E76">
        <f t="shared" si="13"/>
        <v>3.6234949738448791E-2</v>
      </c>
      <c r="F76">
        <f t="shared" si="14"/>
        <v>0.15528873830828893</v>
      </c>
      <c r="G76">
        <f t="shared" si="15"/>
        <v>2.9148389356925108E-6</v>
      </c>
    </row>
    <row r="77" spans="1:7">
      <c r="A77">
        <f t="shared" si="16"/>
        <v>69</v>
      </c>
      <c r="B77">
        <f t="shared" si="12"/>
        <v>110</v>
      </c>
      <c r="C77">
        <f>IF(A77 &lt; 25, INDEX(Mortality_Table_Male!$B$2:$AB$97, MATCH('Premium Calculation (2)'!$B$2, Mortality_Table_Male!$A$2:$A$97, 0), MATCH(A77, Mortality_Table_Male!$B$1:$AB$1, 0)), INDEX(Mortality_Table_Male!$AA$2:$AA$97, MATCH('Premium Calculation (2)'!B77, Mortality_Table_Male!$AB$2:$AB$97, 0)))</f>
        <v>0.58972000000000002</v>
      </c>
      <c r="D77">
        <f t="shared" si="17"/>
        <v>3.3756075483972466E-5</v>
      </c>
      <c r="E77">
        <f t="shared" si="13"/>
        <v>3.4509475941379798E-2</v>
      </c>
      <c r="F77">
        <f t="shared" si="14"/>
        <v>6.8696746687289242E-2</v>
      </c>
      <c r="G77">
        <f t="shared" si="15"/>
        <v>1.2231496985290257E-6</v>
      </c>
    </row>
    <row r="78" spans="1:7">
      <c r="A78">
        <f t="shared" si="16"/>
        <v>70</v>
      </c>
      <c r="B78">
        <f t="shared" si="12"/>
        <v>111</v>
      </c>
      <c r="C78">
        <f>IF(A78 &lt; 25, INDEX(Mortality_Table_Male!$B$2:$AB$97, MATCH('Premium Calculation (2)'!$B$2, Mortality_Table_Male!$A$2:$A$97, 0), MATCH(A78, Mortality_Table_Male!$B$1:$AB$1, 0)), INDEX(Mortality_Table_Male!$AA$2:$AA$97, MATCH('Premium Calculation (2)'!B78, Mortality_Table_Male!$AB$2:$AB$97, 0)))</f>
        <v>0.62170000000000003</v>
      </c>
      <c r="D78">
        <f t="shared" si="17"/>
        <v>1.3849442649564222E-5</v>
      </c>
      <c r="E78">
        <f t="shared" si="13"/>
        <v>3.2866167563218862E-2</v>
      </c>
      <c r="F78">
        <f t="shared" si="14"/>
        <v>2.8298422649693806E-2</v>
      </c>
      <c r="G78">
        <f t="shared" si="15"/>
        <v>4.7793700791665577E-7</v>
      </c>
    </row>
    <row r="79" spans="1:7">
      <c r="A79">
        <f t="shared" si="16"/>
        <v>71</v>
      </c>
      <c r="B79">
        <f t="shared" si="12"/>
        <v>112</v>
      </c>
      <c r="C79">
        <f>IF(A79 &lt; 25, INDEX(Mortality_Table_Male!$B$2:$AB$97, MATCH('Premium Calculation (2)'!$B$2, Mortality_Table_Male!$A$2:$A$97, 0), MATCH(A79, Mortality_Table_Male!$B$1:$AB$1, 0)), INDEX(Mortality_Table_Male!$AA$2:$AA$97, MATCH('Premium Calculation (2)'!B79, Mortality_Table_Male!$AB$2:$AB$97, 0)))</f>
        <v>0.65542</v>
      </c>
      <c r="D79">
        <f t="shared" si="17"/>
        <v>5.2392441543301451E-6</v>
      </c>
      <c r="E79">
        <f t="shared" si="13"/>
        <v>3.1301111964970339E-2</v>
      </c>
      <c r="F79">
        <f t="shared" si="14"/>
        <v>1.074850575161726E-2</v>
      </c>
      <c r="G79">
        <f t="shared" si="15"/>
        <v>1.7219387628082945E-7</v>
      </c>
    </row>
    <row r="80" spans="1:7">
      <c r="A80">
        <f t="shared" si="16"/>
        <v>72</v>
      </c>
      <c r="B80">
        <f t="shared" si="12"/>
        <v>113</v>
      </c>
      <c r="C80">
        <f>IF(A80 &lt; 25, INDEX(Mortality_Table_Male!$B$2:$AB$97, MATCH('Premium Calculation (2)'!$B$2, Mortality_Table_Male!$A$2:$A$97, 0), MATCH(A80, Mortality_Table_Male!$B$1:$AB$1, 0)), INDEX(Mortality_Table_Male!$AA$2:$AA$97, MATCH('Premium Calculation (2)'!B80, Mortality_Table_Male!$AB$2:$AB$97, 0)))</f>
        <v>0.69096000000000002</v>
      </c>
      <c r="D80">
        <f t="shared" si="17"/>
        <v>1.8053387506990813E-6</v>
      </c>
      <c r="E80">
        <f t="shared" si="13"/>
        <v>2.9810582823781274E-2</v>
      </c>
      <c r="F80">
        <f t="shared" si="14"/>
        <v>3.7186223715699367E-3</v>
      </c>
      <c r="G80">
        <f t="shared" si="15"/>
        <v>5.6509110370331621E-8</v>
      </c>
    </row>
    <row r="81" spans="1:7">
      <c r="A81">
        <f t="shared" si="16"/>
        <v>73</v>
      </c>
      <c r="B81">
        <f t="shared" si="12"/>
        <v>114</v>
      </c>
      <c r="C81">
        <f>IF(A81 &lt; 25, INDEX(Mortality_Table_Male!$B$2:$AB$97, MATCH('Premium Calculation (2)'!$B$2, Mortality_Table_Male!$A$2:$A$97, 0), MATCH(A81, Mortality_Table_Male!$B$1:$AB$1, 0)), INDEX(Mortality_Table_Male!$AA$2:$AA$97, MATCH('Premium Calculation (2)'!B81, Mortality_Table_Male!$AB$2:$AB$97, 0)))</f>
        <v>0.72843000000000002</v>
      </c>
      <c r="D81">
        <f t="shared" si="17"/>
        <v>5.579218875160441E-7</v>
      </c>
      <c r="E81">
        <f t="shared" si="13"/>
        <v>2.8391031260744073E-2</v>
      </c>
      <c r="F81">
        <f t="shared" si="14"/>
        <v>1.1538314992083835E-3</v>
      </c>
      <c r="G81">
        <f t="shared" si="15"/>
        <v>1.6631976636997412E-8</v>
      </c>
    </row>
    <row r="82" spans="1:7">
      <c r="A82">
        <f t="shared" si="16"/>
        <v>74</v>
      </c>
      <c r="B82">
        <f t="shared" si="12"/>
        <v>115</v>
      </c>
      <c r="C82">
        <f>IF(A82 &lt; 25, INDEX(Mortality_Table_Male!$B$2:$AB$97, MATCH('Premium Calculation (2)'!$B$2, Mortality_Table_Male!$A$2:$A$97, 0), MATCH(A82, Mortality_Table_Male!$B$1:$AB$1, 0)), INDEX(Mortality_Table_Male!$AA$2:$AA$97, MATCH('Premium Calculation (2)'!B82, Mortality_Table_Male!$AB$2:$AB$97, 0)))</f>
        <v>0.76793999999999996</v>
      </c>
      <c r="D82">
        <f t="shared" si="17"/>
        <v>1.5151484699273208E-7</v>
      </c>
      <c r="E82">
        <f t="shared" si="13"/>
        <v>2.7039077391184833E-2</v>
      </c>
      <c r="F82">
        <f t="shared" si="14"/>
        <v>3.1461132361395834E-4</v>
      </c>
      <c r="G82">
        <f t="shared" si="15"/>
        <v>4.3016627574375112E-9</v>
      </c>
    </row>
    <row r="83" spans="1:7">
      <c r="A83">
        <f t="shared" si="16"/>
        <v>75</v>
      </c>
      <c r="B83">
        <f t="shared" si="12"/>
        <v>116</v>
      </c>
      <c r="C83">
        <f>IF(A83 &lt; 25, INDEX(Mortality_Table_Male!$B$2:$AB$97, MATCH('Premium Calculation (2)'!$B$2, Mortality_Table_Male!$A$2:$A$97, 0), MATCH(A83, Mortality_Table_Male!$B$1:$AB$1, 0)), INDEX(Mortality_Table_Male!$AA$2:$AA$97, MATCH('Premium Calculation (2)'!B83, Mortality_Table_Male!$AB$2:$AB$97, 0)))</f>
        <v>0.80957999999999997</v>
      </c>
      <c r="D83">
        <f t="shared" si="17"/>
        <v>3.5160535393133415E-8</v>
      </c>
      <c r="E83">
        <f t="shared" si="13"/>
        <v>2.5751502277318886E-2</v>
      </c>
      <c r="F83">
        <f t="shared" si="14"/>
        <v>7.3302336849585725E-5</v>
      </c>
      <c r="G83">
        <f t="shared" si="15"/>
        <v>9.5070843761042782E-10</v>
      </c>
    </row>
    <row r="84" spans="1:7">
      <c r="A84">
        <f t="shared" si="16"/>
        <v>76</v>
      </c>
      <c r="B84">
        <f t="shared" si="12"/>
        <v>117</v>
      </c>
      <c r="C84">
        <f>IF(A84 &lt; 25, INDEX(Mortality_Table_Male!$B$2:$AB$97, MATCH('Premium Calculation (2)'!$B$2, Mortality_Table_Male!$A$2:$A$97, 0), MATCH(A84, Mortality_Table_Male!$B$1:$AB$1, 0)), INDEX(Mortality_Table_Male!$AA$2:$AA$97, MATCH('Premium Calculation (2)'!B84, Mortality_Table_Male!$AB$2:$AB$97, 0)))</f>
        <v>0.85348000000000002</v>
      </c>
      <c r="D84">
        <f t="shared" si="17"/>
        <v>6.6952691495604663E-9</v>
      </c>
      <c r="E84">
        <f t="shared" si="13"/>
        <v>2.4525240264113228E-2</v>
      </c>
      <c r="F84">
        <f t="shared" si="14"/>
        <v>1.401440485811442E-5</v>
      </c>
      <c r="G84">
        <f t="shared" si="15"/>
        <v>1.7241323875216924E-10</v>
      </c>
    </row>
    <row r="85" spans="1:7">
      <c r="A85">
        <f t="shared" si="16"/>
        <v>77</v>
      </c>
      <c r="B85">
        <f t="shared" si="12"/>
        <v>118</v>
      </c>
      <c r="C85">
        <f>IF(A85 &lt; 25, INDEX(Mortality_Table_Male!$B$2:$AB$97, MATCH('Premium Calculation (2)'!$B$2, Mortality_Table_Male!$A$2:$A$97, 0), MATCH(A85, Mortality_Table_Male!$B$1:$AB$1, 0)), INDEX(Mortality_Table_Male!$AA$2:$AA$97, MATCH('Premium Calculation (2)'!B85, Mortality_Table_Male!$AB$2:$AB$97, 0)))</f>
        <v>0.89976999999999996</v>
      </c>
      <c r="D85">
        <f t="shared" si="17"/>
        <v>9.8099083579359939E-10</v>
      </c>
      <c r="E85">
        <f t="shared" si="13"/>
        <v>2.3357371680107829E-2</v>
      </c>
      <c r="F85">
        <f t="shared" si="14"/>
        <v>2.0616760735229378E-6</v>
      </c>
      <c r="G85">
        <f t="shared" si="15"/>
        <v>2.4059035944731273E-11</v>
      </c>
    </row>
    <row r="86" spans="1:7">
      <c r="A86">
        <f t="shared" si="16"/>
        <v>78</v>
      </c>
      <c r="B86">
        <f t="shared" si="12"/>
        <v>119</v>
      </c>
      <c r="C86">
        <f>IF(A86 &lt; 25, INDEX(Mortality_Table_Male!$B$2:$AB$97, MATCH('Premium Calculation (2)'!$B$2, Mortality_Table_Male!$A$2:$A$97, 0), MATCH(A86, Mortality_Table_Male!$B$1:$AB$1, 0)), INDEX(Mortality_Table_Male!$AA$2:$AA$97, MATCH('Premium Calculation (2)'!B86, Mortality_Table_Male!$AB$2:$AB$97, 0)))</f>
        <v>0.94855999999999996</v>
      </c>
      <c r="D86">
        <f t="shared" si="17"/>
        <v>9.832471147159251E-11</v>
      </c>
      <c r="E86">
        <f t="shared" si="13"/>
        <v>2.2245115885816989E-2</v>
      </c>
      <c r="F86">
        <f t="shared" si="14"/>
        <v>2.0747327388432196E-7</v>
      </c>
      <c r="G86">
        <f t="shared" si="15"/>
        <v>2.2966068311813483E-12</v>
      </c>
    </row>
    <row r="87" spans="1:7">
      <c r="A87">
        <f t="shared" si="16"/>
        <v>79</v>
      </c>
      <c r="B87">
        <f t="shared" si="12"/>
        <v>120</v>
      </c>
      <c r="C87">
        <f>IF(A87 &lt; 25, INDEX(Mortality_Table_Male!$B$2:$AB$97, MATCH('Premium Calculation (2)'!$B$2, Mortality_Table_Male!$A$2:$A$97, 0), MATCH(A87, Mortality_Table_Male!$B$1:$AB$1, 0)), INDEX(Mortality_Table_Male!$AA$2:$AA$97, MATCH('Premium Calculation (2)'!B87, Mortality_Table_Male!$AB$2:$AB$97, 0)))</f>
        <v>1</v>
      </c>
      <c r="D87">
        <f t="shared" si="17"/>
        <v>5.0578231580987228E-12</v>
      </c>
      <c r="E87">
        <f t="shared" si="13"/>
        <v>2.1185824653159029E-2</v>
      </c>
      <c r="F87">
        <f t="shared" si="14"/>
        <v>1.0715415455416658E-8</v>
      </c>
      <c r="G87">
        <f t="shared" si="15"/>
        <v>1.1251186228187494E-13</v>
      </c>
    </row>
    <row r="89" spans="1:7">
      <c r="F89">
        <f>SUM(F9:F87)</f>
        <v>16218.726668365221</v>
      </c>
      <c r="G89">
        <f>SUM(G9:G87)</f>
        <v>17.594067399643308</v>
      </c>
    </row>
    <row r="106" spans="1:4">
      <c r="A106" s="32" t="s">
        <v>54</v>
      </c>
      <c r="B106" s="33"/>
      <c r="C106" s="34"/>
      <c r="D106" s="41">
        <f>F89/G89</f>
        <v>921.82929051948679</v>
      </c>
    </row>
    <row r="107" spans="1:4">
      <c r="A107" s="35"/>
      <c r="B107" s="36"/>
      <c r="C107" s="37"/>
      <c r="D107" s="42"/>
    </row>
    <row r="108" spans="1:4">
      <c r="A108" s="38"/>
      <c r="B108" s="39"/>
      <c r="C108" s="40"/>
      <c r="D108" s="43"/>
    </row>
  </sheetData>
  <mergeCells count="4">
    <mergeCell ref="D3:F5"/>
    <mergeCell ref="D106:D108"/>
    <mergeCell ref="A106:C108"/>
    <mergeCell ref="G3:G5"/>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2"/>
  <sheetViews>
    <sheetView zoomScaleNormal="100" workbookViewId="0">
      <selection activeCell="E5" sqref="E5"/>
    </sheetView>
  </sheetViews>
  <sheetFormatPr baseColWidth="10" defaultColWidth="10.5" defaultRowHeight="16"/>
  <cols>
    <col min="6" max="6" width="13.1640625" style="20" customWidth="1"/>
  </cols>
  <sheetData>
    <row r="1" spans="1:12" ht="57" customHeight="1">
      <c r="A1" s="21" t="s">
        <v>0</v>
      </c>
      <c r="B1" s="21" t="s">
        <v>61</v>
      </c>
      <c r="C1" s="21" t="s">
        <v>3</v>
      </c>
      <c r="D1" s="21" t="s">
        <v>62</v>
      </c>
      <c r="E1" s="21" t="s">
        <v>63</v>
      </c>
      <c r="F1" s="22" t="s">
        <v>64</v>
      </c>
      <c r="G1" s="21" t="s">
        <v>65</v>
      </c>
      <c r="H1" s="21" t="s">
        <v>66</v>
      </c>
      <c r="I1" s="21" t="s">
        <v>67</v>
      </c>
      <c r="J1" s="21" t="s">
        <v>68</v>
      </c>
      <c r="K1" s="21" t="s">
        <v>69</v>
      </c>
    </row>
    <row r="2" spans="1:12">
      <c r="A2" s="23" t="s">
        <v>70</v>
      </c>
      <c r="B2" s="23">
        <v>25</v>
      </c>
      <c r="C2" s="23" t="s">
        <v>7</v>
      </c>
      <c r="D2" s="23" t="s">
        <v>71</v>
      </c>
      <c r="E2" s="24">
        <v>100000</v>
      </c>
      <c r="F2" s="25">
        <v>38001</v>
      </c>
      <c r="G2" s="23">
        <v>22</v>
      </c>
      <c r="H2" s="23">
        <f t="shared" ref="H2:H20" si="0">B2+G2</f>
        <v>47</v>
      </c>
      <c r="I2" s="26">
        <f>IF(C2= "Male", INDEX(Mortality_Table_Male!$B$2:$AB$97, MATCH(Policy_Data!$B2,Mortality_Table_Male!$A$2:$A$97,  0), MATCH(IF(Policy_Data!$G2 &gt; 25, "Ult.", Policy_Data!$G2 ), Mortality_Table_Male!$B$1:$AB$1, 0)),  INDEX(Mortality_Table_Female!$B$2:$AB$97, MATCH(Policy_Data!$B2,Mortality_Table_Female!$A$2:$A$97,  0), MATCH(IF(Policy_Data!$G2 &gt; 25, "Ult.", Policy_Data!$G2 ), Mortality_Table_Female!$B$1:$AB$1, 0)))</f>
        <v>1.49E-3</v>
      </c>
      <c r="J2" s="27">
        <f>INDEX(Lapse_Assumptions!$A$2:$C$31,MATCH(Policy_Data!$G2, Lapse_Assumptions!$A$2:$A$31, 0), 2)</f>
        <v>0.03</v>
      </c>
      <c r="K2" s="26"/>
      <c r="L2" s="26"/>
    </row>
    <row r="3" spans="1:12">
      <c r="A3" s="23" t="s">
        <v>72</v>
      </c>
      <c r="B3" s="23">
        <v>27</v>
      </c>
      <c r="C3" s="23" t="s">
        <v>9</v>
      </c>
      <c r="D3" s="23" t="s">
        <v>71</v>
      </c>
      <c r="E3" s="24">
        <v>150000</v>
      </c>
      <c r="F3" s="25">
        <v>42019</v>
      </c>
      <c r="G3" s="23">
        <v>11</v>
      </c>
      <c r="H3" s="23">
        <f t="shared" si="0"/>
        <v>38</v>
      </c>
      <c r="I3" s="26">
        <f>IF(C3= "Male", INDEX(Mortality_Table_Male!$B$2:$AB$97, MATCH(Policy_Data!$B3,Mortality_Table_Male!$A$2:$A$97,  0), MATCH(IF(Policy_Data!$G3 &gt; 25, "Ult.", Policy_Data!$G3 ), Mortality_Table_Male!$B$1:$AB$1, 0)),  INDEX(Mortality_Table_Female!$B$2:$AB$97, MATCH(Policy_Data!$B3,Mortality_Table_Female!$A$2:$A$97,  0), MATCH(IF(Policy_Data!$G3 &gt; 25, "Ult.", Policy_Data!$G3 ), Mortality_Table_Female!$B$1:$AB$1, 0)))</f>
        <v>8.0999999999999996E-4</v>
      </c>
      <c r="J3" s="27">
        <f>INDEX(Lapse_Assumptions!$A$2:$C$31,MATCH(Policy_Data!$G3, Lapse_Assumptions!$A$2:$A$31, 0), 2)</f>
        <v>0.03</v>
      </c>
    </row>
    <row r="4" spans="1:12">
      <c r="A4" s="23" t="s">
        <v>73</v>
      </c>
      <c r="B4" s="23">
        <v>57</v>
      </c>
      <c r="C4" s="23" t="s">
        <v>9</v>
      </c>
      <c r="D4" s="23" t="s">
        <v>71</v>
      </c>
      <c r="E4" s="24">
        <v>500000</v>
      </c>
      <c r="F4" s="25">
        <v>44211</v>
      </c>
      <c r="G4" s="23">
        <v>5</v>
      </c>
      <c r="H4" s="23">
        <f t="shared" si="0"/>
        <v>62</v>
      </c>
      <c r="I4" s="26">
        <f>IF(C4= "Male", INDEX(Mortality_Table_Male!$B$2:$AB$97, MATCH(Policy_Data!$B4,Mortality_Table_Male!$A$2:$A$97,  0), MATCH(IF(Policy_Data!$G4 &gt; 25, "Ult.", Policy_Data!$G4 ), Mortality_Table_Male!$B$1:$AB$1, 0)),  INDEX(Mortality_Table_Female!$B$2:$AB$97, MATCH(Policy_Data!$B4,Mortality_Table_Female!$A$2:$A$97,  0), MATCH(IF(Policy_Data!$G4 &gt; 25, "Ult.", Policy_Data!$G4 ), Mortality_Table_Female!$B$1:$AB$1, 0)))</f>
        <v>5.3600000000000002E-3</v>
      </c>
      <c r="J4" s="27">
        <f>INDEX(Lapse_Assumptions!$A$2:$C$31,MATCH(Policy_Data!$G4, Lapse_Assumptions!$A$2:$A$31, 0), 2)</f>
        <v>0.05</v>
      </c>
    </row>
    <row r="5" spans="1:12">
      <c r="A5" s="23" t="s">
        <v>11</v>
      </c>
      <c r="B5" s="23">
        <v>39</v>
      </c>
      <c r="C5" s="23" t="s">
        <v>7</v>
      </c>
      <c r="D5" s="23" t="s">
        <v>74</v>
      </c>
      <c r="E5" s="24">
        <v>100000</v>
      </c>
      <c r="F5" s="25">
        <v>39462</v>
      </c>
      <c r="G5" s="23">
        <v>18</v>
      </c>
      <c r="H5" s="23">
        <f t="shared" si="0"/>
        <v>57</v>
      </c>
      <c r="I5" s="26">
        <f>IF(C5= "Male", INDEX(Mortality_Table_Male!$B$2:$AB$97, MATCH(Policy_Data!$B5,Mortality_Table_Male!$A$2:$A$97,  0), MATCH(IF(Policy_Data!$G5 &gt; 25, "Ult.", Policy_Data!$G5 ), Mortality_Table_Male!$B$1:$AB$1, 0)),  INDEX(Mortality_Table_Female!$B$2:$AB$97, MATCH(Policy_Data!$B5,Mortality_Table_Female!$A$2:$A$97,  0), MATCH(IF(Policy_Data!$G5 &gt; 25, "Ult.", Policy_Data!$G5 ), Mortality_Table_Female!$B$1:$AB$1, 0)))</f>
        <v>3.1800000000000001E-3</v>
      </c>
      <c r="J5" s="27">
        <f>INDEX(Lapse_Assumptions!$A$2:$C$31,MATCH(Policy_Data!$G5, Lapse_Assumptions!$A$2:$A$31, 0), 2)</f>
        <v>0.03</v>
      </c>
    </row>
    <row r="6" spans="1:12">
      <c r="A6" s="23" t="s">
        <v>12</v>
      </c>
      <c r="B6" s="23">
        <v>52</v>
      </c>
      <c r="C6" s="23" t="s">
        <v>7</v>
      </c>
      <c r="D6" s="23" t="s">
        <v>74</v>
      </c>
      <c r="E6" s="24">
        <v>150000</v>
      </c>
      <c r="F6" s="25">
        <v>42019</v>
      </c>
      <c r="G6" s="23">
        <v>11</v>
      </c>
      <c r="H6" s="23">
        <f t="shared" si="0"/>
        <v>63</v>
      </c>
      <c r="I6" s="26">
        <f>IF(C6= "Male", INDEX(Mortality_Table_Male!$B$2:$AB$97, MATCH(Policy_Data!$B6,Mortality_Table_Male!$A$2:$A$97,  0), MATCH(IF(Policy_Data!$G6 &gt; 25, "Ult.", Policy_Data!$G6 ), Mortality_Table_Male!$B$1:$AB$1, 0)),  INDEX(Mortality_Table_Female!$B$2:$AB$97, MATCH(Policy_Data!$B6,Mortality_Table_Female!$A$2:$A$97,  0), MATCH(IF(Policy_Data!$G6 &gt; 25, "Ult.", Policy_Data!$G6 ), Mortality_Table_Female!$B$1:$AB$1, 0)))</f>
        <v>4.8399999999999997E-3</v>
      </c>
      <c r="J6" s="27">
        <f>INDEX(Lapse_Assumptions!$A$2:$C$31,MATCH(Policy_Data!$G6, Lapse_Assumptions!$A$2:$A$31, 0), 2)</f>
        <v>0.03</v>
      </c>
    </row>
    <row r="7" spans="1:12">
      <c r="A7" s="23" t="s">
        <v>75</v>
      </c>
      <c r="B7" s="23">
        <v>46</v>
      </c>
      <c r="C7" s="23" t="s">
        <v>9</v>
      </c>
      <c r="D7" s="23" t="s">
        <v>71</v>
      </c>
      <c r="E7" s="24">
        <v>300000</v>
      </c>
      <c r="F7" s="25">
        <v>37636</v>
      </c>
      <c r="G7" s="23">
        <v>23</v>
      </c>
      <c r="H7" s="23">
        <f t="shared" si="0"/>
        <v>69</v>
      </c>
      <c r="I7" s="26">
        <f>IF(C7= "Male", INDEX(Mortality_Table_Male!$B$2:$AB$97, MATCH(Policy_Data!$B7,Mortality_Table_Male!$A$2:$A$97,  0), MATCH(IF(Policy_Data!$G7 &gt; 25, "Ult.", Policy_Data!$G7 ), Mortality_Table_Male!$B$1:$AB$1, 0)),  INDEX(Mortality_Table_Female!$B$2:$AB$97, MATCH(Policy_Data!$B7,Mortality_Table_Female!$A$2:$A$97,  0), MATCH(IF(Policy_Data!$G7 &gt; 25, "Ult.", Policy_Data!$G7 ), Mortality_Table_Female!$B$1:$AB$1, 0)))</f>
        <v>1.405E-2</v>
      </c>
      <c r="J7" s="27">
        <f>INDEX(Lapse_Assumptions!$A$2:$C$31,MATCH(Policy_Data!$G7, Lapse_Assumptions!$A$2:$A$31, 0), 2)</f>
        <v>0.03</v>
      </c>
    </row>
    <row r="8" spans="1:12">
      <c r="A8" s="23" t="s">
        <v>13</v>
      </c>
      <c r="B8" s="23">
        <v>47</v>
      </c>
      <c r="C8" s="23" t="s">
        <v>7</v>
      </c>
      <c r="D8" s="23" t="s">
        <v>74</v>
      </c>
      <c r="E8" s="24">
        <v>100000</v>
      </c>
      <c r="F8" s="25">
        <v>44576</v>
      </c>
      <c r="G8" s="23">
        <v>4</v>
      </c>
      <c r="H8" s="23">
        <f t="shared" si="0"/>
        <v>51</v>
      </c>
      <c r="I8" s="26">
        <f>IF(C8= "Male", INDEX(Mortality_Table_Male!$B$2:$AB$97, MATCH(Policy_Data!$B8,Mortality_Table_Male!$A$2:$A$97,  0), MATCH(IF(Policy_Data!$G8 &gt; 25, "Ult.", Policy_Data!$G8 ), Mortality_Table_Male!$B$1:$AB$1, 0)),  INDEX(Mortality_Table_Female!$B$2:$AB$97, MATCH(Policy_Data!$B8,Mortality_Table_Female!$A$2:$A$97,  0), MATCH(IF(Policy_Data!$G8 &gt; 25, "Ult.", Policy_Data!$G8 ), Mortality_Table_Female!$B$1:$AB$1, 0)))</f>
        <v>1.15E-3</v>
      </c>
      <c r="J8" s="27">
        <f>INDEX(Lapse_Assumptions!$A$2:$C$31,MATCH(Policy_Data!$G8, Lapse_Assumptions!$A$2:$A$31, 0), 2)</f>
        <v>0.06</v>
      </c>
    </row>
    <row r="9" spans="1:12">
      <c r="A9" s="23" t="s">
        <v>14</v>
      </c>
      <c r="B9" s="23">
        <v>59</v>
      </c>
      <c r="C9" s="23" t="s">
        <v>9</v>
      </c>
      <c r="D9" s="23" t="s">
        <v>74</v>
      </c>
      <c r="E9" s="24">
        <v>100000</v>
      </c>
      <c r="F9" s="25">
        <v>44941</v>
      </c>
      <c r="G9" s="23">
        <v>3</v>
      </c>
      <c r="H9" s="23">
        <f t="shared" si="0"/>
        <v>62</v>
      </c>
      <c r="I9" s="26">
        <f>IF(C9= "Male", INDEX(Mortality_Table_Male!$B$2:$AB$97, MATCH(Policy_Data!$B9,Mortality_Table_Male!$A$2:$A$97,  0), MATCH(IF(Policy_Data!$G9 &gt; 25, "Ult.", Policy_Data!$G9 ), Mortality_Table_Male!$B$1:$AB$1, 0)),  INDEX(Mortality_Table_Female!$B$2:$AB$97, MATCH(Policy_Data!$B9,Mortality_Table_Female!$A$2:$A$97,  0), MATCH(IF(Policy_Data!$G9 &gt; 25, "Ult.", Policy_Data!$G9 ), Mortality_Table_Female!$B$1:$AB$1, 0)))</f>
        <v>4.3800000000000002E-3</v>
      </c>
      <c r="J9" s="27">
        <f>INDEX(Lapse_Assumptions!$A$2:$C$31,MATCH(Policy_Data!$G9, Lapse_Assumptions!$A$2:$A$31, 0), 2)</f>
        <v>7.0000000000000007E-2</v>
      </c>
    </row>
    <row r="10" spans="1:12">
      <c r="A10" s="23" t="s">
        <v>76</v>
      </c>
      <c r="B10" s="23">
        <v>43</v>
      </c>
      <c r="C10" s="23" t="s">
        <v>7</v>
      </c>
      <c r="D10" s="23" t="s">
        <v>71</v>
      </c>
      <c r="E10" s="24">
        <v>100000</v>
      </c>
      <c r="F10" s="25">
        <v>36175</v>
      </c>
      <c r="G10" s="23">
        <v>27</v>
      </c>
      <c r="H10" s="23">
        <f t="shared" si="0"/>
        <v>70</v>
      </c>
      <c r="I10" s="26">
        <f>IF(C10= "Male", INDEX(Mortality_Table_Male!$B$2:$AB$97, MATCH(Policy_Data!$B10,Mortality_Table_Male!$A$2:$A$97,  0), MATCH(IF(Policy_Data!$G10 &gt; 25, "Ult.", Policy_Data!$G10 ), Mortality_Table_Male!$B$1:$AB$1, 0)),  INDEX(Mortality_Table_Female!$B$2:$AB$97, MATCH(Policy_Data!$B10,Mortality_Table_Female!$A$2:$A$97,  0), MATCH(IF(Policy_Data!$G10 &gt; 25, "Ult.", Policy_Data!$G10 ), Mortality_Table_Female!$B$1:$AB$1, 0)))</f>
        <v>1.141E-2</v>
      </c>
      <c r="J10" s="27">
        <f>INDEX(Lapse_Assumptions!$A$2:$C$31,MATCH(Policy_Data!$G10, Lapse_Assumptions!$A$2:$A$31, 0), 2)</f>
        <v>0.03</v>
      </c>
    </row>
    <row r="11" spans="1:12">
      <c r="A11" s="23" t="s">
        <v>77</v>
      </c>
      <c r="B11" s="23">
        <v>39</v>
      </c>
      <c r="C11" s="23" t="s">
        <v>7</v>
      </c>
      <c r="D11" s="23" t="s">
        <v>71</v>
      </c>
      <c r="E11" s="24">
        <v>150000</v>
      </c>
      <c r="F11" s="25">
        <v>37636</v>
      </c>
      <c r="G11" s="23">
        <v>23</v>
      </c>
      <c r="H11" s="23">
        <f t="shared" si="0"/>
        <v>62</v>
      </c>
      <c r="I11" s="26">
        <f>IF(C11= "Male", INDEX(Mortality_Table_Male!$B$2:$AB$97, MATCH(Policy_Data!$B11,Mortality_Table_Male!$A$2:$A$97,  0), MATCH(IF(Policy_Data!$G11 &gt; 25, "Ult.", Policy_Data!$G11 ), Mortality_Table_Male!$B$1:$AB$1, 0)),  INDEX(Mortality_Table_Female!$B$2:$AB$97, MATCH(Policy_Data!$B11,Mortality_Table_Female!$A$2:$A$97,  0), MATCH(IF(Policy_Data!$G11 &gt; 25, "Ult.", Policy_Data!$G11 ), Mortality_Table_Female!$B$1:$AB$1, 0)))</f>
        <v>5.4599999999999996E-3</v>
      </c>
      <c r="J11" s="27">
        <f>INDEX(Lapse_Assumptions!$A$2:$C$31,MATCH(Policy_Data!$G11, Lapse_Assumptions!$A$2:$A$31, 0), 2)</f>
        <v>0.03</v>
      </c>
    </row>
    <row r="12" spans="1:12">
      <c r="A12" s="23" t="s">
        <v>15</v>
      </c>
      <c r="B12" s="23">
        <v>49</v>
      </c>
      <c r="C12" s="23" t="s">
        <v>7</v>
      </c>
      <c r="D12" s="23" t="s">
        <v>74</v>
      </c>
      <c r="E12" s="24">
        <v>250000</v>
      </c>
      <c r="F12" s="25">
        <v>39462</v>
      </c>
      <c r="G12" s="23">
        <v>18</v>
      </c>
      <c r="H12" s="23">
        <f t="shared" si="0"/>
        <v>67</v>
      </c>
      <c r="I12" s="26">
        <f>IF(C12= "Male", INDEX(Mortality_Table_Male!$B$2:$AB$97, MATCH(Policy_Data!$B12,Mortality_Table_Male!$A$2:$A$97,  0), MATCH(IF(Policy_Data!$G12 &gt; 25, "Ult.", Policy_Data!$G12 ), Mortality_Table_Male!$B$1:$AB$1, 0)),  INDEX(Mortality_Table_Female!$B$2:$AB$97, MATCH(Policy_Data!$B12,Mortality_Table_Female!$A$2:$A$97,  0), MATCH(IF(Policy_Data!$G12 &gt; 25, "Ult.", Policy_Data!$G12 ), Mortality_Table_Female!$B$1:$AB$1, 0)))</f>
        <v>8.9499999999999996E-3</v>
      </c>
      <c r="J12" s="27">
        <f>INDEX(Lapse_Assumptions!$A$2:$C$31,MATCH(Policy_Data!$G12, Lapse_Assumptions!$A$2:$A$31, 0), 2)</f>
        <v>0.03</v>
      </c>
    </row>
    <row r="13" spans="1:12">
      <c r="A13" s="23" t="s">
        <v>78</v>
      </c>
      <c r="B13" s="23">
        <v>48</v>
      </c>
      <c r="C13" s="23" t="s">
        <v>7</v>
      </c>
      <c r="D13" s="23" t="s">
        <v>71</v>
      </c>
      <c r="E13" s="24">
        <v>250000</v>
      </c>
      <c r="F13" s="25">
        <v>37636</v>
      </c>
      <c r="G13" s="23">
        <v>23</v>
      </c>
      <c r="H13" s="23">
        <f t="shared" si="0"/>
        <v>71</v>
      </c>
      <c r="I13" s="26">
        <f>IF(C13= "Male", INDEX(Mortality_Table_Male!$B$2:$AB$97, MATCH(Policy_Data!$B13,Mortality_Table_Male!$A$2:$A$97,  0), MATCH(IF(Policy_Data!$G13 &gt; 25, "Ult.", Policy_Data!$G13 ), Mortality_Table_Male!$B$1:$AB$1, 0)),  INDEX(Mortality_Table_Female!$B$2:$AB$97, MATCH(Policy_Data!$B13,Mortality_Table_Female!$A$2:$A$97,  0), MATCH(IF(Policy_Data!$G13 &gt; 25, "Ult.", Policy_Data!$G13 ), Mortality_Table_Female!$B$1:$AB$1, 0)))</f>
        <v>1.404E-2</v>
      </c>
      <c r="J13" s="27">
        <f>INDEX(Lapse_Assumptions!$A$2:$C$31,MATCH(Policy_Data!$G13, Lapse_Assumptions!$A$2:$A$31, 0), 2)</f>
        <v>0.03</v>
      </c>
    </row>
    <row r="14" spans="1:12">
      <c r="A14" s="23" t="s">
        <v>79</v>
      </c>
      <c r="B14" s="23">
        <v>35</v>
      </c>
      <c r="C14" s="23" t="s">
        <v>9</v>
      </c>
      <c r="D14" s="23" t="s">
        <v>71</v>
      </c>
      <c r="E14" s="24">
        <v>300000</v>
      </c>
      <c r="F14" s="25">
        <v>44211</v>
      </c>
      <c r="G14" s="23">
        <v>5</v>
      </c>
      <c r="H14" s="23">
        <f t="shared" si="0"/>
        <v>40</v>
      </c>
      <c r="I14" s="26">
        <f>IF(C14= "Male", INDEX(Mortality_Table_Male!$B$2:$AB$97, MATCH(Policy_Data!$B14,Mortality_Table_Male!$A$2:$A$97,  0), MATCH(IF(Policy_Data!$G14 &gt; 25, "Ult.", Policy_Data!$G14 ), Mortality_Table_Male!$B$1:$AB$1, 0)),  INDEX(Mortality_Table_Female!$B$2:$AB$97, MATCH(Policy_Data!$B14,Mortality_Table_Female!$A$2:$A$97,  0), MATCH(IF(Policy_Data!$G14 &gt; 25, "Ult.", Policy_Data!$G14 ), Mortality_Table_Female!$B$1:$AB$1, 0)))</f>
        <v>6.7000000000000002E-4</v>
      </c>
      <c r="J14" s="27">
        <f>INDEX(Lapse_Assumptions!$A$2:$C$31,MATCH(Policy_Data!$G14, Lapse_Assumptions!$A$2:$A$31, 0), 2)</f>
        <v>0.05</v>
      </c>
    </row>
    <row r="15" spans="1:12">
      <c r="A15" s="23" t="s">
        <v>8</v>
      </c>
      <c r="B15" s="23">
        <v>42</v>
      </c>
      <c r="C15" s="23" t="s">
        <v>9</v>
      </c>
      <c r="D15" s="23" t="s">
        <v>74</v>
      </c>
      <c r="E15" s="24">
        <v>100000</v>
      </c>
      <c r="F15" s="25">
        <v>42019</v>
      </c>
      <c r="G15" s="23">
        <v>11</v>
      </c>
      <c r="H15" s="23">
        <f t="shared" si="0"/>
        <v>53</v>
      </c>
      <c r="I15" s="26">
        <f>IF(C15= "Male", INDEX(Mortality_Table_Male!$B$2:$AB$97, MATCH(Policy_Data!$B15,Mortality_Table_Male!$A$2:$A$97,  0), MATCH(IF(Policy_Data!$G15 &gt; 25, "Ult.", Policy_Data!$G15 ), Mortality_Table_Male!$B$1:$AB$1, 0)),  INDEX(Mortality_Table_Female!$B$2:$AB$97, MATCH(Policy_Data!$B15,Mortality_Table_Female!$A$2:$A$97,  0), MATCH(IF(Policy_Data!$G15 &gt; 25, "Ult.", Policy_Data!$G15 ), Mortality_Table_Female!$B$1:$AB$1, 0)))</f>
        <v>2.5400000000000002E-3</v>
      </c>
      <c r="J15" s="27">
        <f>INDEX(Lapse_Assumptions!$A$2:$C$31,MATCH(Policy_Data!$G15, Lapse_Assumptions!$A$2:$A$31, 0), 2)</f>
        <v>0.03</v>
      </c>
    </row>
    <row r="16" spans="1:12">
      <c r="A16" s="23" t="s">
        <v>6</v>
      </c>
      <c r="B16" s="23">
        <v>27</v>
      </c>
      <c r="C16" s="23" t="s">
        <v>7</v>
      </c>
      <c r="D16" s="23" t="s">
        <v>74</v>
      </c>
      <c r="E16" s="24">
        <v>250000</v>
      </c>
      <c r="F16" s="25">
        <v>37636</v>
      </c>
      <c r="G16" s="23">
        <v>23</v>
      </c>
      <c r="H16" s="23">
        <f t="shared" si="0"/>
        <v>50</v>
      </c>
      <c r="I16" s="26">
        <f>IF(C16= "Male", INDEX(Mortality_Table_Male!$B$2:$AB$97, MATCH(Policy_Data!$B16,Mortality_Table_Male!$A$2:$A$97,  0), MATCH(IF(Policy_Data!$G16 &gt; 25, "Ult.", Policy_Data!$G16 ), Mortality_Table_Male!$B$1:$AB$1, 0)),  INDEX(Mortality_Table_Female!$B$2:$AB$97, MATCH(Policy_Data!$B16,Mortality_Table_Female!$A$2:$A$97,  0), MATCH(IF(Policy_Data!$G16 &gt; 25, "Ult.", Policy_Data!$G16 ), Mortality_Table_Female!$B$1:$AB$1, 0)))</f>
        <v>1.8699999999999999E-3</v>
      </c>
      <c r="J16" s="27">
        <f>INDEX(Lapse_Assumptions!$A$2:$C$31,MATCH(Policy_Data!$G16, Lapse_Assumptions!$A$2:$A$31, 0), 2)</f>
        <v>0.03</v>
      </c>
    </row>
    <row r="17" spans="1:10">
      <c r="A17" s="23" t="s">
        <v>80</v>
      </c>
      <c r="B17" s="23">
        <v>38</v>
      </c>
      <c r="C17" s="23" t="s">
        <v>7</v>
      </c>
      <c r="D17" s="23" t="s">
        <v>71</v>
      </c>
      <c r="E17" s="24">
        <v>300000</v>
      </c>
      <c r="F17" s="25">
        <v>44211</v>
      </c>
      <c r="G17" s="23">
        <v>5</v>
      </c>
      <c r="H17" s="23">
        <f t="shared" si="0"/>
        <v>43</v>
      </c>
      <c r="I17" s="26">
        <f>IF(C17= "Male", INDEX(Mortality_Table_Male!$B$2:$AB$97, MATCH(Policy_Data!$B17,Mortality_Table_Male!$A$2:$A$97,  0), MATCH(IF(Policy_Data!$G17 &gt; 25, "Ult.", Policy_Data!$G17 ), Mortality_Table_Male!$B$1:$AB$1, 0)),  INDEX(Mortality_Table_Female!$B$2:$AB$97, MATCH(Policy_Data!$B17,Mortality_Table_Female!$A$2:$A$97,  0), MATCH(IF(Policy_Data!$G17 &gt; 25, "Ult.", Policy_Data!$G17 ), Mortality_Table_Female!$B$1:$AB$1, 0)))</f>
        <v>6.7000000000000002E-4</v>
      </c>
      <c r="J17" s="27">
        <f>INDEX(Lapse_Assumptions!$A$2:$C$31,MATCH(Policy_Data!$G17, Lapse_Assumptions!$A$2:$A$31, 0), 2)</f>
        <v>0.05</v>
      </c>
    </row>
    <row r="18" spans="1:10">
      <c r="A18" s="23" t="s">
        <v>10</v>
      </c>
      <c r="B18" s="23">
        <v>54</v>
      </c>
      <c r="C18" s="23" t="s">
        <v>9</v>
      </c>
      <c r="D18" s="23" t="s">
        <v>74</v>
      </c>
      <c r="E18" s="24">
        <v>150000</v>
      </c>
      <c r="F18" s="25">
        <v>42019</v>
      </c>
      <c r="G18" s="23">
        <v>11</v>
      </c>
      <c r="H18" s="23">
        <f t="shared" si="0"/>
        <v>65</v>
      </c>
      <c r="I18" s="26">
        <f>IF(C18= "Male", INDEX(Mortality_Table_Male!$B$2:$AB$97, MATCH(Policy_Data!$B18,Mortality_Table_Male!$A$2:$A$97,  0), MATCH(IF(Policy_Data!$G18 &gt; 25, "Ult.", Policy_Data!$G18 ), Mortality_Table_Male!$B$1:$AB$1, 0)),  INDEX(Mortality_Table_Female!$B$2:$AB$97, MATCH(Policy_Data!$B18,Mortality_Table_Female!$A$2:$A$97,  0), MATCH(IF(Policy_Data!$G18 &gt; 25, "Ult.", Policy_Data!$G18 ), Mortality_Table_Female!$B$1:$AB$1, 0)))</f>
        <v>8.8699999999999994E-3</v>
      </c>
      <c r="J18" s="27">
        <f>INDEX(Lapse_Assumptions!$A$2:$C$31,MATCH(Policy_Data!$G18, Lapse_Assumptions!$A$2:$A$31, 0), 2)</f>
        <v>0.03</v>
      </c>
    </row>
    <row r="19" spans="1:10">
      <c r="A19" s="23" t="s">
        <v>16</v>
      </c>
      <c r="B19" s="23">
        <v>60</v>
      </c>
      <c r="C19" s="23" t="s">
        <v>7</v>
      </c>
      <c r="D19" s="23" t="s">
        <v>74</v>
      </c>
      <c r="E19" s="24">
        <v>500000</v>
      </c>
      <c r="F19" s="25">
        <v>44211</v>
      </c>
      <c r="G19" s="23">
        <v>5</v>
      </c>
      <c r="H19" s="23">
        <f t="shared" si="0"/>
        <v>65</v>
      </c>
      <c r="I19" s="26">
        <f>IF(C19= "Male", INDEX(Mortality_Table_Male!$B$2:$AB$97, MATCH(Policy_Data!$B19,Mortality_Table_Male!$A$2:$A$97,  0), MATCH(IF(Policy_Data!$G19 &gt; 25, "Ult.", Policy_Data!$G19 ), Mortality_Table_Male!$B$1:$AB$1, 0)),  INDEX(Mortality_Table_Female!$B$2:$AB$97, MATCH(Policy_Data!$B19,Mortality_Table_Female!$A$2:$A$97,  0), MATCH(IF(Policy_Data!$G19 &gt; 25, "Ult.", Policy_Data!$G19 ), Mortality_Table_Female!$B$1:$AB$1, 0)))</f>
        <v>4.9800000000000001E-3</v>
      </c>
      <c r="J19" s="27">
        <f>INDEX(Lapse_Assumptions!$A$2:$C$31,MATCH(Policy_Data!$G19, Lapse_Assumptions!$A$2:$A$31, 0), 2)</f>
        <v>0.05</v>
      </c>
    </row>
    <row r="20" spans="1:10">
      <c r="A20" s="23" t="s">
        <v>81</v>
      </c>
      <c r="B20" s="23">
        <v>48</v>
      </c>
      <c r="C20" s="23" t="s">
        <v>9</v>
      </c>
      <c r="D20" s="23" t="s">
        <v>71</v>
      </c>
      <c r="E20" s="24">
        <v>500000</v>
      </c>
      <c r="F20" s="25">
        <v>44576</v>
      </c>
      <c r="G20" s="23">
        <v>4</v>
      </c>
      <c r="H20" s="23">
        <f t="shared" si="0"/>
        <v>52</v>
      </c>
      <c r="I20" s="26">
        <f>IF(C20= "Male", INDEX(Mortality_Table_Male!$B$2:$AB$97, MATCH(Policy_Data!$B20,Mortality_Table_Male!$A$2:$A$97,  0), MATCH(IF(Policy_Data!$G20 &gt; 25, "Ult.", Policy_Data!$G20 ), Mortality_Table_Male!$B$1:$AB$1, 0)),  INDEX(Mortality_Table_Female!$B$2:$AB$97, MATCH(Policy_Data!$B20,Mortality_Table_Female!$A$2:$A$97,  0), MATCH(IF(Policy_Data!$G20 &gt; 25, "Ult.", Policy_Data!$G20 ), Mortality_Table_Female!$B$1:$AB$1, 0)))</f>
        <v>1.75E-3</v>
      </c>
      <c r="J20" s="27">
        <f>INDEX(Lapse_Assumptions!$A$2:$C$31,MATCH(Policy_Data!$G20, Lapse_Assumptions!$A$2:$A$31, 0), 2)</f>
        <v>0.06</v>
      </c>
    </row>
    <row r="22" spans="1:10">
      <c r="A22" s="28"/>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7"/>
  <sheetViews>
    <sheetView topLeftCell="A129" zoomScaleNormal="100" workbookViewId="0">
      <selection activeCell="E118" sqref="E118"/>
    </sheetView>
  </sheetViews>
  <sheetFormatPr baseColWidth="10" defaultColWidth="10.5" defaultRowHeight="16"/>
  <cols>
    <col min="3" max="3" width="16.33203125" customWidth="1"/>
  </cols>
  <sheetData>
    <row r="1" spans="1:6">
      <c r="A1" t="s">
        <v>0</v>
      </c>
      <c r="B1" t="s">
        <v>1</v>
      </c>
      <c r="C1" t="s">
        <v>2</v>
      </c>
      <c r="D1" t="s">
        <v>3</v>
      </c>
      <c r="E1" t="s">
        <v>4</v>
      </c>
      <c r="F1" t="s">
        <v>5</v>
      </c>
    </row>
    <row r="2" spans="1:6">
      <c r="A2" s="29" t="s">
        <v>6</v>
      </c>
      <c r="B2" s="29">
        <v>1</v>
      </c>
      <c r="C2" s="29">
        <f>VLOOKUP('Experience Study'!A2,Policy_Data!$A$2:$J$20, 2)</f>
        <v>27</v>
      </c>
      <c r="D2" s="29" t="str">
        <f>VLOOKUP('Experience Study'!A2,Policy_Data!$A$2:$J$20, 3)</f>
        <v>Female</v>
      </c>
      <c r="E2" s="29">
        <f t="array" ref="E2">INDEX(Mortality_Table_Female!$B$2:$AB$97, MATCH('Experience Study'!$C$2,Mortality_Table_Female!$A$2:$A$97, 0 ), IF(B2&gt;25,26, MATCH('Experience Study'!B2, Mortality_Table_Female!$B$1:$AB$1, 0)))</f>
        <v>1.2E-4</v>
      </c>
    </row>
    <row r="3" spans="1:6">
      <c r="A3" t="s">
        <v>6</v>
      </c>
      <c r="B3">
        <f t="shared" ref="B3:B24" si="0">B2+1</f>
        <v>2</v>
      </c>
      <c r="C3">
        <f t="shared" ref="C3:C24" si="1">C2+1</f>
        <v>28</v>
      </c>
      <c r="D3" t="s">
        <v>7</v>
      </c>
      <c r="E3">
        <f t="array" ref="E3">INDEX(Mortality_Table_Female!$B$2:$AB$97, MATCH('Experience Study'!$C$2,Mortality_Table_Female!$A$2:$A$97, 0 ), IF(B3&gt;25,26, MATCH('Experience Study'!B3, Mortality_Table_Female!$B$1:$AB$1, 0)))</f>
        <v>1.7000000000000001E-4</v>
      </c>
    </row>
    <row r="4" spans="1:6">
      <c r="A4" t="s">
        <v>6</v>
      </c>
      <c r="B4">
        <f t="shared" si="0"/>
        <v>3</v>
      </c>
      <c r="C4">
        <f t="shared" si="1"/>
        <v>29</v>
      </c>
      <c r="D4" t="s">
        <v>7</v>
      </c>
      <c r="E4">
        <f t="array" ref="E4">INDEX(Mortality_Table_Female!$B$2:$AB$97, MATCH('Experience Study'!$C$2,Mortality_Table_Female!$A$2:$A$97, 0 ), IF(B4&gt;25,26, MATCH('Experience Study'!B4, Mortality_Table_Female!$B$1:$AB$1, 0)))</f>
        <v>2.0000000000000001E-4</v>
      </c>
    </row>
    <row r="5" spans="1:6">
      <c r="A5" t="s">
        <v>6</v>
      </c>
      <c r="B5">
        <f t="shared" si="0"/>
        <v>4</v>
      </c>
      <c r="C5">
        <f t="shared" si="1"/>
        <v>30</v>
      </c>
      <c r="D5" t="s">
        <v>7</v>
      </c>
      <c r="E5">
        <f t="array" ref="E5">INDEX(Mortality_Table_Female!$B$2:$AB$97, MATCH('Experience Study'!$C$2,Mortality_Table_Female!$A$2:$A$97, 0 ), IF(B5&gt;25,26, MATCH('Experience Study'!B5, Mortality_Table_Female!$B$1:$AB$1, 0)))</f>
        <v>2.2000000000000001E-4</v>
      </c>
    </row>
    <row r="6" spans="1:6">
      <c r="A6" t="s">
        <v>6</v>
      </c>
      <c r="B6">
        <f t="shared" si="0"/>
        <v>5</v>
      </c>
      <c r="C6">
        <f t="shared" si="1"/>
        <v>31</v>
      </c>
      <c r="D6" t="s">
        <v>7</v>
      </c>
      <c r="E6">
        <f t="array" ref="E6">INDEX(Mortality_Table_Female!$B$2:$AB$97, MATCH('Experience Study'!$C$2,Mortality_Table_Female!$A$2:$A$97, 0 ), IF(B6&gt;25,26, MATCH('Experience Study'!B6, Mortality_Table_Female!$B$1:$AB$1, 0)))</f>
        <v>2.5999999999999998E-4</v>
      </c>
    </row>
    <row r="7" spans="1:6">
      <c r="A7" t="s">
        <v>6</v>
      </c>
      <c r="B7">
        <f t="shared" si="0"/>
        <v>6</v>
      </c>
      <c r="C7">
        <f t="shared" si="1"/>
        <v>32</v>
      </c>
      <c r="D7" t="s">
        <v>7</v>
      </c>
      <c r="E7">
        <f t="array" ref="E7">INDEX(Mortality_Table_Female!$B$2:$AB$97, MATCH('Experience Study'!$C$2,Mortality_Table_Female!$A$2:$A$97, 0 ), IF(B7&gt;25,26, MATCH('Experience Study'!B7, Mortality_Table_Female!$B$1:$AB$1, 0)))</f>
        <v>2.9E-4</v>
      </c>
    </row>
    <row r="8" spans="1:6">
      <c r="A8" t="s">
        <v>6</v>
      </c>
      <c r="B8">
        <f t="shared" si="0"/>
        <v>7</v>
      </c>
      <c r="C8">
        <f t="shared" si="1"/>
        <v>33</v>
      </c>
      <c r="D8" t="s">
        <v>7</v>
      </c>
      <c r="E8">
        <f t="array" ref="E8">INDEX(Mortality_Table_Female!$B$2:$AB$97, MATCH('Experience Study'!$C$2,Mortality_Table_Female!$A$2:$A$97, 0 ), IF(B8&gt;25,26, MATCH('Experience Study'!B8, Mortality_Table_Female!$B$1:$AB$1, 0)))</f>
        <v>3.4000000000000002E-4</v>
      </c>
    </row>
    <row r="9" spans="1:6">
      <c r="A9" t="s">
        <v>6</v>
      </c>
      <c r="B9">
        <f t="shared" si="0"/>
        <v>8</v>
      </c>
      <c r="C9">
        <f t="shared" si="1"/>
        <v>34</v>
      </c>
      <c r="D9" t="s">
        <v>7</v>
      </c>
      <c r="E9">
        <f t="array" ref="E9">INDEX(Mortality_Table_Female!$B$2:$AB$97, MATCH('Experience Study'!$C$2,Mortality_Table_Female!$A$2:$A$97, 0 ), IF(B9&gt;25,26, MATCH('Experience Study'!B9, Mortality_Table_Female!$B$1:$AB$1, 0)))</f>
        <v>4.0000000000000002E-4</v>
      </c>
    </row>
    <row r="10" spans="1:6">
      <c r="A10" t="s">
        <v>6</v>
      </c>
      <c r="B10">
        <f t="shared" si="0"/>
        <v>9</v>
      </c>
      <c r="C10">
        <f t="shared" si="1"/>
        <v>35</v>
      </c>
      <c r="D10" t="s">
        <v>7</v>
      </c>
      <c r="E10">
        <f t="array" ref="E10">INDEX(Mortality_Table_Female!$B$2:$AB$97, MATCH('Experience Study'!$C$2,Mortality_Table_Female!$A$2:$A$97, 0 ), IF(B10&gt;25,26, MATCH('Experience Study'!B10, Mortality_Table_Female!$B$1:$AB$1, 0)))</f>
        <v>4.6999999999999999E-4</v>
      </c>
    </row>
    <row r="11" spans="1:6">
      <c r="A11" t="s">
        <v>6</v>
      </c>
      <c r="B11">
        <f t="shared" si="0"/>
        <v>10</v>
      </c>
      <c r="C11">
        <f t="shared" si="1"/>
        <v>36</v>
      </c>
      <c r="D11" t="s">
        <v>7</v>
      </c>
      <c r="E11">
        <f t="array" ref="E11">INDEX(Mortality_Table_Female!$B$2:$AB$97, MATCH('Experience Study'!$C$2,Mortality_Table_Female!$A$2:$A$97, 0 ), IF(B11&gt;25,26, MATCH('Experience Study'!B11, Mortality_Table_Female!$B$1:$AB$1, 0)))</f>
        <v>5.4000000000000001E-4</v>
      </c>
    </row>
    <row r="12" spans="1:6">
      <c r="A12" t="s">
        <v>6</v>
      </c>
      <c r="B12">
        <f t="shared" si="0"/>
        <v>11</v>
      </c>
      <c r="C12">
        <f t="shared" si="1"/>
        <v>37</v>
      </c>
      <c r="D12" t="s">
        <v>7</v>
      </c>
      <c r="E12">
        <f t="array" ref="E12">INDEX(Mortality_Table_Female!$B$2:$AB$97, MATCH('Experience Study'!$C$2,Mortality_Table_Female!$A$2:$A$97, 0 ), IF(B12&gt;25,26, MATCH('Experience Study'!B12, Mortality_Table_Female!$B$1:$AB$1, 0)))</f>
        <v>6.2E-4</v>
      </c>
    </row>
    <row r="13" spans="1:6">
      <c r="A13" t="s">
        <v>6</v>
      </c>
      <c r="B13">
        <f t="shared" si="0"/>
        <v>12</v>
      </c>
      <c r="C13">
        <f t="shared" si="1"/>
        <v>38</v>
      </c>
      <c r="D13" t="s">
        <v>7</v>
      </c>
      <c r="E13">
        <f t="array" ref="E13">INDEX(Mortality_Table_Female!$B$2:$AB$97, MATCH('Experience Study'!$C$2,Mortality_Table_Female!$A$2:$A$97, 0 ), IF(B13&gt;25,26, MATCH('Experience Study'!B13, Mortality_Table_Female!$B$1:$AB$1, 0)))</f>
        <v>7.2000000000000005E-4</v>
      </c>
    </row>
    <row r="14" spans="1:6">
      <c r="A14" t="s">
        <v>6</v>
      </c>
      <c r="B14">
        <f t="shared" si="0"/>
        <v>13</v>
      </c>
      <c r="C14">
        <f t="shared" si="1"/>
        <v>39</v>
      </c>
      <c r="D14" t="s">
        <v>7</v>
      </c>
      <c r="E14">
        <f t="array" ref="E14">INDEX(Mortality_Table_Female!$B$2:$AB$97, MATCH('Experience Study'!$C$2,Mortality_Table_Female!$A$2:$A$97, 0 ), IF(B14&gt;25,26, MATCH('Experience Study'!B14, Mortality_Table_Female!$B$1:$AB$1, 0)))</f>
        <v>8.3000000000000001E-4</v>
      </c>
    </row>
    <row r="15" spans="1:6">
      <c r="A15" t="s">
        <v>6</v>
      </c>
      <c r="B15">
        <f t="shared" si="0"/>
        <v>14</v>
      </c>
      <c r="C15">
        <f t="shared" si="1"/>
        <v>40</v>
      </c>
      <c r="D15" t="s">
        <v>7</v>
      </c>
      <c r="E15">
        <f t="array" ref="E15">INDEX(Mortality_Table_Female!$B$2:$AB$97, MATCH('Experience Study'!$C$2,Mortality_Table_Female!$A$2:$A$97, 0 ), IF(B15&gt;25,26, MATCH('Experience Study'!B15, Mortality_Table_Female!$B$1:$AB$1, 0)))</f>
        <v>9.2000000000000003E-4</v>
      </c>
    </row>
    <row r="16" spans="1:6">
      <c r="A16" t="s">
        <v>6</v>
      </c>
      <c r="B16">
        <f t="shared" si="0"/>
        <v>15</v>
      </c>
      <c r="C16">
        <f t="shared" si="1"/>
        <v>41</v>
      </c>
      <c r="D16" t="s">
        <v>7</v>
      </c>
      <c r="E16">
        <f t="array" ref="E16">INDEX(Mortality_Table_Female!$B$2:$AB$97, MATCH('Experience Study'!$C$2,Mortality_Table_Female!$A$2:$A$97, 0 ), IF(B16&gt;25,26, MATCH('Experience Study'!B16, Mortality_Table_Female!$B$1:$AB$1, 0)))</f>
        <v>9.8999999999999999E-4</v>
      </c>
    </row>
    <row r="17" spans="1:5">
      <c r="A17" t="s">
        <v>6</v>
      </c>
      <c r="B17">
        <f t="shared" si="0"/>
        <v>16</v>
      </c>
      <c r="C17">
        <f t="shared" si="1"/>
        <v>42</v>
      </c>
      <c r="D17" t="s">
        <v>7</v>
      </c>
      <c r="E17">
        <f t="array" ref="E17">INDEX(Mortality_Table_Female!$B$2:$AB$97, MATCH('Experience Study'!$C$2,Mortality_Table_Female!$A$2:$A$97, 0 ), IF(B17&gt;25,26, MATCH('Experience Study'!B17, Mortality_Table_Female!$B$1:$AB$1, 0)))</f>
        <v>1.0499999999999999E-3</v>
      </c>
    </row>
    <row r="18" spans="1:5">
      <c r="A18" t="s">
        <v>6</v>
      </c>
      <c r="B18">
        <f t="shared" si="0"/>
        <v>17</v>
      </c>
      <c r="C18">
        <f t="shared" si="1"/>
        <v>43</v>
      </c>
      <c r="D18" t="s">
        <v>7</v>
      </c>
      <c r="E18">
        <f t="array" ref="E18">INDEX(Mortality_Table_Female!$B$2:$AB$97, MATCH('Experience Study'!$C$2,Mortality_Table_Female!$A$2:$A$97, 0 ), IF(B18&gt;25,26, MATCH('Experience Study'!B18, Mortality_Table_Female!$B$1:$AB$1, 0)))</f>
        <v>1.1299999999999999E-3</v>
      </c>
    </row>
    <row r="19" spans="1:5">
      <c r="A19" t="s">
        <v>6</v>
      </c>
      <c r="B19">
        <f t="shared" si="0"/>
        <v>18</v>
      </c>
      <c r="C19">
        <f t="shared" si="1"/>
        <v>44</v>
      </c>
      <c r="D19" t="s">
        <v>7</v>
      </c>
      <c r="E19">
        <f t="array" ref="E19">INDEX(Mortality_Table_Female!$B$2:$AB$97, MATCH('Experience Study'!$C$2,Mortality_Table_Female!$A$2:$A$97, 0 ), IF(B19&gt;25,26, MATCH('Experience Study'!B19, Mortality_Table_Female!$B$1:$AB$1, 0)))</f>
        <v>1.23E-3</v>
      </c>
    </row>
    <row r="20" spans="1:5">
      <c r="A20" t="s">
        <v>6</v>
      </c>
      <c r="B20">
        <f t="shared" si="0"/>
        <v>19</v>
      </c>
      <c r="C20">
        <f t="shared" si="1"/>
        <v>45</v>
      </c>
      <c r="D20" t="s">
        <v>7</v>
      </c>
      <c r="E20">
        <f t="array" ref="E20">INDEX(Mortality_Table_Female!$B$2:$AB$97, MATCH('Experience Study'!$C$2,Mortality_Table_Female!$A$2:$A$97, 0 ), IF(B20&gt;25,26, MATCH('Experience Study'!B20, Mortality_Table_Female!$B$1:$AB$1, 0)))</f>
        <v>1.34E-3</v>
      </c>
    </row>
    <row r="21" spans="1:5">
      <c r="A21" t="s">
        <v>6</v>
      </c>
      <c r="B21">
        <f t="shared" si="0"/>
        <v>20</v>
      </c>
      <c r="C21">
        <f t="shared" si="1"/>
        <v>46</v>
      </c>
      <c r="D21" t="s">
        <v>7</v>
      </c>
      <c r="E21">
        <f t="array" ref="E21">INDEX(Mortality_Table_Female!$B$2:$AB$97, MATCH('Experience Study'!$C$2,Mortality_Table_Female!$A$2:$A$97, 0 ), IF(B21&gt;25,26, MATCH('Experience Study'!B21, Mortality_Table_Female!$B$1:$AB$1, 0)))</f>
        <v>1.47E-3</v>
      </c>
    </row>
    <row r="22" spans="1:5">
      <c r="A22" t="s">
        <v>6</v>
      </c>
      <c r="B22">
        <f t="shared" si="0"/>
        <v>21</v>
      </c>
      <c r="C22">
        <f t="shared" si="1"/>
        <v>47</v>
      </c>
      <c r="D22" t="s">
        <v>7</v>
      </c>
      <c r="E22">
        <f t="array" ref="E22">INDEX(Mortality_Table_Female!$B$2:$AB$97, MATCH('Experience Study'!$C$2,Mortality_Table_Female!$A$2:$A$97, 0 ), IF(B22&gt;25,26, MATCH('Experience Study'!B22, Mortality_Table_Female!$B$1:$AB$1, 0)))</f>
        <v>1.6000000000000001E-3</v>
      </c>
    </row>
    <row r="23" spans="1:5">
      <c r="A23" t="s">
        <v>6</v>
      </c>
      <c r="B23">
        <f t="shared" si="0"/>
        <v>22</v>
      </c>
      <c r="C23">
        <f t="shared" si="1"/>
        <v>48</v>
      </c>
      <c r="D23" t="s">
        <v>7</v>
      </c>
      <c r="E23">
        <f t="array" ref="E23">INDEX(Mortality_Table_Female!$B$2:$AB$97, MATCH('Experience Study'!$C$2,Mortality_Table_Female!$A$2:$A$97, 0 ), IF(B23&gt;25,26, MATCH('Experience Study'!B23, Mortality_Table_Female!$B$1:$AB$1, 0)))</f>
        <v>1.73E-3</v>
      </c>
    </row>
    <row r="24" spans="1:5">
      <c r="A24" s="30" t="s">
        <v>6</v>
      </c>
      <c r="B24" s="30">
        <f t="shared" si="0"/>
        <v>23</v>
      </c>
      <c r="C24" s="30">
        <f t="shared" si="1"/>
        <v>49</v>
      </c>
      <c r="D24" s="30" t="s">
        <v>7</v>
      </c>
      <c r="E24" s="30">
        <f t="array" ref="E24">INDEX(Mortality_Table_Female!$B$2:$AB$97, MATCH('Experience Study'!$C$2,Mortality_Table_Female!$A$2:$A$97, 0 ), IF(B24&gt;25,26, MATCH('Experience Study'!B24, Mortality_Table_Female!$B$1:$AB$1, 0)))</f>
        <v>1.8699999999999999E-3</v>
      </c>
    </row>
    <row r="26" spans="1:5">
      <c r="A26" t="s">
        <v>8</v>
      </c>
      <c r="B26">
        <v>1</v>
      </c>
      <c r="C26">
        <f>VLOOKUP('Experience Study'!A26,Policy_Data!$A$2:$J$20, 2)</f>
        <v>42</v>
      </c>
      <c r="D26" t="str">
        <f>VLOOKUP('Experience Study'!A26,Policy_Data!$A$2:$J$20, 3)</f>
        <v>Male</v>
      </c>
      <c r="E26">
        <f t="array" ref="E26">INDEX(Mortality_Table_Male!$B$2:$AB$97, MATCH('Experience Study'!$C$26,Mortality_Table_Male!$A$2:$A$97, 0 ), IF(B26&gt;25,26, MATCH('Experience Study'!B26, Mortality_Table_Male!$B$1:$AB$1, 0)))</f>
        <v>3.8999999999999999E-4</v>
      </c>
    </row>
    <row r="27" spans="1:5">
      <c r="A27" t="s">
        <v>8</v>
      </c>
      <c r="B27">
        <f t="shared" ref="B27:B36" si="2">B26+1</f>
        <v>2</v>
      </c>
      <c r="C27">
        <f t="shared" ref="C27:C36" si="3">C26+1</f>
        <v>43</v>
      </c>
      <c r="D27" t="s">
        <v>9</v>
      </c>
      <c r="E27">
        <f t="array" ref="E27">INDEX(Mortality_Table_Male!$B$2:$AB$97, MATCH('Experience Study'!$C$26,Mortality_Table_Male!$A$2:$A$97, 0 ), IF(B27&gt;25,26, MATCH('Experience Study'!B27, Mortality_Table_Male!$B$1:$AB$1, 0)))</f>
        <v>6.7000000000000002E-4</v>
      </c>
    </row>
    <row r="28" spans="1:5">
      <c r="A28" t="s">
        <v>8</v>
      </c>
      <c r="B28">
        <f t="shared" si="2"/>
        <v>3</v>
      </c>
      <c r="C28">
        <f t="shared" si="3"/>
        <v>44</v>
      </c>
      <c r="D28" t="s">
        <v>9</v>
      </c>
      <c r="E28">
        <f t="array" ref="E28">INDEX(Mortality_Table_Male!$B$2:$AB$97, MATCH('Experience Study'!$C$26,Mortality_Table_Male!$A$2:$A$97, 0 ), IF(B28&gt;25,26, MATCH('Experience Study'!B28, Mortality_Table_Male!$B$1:$AB$1, 0)))</f>
        <v>8.7000000000000001E-4</v>
      </c>
    </row>
    <row r="29" spans="1:5">
      <c r="A29" t="s">
        <v>8</v>
      </c>
      <c r="B29">
        <f t="shared" si="2"/>
        <v>4</v>
      </c>
      <c r="C29">
        <f t="shared" si="3"/>
        <v>45</v>
      </c>
      <c r="D29" t="s">
        <v>9</v>
      </c>
      <c r="E29">
        <f t="array" ref="E29">INDEX(Mortality_Table_Male!$B$2:$AB$97, MATCH('Experience Study'!$C$26,Mortality_Table_Male!$A$2:$A$97, 0 ), IF(B29&gt;25,26, MATCH('Experience Study'!B29, Mortality_Table_Male!$B$1:$AB$1, 0)))</f>
        <v>1.01E-3</v>
      </c>
    </row>
    <row r="30" spans="1:5">
      <c r="A30" t="s">
        <v>8</v>
      </c>
      <c r="B30">
        <f t="shared" si="2"/>
        <v>5</v>
      </c>
      <c r="C30">
        <f t="shared" si="3"/>
        <v>46</v>
      </c>
      <c r="D30" t="s">
        <v>9</v>
      </c>
      <c r="E30">
        <f t="array" ref="E30">INDEX(Mortality_Table_Male!$B$2:$AB$97, MATCH('Experience Study'!$C$26,Mortality_Table_Male!$A$2:$A$97, 0 ), IF(B30&gt;25,26, MATCH('Experience Study'!B30, Mortality_Table_Male!$B$1:$AB$1, 0)))</f>
        <v>1.17E-3</v>
      </c>
    </row>
    <row r="31" spans="1:5">
      <c r="A31" t="s">
        <v>8</v>
      </c>
      <c r="B31">
        <f t="shared" si="2"/>
        <v>6</v>
      </c>
      <c r="C31">
        <f t="shared" si="3"/>
        <v>47</v>
      </c>
      <c r="D31" t="s">
        <v>9</v>
      </c>
      <c r="E31">
        <f t="array" ref="E31">INDEX(Mortality_Table_Male!$B$2:$AB$97, MATCH('Experience Study'!$C$26,Mortality_Table_Male!$A$2:$A$97, 0 ), IF(B31&gt;25,26, MATCH('Experience Study'!B31, Mortality_Table_Male!$B$1:$AB$1, 0)))</f>
        <v>1.33E-3</v>
      </c>
    </row>
    <row r="32" spans="1:5">
      <c r="A32" t="s">
        <v>8</v>
      </c>
      <c r="B32">
        <f t="shared" si="2"/>
        <v>7</v>
      </c>
      <c r="C32">
        <f t="shared" si="3"/>
        <v>48</v>
      </c>
      <c r="D32" t="s">
        <v>9</v>
      </c>
      <c r="E32">
        <f t="array" ref="E32">INDEX(Mortality_Table_Male!$B$2:$AB$97, MATCH('Experience Study'!$C$26,Mortality_Table_Male!$A$2:$A$97, 0 ), IF(B32&gt;25,26, MATCH('Experience Study'!B32, Mortality_Table_Male!$B$1:$AB$1, 0)))</f>
        <v>1.5200000000000001E-3</v>
      </c>
    </row>
    <row r="33" spans="1:6">
      <c r="A33" t="s">
        <v>8</v>
      </c>
      <c r="B33">
        <f t="shared" si="2"/>
        <v>8</v>
      </c>
      <c r="C33">
        <f t="shared" si="3"/>
        <v>49</v>
      </c>
      <c r="D33" t="s">
        <v>9</v>
      </c>
      <c r="E33">
        <f t="array" ref="E33">INDEX(Mortality_Table_Male!$B$2:$AB$97, MATCH('Experience Study'!$C$26,Mortality_Table_Male!$A$2:$A$97, 0 ), IF(B33&gt;25,26, MATCH('Experience Study'!B33, Mortality_Table_Male!$B$1:$AB$1, 0)))</f>
        <v>1.74E-3</v>
      </c>
    </row>
    <row r="34" spans="1:6">
      <c r="A34" t="s">
        <v>8</v>
      </c>
      <c r="B34">
        <f t="shared" si="2"/>
        <v>9</v>
      </c>
      <c r="C34">
        <f t="shared" si="3"/>
        <v>50</v>
      </c>
      <c r="D34" t="s">
        <v>9</v>
      </c>
      <c r="E34">
        <f t="array" ref="E34">INDEX(Mortality_Table_Male!$B$2:$AB$97, MATCH('Experience Study'!$C$26,Mortality_Table_Male!$A$2:$A$97, 0 ), IF(B34&gt;25,26, MATCH('Experience Study'!B34, Mortality_Table_Male!$B$1:$AB$1, 0)))</f>
        <v>2E-3</v>
      </c>
    </row>
    <row r="35" spans="1:6">
      <c r="A35" t="s">
        <v>8</v>
      </c>
      <c r="B35">
        <f t="shared" si="2"/>
        <v>10</v>
      </c>
      <c r="C35">
        <f t="shared" si="3"/>
        <v>51</v>
      </c>
      <c r="D35" t="s">
        <v>9</v>
      </c>
      <c r="E35">
        <f t="array" ref="E35">INDEX(Mortality_Table_Male!$B$2:$AB$97, MATCH('Experience Study'!$C$26,Mortality_Table_Male!$A$2:$A$97, 0 ), IF(B35&gt;25,26, MATCH('Experience Study'!B35, Mortality_Table_Male!$B$1:$AB$1, 0)))</f>
        <v>2.2799999999999999E-3</v>
      </c>
    </row>
    <row r="36" spans="1:6">
      <c r="A36" s="30" t="s">
        <v>8</v>
      </c>
      <c r="B36" s="30">
        <f t="shared" si="2"/>
        <v>11</v>
      </c>
      <c r="C36" s="30">
        <f t="shared" si="3"/>
        <v>52</v>
      </c>
      <c r="D36" s="30" t="s">
        <v>9</v>
      </c>
      <c r="E36" s="30">
        <f t="array" ref="E36">INDEX(Mortality_Table_Male!$B$2:$AB$97, MATCH('Experience Study'!$C$26,Mortality_Table_Male!$A$2:$A$97, 0 ), IF(B36&gt;25,26, MATCH('Experience Study'!B36, Mortality_Table_Male!$B$1:$AB$1, 0)))</f>
        <v>2.5400000000000002E-3</v>
      </c>
    </row>
    <row r="38" spans="1:6">
      <c r="A38" t="s">
        <v>10</v>
      </c>
      <c r="B38">
        <v>1</v>
      </c>
      <c r="C38">
        <f>VLOOKUP('Experience Study'!A38,Policy_Data!$A$2:$J$20, 2)</f>
        <v>54</v>
      </c>
      <c r="D38" t="str">
        <f>VLOOKUP('Experience Study'!A38,Policy_Data!$A$2:$J$20, 3)</f>
        <v>Male</v>
      </c>
      <c r="E38">
        <f t="array" ref="E38">INDEX(Mortality_Table_Male!$B$2:$AB$97, MATCH('Experience Study'!$C$38,Mortality_Table_Male!$A$2:$A$97, 0 ), IF(B38&gt;25,26, MATCH('Experience Study'!B38, Mortality_Table_Male!$B$1:$AB$1, 0)))</f>
        <v>1.01E-3</v>
      </c>
    </row>
    <row r="39" spans="1:6">
      <c r="A39" t="s">
        <v>10</v>
      </c>
      <c r="B39">
        <f t="shared" ref="B39:B48" si="4">B38+1</f>
        <v>2</v>
      </c>
      <c r="C39">
        <f t="shared" ref="C39:C48" si="5">C38+1</f>
        <v>55</v>
      </c>
      <c r="D39" t="str">
        <f>VLOOKUP('Experience Study'!A39,Policy_Data!$A$2:$J$20, 3)</f>
        <v>Male</v>
      </c>
      <c r="E39">
        <f t="array" ref="E39">INDEX(Mortality_Table_Male!$B$2:$AB$97, MATCH('Experience Study'!$C$38,Mortality_Table_Male!$A$2:$A$97, 0 ), IF(B39&gt;25,26, MATCH('Experience Study'!B39, Mortality_Table_Male!$B$1:$AB$1, 0)))</f>
        <v>1.8500000000000001E-3</v>
      </c>
    </row>
    <row r="40" spans="1:6">
      <c r="A40" t="s">
        <v>10</v>
      </c>
      <c r="B40">
        <f t="shared" si="4"/>
        <v>3</v>
      </c>
      <c r="C40">
        <f t="shared" si="5"/>
        <v>56</v>
      </c>
      <c r="D40" t="str">
        <f>VLOOKUP('Experience Study'!A40,Policy_Data!$A$2:$J$20, 3)</f>
        <v>Male</v>
      </c>
      <c r="E40">
        <f t="array" ref="E40">INDEX(Mortality_Table_Male!$B$2:$AB$97, MATCH('Experience Study'!$C$38,Mortality_Table_Male!$A$2:$A$97, 0 ), IF(B40&gt;25,26, MATCH('Experience Study'!B40, Mortality_Table_Male!$B$1:$AB$1, 0)))</f>
        <v>2.7200000000000002E-3</v>
      </c>
    </row>
    <row r="41" spans="1:6">
      <c r="A41" t="s">
        <v>10</v>
      </c>
      <c r="B41">
        <f t="shared" si="4"/>
        <v>4</v>
      </c>
      <c r="C41">
        <f t="shared" si="5"/>
        <v>57</v>
      </c>
      <c r="D41" t="str">
        <f>VLOOKUP('Experience Study'!A41,Policy_Data!$A$2:$J$20, 3)</f>
        <v>Male</v>
      </c>
      <c r="E41">
        <f t="array" ref="E41">INDEX(Mortality_Table_Male!$B$2:$AB$97, MATCH('Experience Study'!$C$38,Mortality_Table_Male!$A$2:$A$97, 0 ), IF(B41&gt;25,26, MATCH('Experience Study'!B41, Mortality_Table_Male!$B$1:$AB$1, 0)))</f>
        <v>3.5100000000000001E-3</v>
      </c>
    </row>
    <row r="42" spans="1:6">
      <c r="A42" t="s">
        <v>10</v>
      </c>
      <c r="B42">
        <f t="shared" si="4"/>
        <v>5</v>
      </c>
      <c r="C42">
        <f t="shared" si="5"/>
        <v>58</v>
      </c>
      <c r="D42" t="str">
        <f>VLOOKUP('Experience Study'!A42,Policy_Data!$A$2:$J$20, 3)</f>
        <v>Male</v>
      </c>
      <c r="E42">
        <f t="array" ref="E42">INDEX(Mortality_Table_Male!$B$2:$AB$97, MATCH('Experience Study'!$C$38,Mortality_Table_Male!$A$2:$A$97, 0 ), IF(B42&gt;25,26, MATCH('Experience Study'!B42, Mortality_Table_Male!$B$1:$AB$1, 0)))</f>
        <v>4.0400000000000002E-3</v>
      </c>
    </row>
    <row r="43" spans="1:6">
      <c r="A43" t="s">
        <v>10</v>
      </c>
      <c r="B43">
        <f t="shared" si="4"/>
        <v>6</v>
      </c>
      <c r="C43">
        <f t="shared" si="5"/>
        <v>59</v>
      </c>
      <c r="D43" t="str">
        <f>VLOOKUP('Experience Study'!A43,Policy_Data!$A$2:$J$20, 3)</f>
        <v>Male</v>
      </c>
      <c r="E43">
        <f t="array" ref="E43">INDEX(Mortality_Table_Male!$B$2:$AB$97, MATCH('Experience Study'!$C$38,Mortality_Table_Male!$A$2:$A$97, 0 ), IF(B43&gt;25,26, MATCH('Experience Study'!B43, Mortality_Table_Male!$B$1:$AB$1, 0)))</f>
        <v>4.6100000000000004E-3</v>
      </c>
    </row>
    <row r="44" spans="1:6">
      <c r="A44" t="s">
        <v>10</v>
      </c>
      <c r="B44">
        <f t="shared" si="4"/>
        <v>7</v>
      </c>
      <c r="C44">
        <f t="shared" si="5"/>
        <v>60</v>
      </c>
      <c r="D44" t="str">
        <f>VLOOKUP('Experience Study'!A44,Policy_Data!$A$2:$J$20, 3)</f>
        <v>Male</v>
      </c>
      <c r="E44">
        <f t="array" ref="E44">INDEX(Mortality_Table_Male!$B$2:$AB$97, MATCH('Experience Study'!$C$38,Mortality_Table_Male!$A$2:$A$97, 0 ), IF(B44&gt;25,26, MATCH('Experience Study'!B44, Mortality_Table_Male!$B$1:$AB$1, 0)))</f>
        <v>5.3E-3</v>
      </c>
    </row>
    <row r="45" spans="1:6">
      <c r="A45" t="s">
        <v>10</v>
      </c>
      <c r="B45">
        <f t="shared" si="4"/>
        <v>8</v>
      </c>
      <c r="C45">
        <f t="shared" si="5"/>
        <v>61</v>
      </c>
      <c r="D45" t="str">
        <f>VLOOKUP('Experience Study'!A45,Policy_Data!$A$2:$J$20, 3)</f>
        <v>Male</v>
      </c>
      <c r="E45">
        <f t="array" ref="E45">INDEX(Mortality_Table_Male!$B$2:$AB$97, MATCH('Experience Study'!$C$38,Mortality_Table_Male!$A$2:$A$97, 0 ), IF(B45&gt;25,26, MATCH('Experience Study'!B45, Mortality_Table_Male!$B$1:$AB$1, 0)))</f>
        <v>6.1799999999999997E-3</v>
      </c>
    </row>
    <row r="46" spans="1:6">
      <c r="A46" t="s">
        <v>10</v>
      </c>
      <c r="B46">
        <f t="shared" si="4"/>
        <v>9</v>
      </c>
      <c r="C46">
        <f t="shared" si="5"/>
        <v>62</v>
      </c>
      <c r="D46" t="str">
        <f>VLOOKUP('Experience Study'!A46,Policy_Data!$A$2:$J$20, 3)</f>
        <v>Male</v>
      </c>
      <c r="E46">
        <f t="array" ref="E46">INDEX(Mortality_Table_Male!$B$2:$AB$97, MATCH('Experience Study'!$C$38,Mortality_Table_Male!$A$2:$A$97, 0 ), IF(B46&gt;25,26, MATCH('Experience Study'!B46, Mortality_Table_Male!$B$1:$AB$1, 0)))</f>
        <v>7.1700000000000002E-3</v>
      </c>
    </row>
    <row r="47" spans="1:6">
      <c r="A47" t="s">
        <v>10</v>
      </c>
      <c r="B47">
        <f t="shared" si="4"/>
        <v>10</v>
      </c>
      <c r="C47">
        <f t="shared" si="5"/>
        <v>63</v>
      </c>
      <c r="D47" t="str">
        <f>VLOOKUP('Experience Study'!A47,Policy_Data!$A$2:$J$20, 3)</f>
        <v>Male</v>
      </c>
      <c r="E47">
        <f t="array" ref="E47">INDEX(Mortality_Table_Male!$B$2:$AB$97, MATCH('Experience Study'!$C$38,Mortality_Table_Male!$A$2:$A$97, 0 ), IF(B47&gt;25,26, MATCH('Experience Study'!B47, Mortality_Table_Male!$B$1:$AB$1, 0)))</f>
        <v>8.0300000000000007E-3</v>
      </c>
    </row>
    <row r="48" spans="1:6">
      <c r="A48" t="s">
        <v>10</v>
      </c>
      <c r="B48">
        <f t="shared" si="4"/>
        <v>11</v>
      </c>
      <c r="C48">
        <f t="shared" si="5"/>
        <v>64</v>
      </c>
      <c r="D48" t="str">
        <f>VLOOKUP('Experience Study'!A48,Policy_Data!$A$2:$J$20, 3)</f>
        <v>Male</v>
      </c>
      <c r="E48">
        <f t="array" ref="E48">INDEX(Mortality_Table_Male!$B$2:$AB$97, MATCH('Experience Study'!$C$38,Mortality_Table_Male!$A$2:$A$97, 0 ), IF(B48&gt;25,26, MATCH('Experience Study'!B48, Mortality_Table_Male!$B$1:$AB$1, 0)))</f>
        <v>8.8699999999999994E-3</v>
      </c>
      <c r="F48">
        <v>1</v>
      </c>
    </row>
    <row r="50" spans="1:5">
      <c r="A50" t="s">
        <v>11</v>
      </c>
      <c r="B50">
        <v>1</v>
      </c>
      <c r="C50">
        <f>VLOOKUP('Experience Study'!A50,Policy_Data!$A$2:$J$20, 2)</f>
        <v>39</v>
      </c>
      <c r="D50" t="str">
        <f>VLOOKUP('Experience Study'!A50,Policy_Data!$A$2:$J$20, 3)</f>
        <v>Female</v>
      </c>
      <c r="E50">
        <f t="array" ref="E50">INDEX(Mortality_Table_Female!$B$2:$AB$97, MATCH('Experience Study'!$C$50,Mortality_Table_Female!$A$2:$A$97, 0 ), IF(B50&gt;25,26, MATCH('Experience Study'!B50, Mortality_Table_Female!$B$1:$AB$1, 0)))</f>
        <v>2.2000000000000001E-4</v>
      </c>
    </row>
    <row r="51" spans="1:5">
      <c r="A51" t="s">
        <v>11</v>
      </c>
      <c r="B51">
        <f t="shared" ref="B51:B67" si="6">B50+1</f>
        <v>2</v>
      </c>
      <c r="C51">
        <f t="shared" ref="C51:C67" si="7">C50+1</f>
        <v>40</v>
      </c>
      <c r="D51" t="str">
        <f>VLOOKUP('Experience Study'!A51,Policy_Data!$A$2:$J$20, 3)</f>
        <v>Female</v>
      </c>
      <c r="E51">
        <f t="array" ref="E51">INDEX(Mortality_Table_Female!$B$2:$AB$97, MATCH('Experience Study'!$C$50,Mortality_Table_Female!$A$2:$A$97, 0 ), IF(B51&gt;25,26, MATCH('Experience Study'!B51, Mortality_Table_Female!$B$1:$AB$1, 0)))</f>
        <v>3.3E-4</v>
      </c>
    </row>
    <row r="52" spans="1:5">
      <c r="A52" t="s">
        <v>11</v>
      </c>
      <c r="B52">
        <f t="shared" si="6"/>
        <v>3</v>
      </c>
      <c r="C52">
        <f t="shared" si="7"/>
        <v>41</v>
      </c>
      <c r="D52" t="str">
        <f>VLOOKUP('Experience Study'!A52,Policy_Data!$A$2:$J$20, 3)</f>
        <v>Female</v>
      </c>
      <c r="E52">
        <f t="array" ref="E52">INDEX(Mortality_Table_Female!$B$2:$AB$97, MATCH('Experience Study'!$C$50,Mortality_Table_Female!$A$2:$A$97, 0 ), IF(B52&gt;25,26, MATCH('Experience Study'!B52, Mortality_Table_Female!$B$1:$AB$1, 0)))</f>
        <v>4.8000000000000001E-4</v>
      </c>
    </row>
    <row r="53" spans="1:5">
      <c r="A53" t="s">
        <v>11</v>
      </c>
      <c r="B53">
        <f t="shared" si="6"/>
        <v>4</v>
      </c>
      <c r="C53">
        <f t="shared" si="7"/>
        <v>42</v>
      </c>
      <c r="D53" t="str">
        <f>VLOOKUP('Experience Study'!A53,Policy_Data!$A$2:$J$20, 3)</f>
        <v>Female</v>
      </c>
      <c r="E53">
        <f t="array" ref="E53">INDEX(Mortality_Table_Female!$B$2:$AB$97, MATCH('Experience Study'!$C$50,Mortality_Table_Female!$A$2:$A$97, 0 ), IF(B53&gt;25,26, MATCH('Experience Study'!B53, Mortality_Table_Female!$B$1:$AB$1, 0)))</f>
        <v>6.2E-4</v>
      </c>
    </row>
    <row r="54" spans="1:5">
      <c r="A54" t="s">
        <v>11</v>
      </c>
      <c r="B54">
        <f t="shared" si="6"/>
        <v>5</v>
      </c>
      <c r="C54">
        <f t="shared" si="7"/>
        <v>43</v>
      </c>
      <c r="D54" t="str">
        <f>VLOOKUP('Experience Study'!A54,Policy_Data!$A$2:$J$20, 3)</f>
        <v>Female</v>
      </c>
      <c r="E54">
        <f t="array" ref="E54">INDEX(Mortality_Table_Female!$B$2:$AB$97, MATCH('Experience Study'!$C$50,Mortality_Table_Female!$A$2:$A$97, 0 ), IF(B54&gt;25,26, MATCH('Experience Study'!B54, Mortality_Table_Female!$B$1:$AB$1, 0)))</f>
        <v>7.2000000000000005E-4</v>
      </c>
    </row>
    <row r="55" spans="1:5">
      <c r="A55" t="s">
        <v>11</v>
      </c>
      <c r="B55">
        <f t="shared" si="6"/>
        <v>6</v>
      </c>
      <c r="C55">
        <f t="shared" si="7"/>
        <v>44</v>
      </c>
      <c r="D55" t="str">
        <f>VLOOKUP('Experience Study'!A55,Policy_Data!$A$2:$J$20, 3)</f>
        <v>Female</v>
      </c>
      <c r="E55">
        <f t="array" ref="E55">INDEX(Mortality_Table_Female!$B$2:$AB$97, MATCH('Experience Study'!$C$50,Mortality_Table_Female!$A$2:$A$97, 0 ), IF(B55&gt;25,26, MATCH('Experience Study'!B55, Mortality_Table_Female!$B$1:$AB$1, 0)))</f>
        <v>7.9000000000000001E-4</v>
      </c>
    </row>
    <row r="56" spans="1:5">
      <c r="A56" t="s">
        <v>11</v>
      </c>
      <c r="B56">
        <f t="shared" si="6"/>
        <v>7</v>
      </c>
      <c r="C56">
        <f t="shared" si="7"/>
        <v>45</v>
      </c>
      <c r="D56" t="str">
        <f>VLOOKUP('Experience Study'!A56,Policy_Data!$A$2:$J$20, 3)</f>
        <v>Female</v>
      </c>
      <c r="E56">
        <f t="array" ref="E56">INDEX(Mortality_Table_Female!$B$2:$AB$97, MATCH('Experience Study'!$C$50,Mortality_Table_Female!$A$2:$A$97, 0 ), IF(B56&gt;25,26, MATCH('Experience Study'!B56, Mortality_Table_Female!$B$1:$AB$1, 0)))</f>
        <v>8.4999999999999995E-4</v>
      </c>
    </row>
    <row r="57" spans="1:5">
      <c r="A57" t="s">
        <v>11</v>
      </c>
      <c r="B57">
        <f t="shared" si="6"/>
        <v>8</v>
      </c>
      <c r="C57">
        <f t="shared" si="7"/>
        <v>46</v>
      </c>
      <c r="D57" t="str">
        <f>VLOOKUP('Experience Study'!A57,Policy_Data!$A$2:$J$20, 3)</f>
        <v>Female</v>
      </c>
      <c r="E57">
        <f t="array" ref="E57">INDEX(Mortality_Table_Female!$B$2:$AB$97, MATCH('Experience Study'!$C$50,Mortality_Table_Female!$A$2:$A$97, 0 ), IF(B57&gt;25,26, MATCH('Experience Study'!B57, Mortality_Table_Female!$B$1:$AB$1, 0)))</f>
        <v>9.7999999999999997E-4</v>
      </c>
    </row>
    <row r="58" spans="1:5">
      <c r="A58" t="s">
        <v>11</v>
      </c>
      <c r="B58">
        <f t="shared" si="6"/>
        <v>9</v>
      </c>
      <c r="C58">
        <f t="shared" si="7"/>
        <v>47</v>
      </c>
      <c r="D58" t="str">
        <f>VLOOKUP('Experience Study'!A58,Policy_Data!$A$2:$J$20, 3)</f>
        <v>Female</v>
      </c>
      <c r="E58">
        <f t="array" ref="E58">INDEX(Mortality_Table_Female!$B$2:$AB$97, MATCH('Experience Study'!$C$50,Mortality_Table_Female!$A$2:$A$97, 0 ), IF(B58&gt;25,26, MATCH('Experience Study'!B58, Mortality_Table_Female!$B$1:$AB$1, 0)))</f>
        <v>1.1100000000000001E-3</v>
      </c>
    </row>
    <row r="59" spans="1:5">
      <c r="A59" t="s">
        <v>11</v>
      </c>
      <c r="B59">
        <f t="shared" si="6"/>
        <v>10</v>
      </c>
      <c r="C59">
        <f t="shared" si="7"/>
        <v>48</v>
      </c>
      <c r="D59" t="str">
        <f>VLOOKUP('Experience Study'!A59,Policy_Data!$A$2:$J$20, 3)</f>
        <v>Female</v>
      </c>
      <c r="E59">
        <f t="array" ref="E59">INDEX(Mortality_Table_Female!$B$2:$AB$97, MATCH('Experience Study'!$C$50,Mortality_Table_Female!$A$2:$A$97, 0 ), IF(B59&gt;25,26, MATCH('Experience Study'!B59, Mortality_Table_Female!$B$1:$AB$1, 0)))</f>
        <v>1.2899999999999999E-3</v>
      </c>
    </row>
    <row r="60" spans="1:5">
      <c r="A60" t="s">
        <v>11</v>
      </c>
      <c r="B60">
        <f t="shared" si="6"/>
        <v>11</v>
      </c>
      <c r="C60">
        <f t="shared" si="7"/>
        <v>49</v>
      </c>
      <c r="D60" t="str">
        <f>VLOOKUP('Experience Study'!A60,Policy_Data!$A$2:$J$20, 3)</f>
        <v>Female</v>
      </c>
      <c r="E60">
        <f t="array" ref="E60">INDEX(Mortality_Table_Female!$B$2:$AB$97, MATCH('Experience Study'!$C$50,Mortality_Table_Female!$A$2:$A$97, 0 ), IF(B60&gt;25,26, MATCH('Experience Study'!B60, Mortality_Table_Female!$B$1:$AB$1, 0)))</f>
        <v>1.49E-3</v>
      </c>
    </row>
    <row r="61" spans="1:5">
      <c r="A61" t="s">
        <v>11</v>
      </c>
      <c r="B61">
        <f t="shared" si="6"/>
        <v>12</v>
      </c>
      <c r="C61">
        <f t="shared" si="7"/>
        <v>50</v>
      </c>
      <c r="D61" t="str">
        <f>VLOOKUP('Experience Study'!A61,Policy_Data!$A$2:$J$20, 3)</f>
        <v>Female</v>
      </c>
      <c r="E61">
        <f t="array" ref="E61">INDEX(Mortality_Table_Female!$B$2:$AB$97, MATCH('Experience Study'!$C$50,Mortality_Table_Female!$A$2:$A$97, 0 ), IF(B61&gt;25,26, MATCH('Experience Study'!B61, Mortality_Table_Female!$B$1:$AB$1, 0)))</f>
        <v>1.6900000000000001E-3</v>
      </c>
    </row>
    <row r="62" spans="1:5">
      <c r="A62" t="s">
        <v>11</v>
      </c>
      <c r="B62">
        <f t="shared" si="6"/>
        <v>13</v>
      </c>
      <c r="C62">
        <f t="shared" si="7"/>
        <v>51</v>
      </c>
      <c r="D62" t="str">
        <f>VLOOKUP('Experience Study'!A62,Policy_Data!$A$2:$J$20, 3)</f>
        <v>Female</v>
      </c>
      <c r="E62">
        <f t="array" ref="E62">INDEX(Mortality_Table_Female!$B$2:$AB$97, MATCH('Experience Study'!$C$50,Mortality_Table_Female!$A$2:$A$97, 0 ), IF(B62&gt;25,26, MATCH('Experience Study'!B62, Mortality_Table_Female!$B$1:$AB$1, 0)))</f>
        <v>1.9E-3</v>
      </c>
    </row>
    <row r="63" spans="1:5">
      <c r="A63" t="s">
        <v>11</v>
      </c>
      <c r="B63">
        <f t="shared" si="6"/>
        <v>14</v>
      </c>
      <c r="C63">
        <f t="shared" si="7"/>
        <v>52</v>
      </c>
      <c r="D63" t="str">
        <f>VLOOKUP('Experience Study'!A63,Policy_Data!$A$2:$J$20, 3)</f>
        <v>Female</v>
      </c>
      <c r="E63">
        <f t="array" ref="E63">INDEX(Mortality_Table_Female!$B$2:$AB$97, MATCH('Experience Study'!$C$50,Mortality_Table_Female!$A$2:$A$97, 0 ), IF(B63&gt;25,26, MATCH('Experience Study'!B63, Mortality_Table_Female!$B$1:$AB$1, 0)))</f>
        <v>2.0899999999999998E-3</v>
      </c>
    </row>
    <row r="64" spans="1:5">
      <c r="A64" t="s">
        <v>11</v>
      </c>
      <c r="B64">
        <f t="shared" si="6"/>
        <v>15</v>
      </c>
      <c r="C64">
        <f t="shared" si="7"/>
        <v>53</v>
      </c>
      <c r="D64" t="str">
        <f>VLOOKUP('Experience Study'!A64,Policy_Data!$A$2:$J$20, 3)</f>
        <v>Female</v>
      </c>
      <c r="E64">
        <f t="array" ref="E64">INDEX(Mortality_Table_Female!$B$2:$AB$97, MATCH('Experience Study'!$C$50,Mortality_Table_Female!$A$2:$A$97, 0 ), IF(B64&gt;25,26, MATCH('Experience Study'!B64, Mortality_Table_Female!$B$1:$AB$1, 0)))</f>
        <v>2.2899999999999999E-3</v>
      </c>
    </row>
    <row r="65" spans="1:5">
      <c r="A65" t="s">
        <v>11</v>
      </c>
      <c r="B65">
        <f t="shared" si="6"/>
        <v>16</v>
      </c>
      <c r="C65">
        <f t="shared" si="7"/>
        <v>54</v>
      </c>
      <c r="D65" t="str">
        <f>VLOOKUP('Experience Study'!A65,Policy_Data!$A$2:$J$20, 3)</f>
        <v>Female</v>
      </c>
      <c r="E65">
        <f t="array" ref="E65">INDEX(Mortality_Table_Female!$B$2:$AB$97, MATCH('Experience Study'!$C$50,Mortality_Table_Female!$A$2:$A$97, 0 ), IF(B65&gt;25,26, MATCH('Experience Study'!B65, Mortality_Table_Female!$B$1:$AB$1, 0)))</f>
        <v>2.5400000000000002E-3</v>
      </c>
    </row>
    <row r="66" spans="1:5">
      <c r="A66" t="s">
        <v>11</v>
      </c>
      <c r="B66">
        <f t="shared" si="6"/>
        <v>17</v>
      </c>
      <c r="C66">
        <f t="shared" si="7"/>
        <v>55</v>
      </c>
      <c r="D66" t="str">
        <f>VLOOKUP('Experience Study'!A66,Policy_Data!$A$2:$J$20, 3)</f>
        <v>Female</v>
      </c>
      <c r="E66">
        <f t="array" ref="E66">INDEX(Mortality_Table_Female!$B$2:$AB$97, MATCH('Experience Study'!$C$50,Mortality_Table_Female!$A$2:$A$97, 0 ), IF(B66&gt;25,26, MATCH('Experience Study'!B66, Mortality_Table_Female!$B$1:$AB$1, 0)))</f>
        <v>2.8400000000000001E-3</v>
      </c>
    </row>
    <row r="67" spans="1:5">
      <c r="A67" t="s">
        <v>11</v>
      </c>
      <c r="B67">
        <f t="shared" si="6"/>
        <v>18</v>
      </c>
      <c r="C67">
        <f t="shared" si="7"/>
        <v>56</v>
      </c>
      <c r="D67" t="str">
        <f>VLOOKUP('Experience Study'!A67,Policy_Data!$A$2:$J$20, 3)</f>
        <v>Female</v>
      </c>
      <c r="E67">
        <f t="array" ref="E67">INDEX(Mortality_Table_Female!$B$2:$AB$97, MATCH('Experience Study'!$C$50,Mortality_Table_Female!$A$2:$A$97, 0 ), IF(B67&gt;25,26, MATCH('Experience Study'!B67, Mortality_Table_Female!$B$1:$AB$1, 0)))</f>
        <v>3.1800000000000001E-3</v>
      </c>
    </row>
    <row r="69" spans="1:5">
      <c r="A69" t="s">
        <v>12</v>
      </c>
      <c r="B69">
        <v>1</v>
      </c>
      <c r="C69">
        <f>VLOOKUP('Experience Study'!A69,Policy_Data!$A$2:$J$20, 2)</f>
        <v>52</v>
      </c>
      <c r="D69" t="str">
        <f>VLOOKUP('Experience Study'!A69,Policy_Data!$A$2:$J$20, 3)</f>
        <v>Female</v>
      </c>
      <c r="E69">
        <f t="array" ref="E69">INDEX(Mortality_Table_Female!$B$2:$AB$97, MATCH('Experience Study'!$C$69,Mortality_Table_Female!$A$2:$A$97, 0 ), IF(B69&gt;25,26, MATCH('Experience Study'!B69, Mortality_Table_Female!$B$1:$AB$1, 0)))</f>
        <v>4.6000000000000001E-4</v>
      </c>
    </row>
    <row r="70" spans="1:5">
      <c r="A70" t="s">
        <v>12</v>
      </c>
      <c r="B70">
        <f t="shared" ref="B70:B79" si="8">B69+1</f>
        <v>2</v>
      </c>
      <c r="C70">
        <f t="shared" ref="C70:C79" si="9">C69+1</f>
        <v>53</v>
      </c>
      <c r="D70" t="str">
        <f>VLOOKUP('Experience Study'!A70,Policy_Data!$A$2:$J$20, 3)</f>
        <v>Female</v>
      </c>
      <c r="E70">
        <f t="array" ref="E70">INDEX(Mortality_Table_Female!$B$2:$AB$97, MATCH('Experience Study'!$C$69,Mortality_Table_Female!$A$2:$A$97, 0 ), IF(B70&gt;25,26, MATCH('Experience Study'!B70, Mortality_Table_Female!$B$1:$AB$1, 0)))</f>
        <v>1.0499999999999999E-3</v>
      </c>
    </row>
    <row r="71" spans="1:5">
      <c r="A71" t="s">
        <v>12</v>
      </c>
      <c r="B71">
        <f t="shared" si="8"/>
        <v>3</v>
      </c>
      <c r="C71">
        <f t="shared" si="9"/>
        <v>54</v>
      </c>
      <c r="D71" t="str">
        <f>VLOOKUP('Experience Study'!A71,Policy_Data!$A$2:$J$20, 3)</f>
        <v>Female</v>
      </c>
      <c r="E71">
        <f t="array" ref="E71">INDEX(Mortality_Table_Female!$B$2:$AB$97, MATCH('Experience Study'!$C$69,Mortality_Table_Female!$A$2:$A$97, 0 ), IF(B71&gt;25,26, MATCH('Experience Study'!B71, Mortality_Table_Female!$B$1:$AB$1, 0)))</f>
        <v>1.5499999999999999E-3</v>
      </c>
    </row>
    <row r="72" spans="1:5">
      <c r="A72" t="s">
        <v>12</v>
      </c>
      <c r="B72">
        <f t="shared" si="8"/>
        <v>4</v>
      </c>
      <c r="C72">
        <f t="shared" si="9"/>
        <v>55</v>
      </c>
      <c r="D72" t="str">
        <f>VLOOKUP('Experience Study'!A72,Policy_Data!$A$2:$J$20, 3)</f>
        <v>Female</v>
      </c>
      <c r="E72">
        <f t="array" ref="E72">INDEX(Mortality_Table_Female!$B$2:$AB$97, MATCH('Experience Study'!$C$69,Mortality_Table_Female!$A$2:$A$97, 0 ), IF(B72&gt;25,26, MATCH('Experience Study'!B72, Mortality_Table_Female!$B$1:$AB$1, 0)))</f>
        <v>1.8699999999999999E-3</v>
      </c>
    </row>
    <row r="73" spans="1:5">
      <c r="A73" t="s">
        <v>12</v>
      </c>
      <c r="B73">
        <f t="shared" si="8"/>
        <v>5</v>
      </c>
      <c r="C73">
        <f t="shared" si="9"/>
        <v>56</v>
      </c>
      <c r="D73" t="str">
        <f>VLOOKUP('Experience Study'!A73,Policy_Data!$A$2:$J$20, 3)</f>
        <v>Female</v>
      </c>
      <c r="E73">
        <f t="array" ref="E73">INDEX(Mortality_Table_Female!$B$2:$AB$97, MATCH('Experience Study'!$C$69,Mortality_Table_Female!$A$2:$A$97, 0 ), IF(B73&gt;25,26, MATCH('Experience Study'!B73, Mortality_Table_Female!$B$1:$AB$1, 0)))</f>
        <v>2.1800000000000001E-3</v>
      </c>
    </row>
    <row r="74" spans="1:5">
      <c r="A74" t="s">
        <v>12</v>
      </c>
      <c r="B74">
        <f t="shared" si="8"/>
        <v>6</v>
      </c>
      <c r="C74">
        <f t="shared" si="9"/>
        <v>57</v>
      </c>
      <c r="D74" t="str">
        <f>VLOOKUP('Experience Study'!A74,Policy_Data!$A$2:$J$20, 3)</f>
        <v>Female</v>
      </c>
      <c r="E74">
        <f t="array" ref="E74">INDEX(Mortality_Table_Female!$B$2:$AB$97, MATCH('Experience Study'!$C$69,Mortality_Table_Female!$A$2:$A$97, 0 ), IF(B74&gt;25,26, MATCH('Experience Study'!B74, Mortality_Table_Female!$B$1:$AB$1, 0)))</f>
        <v>2.49E-3</v>
      </c>
    </row>
    <row r="75" spans="1:5">
      <c r="A75" t="s">
        <v>12</v>
      </c>
      <c r="B75">
        <f t="shared" si="8"/>
        <v>7</v>
      </c>
      <c r="C75">
        <f t="shared" si="9"/>
        <v>58</v>
      </c>
      <c r="D75" t="str">
        <f>VLOOKUP('Experience Study'!A75,Policy_Data!$A$2:$J$20, 3)</f>
        <v>Female</v>
      </c>
      <c r="E75">
        <f t="array" ref="E75">INDEX(Mortality_Table_Female!$B$2:$AB$97, MATCH('Experience Study'!$C$69,Mortality_Table_Female!$A$2:$A$97, 0 ), IF(B75&gt;25,26, MATCH('Experience Study'!B75, Mortality_Table_Female!$B$1:$AB$1, 0)))</f>
        <v>2.8400000000000001E-3</v>
      </c>
    </row>
    <row r="76" spans="1:5">
      <c r="A76" t="s">
        <v>12</v>
      </c>
      <c r="B76">
        <f t="shared" si="8"/>
        <v>8</v>
      </c>
      <c r="C76">
        <f t="shared" si="9"/>
        <v>59</v>
      </c>
      <c r="D76" t="str">
        <f>VLOOKUP('Experience Study'!A76,Policy_Data!$A$2:$J$20, 3)</f>
        <v>Female</v>
      </c>
      <c r="E76">
        <f t="array" ref="E76">INDEX(Mortality_Table_Female!$B$2:$AB$97, MATCH('Experience Study'!$C$69,Mortality_Table_Female!$A$2:$A$97, 0 ), IF(B76&gt;25,26, MATCH('Experience Study'!B76, Mortality_Table_Female!$B$1:$AB$1, 0)))</f>
        <v>3.2200000000000002E-3</v>
      </c>
    </row>
    <row r="77" spans="1:5">
      <c r="A77" t="s">
        <v>12</v>
      </c>
      <c r="B77">
        <f t="shared" si="8"/>
        <v>9</v>
      </c>
      <c r="C77">
        <f t="shared" si="9"/>
        <v>60</v>
      </c>
      <c r="D77" t="str">
        <f>VLOOKUP('Experience Study'!A77,Policy_Data!$A$2:$J$20, 3)</f>
        <v>Female</v>
      </c>
      <c r="E77">
        <f t="array" ref="E77">INDEX(Mortality_Table_Female!$B$2:$AB$97, MATCH('Experience Study'!$C$69,Mortality_Table_Female!$A$2:$A$97, 0 ), IF(B77&gt;25,26, MATCH('Experience Study'!B77, Mortality_Table_Female!$B$1:$AB$1, 0)))</f>
        <v>3.6900000000000001E-3</v>
      </c>
    </row>
    <row r="78" spans="1:5">
      <c r="A78" t="s">
        <v>12</v>
      </c>
      <c r="B78">
        <f t="shared" si="8"/>
        <v>10</v>
      </c>
      <c r="C78">
        <f t="shared" si="9"/>
        <v>61</v>
      </c>
      <c r="D78" t="str">
        <f>VLOOKUP('Experience Study'!A78,Policy_Data!$A$2:$J$20, 3)</f>
        <v>Female</v>
      </c>
      <c r="E78">
        <f t="array" ref="E78">INDEX(Mortality_Table_Female!$B$2:$AB$97, MATCH('Experience Study'!$C$69,Mortality_Table_Female!$A$2:$A$97, 0 ), IF(B78&gt;25,26, MATCH('Experience Study'!B78, Mortality_Table_Female!$B$1:$AB$1, 0)))</f>
        <v>4.2599999999999999E-3</v>
      </c>
    </row>
    <row r="79" spans="1:5">
      <c r="A79" t="s">
        <v>12</v>
      </c>
      <c r="B79">
        <f t="shared" si="8"/>
        <v>11</v>
      </c>
      <c r="C79">
        <f t="shared" si="9"/>
        <v>62</v>
      </c>
      <c r="D79" t="str">
        <f>VLOOKUP('Experience Study'!A79,Policy_Data!$A$2:$J$20, 3)</f>
        <v>Female</v>
      </c>
      <c r="E79">
        <f t="array" ref="E79">INDEX(Mortality_Table_Female!$B$2:$AB$97, MATCH('Experience Study'!$C$69,Mortality_Table_Female!$A$2:$A$97, 0 ), IF(B79&gt;25,26, MATCH('Experience Study'!B79, Mortality_Table_Female!$B$1:$AB$1, 0)))</f>
        <v>4.8399999999999997E-3</v>
      </c>
    </row>
    <row r="81" spans="1:5">
      <c r="A81" t="s">
        <v>13</v>
      </c>
      <c r="B81">
        <v>1</v>
      </c>
      <c r="C81">
        <f>VLOOKUP('Experience Study'!A81,Policy_Data!$A$2:$J$20, 2)</f>
        <v>47</v>
      </c>
      <c r="D81" t="str">
        <f>VLOOKUP('Experience Study'!A81,Policy_Data!$A$2:$J$20, 3)</f>
        <v>Female</v>
      </c>
      <c r="E81">
        <f t="array" ref="E81">INDEX(Mortality_Table_Female!$B$2:$AB$97, MATCH('Experience Study'!$C$81,Mortality_Table_Female!$A$2:$A$97, 0 ), IF(B81&gt;25,26, MATCH('Experience Study'!B81, Mortality_Table_Female!$B$1:$AB$1, 0)))</f>
        <v>3.6000000000000002E-4</v>
      </c>
    </row>
    <row r="82" spans="1:5">
      <c r="A82" t="s">
        <v>13</v>
      </c>
      <c r="B82">
        <f t="shared" ref="B82:C84" si="10">B81+1</f>
        <v>2</v>
      </c>
      <c r="C82">
        <f t="shared" si="10"/>
        <v>48</v>
      </c>
      <c r="D82" t="str">
        <f>VLOOKUP('Experience Study'!A82,Policy_Data!$A$2:$J$20, 3)</f>
        <v>Female</v>
      </c>
      <c r="E82">
        <f t="array" ref="E82">INDEX(Mortality_Table_Female!$B$2:$AB$97, MATCH('Experience Study'!$C$81,Mortality_Table_Female!$A$2:$A$97, 0 ), IF(B82&gt;25,26, MATCH('Experience Study'!B82, Mortality_Table_Female!$B$1:$AB$1, 0)))</f>
        <v>4.8999999999999998E-4</v>
      </c>
    </row>
    <row r="83" spans="1:5">
      <c r="A83" t="s">
        <v>13</v>
      </c>
      <c r="B83">
        <f t="shared" si="10"/>
        <v>3</v>
      </c>
      <c r="C83">
        <f t="shared" si="10"/>
        <v>49</v>
      </c>
      <c r="D83" t="str">
        <f>VLOOKUP('Experience Study'!A83,Policy_Data!$A$2:$J$20, 3)</f>
        <v>Female</v>
      </c>
      <c r="E83">
        <f t="array" ref="E83">INDEX(Mortality_Table_Female!$B$2:$AB$97, MATCH('Experience Study'!$C$81,Mortality_Table_Female!$A$2:$A$97, 0 ), IF(B83&gt;25,26, MATCH('Experience Study'!B83, Mortality_Table_Female!$B$1:$AB$1, 0)))</f>
        <v>8.4999999999999995E-4</v>
      </c>
    </row>
    <row r="84" spans="1:5">
      <c r="A84" t="s">
        <v>13</v>
      </c>
      <c r="B84">
        <f t="shared" si="10"/>
        <v>4</v>
      </c>
      <c r="C84">
        <f t="shared" si="10"/>
        <v>50</v>
      </c>
      <c r="D84" t="str">
        <f>VLOOKUP('Experience Study'!A84,Policy_Data!$A$2:$J$20, 3)</f>
        <v>Female</v>
      </c>
      <c r="E84">
        <f t="array" ref="E84">INDEX(Mortality_Table_Female!$B$2:$AB$97, MATCH('Experience Study'!$C$81,Mortality_Table_Female!$A$2:$A$97, 0 ), IF(B84&gt;25,26, MATCH('Experience Study'!B84, Mortality_Table_Female!$B$1:$AB$1, 0)))</f>
        <v>1.15E-3</v>
      </c>
    </row>
    <row r="86" spans="1:5">
      <c r="A86" t="s">
        <v>14</v>
      </c>
      <c r="B86">
        <v>1</v>
      </c>
      <c r="C86">
        <f>VLOOKUP('Experience Study'!A86,Policy_Data!$A$2:$J$20, 2)</f>
        <v>59</v>
      </c>
      <c r="D86" t="str">
        <f>VLOOKUP('Experience Study'!A86,Policy_Data!$A$2:$J$20, 3)</f>
        <v>Male</v>
      </c>
      <c r="E86">
        <f t="array" ref="E86">INDEX(Mortality_Table_Male!$B$2:$AB$97, MATCH('Experience Study'!$C$86,Mortality_Table_Male!$A$2:$A$97, 0 ), IF(B86&gt;25,26, MATCH('Experience Study'!B86, Mortality_Table_Male!$B$1:$AB$1, 0)))</f>
        <v>1.81E-3</v>
      </c>
    </row>
    <row r="87" spans="1:5">
      <c r="A87" t="s">
        <v>14</v>
      </c>
      <c r="B87">
        <f>B86+1</f>
        <v>2</v>
      </c>
      <c r="C87">
        <f>C86+1</f>
        <v>60</v>
      </c>
      <c r="D87" t="str">
        <f>VLOOKUP('Experience Study'!A87,Policy_Data!$A$2:$J$20, 3)</f>
        <v>Male</v>
      </c>
      <c r="E87">
        <f t="array" ref="E87">INDEX(Mortality_Table_Male!$B$2:$AB$97, MATCH('Experience Study'!$C$86,Mortality_Table_Male!$A$2:$A$97, 0 ), IF(B87&gt;25,26, MATCH('Experience Study'!B87, Mortality_Table_Male!$B$1:$AB$1, 0)))</f>
        <v>2.6199999999999999E-3</v>
      </c>
    </row>
    <row r="88" spans="1:5">
      <c r="A88" t="s">
        <v>14</v>
      </c>
      <c r="B88">
        <f>B87+1</f>
        <v>3</v>
      </c>
      <c r="C88">
        <f>C87+1</f>
        <v>61</v>
      </c>
      <c r="D88" t="str">
        <f>VLOOKUP('Experience Study'!A88,Policy_Data!$A$2:$J$20, 3)</f>
        <v>Male</v>
      </c>
      <c r="E88">
        <f t="array" ref="E88">INDEX(Mortality_Table_Male!$B$2:$AB$97, MATCH('Experience Study'!$C$86,Mortality_Table_Male!$A$2:$A$97, 0 ), IF(B88&gt;25,26, MATCH('Experience Study'!B88, Mortality_Table_Male!$B$1:$AB$1, 0)))</f>
        <v>4.3800000000000002E-3</v>
      </c>
    </row>
    <row r="90" spans="1:5">
      <c r="A90" t="s">
        <v>15</v>
      </c>
      <c r="B90">
        <v>1</v>
      </c>
      <c r="C90">
        <f>VLOOKUP('Experience Study'!A90,Policy_Data!$A$2:$J$20, 2)</f>
        <v>49</v>
      </c>
      <c r="D90" t="str">
        <f>VLOOKUP('Experience Study'!A90,Policy_Data!$A$2:$J$20, 3)</f>
        <v>Female</v>
      </c>
      <c r="E90">
        <f t="array" ref="E90">INDEX(Mortality_Table_Female!$B$2:$AB$97, MATCH('Experience Study'!$C$90,Mortality_Table_Female!$A$2:$A$97, 0 ), IF(B90&gt;25,26, MATCH('Experience Study'!B90, Mortality_Table_Female!$B$1:$AB$1, 0)))</f>
        <v>4.0000000000000002E-4</v>
      </c>
    </row>
    <row r="91" spans="1:5">
      <c r="A91" t="s">
        <v>15</v>
      </c>
      <c r="B91">
        <f t="shared" ref="B91:B107" si="11">B90+1</f>
        <v>2</v>
      </c>
      <c r="C91">
        <f t="shared" ref="C91:C107" si="12">C90+1</f>
        <v>50</v>
      </c>
      <c r="D91" t="str">
        <f>VLOOKUP('Experience Study'!A91,Policy_Data!$A$2:$J$20, 3)</f>
        <v>Female</v>
      </c>
      <c r="E91">
        <f t="array" ref="E91">INDEX(Mortality_Table_Female!$B$2:$AB$97, MATCH('Experience Study'!$C$90,Mortality_Table_Female!$A$2:$A$97, 0 ), IF(B91&gt;25,26, MATCH('Experience Study'!B91, Mortality_Table_Female!$B$1:$AB$1, 0)))</f>
        <v>5.9999999999999995E-4</v>
      </c>
    </row>
    <row r="92" spans="1:5">
      <c r="A92" t="s">
        <v>15</v>
      </c>
      <c r="B92">
        <f t="shared" si="11"/>
        <v>3</v>
      </c>
      <c r="C92">
        <f t="shared" si="12"/>
        <v>51</v>
      </c>
      <c r="D92" t="str">
        <f>VLOOKUP('Experience Study'!A92,Policy_Data!$A$2:$J$20, 3)</f>
        <v>Female</v>
      </c>
      <c r="E92">
        <f t="array" ref="E92">INDEX(Mortality_Table_Female!$B$2:$AB$97, MATCH('Experience Study'!$C$90,Mortality_Table_Female!$A$2:$A$97, 0 ), IF(B92&gt;25,26, MATCH('Experience Study'!B92, Mortality_Table_Female!$B$1:$AB$1, 0)))</f>
        <v>1.1199999999999999E-3</v>
      </c>
    </row>
    <row r="93" spans="1:5">
      <c r="A93" t="s">
        <v>15</v>
      </c>
      <c r="B93">
        <f t="shared" si="11"/>
        <v>4</v>
      </c>
      <c r="C93">
        <f t="shared" si="12"/>
        <v>52</v>
      </c>
      <c r="D93" t="str">
        <f>VLOOKUP('Experience Study'!A93,Policy_Data!$A$2:$J$20, 3)</f>
        <v>Female</v>
      </c>
      <c r="E93">
        <f t="array" ref="E93">INDEX(Mortality_Table_Female!$B$2:$AB$97, MATCH('Experience Study'!$C$90,Mortality_Table_Female!$A$2:$A$97, 0 ), IF(B93&gt;25,26, MATCH('Experience Study'!B93, Mortality_Table_Female!$B$1:$AB$1, 0)))</f>
        <v>1.4E-3</v>
      </c>
    </row>
    <row r="94" spans="1:5">
      <c r="A94" t="s">
        <v>15</v>
      </c>
      <c r="B94">
        <f t="shared" si="11"/>
        <v>5</v>
      </c>
      <c r="C94">
        <f t="shared" si="12"/>
        <v>53</v>
      </c>
      <c r="D94" t="str">
        <f>VLOOKUP('Experience Study'!A94,Policy_Data!$A$2:$J$20, 3)</f>
        <v>Female</v>
      </c>
      <c r="E94">
        <f t="array" ref="E94">INDEX(Mortality_Table_Female!$B$2:$AB$97, MATCH('Experience Study'!$C$90,Mortality_Table_Female!$A$2:$A$97, 0 ), IF(B94&gt;25,26, MATCH('Experience Study'!B94, Mortality_Table_Female!$B$1:$AB$1, 0)))</f>
        <v>1.6199999999999999E-3</v>
      </c>
    </row>
    <row r="95" spans="1:5">
      <c r="A95" t="s">
        <v>15</v>
      </c>
      <c r="B95">
        <f t="shared" si="11"/>
        <v>6</v>
      </c>
      <c r="C95">
        <f t="shared" si="12"/>
        <v>54</v>
      </c>
      <c r="D95" t="str">
        <f>VLOOKUP('Experience Study'!A95,Policy_Data!$A$2:$J$20, 3)</f>
        <v>Female</v>
      </c>
      <c r="E95">
        <f t="array" ref="E95">INDEX(Mortality_Table_Female!$B$2:$AB$97, MATCH('Experience Study'!$C$90,Mortality_Table_Female!$A$2:$A$97, 0 ), IF(B95&gt;25,26, MATCH('Experience Study'!B95, Mortality_Table_Female!$B$1:$AB$1, 0)))</f>
        <v>1.8600000000000001E-3</v>
      </c>
    </row>
    <row r="96" spans="1:5">
      <c r="A96" t="s">
        <v>15</v>
      </c>
      <c r="B96">
        <f t="shared" si="11"/>
        <v>7</v>
      </c>
      <c r="C96">
        <f t="shared" si="12"/>
        <v>55</v>
      </c>
      <c r="D96" t="str">
        <f>VLOOKUP('Experience Study'!A96,Policy_Data!$A$2:$J$20, 3)</f>
        <v>Female</v>
      </c>
      <c r="E96">
        <f t="array" ref="E96">INDEX(Mortality_Table_Female!$B$2:$AB$97, MATCH('Experience Study'!$C$90,Mortality_Table_Female!$A$2:$A$97, 0 ), IF(B96&gt;25,26, MATCH('Experience Study'!B96, Mortality_Table_Female!$B$1:$AB$1, 0)))</f>
        <v>2.14E-3</v>
      </c>
    </row>
    <row r="97" spans="1:6">
      <c r="A97" t="s">
        <v>15</v>
      </c>
      <c r="B97">
        <f t="shared" si="11"/>
        <v>8</v>
      </c>
      <c r="C97">
        <f t="shared" si="12"/>
        <v>56</v>
      </c>
      <c r="D97" t="str">
        <f>VLOOKUP('Experience Study'!A97,Policy_Data!$A$2:$J$20, 3)</f>
        <v>Female</v>
      </c>
      <c r="E97">
        <f t="array" ref="E97">INDEX(Mortality_Table_Female!$B$2:$AB$97, MATCH('Experience Study'!$C$90,Mortality_Table_Female!$A$2:$A$97, 0 ), IF(B97&gt;25,26, MATCH('Experience Study'!B97, Mortality_Table_Female!$B$1:$AB$1, 0)))</f>
        <v>2.4199999999999998E-3</v>
      </c>
    </row>
    <row r="98" spans="1:6">
      <c r="A98" t="s">
        <v>15</v>
      </c>
      <c r="B98">
        <f t="shared" si="11"/>
        <v>9</v>
      </c>
      <c r="C98">
        <f t="shared" si="12"/>
        <v>57</v>
      </c>
      <c r="D98" t="str">
        <f>VLOOKUP('Experience Study'!A98,Policy_Data!$A$2:$J$20, 3)</f>
        <v>Female</v>
      </c>
      <c r="E98">
        <f t="array" ref="E98">INDEX(Mortality_Table_Female!$B$2:$AB$97, MATCH('Experience Study'!$C$90,Mortality_Table_Female!$A$2:$A$97, 0 ), IF(B98&gt;25,26, MATCH('Experience Study'!B98, Mortality_Table_Female!$B$1:$AB$1, 0)))</f>
        <v>2.7499999999999998E-3</v>
      </c>
    </row>
    <row r="99" spans="1:6">
      <c r="A99" t="s">
        <v>15</v>
      </c>
      <c r="B99">
        <f t="shared" si="11"/>
        <v>10</v>
      </c>
      <c r="C99">
        <f t="shared" si="12"/>
        <v>58</v>
      </c>
      <c r="D99" t="str">
        <f>VLOOKUP('Experience Study'!A99,Policy_Data!$A$2:$J$20, 3)</f>
        <v>Female</v>
      </c>
      <c r="E99">
        <f t="array" ref="E99">INDEX(Mortality_Table_Female!$B$2:$AB$97, MATCH('Experience Study'!$C$90,Mortality_Table_Female!$A$2:$A$97, 0 ), IF(B99&gt;25,26, MATCH('Experience Study'!B99, Mortality_Table_Female!$B$1:$AB$1, 0)))</f>
        <v>3.15E-3</v>
      </c>
    </row>
    <row r="100" spans="1:6">
      <c r="A100" t="s">
        <v>15</v>
      </c>
      <c r="B100">
        <f t="shared" si="11"/>
        <v>11</v>
      </c>
      <c r="C100">
        <f t="shared" si="12"/>
        <v>59</v>
      </c>
      <c r="D100" t="str">
        <f>VLOOKUP('Experience Study'!A100,Policy_Data!$A$2:$J$20, 3)</f>
        <v>Female</v>
      </c>
      <c r="E100">
        <f t="array" ref="E100">INDEX(Mortality_Table_Female!$B$2:$AB$97, MATCH('Experience Study'!$C$90,Mortality_Table_Female!$A$2:$A$97, 0 ), IF(B100&gt;25,26, MATCH('Experience Study'!B100, Mortality_Table_Female!$B$1:$AB$1, 0)))</f>
        <v>3.6099999999999999E-3</v>
      </c>
    </row>
    <row r="101" spans="1:6">
      <c r="A101" t="s">
        <v>15</v>
      </c>
      <c r="B101">
        <f t="shared" si="11"/>
        <v>12</v>
      </c>
      <c r="C101">
        <f t="shared" si="12"/>
        <v>60</v>
      </c>
      <c r="D101" t="str">
        <f>VLOOKUP('Experience Study'!A101,Policy_Data!$A$2:$J$20, 3)</f>
        <v>Female</v>
      </c>
      <c r="E101">
        <f t="array" ref="E101">INDEX(Mortality_Table_Female!$B$2:$AB$97, MATCH('Experience Study'!$C$90,Mortality_Table_Female!$A$2:$A$97, 0 ), IF(B101&gt;25,26, MATCH('Experience Study'!B101, Mortality_Table_Female!$B$1:$AB$1, 0)))</f>
        <v>4.2100000000000002E-3</v>
      </c>
    </row>
    <row r="102" spans="1:6">
      <c r="A102" t="s">
        <v>15</v>
      </c>
      <c r="B102">
        <f t="shared" si="11"/>
        <v>13</v>
      </c>
      <c r="C102">
        <f t="shared" si="12"/>
        <v>61</v>
      </c>
      <c r="D102" t="str">
        <f>VLOOKUP('Experience Study'!A102,Policy_Data!$A$2:$J$20, 3)</f>
        <v>Female</v>
      </c>
      <c r="E102">
        <f t="array" ref="E102">INDEX(Mortality_Table_Female!$B$2:$AB$97, MATCH('Experience Study'!$C$90,Mortality_Table_Female!$A$2:$A$97, 0 ), IF(B102&gt;25,26, MATCH('Experience Study'!B102, Mortality_Table_Female!$B$1:$AB$1, 0)))</f>
        <v>4.8999999999999998E-3</v>
      </c>
    </row>
    <row r="103" spans="1:6">
      <c r="A103" t="s">
        <v>15</v>
      </c>
      <c r="B103">
        <f t="shared" si="11"/>
        <v>14</v>
      </c>
      <c r="C103">
        <f t="shared" si="12"/>
        <v>62</v>
      </c>
      <c r="D103" t="str">
        <f>VLOOKUP('Experience Study'!A103,Policy_Data!$A$2:$J$20, 3)</f>
        <v>Female</v>
      </c>
      <c r="E103">
        <f t="array" ref="E103">INDEX(Mortality_Table_Female!$B$2:$AB$97, MATCH('Experience Study'!$C$90,Mortality_Table_Female!$A$2:$A$97, 0 ), IF(B103&gt;25,26, MATCH('Experience Study'!B103, Mortality_Table_Female!$B$1:$AB$1, 0)))</f>
        <v>5.5599999999999998E-3</v>
      </c>
    </row>
    <row r="104" spans="1:6">
      <c r="A104" t="s">
        <v>15</v>
      </c>
      <c r="B104">
        <f t="shared" si="11"/>
        <v>15</v>
      </c>
      <c r="C104">
        <f t="shared" si="12"/>
        <v>63</v>
      </c>
      <c r="D104" t="str">
        <f>VLOOKUP('Experience Study'!A104,Policy_Data!$A$2:$J$20, 3)</f>
        <v>Female</v>
      </c>
      <c r="E104">
        <f t="array" ref="E104">INDEX(Mortality_Table_Female!$B$2:$AB$97, MATCH('Experience Study'!$C$90,Mortality_Table_Female!$A$2:$A$97, 0 ), IF(B104&gt;25,26, MATCH('Experience Study'!B104, Mortality_Table_Female!$B$1:$AB$1, 0)))</f>
        <v>6.2500000000000003E-3</v>
      </c>
    </row>
    <row r="105" spans="1:6">
      <c r="A105" t="s">
        <v>15</v>
      </c>
      <c r="B105">
        <f t="shared" si="11"/>
        <v>16</v>
      </c>
      <c r="C105">
        <f t="shared" si="12"/>
        <v>64</v>
      </c>
      <c r="D105" t="str">
        <f>VLOOKUP('Experience Study'!A105,Policy_Data!$A$2:$J$20, 3)</f>
        <v>Female</v>
      </c>
      <c r="E105">
        <f t="array" ref="E105">INDEX(Mortality_Table_Female!$B$2:$AB$97, MATCH('Experience Study'!$C$90,Mortality_Table_Female!$A$2:$A$97, 0 ), IF(B105&gt;25,26, MATCH('Experience Study'!B105, Mortality_Table_Female!$B$1:$AB$1, 0)))</f>
        <v>7.0699999999999999E-3</v>
      </c>
    </row>
    <row r="106" spans="1:6">
      <c r="A106" t="s">
        <v>15</v>
      </c>
      <c r="B106">
        <f t="shared" si="11"/>
        <v>17</v>
      </c>
      <c r="C106">
        <f t="shared" si="12"/>
        <v>65</v>
      </c>
      <c r="D106" t="str">
        <f>VLOOKUP('Experience Study'!A106,Policy_Data!$A$2:$J$20, 3)</f>
        <v>Female</v>
      </c>
      <c r="E106">
        <f t="array" ref="E106">INDEX(Mortality_Table_Female!$B$2:$AB$97, MATCH('Experience Study'!$C$90,Mortality_Table_Female!$A$2:$A$97, 0 ), IF(B106&gt;25,26, MATCH('Experience Study'!B106, Mortality_Table_Female!$B$1:$AB$1, 0)))</f>
        <v>8.0000000000000002E-3</v>
      </c>
    </row>
    <row r="107" spans="1:6">
      <c r="A107" t="s">
        <v>15</v>
      </c>
      <c r="B107">
        <f t="shared" si="11"/>
        <v>18</v>
      </c>
      <c r="C107">
        <f t="shared" si="12"/>
        <v>66</v>
      </c>
      <c r="D107" t="str">
        <f>VLOOKUP('Experience Study'!A107,Policy_Data!$A$2:$J$20, 3)</f>
        <v>Female</v>
      </c>
      <c r="E107">
        <f t="array" ref="E107">INDEX(Mortality_Table_Female!$B$2:$AB$97, MATCH('Experience Study'!$C$90,Mortality_Table_Female!$A$2:$A$97, 0 ), IF(B107&gt;25,26, MATCH('Experience Study'!B107, Mortality_Table_Female!$B$1:$AB$1, 0)))</f>
        <v>8.9499999999999996E-3</v>
      </c>
      <c r="F107">
        <v>1</v>
      </c>
    </row>
    <row r="109" spans="1:6">
      <c r="A109" t="s">
        <v>16</v>
      </c>
      <c r="B109">
        <v>1</v>
      </c>
      <c r="C109">
        <f>VLOOKUP('Experience Study'!A109,Policy_Data!$A$2:$J$20, 2)</f>
        <v>60</v>
      </c>
      <c r="D109" t="str">
        <f>VLOOKUP('Experience Study'!A109,Policy_Data!$A$2:$J$20, 3)</f>
        <v>Female</v>
      </c>
      <c r="E109">
        <f t="array" ref="E109">INDEX(Mortality_Table_Female!$B$2:$AB$97, MATCH('Experience Study'!$C$109,Mortality_Table_Female!$A$2:$A$97, 0 ), IF(B109&gt;25,26, MATCH('Experience Study'!B109, Mortality_Table_Female!$B$1:$AB$1, 0)))</f>
        <v>7.2999999999999996E-4</v>
      </c>
    </row>
    <row r="110" spans="1:6">
      <c r="A110" t="s">
        <v>16</v>
      </c>
      <c r="B110">
        <f t="shared" ref="B110:C113" si="13">B109+1</f>
        <v>2</v>
      </c>
      <c r="C110">
        <f t="shared" si="13"/>
        <v>61</v>
      </c>
      <c r="D110" t="str">
        <f>VLOOKUP('Experience Study'!A110,Policy_Data!$A$2:$J$20, 3)</f>
        <v>Female</v>
      </c>
      <c r="E110">
        <f t="array" ref="E110">INDEX(Mortality_Table_Female!$B$2:$AB$97, MATCH('Experience Study'!$C$109,Mortality_Table_Female!$A$2:$A$97, 0 ), IF(B110&gt;25,26, MATCH('Experience Study'!B110, Mortality_Table_Female!$B$1:$AB$1, 0)))</f>
        <v>1.58E-3</v>
      </c>
    </row>
    <row r="111" spans="1:6">
      <c r="A111" t="s">
        <v>16</v>
      </c>
      <c r="B111">
        <f t="shared" si="13"/>
        <v>3</v>
      </c>
      <c r="C111">
        <f t="shared" si="13"/>
        <v>62</v>
      </c>
      <c r="D111" t="str">
        <f>VLOOKUP('Experience Study'!A111,Policy_Data!$A$2:$J$20, 3)</f>
        <v>Female</v>
      </c>
      <c r="E111">
        <f t="array" ref="E111">INDEX(Mortality_Table_Female!$B$2:$AB$97, MATCH('Experience Study'!$C$109,Mortality_Table_Female!$A$2:$A$97, 0 ), IF(B111&gt;25,26, MATCH('Experience Study'!B111, Mortality_Table_Female!$B$1:$AB$1, 0)))</f>
        <v>2.5300000000000001E-3</v>
      </c>
    </row>
    <row r="112" spans="1:6">
      <c r="A112" t="s">
        <v>16</v>
      </c>
      <c r="B112">
        <f t="shared" si="13"/>
        <v>4</v>
      </c>
      <c r="C112">
        <f t="shared" si="13"/>
        <v>63</v>
      </c>
      <c r="D112" t="str">
        <f>VLOOKUP('Experience Study'!A112,Policy_Data!$A$2:$J$20, 3)</f>
        <v>Female</v>
      </c>
      <c r="E112">
        <f t="array" ref="E112">INDEX(Mortality_Table_Female!$B$2:$AB$97, MATCH('Experience Study'!$C$109,Mortality_Table_Female!$A$2:$A$97, 0 ), IF(B112&gt;25,26, MATCH('Experience Study'!B112, Mortality_Table_Female!$B$1:$AB$1, 0)))</f>
        <v>3.8700000000000002E-3</v>
      </c>
    </row>
    <row r="113" spans="1:6">
      <c r="A113" t="s">
        <v>16</v>
      </c>
      <c r="B113">
        <f t="shared" si="13"/>
        <v>5</v>
      </c>
      <c r="C113">
        <f t="shared" si="13"/>
        <v>64</v>
      </c>
      <c r="D113" t="str">
        <f>VLOOKUP('Experience Study'!A113,Policy_Data!$A$2:$J$20, 3)</f>
        <v>Female</v>
      </c>
      <c r="E113">
        <f t="array" ref="E113">INDEX(Mortality_Table_Female!$B$2:$AB$97, MATCH('Experience Study'!$C$109,Mortality_Table_Female!$A$2:$A$97, 0 ), IF(B113&gt;25,26, MATCH('Experience Study'!B113, Mortality_Table_Female!$B$1:$AB$1, 0)))</f>
        <v>4.9800000000000001E-3</v>
      </c>
      <c r="F113">
        <v>0</v>
      </c>
    </row>
    <row r="115" spans="1:6">
      <c r="E115">
        <f>SUM(E2:E113)</f>
        <v>0.23254000000000002</v>
      </c>
      <c r="F115">
        <f>SUM(F2:F113)</f>
        <v>2</v>
      </c>
    </row>
    <row r="117" spans="1:6">
      <c r="D117" t="s">
        <v>17</v>
      </c>
      <c r="E117">
        <f>F115/E115</f>
        <v>8.6006708523264805</v>
      </c>
    </row>
  </sheetData>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AD766-37A6-0D47-BB93-13945A77501E}">
  <dimension ref="A1:J1536"/>
  <sheetViews>
    <sheetView workbookViewId="0">
      <selection activeCell="A3" sqref="A3:J1536"/>
    </sheetView>
  </sheetViews>
  <sheetFormatPr baseColWidth="10" defaultRowHeight="16"/>
  <cols>
    <col min="1" max="1" width="11" bestFit="1" customWidth="1"/>
    <col min="2" max="2" width="11.6640625" bestFit="1" customWidth="1"/>
    <col min="3" max="3" width="11" bestFit="1" customWidth="1"/>
    <col min="4" max="5" width="14.1640625" bestFit="1" customWidth="1"/>
    <col min="6" max="6" width="13.33203125" bestFit="1" customWidth="1"/>
    <col min="7" max="7" width="18.83203125" bestFit="1" customWidth="1"/>
    <col min="8" max="8" width="11.33203125" bestFit="1" customWidth="1"/>
    <col min="9" max="9" width="15.33203125" bestFit="1" customWidth="1"/>
    <col min="10" max="10" width="17.5" bestFit="1" customWidth="1"/>
  </cols>
  <sheetData>
    <row r="1" spans="1:10">
      <c r="A1" s="48" t="s">
        <v>5106</v>
      </c>
    </row>
    <row r="3" spans="1:10">
      <c r="A3" t="s">
        <v>0</v>
      </c>
      <c r="B3" t="s">
        <v>61</v>
      </c>
      <c r="C3" t="s">
        <v>3</v>
      </c>
      <c r="D3" t="s">
        <v>82</v>
      </c>
      <c r="E3" t="s">
        <v>66</v>
      </c>
      <c r="F3" t="s">
        <v>4</v>
      </c>
      <c r="G3" t="s">
        <v>83</v>
      </c>
      <c r="H3" t="s">
        <v>5085</v>
      </c>
      <c r="I3" t="s">
        <v>5084</v>
      </c>
      <c r="J3" t="s">
        <v>5086</v>
      </c>
    </row>
    <row r="4" spans="1:10">
      <c r="A4" t="s">
        <v>5037</v>
      </c>
      <c r="B4">
        <v>27</v>
      </c>
      <c r="C4" t="s">
        <v>9</v>
      </c>
      <c r="D4">
        <v>2</v>
      </c>
      <c r="E4">
        <v>28</v>
      </c>
      <c r="F4">
        <v>3.4000000000000002E-4</v>
      </c>
      <c r="G4">
        <v>0</v>
      </c>
      <c r="H4" t="s">
        <v>5088</v>
      </c>
      <c r="I4" t="s">
        <v>5097</v>
      </c>
      <c r="J4">
        <v>3.4000000000000002E-4</v>
      </c>
    </row>
    <row r="5" spans="1:10">
      <c r="A5" t="s">
        <v>5022</v>
      </c>
      <c r="B5">
        <v>25</v>
      </c>
      <c r="C5" t="s">
        <v>7</v>
      </c>
      <c r="D5">
        <v>2</v>
      </c>
      <c r="E5">
        <v>26</v>
      </c>
      <c r="F5">
        <v>1.9000000000000001E-4</v>
      </c>
      <c r="G5">
        <v>0</v>
      </c>
      <c r="H5" t="s">
        <v>5088</v>
      </c>
      <c r="I5" t="s">
        <v>5097</v>
      </c>
      <c r="J5">
        <v>1.9000000000000001E-4</v>
      </c>
    </row>
    <row r="6" spans="1:10">
      <c r="A6" t="s">
        <v>5004</v>
      </c>
      <c r="B6">
        <v>22</v>
      </c>
      <c r="C6" t="s">
        <v>9</v>
      </c>
      <c r="D6">
        <v>8</v>
      </c>
      <c r="E6">
        <v>29</v>
      </c>
      <c r="F6">
        <v>5.9000000000000003E-4</v>
      </c>
      <c r="G6">
        <v>0</v>
      </c>
      <c r="H6" t="s">
        <v>5088</v>
      </c>
      <c r="I6" t="s">
        <v>5097</v>
      </c>
      <c r="J6">
        <v>5.9000000000000003E-4</v>
      </c>
    </row>
    <row r="7" spans="1:10">
      <c r="A7" t="s">
        <v>125</v>
      </c>
      <c r="B7">
        <v>25</v>
      </c>
      <c r="C7" t="s">
        <v>7</v>
      </c>
      <c r="D7">
        <v>3</v>
      </c>
      <c r="E7">
        <v>27</v>
      </c>
      <c r="F7">
        <v>2.0000000000000001E-4</v>
      </c>
      <c r="G7">
        <v>0</v>
      </c>
      <c r="H7" t="s">
        <v>5088</v>
      </c>
      <c r="I7" t="s">
        <v>5097</v>
      </c>
      <c r="J7">
        <v>2.0000000000000001E-4</v>
      </c>
    </row>
    <row r="8" spans="1:10">
      <c r="A8" t="s">
        <v>5003</v>
      </c>
      <c r="B8">
        <v>20</v>
      </c>
      <c r="C8" t="s">
        <v>7</v>
      </c>
      <c r="D8">
        <v>8</v>
      </c>
      <c r="E8">
        <v>27</v>
      </c>
      <c r="F8">
        <v>3.2000000000000003E-4</v>
      </c>
      <c r="G8">
        <v>0</v>
      </c>
      <c r="H8" t="s">
        <v>5088</v>
      </c>
      <c r="I8" t="s">
        <v>5097</v>
      </c>
      <c r="J8">
        <v>3.2000000000000003E-4</v>
      </c>
    </row>
    <row r="9" spans="1:10">
      <c r="A9" t="s">
        <v>133</v>
      </c>
      <c r="B9">
        <v>20</v>
      </c>
      <c r="C9" t="s">
        <v>7</v>
      </c>
      <c r="D9">
        <v>3</v>
      </c>
      <c r="E9">
        <v>22</v>
      </c>
      <c r="F9">
        <v>2.9E-4</v>
      </c>
      <c r="G9">
        <v>0</v>
      </c>
      <c r="H9" t="s">
        <v>5088</v>
      </c>
      <c r="I9" t="s">
        <v>5097</v>
      </c>
      <c r="J9">
        <v>2.9E-4</v>
      </c>
    </row>
    <row r="10" spans="1:10">
      <c r="A10" t="s">
        <v>145</v>
      </c>
      <c r="B10">
        <v>26</v>
      </c>
      <c r="C10" t="s">
        <v>7</v>
      </c>
      <c r="D10">
        <v>2</v>
      </c>
      <c r="E10">
        <v>27</v>
      </c>
      <c r="F10">
        <v>1.7000000000000001E-4</v>
      </c>
      <c r="G10">
        <v>0</v>
      </c>
      <c r="H10" t="s">
        <v>5088</v>
      </c>
      <c r="I10" t="s">
        <v>5097</v>
      </c>
      <c r="J10">
        <v>1.7000000000000001E-4</v>
      </c>
    </row>
    <row r="11" spans="1:10">
      <c r="A11" t="s">
        <v>146</v>
      </c>
      <c r="B11">
        <v>20</v>
      </c>
      <c r="C11" t="s">
        <v>7</v>
      </c>
      <c r="D11">
        <v>3</v>
      </c>
      <c r="E11">
        <v>22</v>
      </c>
      <c r="F11">
        <v>2.9E-4</v>
      </c>
      <c r="G11">
        <v>0</v>
      </c>
      <c r="H11" t="s">
        <v>5088</v>
      </c>
      <c r="I11" t="s">
        <v>5097</v>
      </c>
      <c r="J11">
        <v>2.9E-4</v>
      </c>
    </row>
    <row r="12" spans="1:10">
      <c r="A12" t="s">
        <v>4960</v>
      </c>
      <c r="B12">
        <v>25</v>
      </c>
      <c r="C12" t="s">
        <v>7</v>
      </c>
      <c r="D12">
        <v>1</v>
      </c>
      <c r="E12">
        <v>25</v>
      </c>
      <c r="F12">
        <v>1.6000000000000001E-4</v>
      </c>
      <c r="G12">
        <v>0</v>
      </c>
      <c r="H12" t="s">
        <v>5088</v>
      </c>
      <c r="I12" t="s">
        <v>5097</v>
      </c>
      <c r="J12">
        <v>1.6000000000000001E-4</v>
      </c>
    </row>
    <row r="13" spans="1:10">
      <c r="A13" t="s">
        <v>4955</v>
      </c>
      <c r="B13">
        <v>22</v>
      </c>
      <c r="C13" t="s">
        <v>9</v>
      </c>
      <c r="D13">
        <v>7</v>
      </c>
      <c r="E13">
        <v>28</v>
      </c>
      <c r="F13">
        <v>5.9999999999999995E-4</v>
      </c>
      <c r="G13">
        <v>0</v>
      </c>
      <c r="H13" t="s">
        <v>5088</v>
      </c>
      <c r="I13" t="s">
        <v>5097</v>
      </c>
      <c r="J13">
        <v>5.9999999999999995E-4</v>
      </c>
    </row>
    <row r="14" spans="1:10">
      <c r="A14" t="s">
        <v>164</v>
      </c>
      <c r="B14">
        <v>26</v>
      </c>
      <c r="C14" t="s">
        <v>7</v>
      </c>
      <c r="D14">
        <v>3</v>
      </c>
      <c r="E14">
        <v>28</v>
      </c>
      <c r="F14">
        <v>1.9000000000000001E-4</v>
      </c>
      <c r="G14">
        <v>0</v>
      </c>
      <c r="H14" t="s">
        <v>5088</v>
      </c>
      <c r="I14" t="s">
        <v>5097</v>
      </c>
      <c r="J14">
        <v>1.9000000000000001E-4</v>
      </c>
    </row>
    <row r="15" spans="1:10">
      <c r="A15" t="s">
        <v>4940</v>
      </c>
      <c r="B15">
        <v>20</v>
      </c>
      <c r="C15" t="s">
        <v>7</v>
      </c>
      <c r="D15">
        <v>6</v>
      </c>
      <c r="E15">
        <v>25</v>
      </c>
      <c r="F15">
        <v>3.2000000000000003E-4</v>
      </c>
      <c r="G15">
        <v>0</v>
      </c>
      <c r="H15" t="s">
        <v>5088</v>
      </c>
      <c r="I15" t="s">
        <v>5097</v>
      </c>
      <c r="J15">
        <v>3.2000000000000003E-4</v>
      </c>
    </row>
    <row r="16" spans="1:10">
      <c r="A16" t="s">
        <v>174</v>
      </c>
      <c r="B16">
        <v>23</v>
      </c>
      <c r="C16" t="s">
        <v>7</v>
      </c>
      <c r="D16">
        <v>3</v>
      </c>
      <c r="E16">
        <v>25</v>
      </c>
      <c r="F16">
        <v>2.5000000000000001E-4</v>
      </c>
      <c r="G16">
        <v>0</v>
      </c>
      <c r="H16" t="s">
        <v>5088</v>
      </c>
      <c r="I16" t="s">
        <v>5097</v>
      </c>
      <c r="J16">
        <v>2.5000000000000001E-4</v>
      </c>
    </row>
    <row r="17" spans="1:10">
      <c r="A17" t="s">
        <v>175</v>
      </c>
      <c r="B17">
        <v>22</v>
      </c>
      <c r="C17" t="s">
        <v>9</v>
      </c>
      <c r="D17">
        <v>1</v>
      </c>
      <c r="E17">
        <v>22</v>
      </c>
      <c r="F17">
        <v>5.8E-4</v>
      </c>
      <c r="G17">
        <v>0</v>
      </c>
      <c r="H17" t="s">
        <v>5088</v>
      </c>
      <c r="I17" t="s">
        <v>5097</v>
      </c>
      <c r="J17">
        <v>5.8E-4</v>
      </c>
    </row>
    <row r="18" spans="1:10">
      <c r="A18" t="s">
        <v>195</v>
      </c>
      <c r="B18">
        <v>22</v>
      </c>
      <c r="C18" t="s">
        <v>7</v>
      </c>
      <c r="D18">
        <v>4</v>
      </c>
      <c r="E18">
        <v>25</v>
      </c>
      <c r="F18">
        <v>2.7E-4</v>
      </c>
      <c r="G18">
        <v>0</v>
      </c>
      <c r="H18" t="s">
        <v>5088</v>
      </c>
      <c r="I18" t="s">
        <v>5097</v>
      </c>
      <c r="J18">
        <v>2.7E-4</v>
      </c>
    </row>
    <row r="19" spans="1:10">
      <c r="A19" t="s">
        <v>4891</v>
      </c>
      <c r="B19">
        <v>22</v>
      </c>
      <c r="C19" t="s">
        <v>9</v>
      </c>
      <c r="D19">
        <v>2</v>
      </c>
      <c r="E19">
        <v>23</v>
      </c>
      <c r="F19">
        <v>6.0999999999999997E-4</v>
      </c>
      <c r="G19">
        <v>0</v>
      </c>
      <c r="H19" t="s">
        <v>5088</v>
      </c>
      <c r="I19" t="s">
        <v>5097</v>
      </c>
      <c r="J19">
        <v>6.0999999999999997E-4</v>
      </c>
    </row>
    <row r="20" spans="1:10">
      <c r="A20" t="s">
        <v>4889</v>
      </c>
      <c r="B20">
        <v>27</v>
      </c>
      <c r="C20" t="s">
        <v>7</v>
      </c>
      <c r="D20">
        <v>3</v>
      </c>
      <c r="E20">
        <v>29</v>
      </c>
      <c r="F20">
        <v>2.0000000000000001E-4</v>
      </c>
      <c r="G20">
        <v>0</v>
      </c>
      <c r="H20" t="s">
        <v>5088</v>
      </c>
      <c r="I20" t="s">
        <v>5097</v>
      </c>
      <c r="J20">
        <v>2.0000000000000001E-4</v>
      </c>
    </row>
    <row r="21" spans="1:10">
      <c r="A21" t="s">
        <v>213</v>
      </c>
      <c r="B21">
        <v>29</v>
      </c>
      <c r="C21" t="s">
        <v>9</v>
      </c>
      <c r="D21">
        <v>1</v>
      </c>
      <c r="E21">
        <v>29</v>
      </c>
      <c r="F21">
        <v>2.5000000000000001E-4</v>
      </c>
      <c r="G21">
        <v>0</v>
      </c>
      <c r="H21" t="s">
        <v>5088</v>
      </c>
      <c r="I21" t="s">
        <v>5097</v>
      </c>
      <c r="J21">
        <v>2.5000000000000001E-4</v>
      </c>
    </row>
    <row r="22" spans="1:10">
      <c r="A22" t="s">
        <v>4776</v>
      </c>
      <c r="B22">
        <v>20</v>
      </c>
      <c r="C22" t="s">
        <v>7</v>
      </c>
      <c r="D22">
        <v>7</v>
      </c>
      <c r="E22">
        <v>26</v>
      </c>
      <c r="F22">
        <v>3.1E-4</v>
      </c>
      <c r="G22">
        <v>0</v>
      </c>
      <c r="H22" t="s">
        <v>5088</v>
      </c>
      <c r="I22" t="s">
        <v>5097</v>
      </c>
      <c r="J22">
        <v>3.1E-4</v>
      </c>
    </row>
    <row r="23" spans="1:10">
      <c r="A23" t="s">
        <v>4769</v>
      </c>
      <c r="B23">
        <v>23</v>
      </c>
      <c r="C23" t="s">
        <v>7</v>
      </c>
      <c r="D23">
        <v>6</v>
      </c>
      <c r="E23">
        <v>28</v>
      </c>
      <c r="F23">
        <v>2.7E-4</v>
      </c>
      <c r="G23">
        <v>0</v>
      </c>
      <c r="H23" t="s">
        <v>5088</v>
      </c>
      <c r="I23" t="s">
        <v>5097</v>
      </c>
      <c r="J23">
        <v>2.7E-4</v>
      </c>
    </row>
    <row r="24" spans="1:10">
      <c r="A24" t="s">
        <v>241</v>
      </c>
      <c r="B24">
        <v>21</v>
      </c>
      <c r="C24" t="s">
        <v>7</v>
      </c>
      <c r="D24">
        <v>3</v>
      </c>
      <c r="E24">
        <v>23</v>
      </c>
      <c r="F24">
        <v>2.7E-4</v>
      </c>
      <c r="G24">
        <v>0</v>
      </c>
      <c r="H24" t="s">
        <v>5088</v>
      </c>
      <c r="I24" t="s">
        <v>5097</v>
      </c>
      <c r="J24">
        <v>2.7E-4</v>
      </c>
    </row>
    <row r="25" spans="1:10">
      <c r="A25" t="s">
        <v>248</v>
      </c>
      <c r="B25">
        <v>21</v>
      </c>
      <c r="C25" t="s">
        <v>9</v>
      </c>
      <c r="D25">
        <v>8</v>
      </c>
      <c r="E25">
        <v>28</v>
      </c>
      <c r="F25">
        <v>6.6E-4</v>
      </c>
      <c r="G25">
        <v>0</v>
      </c>
      <c r="H25" t="s">
        <v>5088</v>
      </c>
      <c r="I25" t="s">
        <v>5097</v>
      </c>
      <c r="J25">
        <v>6.6E-4</v>
      </c>
    </row>
    <row r="26" spans="1:10">
      <c r="A26" t="s">
        <v>4756</v>
      </c>
      <c r="B26">
        <v>21</v>
      </c>
      <c r="C26" t="s">
        <v>7</v>
      </c>
      <c r="D26">
        <v>2</v>
      </c>
      <c r="E26">
        <v>22</v>
      </c>
      <c r="F26">
        <v>2.5000000000000001E-4</v>
      </c>
      <c r="G26">
        <v>0</v>
      </c>
      <c r="H26" t="s">
        <v>5088</v>
      </c>
      <c r="I26" t="s">
        <v>5097</v>
      </c>
      <c r="J26">
        <v>2.5000000000000001E-4</v>
      </c>
    </row>
    <row r="27" spans="1:10">
      <c r="A27" t="s">
        <v>4705</v>
      </c>
      <c r="B27">
        <v>22</v>
      </c>
      <c r="C27" t="s">
        <v>9</v>
      </c>
      <c r="D27">
        <v>4</v>
      </c>
      <c r="E27">
        <v>25</v>
      </c>
      <c r="F27">
        <v>5.8E-4</v>
      </c>
      <c r="G27">
        <v>0</v>
      </c>
      <c r="H27" t="s">
        <v>5088</v>
      </c>
      <c r="I27" t="s">
        <v>5097</v>
      </c>
      <c r="J27">
        <v>5.8E-4</v>
      </c>
    </row>
    <row r="28" spans="1:10">
      <c r="A28" t="s">
        <v>4695</v>
      </c>
      <c r="B28">
        <v>21</v>
      </c>
      <c r="C28" t="s">
        <v>7</v>
      </c>
      <c r="D28">
        <v>2</v>
      </c>
      <c r="E28">
        <v>22</v>
      </c>
      <c r="F28">
        <v>2.5000000000000001E-4</v>
      </c>
      <c r="G28">
        <v>0</v>
      </c>
      <c r="H28" t="s">
        <v>5088</v>
      </c>
      <c r="I28" t="s">
        <v>5097</v>
      </c>
      <c r="J28">
        <v>2.5000000000000001E-4</v>
      </c>
    </row>
    <row r="29" spans="1:10">
      <c r="A29" t="s">
        <v>4694</v>
      </c>
      <c r="B29">
        <v>26</v>
      </c>
      <c r="C29" t="s">
        <v>7</v>
      </c>
      <c r="D29">
        <v>4</v>
      </c>
      <c r="E29">
        <v>29</v>
      </c>
      <c r="F29">
        <v>2.2000000000000001E-4</v>
      </c>
      <c r="G29">
        <v>0</v>
      </c>
      <c r="H29" t="s">
        <v>5088</v>
      </c>
      <c r="I29" t="s">
        <v>5097</v>
      </c>
      <c r="J29">
        <v>2.2000000000000001E-4</v>
      </c>
    </row>
    <row r="30" spans="1:10">
      <c r="A30" t="s">
        <v>4689</v>
      </c>
      <c r="B30">
        <v>24</v>
      </c>
      <c r="C30" t="s">
        <v>9</v>
      </c>
      <c r="D30">
        <v>3</v>
      </c>
      <c r="E30">
        <v>26</v>
      </c>
      <c r="F30">
        <v>4.4999999999999999E-4</v>
      </c>
      <c r="G30">
        <v>0</v>
      </c>
      <c r="H30" t="s">
        <v>5088</v>
      </c>
      <c r="I30" t="s">
        <v>5097</v>
      </c>
      <c r="J30">
        <v>4.4999999999999999E-4</v>
      </c>
    </row>
    <row r="31" spans="1:10">
      <c r="A31" t="s">
        <v>4673</v>
      </c>
      <c r="B31">
        <v>20</v>
      </c>
      <c r="C31" t="s">
        <v>7</v>
      </c>
      <c r="D31">
        <v>1</v>
      </c>
      <c r="E31">
        <v>20</v>
      </c>
      <c r="F31">
        <v>2.9E-4</v>
      </c>
      <c r="G31">
        <v>0</v>
      </c>
      <c r="H31" t="s">
        <v>5088</v>
      </c>
      <c r="I31" t="s">
        <v>5097</v>
      </c>
      <c r="J31">
        <v>2.9E-4</v>
      </c>
    </row>
    <row r="32" spans="1:10">
      <c r="A32" t="s">
        <v>4669</v>
      </c>
      <c r="B32">
        <v>24</v>
      </c>
      <c r="C32" t="s">
        <v>7</v>
      </c>
      <c r="D32">
        <v>3</v>
      </c>
      <c r="E32">
        <v>26</v>
      </c>
      <c r="F32">
        <v>2.2000000000000001E-4</v>
      </c>
      <c r="G32">
        <v>0</v>
      </c>
      <c r="H32" t="s">
        <v>5088</v>
      </c>
      <c r="I32" t="s">
        <v>5097</v>
      </c>
      <c r="J32">
        <v>2.2000000000000001E-4</v>
      </c>
    </row>
    <row r="33" spans="1:10">
      <c r="A33" t="s">
        <v>290</v>
      </c>
      <c r="B33">
        <v>23</v>
      </c>
      <c r="C33" t="s">
        <v>9</v>
      </c>
      <c r="D33">
        <v>5</v>
      </c>
      <c r="E33">
        <v>27</v>
      </c>
      <c r="F33">
        <v>5.1999999999999995E-4</v>
      </c>
      <c r="G33">
        <v>0</v>
      </c>
      <c r="H33" t="s">
        <v>5088</v>
      </c>
      <c r="I33" t="s">
        <v>5097</v>
      </c>
      <c r="J33">
        <v>5.1999999999999995E-4</v>
      </c>
    </row>
    <row r="34" spans="1:10">
      <c r="A34" t="s">
        <v>4636</v>
      </c>
      <c r="B34">
        <v>20</v>
      </c>
      <c r="C34" t="s">
        <v>7</v>
      </c>
      <c r="D34">
        <v>9</v>
      </c>
      <c r="E34">
        <v>28</v>
      </c>
      <c r="F34">
        <v>3.4000000000000002E-4</v>
      </c>
      <c r="G34">
        <v>0</v>
      </c>
      <c r="H34" t="s">
        <v>5088</v>
      </c>
      <c r="I34" t="s">
        <v>5097</v>
      </c>
      <c r="J34">
        <v>3.4000000000000002E-4</v>
      </c>
    </row>
    <row r="35" spans="1:10">
      <c r="A35" t="s">
        <v>299</v>
      </c>
      <c r="B35">
        <v>22</v>
      </c>
      <c r="C35" t="s">
        <v>9</v>
      </c>
      <c r="D35">
        <v>8</v>
      </c>
      <c r="E35">
        <v>29</v>
      </c>
      <c r="F35">
        <v>5.9000000000000003E-4</v>
      </c>
      <c r="G35">
        <v>0</v>
      </c>
      <c r="H35" t="s">
        <v>5088</v>
      </c>
      <c r="I35" t="s">
        <v>5097</v>
      </c>
      <c r="J35">
        <v>5.9000000000000003E-4</v>
      </c>
    </row>
    <row r="36" spans="1:10">
      <c r="A36" t="s">
        <v>4622</v>
      </c>
      <c r="B36">
        <v>21</v>
      </c>
      <c r="C36" t="s">
        <v>7</v>
      </c>
      <c r="D36">
        <v>2</v>
      </c>
      <c r="E36">
        <v>22</v>
      </c>
      <c r="F36">
        <v>2.5000000000000001E-4</v>
      </c>
      <c r="G36">
        <v>0</v>
      </c>
      <c r="H36" t="s">
        <v>5088</v>
      </c>
      <c r="I36" t="s">
        <v>5097</v>
      </c>
      <c r="J36">
        <v>2.5000000000000001E-4</v>
      </c>
    </row>
    <row r="37" spans="1:10">
      <c r="A37" t="s">
        <v>4610</v>
      </c>
      <c r="B37">
        <v>21</v>
      </c>
      <c r="C37" t="s">
        <v>9</v>
      </c>
      <c r="D37">
        <v>3</v>
      </c>
      <c r="E37">
        <v>23</v>
      </c>
      <c r="F37">
        <v>6.7000000000000002E-4</v>
      </c>
      <c r="G37">
        <v>0</v>
      </c>
      <c r="H37" t="s">
        <v>5088</v>
      </c>
      <c r="I37" t="s">
        <v>5097</v>
      </c>
      <c r="J37">
        <v>6.7000000000000002E-4</v>
      </c>
    </row>
    <row r="38" spans="1:10">
      <c r="A38" t="s">
        <v>4592</v>
      </c>
      <c r="B38">
        <v>21</v>
      </c>
      <c r="C38" t="s">
        <v>9</v>
      </c>
      <c r="D38">
        <v>7</v>
      </c>
      <c r="E38">
        <v>27</v>
      </c>
      <c r="F38">
        <v>6.8000000000000005E-4</v>
      </c>
      <c r="G38">
        <v>0</v>
      </c>
      <c r="H38" t="s">
        <v>5088</v>
      </c>
      <c r="I38" t="s">
        <v>5097</v>
      </c>
      <c r="J38">
        <v>6.8000000000000005E-4</v>
      </c>
    </row>
    <row r="39" spans="1:10">
      <c r="A39" t="s">
        <v>4582</v>
      </c>
      <c r="B39">
        <v>20</v>
      </c>
      <c r="C39" t="s">
        <v>9</v>
      </c>
      <c r="D39">
        <v>6</v>
      </c>
      <c r="E39">
        <v>25</v>
      </c>
      <c r="F39">
        <v>7.7999999999999999E-4</v>
      </c>
      <c r="G39">
        <v>0</v>
      </c>
      <c r="H39" t="s">
        <v>5088</v>
      </c>
      <c r="I39" t="s">
        <v>5097</v>
      </c>
      <c r="J39">
        <v>7.7999999999999999E-4</v>
      </c>
    </row>
    <row r="40" spans="1:10">
      <c r="A40" t="s">
        <v>4578</v>
      </c>
      <c r="B40">
        <v>28</v>
      </c>
      <c r="C40" t="s">
        <v>9</v>
      </c>
      <c r="D40">
        <v>2</v>
      </c>
      <c r="E40">
        <v>29</v>
      </c>
      <c r="F40">
        <v>3.1E-4</v>
      </c>
      <c r="G40">
        <v>0</v>
      </c>
      <c r="H40" t="s">
        <v>5088</v>
      </c>
      <c r="I40" t="s">
        <v>5097</v>
      </c>
      <c r="J40">
        <v>3.1E-4</v>
      </c>
    </row>
    <row r="41" spans="1:10">
      <c r="A41" t="s">
        <v>4548</v>
      </c>
      <c r="B41">
        <v>29</v>
      </c>
      <c r="C41" t="s">
        <v>9</v>
      </c>
      <c r="D41">
        <v>1</v>
      </c>
      <c r="E41">
        <v>29</v>
      </c>
      <c r="F41">
        <v>2.5000000000000001E-4</v>
      </c>
      <c r="G41">
        <v>0</v>
      </c>
      <c r="H41" t="s">
        <v>5088</v>
      </c>
      <c r="I41" t="s">
        <v>5097</v>
      </c>
      <c r="J41">
        <v>2.5000000000000001E-4</v>
      </c>
    </row>
    <row r="42" spans="1:10">
      <c r="A42" t="s">
        <v>4502</v>
      </c>
      <c r="B42">
        <v>24</v>
      </c>
      <c r="C42" t="s">
        <v>7</v>
      </c>
      <c r="D42">
        <v>4</v>
      </c>
      <c r="E42">
        <v>27</v>
      </c>
      <c r="F42">
        <v>2.2000000000000001E-4</v>
      </c>
      <c r="G42">
        <v>0</v>
      </c>
      <c r="H42" t="s">
        <v>5088</v>
      </c>
      <c r="I42" t="s">
        <v>5097</v>
      </c>
      <c r="J42">
        <v>2.2000000000000001E-4</v>
      </c>
    </row>
    <row r="43" spans="1:10">
      <c r="A43" t="s">
        <v>4486</v>
      </c>
      <c r="B43">
        <v>26</v>
      </c>
      <c r="C43" t="s">
        <v>7</v>
      </c>
      <c r="D43">
        <v>2</v>
      </c>
      <c r="E43">
        <v>27</v>
      </c>
      <c r="F43">
        <v>1.7000000000000001E-4</v>
      </c>
      <c r="G43">
        <v>0</v>
      </c>
      <c r="H43" t="s">
        <v>5088</v>
      </c>
      <c r="I43" t="s">
        <v>5097</v>
      </c>
      <c r="J43">
        <v>1.7000000000000001E-4</v>
      </c>
    </row>
    <row r="44" spans="1:10">
      <c r="A44" t="s">
        <v>4469</v>
      </c>
      <c r="B44">
        <v>25</v>
      </c>
      <c r="C44" t="s">
        <v>9</v>
      </c>
      <c r="D44">
        <v>3</v>
      </c>
      <c r="E44">
        <v>27</v>
      </c>
      <c r="F44">
        <v>4.0000000000000002E-4</v>
      </c>
      <c r="G44">
        <v>0</v>
      </c>
      <c r="H44" t="s">
        <v>5088</v>
      </c>
      <c r="I44" t="s">
        <v>5097</v>
      </c>
      <c r="J44">
        <v>4.0000000000000002E-4</v>
      </c>
    </row>
    <row r="45" spans="1:10">
      <c r="A45" t="s">
        <v>4462</v>
      </c>
      <c r="B45">
        <v>20</v>
      </c>
      <c r="C45" t="s">
        <v>9</v>
      </c>
      <c r="D45">
        <v>8</v>
      </c>
      <c r="E45">
        <v>27</v>
      </c>
      <c r="F45">
        <v>7.5000000000000002E-4</v>
      </c>
      <c r="G45">
        <v>0</v>
      </c>
      <c r="H45" t="s">
        <v>5088</v>
      </c>
      <c r="I45" t="s">
        <v>5097</v>
      </c>
      <c r="J45">
        <v>7.5000000000000002E-4</v>
      </c>
    </row>
    <row r="46" spans="1:10">
      <c r="A46" t="s">
        <v>4461</v>
      </c>
      <c r="B46">
        <v>24</v>
      </c>
      <c r="C46" t="s">
        <v>7</v>
      </c>
      <c r="D46">
        <v>5</v>
      </c>
      <c r="E46">
        <v>28</v>
      </c>
      <c r="F46">
        <v>2.4000000000000001E-4</v>
      </c>
      <c r="G46">
        <v>0</v>
      </c>
      <c r="H46" t="s">
        <v>5088</v>
      </c>
      <c r="I46" t="s">
        <v>5097</v>
      </c>
      <c r="J46">
        <v>2.4000000000000001E-4</v>
      </c>
    </row>
    <row r="47" spans="1:10">
      <c r="A47" t="s">
        <v>4422</v>
      </c>
      <c r="B47">
        <v>23</v>
      </c>
      <c r="C47" t="s">
        <v>7</v>
      </c>
      <c r="D47">
        <v>2</v>
      </c>
      <c r="E47">
        <v>24</v>
      </c>
      <c r="F47">
        <v>2.4000000000000001E-4</v>
      </c>
      <c r="G47">
        <v>0</v>
      </c>
      <c r="H47" t="s">
        <v>5088</v>
      </c>
      <c r="I47" t="s">
        <v>5097</v>
      </c>
      <c r="J47">
        <v>2.4000000000000001E-4</v>
      </c>
    </row>
    <row r="48" spans="1:10">
      <c r="A48" t="s">
        <v>404</v>
      </c>
      <c r="B48">
        <v>20</v>
      </c>
      <c r="C48" t="s">
        <v>7</v>
      </c>
      <c r="D48">
        <v>9</v>
      </c>
      <c r="E48">
        <v>28</v>
      </c>
      <c r="F48">
        <v>3.4000000000000002E-4</v>
      </c>
      <c r="G48">
        <v>0</v>
      </c>
      <c r="H48" t="s">
        <v>5088</v>
      </c>
      <c r="I48" t="s">
        <v>5097</v>
      </c>
      <c r="J48">
        <v>3.4000000000000002E-4</v>
      </c>
    </row>
    <row r="49" spans="1:10">
      <c r="A49" t="s">
        <v>408</v>
      </c>
      <c r="B49">
        <v>23</v>
      </c>
      <c r="C49" t="s">
        <v>7</v>
      </c>
      <c r="D49">
        <v>5</v>
      </c>
      <c r="E49">
        <v>27</v>
      </c>
      <c r="F49">
        <v>2.5000000000000001E-4</v>
      </c>
      <c r="G49">
        <v>0</v>
      </c>
      <c r="H49" t="s">
        <v>5088</v>
      </c>
      <c r="I49" t="s">
        <v>5097</v>
      </c>
      <c r="J49">
        <v>2.5000000000000001E-4</v>
      </c>
    </row>
    <row r="50" spans="1:10">
      <c r="A50" t="s">
        <v>4402</v>
      </c>
      <c r="B50">
        <v>25</v>
      </c>
      <c r="C50" t="s">
        <v>7</v>
      </c>
      <c r="D50">
        <v>2</v>
      </c>
      <c r="E50">
        <v>26</v>
      </c>
      <c r="F50">
        <v>1.9000000000000001E-4</v>
      </c>
      <c r="G50">
        <v>0</v>
      </c>
      <c r="H50" t="s">
        <v>5088</v>
      </c>
      <c r="I50" t="s">
        <v>5097</v>
      </c>
      <c r="J50">
        <v>1.9000000000000001E-4</v>
      </c>
    </row>
    <row r="51" spans="1:10">
      <c r="A51" t="s">
        <v>413</v>
      </c>
      <c r="B51">
        <v>21</v>
      </c>
      <c r="C51" t="s">
        <v>7</v>
      </c>
      <c r="D51">
        <v>2</v>
      </c>
      <c r="E51">
        <v>22</v>
      </c>
      <c r="F51">
        <v>2.5000000000000001E-4</v>
      </c>
      <c r="G51">
        <v>0</v>
      </c>
      <c r="H51" t="s">
        <v>5088</v>
      </c>
      <c r="I51" t="s">
        <v>5097</v>
      </c>
      <c r="J51">
        <v>2.5000000000000001E-4</v>
      </c>
    </row>
    <row r="52" spans="1:10">
      <c r="A52" t="s">
        <v>4395</v>
      </c>
      <c r="B52">
        <v>25</v>
      </c>
      <c r="C52" t="s">
        <v>7</v>
      </c>
      <c r="D52">
        <v>3</v>
      </c>
      <c r="E52">
        <v>27</v>
      </c>
      <c r="F52">
        <v>2.0000000000000001E-4</v>
      </c>
      <c r="G52">
        <v>0</v>
      </c>
      <c r="H52" t="s">
        <v>5088</v>
      </c>
      <c r="I52" t="s">
        <v>5097</v>
      </c>
      <c r="J52">
        <v>2.0000000000000001E-4</v>
      </c>
    </row>
    <row r="53" spans="1:10">
      <c r="A53" t="s">
        <v>4346</v>
      </c>
      <c r="B53">
        <v>29</v>
      </c>
      <c r="C53" t="s">
        <v>7</v>
      </c>
      <c r="D53">
        <v>1</v>
      </c>
      <c r="E53">
        <v>29</v>
      </c>
      <c r="F53">
        <v>1.1E-4</v>
      </c>
      <c r="G53">
        <v>0</v>
      </c>
      <c r="H53" t="s">
        <v>5088</v>
      </c>
      <c r="I53" t="s">
        <v>5097</v>
      </c>
      <c r="J53">
        <v>1.1E-4</v>
      </c>
    </row>
    <row r="54" spans="1:10">
      <c r="A54" t="s">
        <v>4340</v>
      </c>
      <c r="B54">
        <v>22</v>
      </c>
      <c r="C54" t="s">
        <v>9</v>
      </c>
      <c r="D54">
        <v>7</v>
      </c>
      <c r="E54">
        <v>28</v>
      </c>
      <c r="F54">
        <v>5.9999999999999995E-4</v>
      </c>
      <c r="G54">
        <v>0</v>
      </c>
      <c r="H54" t="s">
        <v>5088</v>
      </c>
      <c r="I54" t="s">
        <v>5097</v>
      </c>
      <c r="J54">
        <v>5.9999999999999995E-4</v>
      </c>
    </row>
    <row r="55" spans="1:10">
      <c r="A55" t="s">
        <v>436</v>
      </c>
      <c r="B55">
        <v>21</v>
      </c>
      <c r="C55" t="s">
        <v>9</v>
      </c>
      <c r="D55">
        <v>6</v>
      </c>
      <c r="E55">
        <v>26</v>
      </c>
      <c r="F55">
        <v>6.8000000000000005E-4</v>
      </c>
      <c r="G55">
        <v>0</v>
      </c>
      <c r="H55" t="s">
        <v>5088</v>
      </c>
      <c r="I55" t="s">
        <v>5097</v>
      </c>
      <c r="J55">
        <v>6.8000000000000005E-4</v>
      </c>
    </row>
    <row r="56" spans="1:10">
      <c r="A56" t="s">
        <v>4286</v>
      </c>
      <c r="B56">
        <v>29</v>
      </c>
      <c r="C56" t="s">
        <v>7</v>
      </c>
      <c r="D56">
        <v>1</v>
      </c>
      <c r="E56">
        <v>29</v>
      </c>
      <c r="F56">
        <v>1.1E-4</v>
      </c>
      <c r="G56">
        <v>0</v>
      </c>
      <c r="H56" t="s">
        <v>5088</v>
      </c>
      <c r="I56" t="s">
        <v>5097</v>
      </c>
      <c r="J56">
        <v>1.1E-4</v>
      </c>
    </row>
    <row r="57" spans="1:10">
      <c r="A57" t="s">
        <v>466</v>
      </c>
      <c r="B57">
        <v>24</v>
      </c>
      <c r="C57" t="s">
        <v>7</v>
      </c>
      <c r="D57">
        <v>6</v>
      </c>
      <c r="E57">
        <v>29</v>
      </c>
      <c r="F57">
        <v>2.7E-4</v>
      </c>
      <c r="G57">
        <v>0</v>
      </c>
      <c r="H57" t="s">
        <v>5088</v>
      </c>
      <c r="I57" t="s">
        <v>5097</v>
      </c>
      <c r="J57">
        <v>2.7E-4</v>
      </c>
    </row>
    <row r="58" spans="1:10">
      <c r="A58" t="s">
        <v>4279</v>
      </c>
      <c r="B58">
        <v>23</v>
      </c>
      <c r="C58" t="s">
        <v>7</v>
      </c>
      <c r="D58">
        <v>2</v>
      </c>
      <c r="E58">
        <v>24</v>
      </c>
      <c r="F58">
        <v>2.4000000000000001E-4</v>
      </c>
      <c r="G58">
        <v>0</v>
      </c>
      <c r="H58" t="s">
        <v>5088</v>
      </c>
      <c r="I58" t="s">
        <v>5097</v>
      </c>
      <c r="J58">
        <v>2.4000000000000001E-4</v>
      </c>
    </row>
    <row r="59" spans="1:10">
      <c r="A59" t="s">
        <v>480</v>
      </c>
      <c r="B59">
        <v>22</v>
      </c>
      <c r="C59" t="s">
        <v>7</v>
      </c>
      <c r="D59">
        <v>8</v>
      </c>
      <c r="E59">
        <v>29</v>
      </c>
      <c r="F59">
        <v>3.3E-4</v>
      </c>
      <c r="G59">
        <v>0</v>
      </c>
      <c r="H59" t="s">
        <v>5088</v>
      </c>
      <c r="I59" t="s">
        <v>5097</v>
      </c>
      <c r="J59">
        <v>3.3E-4</v>
      </c>
    </row>
    <row r="60" spans="1:10">
      <c r="A60" t="s">
        <v>4231</v>
      </c>
      <c r="B60">
        <v>20</v>
      </c>
      <c r="C60" t="s">
        <v>7</v>
      </c>
      <c r="D60">
        <v>4</v>
      </c>
      <c r="E60">
        <v>23</v>
      </c>
      <c r="F60">
        <v>2.9999999999999997E-4</v>
      </c>
      <c r="G60">
        <v>0</v>
      </c>
      <c r="H60" t="s">
        <v>5088</v>
      </c>
      <c r="I60" t="s">
        <v>5097</v>
      </c>
      <c r="J60">
        <v>2.9999999999999997E-4</v>
      </c>
    </row>
    <row r="61" spans="1:10">
      <c r="A61" t="s">
        <v>4229</v>
      </c>
      <c r="B61">
        <v>22</v>
      </c>
      <c r="C61" t="s">
        <v>9</v>
      </c>
      <c r="D61">
        <v>8</v>
      </c>
      <c r="E61">
        <v>29</v>
      </c>
      <c r="F61">
        <v>5.9000000000000003E-4</v>
      </c>
      <c r="G61">
        <v>0</v>
      </c>
      <c r="H61" t="s">
        <v>5088</v>
      </c>
      <c r="I61" t="s">
        <v>5097</v>
      </c>
      <c r="J61">
        <v>5.9000000000000003E-4</v>
      </c>
    </row>
    <row r="62" spans="1:10">
      <c r="A62" t="s">
        <v>4225</v>
      </c>
      <c r="B62">
        <v>21</v>
      </c>
      <c r="C62" t="s">
        <v>9</v>
      </c>
      <c r="D62">
        <v>6</v>
      </c>
      <c r="E62">
        <v>26</v>
      </c>
      <c r="F62">
        <v>6.8000000000000005E-4</v>
      </c>
      <c r="G62">
        <v>0</v>
      </c>
      <c r="H62" t="s">
        <v>5088</v>
      </c>
      <c r="I62" t="s">
        <v>5097</v>
      </c>
      <c r="J62">
        <v>6.8000000000000005E-4</v>
      </c>
    </row>
    <row r="63" spans="1:10">
      <c r="A63" t="s">
        <v>4222</v>
      </c>
      <c r="B63">
        <v>24</v>
      </c>
      <c r="C63" t="s">
        <v>9</v>
      </c>
      <c r="D63">
        <v>3</v>
      </c>
      <c r="E63">
        <v>26</v>
      </c>
      <c r="F63">
        <v>4.4999999999999999E-4</v>
      </c>
      <c r="G63">
        <v>0</v>
      </c>
      <c r="H63" t="s">
        <v>5088</v>
      </c>
      <c r="I63" t="s">
        <v>5097</v>
      </c>
      <c r="J63">
        <v>4.4999999999999999E-4</v>
      </c>
    </row>
    <row r="64" spans="1:10">
      <c r="A64" t="s">
        <v>4204</v>
      </c>
      <c r="B64">
        <v>26</v>
      </c>
      <c r="C64" t="s">
        <v>7</v>
      </c>
      <c r="D64">
        <v>1</v>
      </c>
      <c r="E64">
        <v>26</v>
      </c>
      <c r="F64">
        <v>1.3999999999999999E-4</v>
      </c>
      <c r="G64">
        <v>0</v>
      </c>
      <c r="H64" t="s">
        <v>5088</v>
      </c>
      <c r="I64" t="s">
        <v>5097</v>
      </c>
      <c r="J64">
        <v>1.3999999999999999E-4</v>
      </c>
    </row>
    <row r="65" spans="1:10">
      <c r="A65" t="s">
        <v>521</v>
      </c>
      <c r="B65">
        <v>27</v>
      </c>
      <c r="C65" t="s">
        <v>9</v>
      </c>
      <c r="D65">
        <v>2</v>
      </c>
      <c r="E65">
        <v>28</v>
      </c>
      <c r="F65">
        <v>3.4000000000000002E-4</v>
      </c>
      <c r="G65">
        <v>0</v>
      </c>
      <c r="H65" t="s">
        <v>5088</v>
      </c>
      <c r="I65" t="s">
        <v>5097</v>
      </c>
      <c r="J65">
        <v>3.4000000000000002E-4</v>
      </c>
    </row>
    <row r="66" spans="1:10">
      <c r="A66" t="s">
        <v>4113</v>
      </c>
      <c r="B66">
        <v>21</v>
      </c>
      <c r="C66" t="s">
        <v>7</v>
      </c>
      <c r="D66">
        <v>2</v>
      </c>
      <c r="E66">
        <v>22</v>
      </c>
      <c r="F66">
        <v>2.5000000000000001E-4</v>
      </c>
      <c r="G66">
        <v>0</v>
      </c>
      <c r="H66" t="s">
        <v>5088</v>
      </c>
      <c r="I66" t="s">
        <v>5097</v>
      </c>
      <c r="J66">
        <v>2.5000000000000001E-4</v>
      </c>
    </row>
    <row r="67" spans="1:10">
      <c r="A67" t="s">
        <v>4105</v>
      </c>
      <c r="B67">
        <v>24</v>
      </c>
      <c r="C67" t="s">
        <v>9</v>
      </c>
      <c r="D67">
        <v>5</v>
      </c>
      <c r="E67">
        <v>28</v>
      </c>
      <c r="F67">
        <v>4.6999999999999999E-4</v>
      </c>
      <c r="G67">
        <v>0</v>
      </c>
      <c r="H67" t="s">
        <v>5088</v>
      </c>
      <c r="I67" t="s">
        <v>5097</v>
      </c>
      <c r="J67">
        <v>4.6999999999999999E-4</v>
      </c>
    </row>
    <row r="68" spans="1:10">
      <c r="A68" t="s">
        <v>550</v>
      </c>
      <c r="B68">
        <v>23</v>
      </c>
      <c r="C68" t="s">
        <v>7</v>
      </c>
      <c r="D68">
        <v>3</v>
      </c>
      <c r="E68">
        <v>25</v>
      </c>
      <c r="F68">
        <v>2.5000000000000001E-4</v>
      </c>
      <c r="G68">
        <v>0</v>
      </c>
      <c r="H68" t="s">
        <v>5088</v>
      </c>
      <c r="I68" t="s">
        <v>5097</v>
      </c>
      <c r="J68">
        <v>2.5000000000000001E-4</v>
      </c>
    </row>
    <row r="69" spans="1:10">
      <c r="A69" t="s">
        <v>4098</v>
      </c>
      <c r="B69">
        <v>21</v>
      </c>
      <c r="C69" t="s">
        <v>9</v>
      </c>
      <c r="D69">
        <v>4</v>
      </c>
      <c r="E69">
        <v>24</v>
      </c>
      <c r="F69">
        <v>6.6E-4</v>
      </c>
      <c r="G69">
        <v>0</v>
      </c>
      <c r="H69" t="s">
        <v>5088</v>
      </c>
      <c r="I69" t="s">
        <v>5097</v>
      </c>
      <c r="J69">
        <v>6.6E-4</v>
      </c>
    </row>
    <row r="70" spans="1:10">
      <c r="A70" t="s">
        <v>552</v>
      </c>
      <c r="B70">
        <v>21</v>
      </c>
      <c r="C70" t="s">
        <v>7</v>
      </c>
      <c r="D70">
        <v>5</v>
      </c>
      <c r="E70">
        <v>25</v>
      </c>
      <c r="F70">
        <v>2.9999999999999997E-4</v>
      </c>
      <c r="G70">
        <v>0</v>
      </c>
      <c r="H70" t="s">
        <v>5088</v>
      </c>
      <c r="I70" t="s">
        <v>5097</v>
      </c>
      <c r="J70">
        <v>2.9999999999999997E-4</v>
      </c>
    </row>
    <row r="71" spans="1:10">
      <c r="A71" t="s">
        <v>574</v>
      </c>
      <c r="B71">
        <v>24</v>
      </c>
      <c r="C71" t="s">
        <v>7</v>
      </c>
      <c r="D71">
        <v>5</v>
      </c>
      <c r="E71">
        <v>28</v>
      </c>
      <c r="F71">
        <v>2.4000000000000001E-4</v>
      </c>
      <c r="G71">
        <v>0</v>
      </c>
      <c r="H71" t="s">
        <v>5088</v>
      </c>
      <c r="I71" t="s">
        <v>5097</v>
      </c>
      <c r="J71">
        <v>2.4000000000000001E-4</v>
      </c>
    </row>
    <row r="72" spans="1:10">
      <c r="A72" t="s">
        <v>4042</v>
      </c>
      <c r="B72">
        <v>23</v>
      </c>
      <c r="C72" t="s">
        <v>9</v>
      </c>
      <c r="D72">
        <v>3</v>
      </c>
      <c r="E72">
        <v>25</v>
      </c>
      <c r="F72">
        <v>5.0000000000000001E-4</v>
      </c>
      <c r="G72">
        <v>0</v>
      </c>
      <c r="H72" t="s">
        <v>5088</v>
      </c>
      <c r="I72" t="s">
        <v>5097</v>
      </c>
      <c r="J72">
        <v>5.0000000000000001E-4</v>
      </c>
    </row>
    <row r="73" spans="1:10">
      <c r="A73" t="s">
        <v>586</v>
      </c>
      <c r="B73">
        <v>21</v>
      </c>
      <c r="C73" t="s">
        <v>9</v>
      </c>
      <c r="D73">
        <v>3</v>
      </c>
      <c r="E73">
        <v>23</v>
      </c>
      <c r="F73">
        <v>6.7000000000000002E-4</v>
      </c>
      <c r="G73">
        <v>0</v>
      </c>
      <c r="H73" t="s">
        <v>5088</v>
      </c>
      <c r="I73" t="s">
        <v>5097</v>
      </c>
      <c r="J73">
        <v>6.7000000000000002E-4</v>
      </c>
    </row>
    <row r="74" spans="1:10">
      <c r="A74" t="s">
        <v>4022</v>
      </c>
      <c r="B74">
        <v>24</v>
      </c>
      <c r="C74" t="s">
        <v>7</v>
      </c>
      <c r="D74">
        <v>1</v>
      </c>
      <c r="E74">
        <v>24</v>
      </c>
      <c r="F74">
        <v>1.8000000000000001E-4</v>
      </c>
      <c r="G74">
        <v>0</v>
      </c>
      <c r="H74" t="s">
        <v>5088</v>
      </c>
      <c r="I74" t="s">
        <v>5097</v>
      </c>
      <c r="J74">
        <v>1.8000000000000001E-4</v>
      </c>
    </row>
    <row r="75" spans="1:10">
      <c r="A75" t="s">
        <v>4010</v>
      </c>
      <c r="B75">
        <v>22</v>
      </c>
      <c r="C75" t="s">
        <v>7</v>
      </c>
      <c r="D75">
        <v>5</v>
      </c>
      <c r="E75">
        <v>26</v>
      </c>
      <c r="F75">
        <v>2.7E-4</v>
      </c>
      <c r="G75">
        <v>0</v>
      </c>
      <c r="H75" t="s">
        <v>5088</v>
      </c>
      <c r="I75" t="s">
        <v>5097</v>
      </c>
      <c r="J75">
        <v>2.7E-4</v>
      </c>
    </row>
    <row r="76" spans="1:10">
      <c r="A76" t="s">
        <v>601</v>
      </c>
      <c r="B76">
        <v>21</v>
      </c>
      <c r="C76" t="s">
        <v>7</v>
      </c>
      <c r="D76">
        <v>3</v>
      </c>
      <c r="E76">
        <v>23</v>
      </c>
      <c r="F76">
        <v>2.7E-4</v>
      </c>
      <c r="G76">
        <v>0</v>
      </c>
      <c r="H76" t="s">
        <v>5088</v>
      </c>
      <c r="I76" t="s">
        <v>5097</v>
      </c>
      <c r="J76">
        <v>2.7E-4</v>
      </c>
    </row>
    <row r="77" spans="1:10">
      <c r="A77" t="s">
        <v>3953</v>
      </c>
      <c r="B77">
        <v>24</v>
      </c>
      <c r="C77" t="s">
        <v>7</v>
      </c>
      <c r="D77">
        <v>1</v>
      </c>
      <c r="E77">
        <v>24</v>
      </c>
      <c r="F77">
        <v>1.8000000000000001E-4</v>
      </c>
      <c r="G77">
        <v>0</v>
      </c>
      <c r="H77" t="s">
        <v>5088</v>
      </c>
      <c r="I77" t="s">
        <v>5097</v>
      </c>
      <c r="J77">
        <v>1.8000000000000001E-4</v>
      </c>
    </row>
    <row r="78" spans="1:10">
      <c r="A78" t="s">
        <v>3947</v>
      </c>
      <c r="B78">
        <v>23</v>
      </c>
      <c r="C78" t="s">
        <v>7</v>
      </c>
      <c r="D78">
        <v>4</v>
      </c>
      <c r="E78">
        <v>26</v>
      </c>
      <c r="F78">
        <v>2.4000000000000001E-4</v>
      </c>
      <c r="G78">
        <v>0</v>
      </c>
      <c r="H78" t="s">
        <v>5088</v>
      </c>
      <c r="I78" t="s">
        <v>5097</v>
      </c>
      <c r="J78">
        <v>2.4000000000000001E-4</v>
      </c>
    </row>
    <row r="79" spans="1:10">
      <c r="A79" t="s">
        <v>3934</v>
      </c>
      <c r="B79">
        <v>26</v>
      </c>
      <c r="C79" t="s">
        <v>9</v>
      </c>
      <c r="D79">
        <v>4</v>
      </c>
      <c r="E79">
        <v>29</v>
      </c>
      <c r="F79">
        <v>3.8999999999999999E-4</v>
      </c>
      <c r="G79">
        <v>0</v>
      </c>
      <c r="H79" t="s">
        <v>5088</v>
      </c>
      <c r="I79" t="s">
        <v>5097</v>
      </c>
      <c r="J79">
        <v>3.8999999999999999E-4</v>
      </c>
    </row>
    <row r="80" spans="1:10">
      <c r="A80" t="s">
        <v>646</v>
      </c>
      <c r="B80">
        <v>28</v>
      </c>
      <c r="C80" t="s">
        <v>7</v>
      </c>
      <c r="D80">
        <v>1</v>
      </c>
      <c r="E80">
        <v>28</v>
      </c>
      <c r="F80">
        <v>1.1E-4</v>
      </c>
      <c r="G80">
        <v>0</v>
      </c>
      <c r="H80" t="s">
        <v>5088</v>
      </c>
      <c r="I80" t="s">
        <v>5097</v>
      </c>
      <c r="J80">
        <v>1.1E-4</v>
      </c>
    </row>
    <row r="81" spans="1:10">
      <c r="A81" t="s">
        <v>3828</v>
      </c>
      <c r="B81">
        <v>21</v>
      </c>
      <c r="C81" t="s">
        <v>9</v>
      </c>
      <c r="D81">
        <v>4</v>
      </c>
      <c r="E81">
        <v>24</v>
      </c>
      <c r="F81">
        <v>6.6E-4</v>
      </c>
      <c r="G81">
        <v>0</v>
      </c>
      <c r="H81" t="s">
        <v>5088</v>
      </c>
      <c r="I81" t="s">
        <v>5097</v>
      </c>
      <c r="J81">
        <v>6.6E-4</v>
      </c>
    </row>
    <row r="82" spans="1:10">
      <c r="A82" t="s">
        <v>666</v>
      </c>
      <c r="B82">
        <v>20</v>
      </c>
      <c r="C82" t="s">
        <v>7</v>
      </c>
      <c r="D82">
        <v>9</v>
      </c>
      <c r="E82">
        <v>28</v>
      </c>
      <c r="F82">
        <v>3.4000000000000002E-4</v>
      </c>
      <c r="G82">
        <v>0</v>
      </c>
      <c r="H82" t="s">
        <v>5088</v>
      </c>
      <c r="I82" t="s">
        <v>5097</v>
      </c>
      <c r="J82">
        <v>3.4000000000000002E-4</v>
      </c>
    </row>
    <row r="83" spans="1:10">
      <c r="A83" t="s">
        <v>3766</v>
      </c>
      <c r="B83">
        <v>21</v>
      </c>
      <c r="C83" t="s">
        <v>7</v>
      </c>
      <c r="D83">
        <v>7</v>
      </c>
      <c r="E83">
        <v>27</v>
      </c>
      <c r="F83">
        <v>2.9999999999999997E-4</v>
      </c>
      <c r="G83">
        <v>0</v>
      </c>
      <c r="H83" t="s">
        <v>5088</v>
      </c>
      <c r="I83" t="s">
        <v>5097</v>
      </c>
      <c r="J83">
        <v>2.9999999999999997E-4</v>
      </c>
    </row>
    <row r="84" spans="1:10">
      <c r="A84" t="s">
        <v>697</v>
      </c>
      <c r="B84">
        <v>27</v>
      </c>
      <c r="C84" t="s">
        <v>7</v>
      </c>
      <c r="D84">
        <v>2</v>
      </c>
      <c r="E84">
        <v>28</v>
      </c>
      <c r="F84">
        <v>1.7000000000000001E-4</v>
      </c>
      <c r="G84">
        <v>0</v>
      </c>
      <c r="H84" t="s">
        <v>5088</v>
      </c>
      <c r="I84" t="s">
        <v>5097</v>
      </c>
      <c r="J84">
        <v>1.7000000000000001E-4</v>
      </c>
    </row>
    <row r="85" spans="1:10">
      <c r="A85" t="s">
        <v>698</v>
      </c>
      <c r="B85">
        <v>21</v>
      </c>
      <c r="C85" t="s">
        <v>9</v>
      </c>
      <c r="D85">
        <v>8</v>
      </c>
      <c r="E85">
        <v>28</v>
      </c>
      <c r="F85">
        <v>6.6E-4</v>
      </c>
      <c r="G85">
        <v>0</v>
      </c>
      <c r="H85" t="s">
        <v>5088</v>
      </c>
      <c r="I85" t="s">
        <v>5097</v>
      </c>
      <c r="J85">
        <v>6.6E-4</v>
      </c>
    </row>
    <row r="86" spans="1:10">
      <c r="A86" t="s">
        <v>3723</v>
      </c>
      <c r="B86">
        <v>20</v>
      </c>
      <c r="C86" t="s">
        <v>7</v>
      </c>
      <c r="D86">
        <v>5</v>
      </c>
      <c r="E86">
        <v>24</v>
      </c>
      <c r="F86">
        <v>3.2000000000000003E-4</v>
      </c>
      <c r="G86">
        <v>0</v>
      </c>
      <c r="H86" t="s">
        <v>5088</v>
      </c>
      <c r="I86" t="s">
        <v>5097</v>
      </c>
      <c r="J86">
        <v>3.2000000000000003E-4</v>
      </c>
    </row>
    <row r="87" spans="1:10">
      <c r="A87" t="s">
        <v>702</v>
      </c>
      <c r="B87">
        <v>23</v>
      </c>
      <c r="C87" t="s">
        <v>7</v>
      </c>
      <c r="D87">
        <v>5</v>
      </c>
      <c r="E87">
        <v>27</v>
      </c>
      <c r="F87">
        <v>2.5000000000000001E-4</v>
      </c>
      <c r="G87">
        <v>0</v>
      </c>
      <c r="H87" t="s">
        <v>5088</v>
      </c>
      <c r="I87" t="s">
        <v>5097</v>
      </c>
      <c r="J87">
        <v>2.5000000000000001E-4</v>
      </c>
    </row>
    <row r="88" spans="1:10">
      <c r="A88" t="s">
        <v>3722</v>
      </c>
      <c r="B88">
        <v>22</v>
      </c>
      <c r="C88" t="s">
        <v>7</v>
      </c>
      <c r="D88">
        <v>5</v>
      </c>
      <c r="E88">
        <v>26</v>
      </c>
      <c r="F88">
        <v>2.7E-4</v>
      </c>
      <c r="G88">
        <v>0</v>
      </c>
      <c r="H88" t="s">
        <v>5088</v>
      </c>
      <c r="I88" t="s">
        <v>5097</v>
      </c>
      <c r="J88">
        <v>2.7E-4</v>
      </c>
    </row>
    <row r="89" spans="1:10">
      <c r="A89" t="s">
        <v>3721</v>
      </c>
      <c r="B89">
        <v>21</v>
      </c>
      <c r="C89" t="s">
        <v>7</v>
      </c>
      <c r="D89">
        <v>9</v>
      </c>
      <c r="E89">
        <v>29</v>
      </c>
      <c r="F89">
        <v>3.6000000000000002E-4</v>
      </c>
      <c r="G89">
        <v>0</v>
      </c>
      <c r="H89" t="s">
        <v>5088</v>
      </c>
      <c r="I89" t="s">
        <v>5097</v>
      </c>
      <c r="J89">
        <v>3.6000000000000002E-4</v>
      </c>
    </row>
    <row r="90" spans="1:10">
      <c r="A90" t="s">
        <v>720</v>
      </c>
      <c r="B90">
        <v>20</v>
      </c>
      <c r="C90" t="s">
        <v>7</v>
      </c>
      <c r="D90">
        <v>7</v>
      </c>
      <c r="E90">
        <v>26</v>
      </c>
      <c r="F90">
        <v>3.1E-4</v>
      </c>
      <c r="G90">
        <v>0</v>
      </c>
      <c r="H90" t="s">
        <v>5088</v>
      </c>
      <c r="I90" t="s">
        <v>5097</v>
      </c>
      <c r="J90">
        <v>3.1E-4</v>
      </c>
    </row>
    <row r="91" spans="1:10">
      <c r="A91" t="s">
        <v>3664</v>
      </c>
      <c r="B91">
        <v>26</v>
      </c>
      <c r="C91" t="s">
        <v>9</v>
      </c>
      <c r="D91">
        <v>3</v>
      </c>
      <c r="E91">
        <v>28</v>
      </c>
      <c r="F91">
        <v>3.8000000000000002E-4</v>
      </c>
      <c r="G91">
        <v>0</v>
      </c>
      <c r="H91" t="s">
        <v>5088</v>
      </c>
      <c r="I91" t="s">
        <v>5097</v>
      </c>
      <c r="J91">
        <v>3.8000000000000002E-4</v>
      </c>
    </row>
    <row r="92" spans="1:10">
      <c r="A92" t="s">
        <v>3629</v>
      </c>
      <c r="B92">
        <v>23</v>
      </c>
      <c r="C92" t="s">
        <v>9</v>
      </c>
      <c r="D92">
        <v>7</v>
      </c>
      <c r="E92">
        <v>29</v>
      </c>
      <c r="F92">
        <v>5.2999999999999998E-4</v>
      </c>
      <c r="G92">
        <v>0</v>
      </c>
      <c r="H92" t="s">
        <v>5088</v>
      </c>
      <c r="I92" t="s">
        <v>5097</v>
      </c>
      <c r="J92">
        <v>5.2999999999999998E-4</v>
      </c>
    </row>
    <row r="93" spans="1:10">
      <c r="A93" t="s">
        <v>773</v>
      </c>
      <c r="B93">
        <v>26</v>
      </c>
      <c r="C93" t="s">
        <v>9</v>
      </c>
      <c r="D93">
        <v>3</v>
      </c>
      <c r="E93">
        <v>28</v>
      </c>
      <c r="F93">
        <v>3.8000000000000002E-4</v>
      </c>
      <c r="G93">
        <v>0</v>
      </c>
      <c r="H93" t="s">
        <v>5088</v>
      </c>
      <c r="I93" t="s">
        <v>5097</v>
      </c>
      <c r="J93">
        <v>3.8000000000000002E-4</v>
      </c>
    </row>
    <row r="94" spans="1:10">
      <c r="A94" t="s">
        <v>3502</v>
      </c>
      <c r="B94">
        <v>22</v>
      </c>
      <c r="C94" t="s">
        <v>9</v>
      </c>
      <c r="D94">
        <v>7</v>
      </c>
      <c r="E94">
        <v>28</v>
      </c>
      <c r="F94">
        <v>5.9999999999999995E-4</v>
      </c>
      <c r="G94">
        <v>0</v>
      </c>
      <c r="H94" t="s">
        <v>5088</v>
      </c>
      <c r="I94" t="s">
        <v>5097</v>
      </c>
      <c r="J94">
        <v>5.9999999999999995E-4</v>
      </c>
    </row>
    <row r="95" spans="1:10">
      <c r="A95" t="s">
        <v>3485</v>
      </c>
      <c r="B95">
        <v>23</v>
      </c>
      <c r="C95" t="s">
        <v>9</v>
      </c>
      <c r="D95">
        <v>3</v>
      </c>
      <c r="E95">
        <v>25</v>
      </c>
      <c r="F95">
        <v>5.0000000000000001E-4</v>
      </c>
      <c r="G95">
        <v>0</v>
      </c>
      <c r="H95" t="s">
        <v>5088</v>
      </c>
      <c r="I95" t="s">
        <v>5097</v>
      </c>
      <c r="J95">
        <v>5.0000000000000001E-4</v>
      </c>
    </row>
    <row r="96" spans="1:10">
      <c r="A96" t="s">
        <v>3472</v>
      </c>
      <c r="B96">
        <v>20</v>
      </c>
      <c r="C96" t="s">
        <v>9</v>
      </c>
      <c r="D96">
        <v>6</v>
      </c>
      <c r="E96">
        <v>25</v>
      </c>
      <c r="F96">
        <v>7.7999999999999999E-4</v>
      </c>
      <c r="G96">
        <v>0</v>
      </c>
      <c r="H96" t="s">
        <v>5088</v>
      </c>
      <c r="I96" t="s">
        <v>5097</v>
      </c>
      <c r="J96">
        <v>7.7999999999999999E-4</v>
      </c>
    </row>
    <row r="97" spans="1:10">
      <c r="A97" t="s">
        <v>3453</v>
      </c>
      <c r="B97">
        <v>20</v>
      </c>
      <c r="C97" t="s">
        <v>7</v>
      </c>
      <c r="D97">
        <v>7</v>
      </c>
      <c r="E97">
        <v>26</v>
      </c>
      <c r="F97">
        <v>3.1E-4</v>
      </c>
      <c r="G97">
        <v>0</v>
      </c>
      <c r="H97" t="s">
        <v>5088</v>
      </c>
      <c r="I97" t="s">
        <v>5097</v>
      </c>
      <c r="J97">
        <v>3.1E-4</v>
      </c>
    </row>
    <row r="98" spans="1:10">
      <c r="A98" t="s">
        <v>3444</v>
      </c>
      <c r="B98">
        <v>23</v>
      </c>
      <c r="C98" t="s">
        <v>9</v>
      </c>
      <c r="D98">
        <v>3</v>
      </c>
      <c r="E98">
        <v>25</v>
      </c>
      <c r="F98">
        <v>5.0000000000000001E-4</v>
      </c>
      <c r="G98">
        <v>0</v>
      </c>
      <c r="H98" t="s">
        <v>5088</v>
      </c>
      <c r="I98" t="s">
        <v>5097</v>
      </c>
      <c r="J98">
        <v>5.0000000000000001E-4</v>
      </c>
    </row>
    <row r="99" spans="1:10">
      <c r="A99" t="s">
        <v>807</v>
      </c>
      <c r="B99">
        <v>26</v>
      </c>
      <c r="C99" t="s">
        <v>9</v>
      </c>
      <c r="D99">
        <v>1</v>
      </c>
      <c r="E99">
        <v>26</v>
      </c>
      <c r="F99">
        <v>3.5E-4</v>
      </c>
      <c r="G99">
        <v>0</v>
      </c>
      <c r="H99" t="s">
        <v>5088</v>
      </c>
      <c r="I99" t="s">
        <v>5097</v>
      </c>
      <c r="J99">
        <v>3.5E-4</v>
      </c>
    </row>
    <row r="100" spans="1:10">
      <c r="A100" t="s">
        <v>812</v>
      </c>
      <c r="B100">
        <v>25</v>
      </c>
      <c r="C100" t="s">
        <v>7</v>
      </c>
      <c r="D100">
        <v>4</v>
      </c>
      <c r="E100">
        <v>28</v>
      </c>
      <c r="F100">
        <v>2.2000000000000001E-4</v>
      </c>
      <c r="G100">
        <v>0</v>
      </c>
      <c r="H100" t="s">
        <v>5088</v>
      </c>
      <c r="I100" t="s">
        <v>5097</v>
      </c>
      <c r="J100">
        <v>2.2000000000000001E-4</v>
      </c>
    </row>
    <row r="101" spans="1:10">
      <c r="A101" t="s">
        <v>3426</v>
      </c>
      <c r="B101">
        <v>20</v>
      </c>
      <c r="C101" t="s">
        <v>9</v>
      </c>
      <c r="D101">
        <v>7</v>
      </c>
      <c r="E101">
        <v>26</v>
      </c>
      <c r="F101">
        <v>7.6999999999999996E-4</v>
      </c>
      <c r="G101">
        <v>0</v>
      </c>
      <c r="H101" t="s">
        <v>5088</v>
      </c>
      <c r="I101" t="s">
        <v>5097</v>
      </c>
      <c r="J101">
        <v>7.6999999999999996E-4</v>
      </c>
    </row>
    <row r="102" spans="1:10">
      <c r="A102" t="s">
        <v>3397</v>
      </c>
      <c r="B102">
        <v>24</v>
      </c>
      <c r="C102" t="s">
        <v>9</v>
      </c>
      <c r="D102">
        <v>1</v>
      </c>
      <c r="E102">
        <v>24</v>
      </c>
      <c r="F102">
        <v>4.4000000000000002E-4</v>
      </c>
      <c r="G102">
        <v>0</v>
      </c>
      <c r="H102" t="s">
        <v>5088</v>
      </c>
      <c r="I102" t="s">
        <v>5097</v>
      </c>
      <c r="J102">
        <v>4.4000000000000002E-4</v>
      </c>
    </row>
    <row r="103" spans="1:10">
      <c r="A103" t="s">
        <v>3386</v>
      </c>
      <c r="B103">
        <v>27</v>
      </c>
      <c r="C103" t="s">
        <v>7</v>
      </c>
      <c r="D103">
        <v>2</v>
      </c>
      <c r="E103">
        <v>28</v>
      </c>
      <c r="F103">
        <v>1.7000000000000001E-4</v>
      </c>
      <c r="G103">
        <v>0</v>
      </c>
      <c r="H103" t="s">
        <v>5088</v>
      </c>
      <c r="I103" t="s">
        <v>5097</v>
      </c>
      <c r="J103">
        <v>1.7000000000000001E-4</v>
      </c>
    </row>
    <row r="104" spans="1:10">
      <c r="A104" t="s">
        <v>3373</v>
      </c>
      <c r="B104">
        <v>25</v>
      </c>
      <c r="C104" t="s">
        <v>7</v>
      </c>
      <c r="D104">
        <v>4</v>
      </c>
      <c r="E104">
        <v>28</v>
      </c>
      <c r="F104">
        <v>2.2000000000000001E-4</v>
      </c>
      <c r="G104">
        <v>0</v>
      </c>
      <c r="H104" t="s">
        <v>5088</v>
      </c>
      <c r="I104" t="s">
        <v>5097</v>
      </c>
      <c r="J104">
        <v>2.2000000000000001E-4</v>
      </c>
    </row>
    <row r="105" spans="1:10">
      <c r="A105" t="s">
        <v>3288</v>
      </c>
      <c r="B105">
        <v>22</v>
      </c>
      <c r="C105" t="s">
        <v>7</v>
      </c>
      <c r="D105">
        <v>3</v>
      </c>
      <c r="E105">
        <v>24</v>
      </c>
      <c r="F105">
        <v>2.7E-4</v>
      </c>
      <c r="G105">
        <v>0</v>
      </c>
      <c r="H105" t="s">
        <v>5088</v>
      </c>
      <c r="I105" t="s">
        <v>5097</v>
      </c>
      <c r="J105">
        <v>2.7E-4</v>
      </c>
    </row>
    <row r="106" spans="1:10">
      <c r="A106" t="s">
        <v>872</v>
      </c>
      <c r="B106">
        <v>23</v>
      </c>
      <c r="C106" t="s">
        <v>9</v>
      </c>
      <c r="D106">
        <v>2</v>
      </c>
      <c r="E106">
        <v>24</v>
      </c>
      <c r="F106">
        <v>5.1999999999999995E-4</v>
      </c>
      <c r="G106">
        <v>0</v>
      </c>
      <c r="H106" t="s">
        <v>5088</v>
      </c>
      <c r="I106" t="s">
        <v>5097</v>
      </c>
      <c r="J106">
        <v>5.1999999999999995E-4</v>
      </c>
    </row>
    <row r="107" spans="1:10">
      <c r="A107" t="s">
        <v>904</v>
      </c>
      <c r="B107">
        <v>20</v>
      </c>
      <c r="C107" t="s">
        <v>9</v>
      </c>
      <c r="D107">
        <v>9</v>
      </c>
      <c r="E107">
        <v>28</v>
      </c>
      <c r="F107">
        <v>7.1000000000000002E-4</v>
      </c>
      <c r="G107">
        <v>0</v>
      </c>
      <c r="H107" t="s">
        <v>5088</v>
      </c>
      <c r="I107" t="s">
        <v>5097</v>
      </c>
      <c r="J107">
        <v>7.1000000000000002E-4</v>
      </c>
    </row>
    <row r="108" spans="1:10">
      <c r="A108" t="s">
        <v>3145</v>
      </c>
      <c r="B108">
        <v>20</v>
      </c>
      <c r="C108" t="s">
        <v>9</v>
      </c>
      <c r="D108">
        <v>6</v>
      </c>
      <c r="E108">
        <v>25</v>
      </c>
      <c r="F108">
        <v>7.7999999999999999E-4</v>
      </c>
      <c r="G108">
        <v>0</v>
      </c>
      <c r="H108" t="s">
        <v>5088</v>
      </c>
      <c r="I108" t="s">
        <v>5097</v>
      </c>
      <c r="J108">
        <v>7.7999999999999999E-4</v>
      </c>
    </row>
    <row r="109" spans="1:10">
      <c r="A109" t="s">
        <v>3135</v>
      </c>
      <c r="B109">
        <v>21</v>
      </c>
      <c r="C109" t="s">
        <v>9</v>
      </c>
      <c r="D109">
        <v>6</v>
      </c>
      <c r="E109">
        <v>26</v>
      </c>
      <c r="F109">
        <v>6.8000000000000005E-4</v>
      </c>
      <c r="G109">
        <v>0</v>
      </c>
      <c r="H109" t="s">
        <v>5088</v>
      </c>
      <c r="I109" t="s">
        <v>5097</v>
      </c>
      <c r="J109">
        <v>6.8000000000000005E-4</v>
      </c>
    </row>
    <row r="110" spans="1:10">
      <c r="A110" t="s">
        <v>3128</v>
      </c>
      <c r="B110">
        <v>27</v>
      </c>
      <c r="C110" t="s">
        <v>9</v>
      </c>
      <c r="D110">
        <v>3</v>
      </c>
      <c r="E110">
        <v>29</v>
      </c>
      <c r="F110">
        <v>3.5E-4</v>
      </c>
      <c r="G110">
        <v>0</v>
      </c>
      <c r="H110" t="s">
        <v>5088</v>
      </c>
      <c r="I110" t="s">
        <v>5097</v>
      </c>
      <c r="J110">
        <v>3.5E-4</v>
      </c>
    </row>
    <row r="111" spans="1:10">
      <c r="A111" t="s">
        <v>925</v>
      </c>
      <c r="B111">
        <v>20</v>
      </c>
      <c r="C111" t="s">
        <v>9</v>
      </c>
      <c r="D111">
        <v>8</v>
      </c>
      <c r="E111">
        <v>27</v>
      </c>
      <c r="F111">
        <v>7.5000000000000002E-4</v>
      </c>
      <c r="G111">
        <v>0</v>
      </c>
      <c r="H111" t="s">
        <v>5088</v>
      </c>
      <c r="I111" t="s">
        <v>5097</v>
      </c>
      <c r="J111">
        <v>7.5000000000000002E-4</v>
      </c>
    </row>
    <row r="112" spans="1:10">
      <c r="A112" t="s">
        <v>3096</v>
      </c>
      <c r="B112">
        <v>27</v>
      </c>
      <c r="C112" t="s">
        <v>9</v>
      </c>
      <c r="D112">
        <v>2</v>
      </c>
      <c r="E112">
        <v>28</v>
      </c>
      <c r="F112">
        <v>3.4000000000000002E-4</v>
      </c>
      <c r="G112">
        <v>0</v>
      </c>
      <c r="H112" t="s">
        <v>5088</v>
      </c>
      <c r="I112" t="s">
        <v>5097</v>
      </c>
      <c r="J112">
        <v>3.4000000000000002E-4</v>
      </c>
    </row>
    <row r="113" spans="1:10">
      <c r="A113" t="s">
        <v>3082</v>
      </c>
      <c r="B113">
        <v>21</v>
      </c>
      <c r="C113" t="s">
        <v>7</v>
      </c>
      <c r="D113">
        <v>8</v>
      </c>
      <c r="E113">
        <v>28</v>
      </c>
      <c r="F113">
        <v>3.2000000000000003E-4</v>
      </c>
      <c r="G113">
        <v>0</v>
      </c>
      <c r="H113" t="s">
        <v>5088</v>
      </c>
      <c r="I113" t="s">
        <v>5097</v>
      </c>
      <c r="J113">
        <v>3.2000000000000003E-4</v>
      </c>
    </row>
    <row r="114" spans="1:10">
      <c r="A114" t="s">
        <v>954</v>
      </c>
      <c r="B114">
        <v>27</v>
      </c>
      <c r="C114" t="s">
        <v>9</v>
      </c>
      <c r="D114">
        <v>3</v>
      </c>
      <c r="E114">
        <v>29</v>
      </c>
      <c r="F114">
        <v>3.5E-4</v>
      </c>
      <c r="G114">
        <v>0</v>
      </c>
      <c r="H114" t="s">
        <v>5088</v>
      </c>
      <c r="I114" t="s">
        <v>5097</v>
      </c>
      <c r="J114">
        <v>3.5E-4</v>
      </c>
    </row>
    <row r="115" spans="1:10">
      <c r="A115" t="s">
        <v>3064</v>
      </c>
      <c r="B115">
        <v>20</v>
      </c>
      <c r="C115" t="s">
        <v>9</v>
      </c>
      <c r="D115">
        <v>4</v>
      </c>
      <c r="E115">
        <v>23</v>
      </c>
      <c r="F115">
        <v>7.7999999999999999E-4</v>
      </c>
      <c r="G115">
        <v>0</v>
      </c>
      <c r="H115" t="s">
        <v>5088</v>
      </c>
      <c r="I115" t="s">
        <v>5097</v>
      </c>
      <c r="J115">
        <v>7.7999999999999999E-4</v>
      </c>
    </row>
    <row r="116" spans="1:10">
      <c r="A116" t="s">
        <v>3058</v>
      </c>
      <c r="B116">
        <v>27</v>
      </c>
      <c r="C116" t="s">
        <v>7</v>
      </c>
      <c r="D116">
        <v>2</v>
      </c>
      <c r="E116">
        <v>28</v>
      </c>
      <c r="F116">
        <v>1.7000000000000001E-4</v>
      </c>
      <c r="G116">
        <v>0</v>
      </c>
      <c r="H116" t="s">
        <v>5088</v>
      </c>
      <c r="I116" t="s">
        <v>5097</v>
      </c>
      <c r="J116">
        <v>1.7000000000000001E-4</v>
      </c>
    </row>
    <row r="117" spans="1:10">
      <c r="A117" t="s">
        <v>3023</v>
      </c>
      <c r="B117">
        <v>20</v>
      </c>
      <c r="C117" t="s">
        <v>9</v>
      </c>
      <c r="D117">
        <v>5</v>
      </c>
      <c r="E117">
        <v>24</v>
      </c>
      <c r="F117">
        <v>7.6999999999999996E-4</v>
      </c>
      <c r="G117">
        <v>0</v>
      </c>
      <c r="H117" t="s">
        <v>5088</v>
      </c>
      <c r="I117" t="s">
        <v>5097</v>
      </c>
      <c r="J117">
        <v>7.6999999999999996E-4</v>
      </c>
    </row>
    <row r="118" spans="1:10">
      <c r="A118" t="s">
        <v>991</v>
      </c>
      <c r="B118">
        <v>25</v>
      </c>
      <c r="C118" t="s">
        <v>9</v>
      </c>
      <c r="D118">
        <v>2</v>
      </c>
      <c r="E118">
        <v>26</v>
      </c>
      <c r="F118">
        <v>4.2000000000000002E-4</v>
      </c>
      <c r="G118">
        <v>0</v>
      </c>
      <c r="H118" t="s">
        <v>5088</v>
      </c>
      <c r="I118" t="s">
        <v>5097</v>
      </c>
      <c r="J118">
        <v>4.2000000000000002E-4</v>
      </c>
    </row>
    <row r="119" spans="1:10">
      <c r="A119" t="s">
        <v>1012</v>
      </c>
      <c r="B119">
        <v>20</v>
      </c>
      <c r="C119" t="s">
        <v>9</v>
      </c>
      <c r="D119">
        <v>2</v>
      </c>
      <c r="E119">
        <v>21</v>
      </c>
      <c r="F119">
        <v>7.2000000000000005E-4</v>
      </c>
      <c r="G119">
        <v>0</v>
      </c>
      <c r="H119" t="s">
        <v>5088</v>
      </c>
      <c r="I119" t="s">
        <v>5097</v>
      </c>
      <c r="J119">
        <v>7.2000000000000005E-4</v>
      </c>
    </row>
    <row r="120" spans="1:10">
      <c r="A120" t="s">
        <v>2953</v>
      </c>
      <c r="B120">
        <v>22</v>
      </c>
      <c r="C120" t="s">
        <v>9</v>
      </c>
      <c r="D120">
        <v>1</v>
      </c>
      <c r="E120">
        <v>22</v>
      </c>
      <c r="F120">
        <v>5.8E-4</v>
      </c>
      <c r="G120">
        <v>0</v>
      </c>
      <c r="H120" t="s">
        <v>5088</v>
      </c>
      <c r="I120" t="s">
        <v>5097</v>
      </c>
      <c r="J120">
        <v>5.8E-4</v>
      </c>
    </row>
    <row r="121" spans="1:10">
      <c r="A121" t="s">
        <v>2941</v>
      </c>
      <c r="B121">
        <v>26</v>
      </c>
      <c r="C121" t="s">
        <v>7</v>
      </c>
      <c r="D121">
        <v>3</v>
      </c>
      <c r="E121">
        <v>28</v>
      </c>
      <c r="F121">
        <v>1.9000000000000001E-4</v>
      </c>
      <c r="G121">
        <v>0</v>
      </c>
      <c r="H121" t="s">
        <v>5088</v>
      </c>
      <c r="I121" t="s">
        <v>5097</v>
      </c>
      <c r="J121">
        <v>1.9000000000000001E-4</v>
      </c>
    </row>
    <row r="122" spans="1:10">
      <c r="A122" t="s">
        <v>1029</v>
      </c>
      <c r="B122">
        <v>21</v>
      </c>
      <c r="C122" t="s">
        <v>9</v>
      </c>
      <c r="D122">
        <v>7</v>
      </c>
      <c r="E122">
        <v>27</v>
      </c>
      <c r="F122">
        <v>6.8000000000000005E-4</v>
      </c>
      <c r="G122">
        <v>0</v>
      </c>
      <c r="H122" t="s">
        <v>5088</v>
      </c>
      <c r="I122" t="s">
        <v>5097</v>
      </c>
      <c r="J122">
        <v>6.8000000000000005E-4</v>
      </c>
    </row>
    <row r="123" spans="1:10">
      <c r="A123" t="s">
        <v>1036</v>
      </c>
      <c r="B123">
        <v>26</v>
      </c>
      <c r="C123" t="s">
        <v>7</v>
      </c>
      <c r="D123">
        <v>3</v>
      </c>
      <c r="E123">
        <v>28</v>
      </c>
      <c r="F123">
        <v>1.9000000000000001E-4</v>
      </c>
      <c r="G123">
        <v>0</v>
      </c>
      <c r="H123" t="s">
        <v>5088</v>
      </c>
      <c r="I123" t="s">
        <v>5097</v>
      </c>
      <c r="J123">
        <v>1.9000000000000001E-4</v>
      </c>
    </row>
    <row r="124" spans="1:10">
      <c r="A124" t="s">
        <v>2918</v>
      </c>
      <c r="B124">
        <v>23</v>
      </c>
      <c r="C124" t="s">
        <v>7</v>
      </c>
      <c r="D124">
        <v>3</v>
      </c>
      <c r="E124">
        <v>25</v>
      </c>
      <c r="F124">
        <v>2.5000000000000001E-4</v>
      </c>
      <c r="G124">
        <v>0</v>
      </c>
      <c r="H124" t="s">
        <v>5088</v>
      </c>
      <c r="I124" t="s">
        <v>5097</v>
      </c>
      <c r="J124">
        <v>2.5000000000000001E-4</v>
      </c>
    </row>
    <row r="125" spans="1:10">
      <c r="A125" t="s">
        <v>2915</v>
      </c>
      <c r="B125">
        <v>25</v>
      </c>
      <c r="C125" t="s">
        <v>9</v>
      </c>
      <c r="D125">
        <v>5</v>
      </c>
      <c r="E125">
        <v>29</v>
      </c>
      <c r="F125">
        <v>4.2999999999999999E-4</v>
      </c>
      <c r="G125">
        <v>0</v>
      </c>
      <c r="H125" t="s">
        <v>5088</v>
      </c>
      <c r="I125" t="s">
        <v>5097</v>
      </c>
      <c r="J125">
        <v>4.2999999999999999E-4</v>
      </c>
    </row>
    <row r="126" spans="1:10">
      <c r="A126" t="s">
        <v>2913</v>
      </c>
      <c r="B126">
        <v>23</v>
      </c>
      <c r="C126" t="s">
        <v>7</v>
      </c>
      <c r="D126">
        <v>7</v>
      </c>
      <c r="E126">
        <v>29</v>
      </c>
      <c r="F126">
        <v>2.9999999999999997E-4</v>
      </c>
      <c r="G126">
        <v>0</v>
      </c>
      <c r="H126" t="s">
        <v>5088</v>
      </c>
      <c r="I126" t="s">
        <v>5097</v>
      </c>
      <c r="J126">
        <v>2.9999999999999997E-4</v>
      </c>
    </row>
    <row r="127" spans="1:10">
      <c r="A127" t="s">
        <v>1047</v>
      </c>
      <c r="B127">
        <v>24</v>
      </c>
      <c r="C127" t="s">
        <v>9</v>
      </c>
      <c r="D127">
        <v>3</v>
      </c>
      <c r="E127">
        <v>26</v>
      </c>
      <c r="F127">
        <v>4.4999999999999999E-4</v>
      </c>
      <c r="G127">
        <v>0</v>
      </c>
      <c r="H127" t="s">
        <v>5088</v>
      </c>
      <c r="I127" t="s">
        <v>5097</v>
      </c>
      <c r="J127">
        <v>4.4999999999999999E-4</v>
      </c>
    </row>
    <row r="128" spans="1:10">
      <c r="A128" t="s">
        <v>2887</v>
      </c>
      <c r="B128">
        <v>24</v>
      </c>
      <c r="C128" t="s">
        <v>7</v>
      </c>
      <c r="D128">
        <v>5</v>
      </c>
      <c r="E128">
        <v>28</v>
      </c>
      <c r="F128">
        <v>2.4000000000000001E-4</v>
      </c>
      <c r="G128">
        <v>0</v>
      </c>
      <c r="H128" t="s">
        <v>5088</v>
      </c>
      <c r="I128" t="s">
        <v>5097</v>
      </c>
      <c r="J128">
        <v>2.4000000000000001E-4</v>
      </c>
    </row>
    <row r="129" spans="1:10">
      <c r="A129" t="s">
        <v>1055</v>
      </c>
      <c r="B129">
        <v>22</v>
      </c>
      <c r="C129" t="s">
        <v>9</v>
      </c>
      <c r="D129">
        <v>6</v>
      </c>
      <c r="E129">
        <v>27</v>
      </c>
      <c r="F129">
        <v>5.9000000000000003E-4</v>
      </c>
      <c r="G129">
        <v>0</v>
      </c>
      <c r="H129" t="s">
        <v>5088</v>
      </c>
      <c r="I129" t="s">
        <v>5097</v>
      </c>
      <c r="J129">
        <v>5.9000000000000003E-4</v>
      </c>
    </row>
    <row r="130" spans="1:10">
      <c r="A130" t="s">
        <v>2841</v>
      </c>
      <c r="B130">
        <v>27</v>
      </c>
      <c r="C130" t="s">
        <v>7</v>
      </c>
      <c r="D130">
        <v>2</v>
      </c>
      <c r="E130">
        <v>28</v>
      </c>
      <c r="F130">
        <v>1.7000000000000001E-4</v>
      </c>
      <c r="G130">
        <v>0</v>
      </c>
      <c r="H130" t="s">
        <v>5088</v>
      </c>
      <c r="I130" t="s">
        <v>5097</v>
      </c>
      <c r="J130">
        <v>1.7000000000000001E-4</v>
      </c>
    </row>
    <row r="131" spans="1:10">
      <c r="A131" t="s">
        <v>2816</v>
      </c>
      <c r="B131">
        <v>29</v>
      </c>
      <c r="C131" t="s">
        <v>7</v>
      </c>
      <c r="D131">
        <v>1</v>
      </c>
      <c r="E131">
        <v>29</v>
      </c>
      <c r="F131">
        <v>1.1E-4</v>
      </c>
      <c r="G131">
        <v>0</v>
      </c>
      <c r="H131" t="s">
        <v>5088</v>
      </c>
      <c r="I131" t="s">
        <v>5097</v>
      </c>
      <c r="J131">
        <v>1.1E-4</v>
      </c>
    </row>
    <row r="132" spans="1:10">
      <c r="A132" t="s">
        <v>2814</v>
      </c>
      <c r="B132">
        <v>27</v>
      </c>
      <c r="C132" t="s">
        <v>7</v>
      </c>
      <c r="D132">
        <v>1</v>
      </c>
      <c r="E132">
        <v>27</v>
      </c>
      <c r="F132">
        <v>1.2E-4</v>
      </c>
      <c r="G132">
        <v>0</v>
      </c>
      <c r="H132" t="s">
        <v>5088</v>
      </c>
      <c r="I132" t="s">
        <v>5097</v>
      </c>
      <c r="J132">
        <v>1.2E-4</v>
      </c>
    </row>
    <row r="133" spans="1:10">
      <c r="A133" t="s">
        <v>2807</v>
      </c>
      <c r="B133">
        <v>22</v>
      </c>
      <c r="C133" t="s">
        <v>9</v>
      </c>
      <c r="D133">
        <v>5</v>
      </c>
      <c r="E133">
        <v>26</v>
      </c>
      <c r="F133">
        <v>5.9000000000000003E-4</v>
      </c>
      <c r="G133">
        <v>0</v>
      </c>
      <c r="H133" t="s">
        <v>5088</v>
      </c>
      <c r="I133" t="s">
        <v>5097</v>
      </c>
      <c r="J133">
        <v>5.9000000000000003E-4</v>
      </c>
    </row>
    <row r="134" spans="1:10">
      <c r="A134" t="s">
        <v>2803</v>
      </c>
      <c r="B134">
        <v>24</v>
      </c>
      <c r="C134" t="s">
        <v>9</v>
      </c>
      <c r="D134">
        <v>5</v>
      </c>
      <c r="E134">
        <v>28</v>
      </c>
      <c r="F134">
        <v>4.6999999999999999E-4</v>
      </c>
      <c r="G134">
        <v>0</v>
      </c>
      <c r="H134" t="s">
        <v>5088</v>
      </c>
      <c r="I134" t="s">
        <v>5097</v>
      </c>
      <c r="J134">
        <v>4.6999999999999999E-4</v>
      </c>
    </row>
    <row r="135" spans="1:10">
      <c r="A135" t="s">
        <v>1084</v>
      </c>
      <c r="B135">
        <v>26</v>
      </c>
      <c r="C135" t="s">
        <v>7</v>
      </c>
      <c r="D135">
        <v>1</v>
      </c>
      <c r="E135">
        <v>26</v>
      </c>
      <c r="F135">
        <v>1.3999999999999999E-4</v>
      </c>
      <c r="G135">
        <v>0</v>
      </c>
      <c r="H135" t="s">
        <v>5088</v>
      </c>
      <c r="I135" t="s">
        <v>5097</v>
      </c>
      <c r="J135">
        <v>1.3999999999999999E-4</v>
      </c>
    </row>
    <row r="136" spans="1:10">
      <c r="A136" t="s">
        <v>2778</v>
      </c>
      <c r="B136">
        <v>20</v>
      </c>
      <c r="C136" t="s">
        <v>7</v>
      </c>
      <c r="D136">
        <v>6</v>
      </c>
      <c r="E136">
        <v>25</v>
      </c>
      <c r="F136">
        <v>3.2000000000000003E-4</v>
      </c>
      <c r="G136">
        <v>0</v>
      </c>
      <c r="H136" t="s">
        <v>5088</v>
      </c>
      <c r="I136" t="s">
        <v>5097</v>
      </c>
      <c r="J136">
        <v>3.2000000000000003E-4</v>
      </c>
    </row>
    <row r="137" spans="1:10">
      <c r="A137" t="s">
        <v>2772</v>
      </c>
      <c r="B137">
        <v>21</v>
      </c>
      <c r="C137" t="s">
        <v>7</v>
      </c>
      <c r="D137">
        <v>6</v>
      </c>
      <c r="E137">
        <v>26</v>
      </c>
      <c r="F137">
        <v>2.9E-4</v>
      </c>
      <c r="G137">
        <v>0</v>
      </c>
      <c r="H137" t="s">
        <v>5088</v>
      </c>
      <c r="I137" t="s">
        <v>5097</v>
      </c>
      <c r="J137">
        <v>2.9E-4</v>
      </c>
    </row>
    <row r="138" spans="1:10">
      <c r="A138" t="s">
        <v>2767</v>
      </c>
      <c r="B138">
        <v>22</v>
      </c>
      <c r="C138" t="s">
        <v>9</v>
      </c>
      <c r="D138">
        <v>5</v>
      </c>
      <c r="E138">
        <v>26</v>
      </c>
      <c r="F138">
        <v>5.9000000000000003E-4</v>
      </c>
      <c r="G138">
        <v>0</v>
      </c>
      <c r="H138" t="s">
        <v>5088</v>
      </c>
      <c r="I138" t="s">
        <v>5097</v>
      </c>
      <c r="J138">
        <v>5.9000000000000003E-4</v>
      </c>
    </row>
    <row r="139" spans="1:10">
      <c r="A139" t="s">
        <v>2737</v>
      </c>
      <c r="B139">
        <v>21</v>
      </c>
      <c r="C139" t="s">
        <v>9</v>
      </c>
      <c r="D139">
        <v>5</v>
      </c>
      <c r="E139">
        <v>25</v>
      </c>
      <c r="F139">
        <v>6.7000000000000002E-4</v>
      </c>
      <c r="G139">
        <v>0</v>
      </c>
      <c r="H139" t="s">
        <v>5088</v>
      </c>
      <c r="I139" t="s">
        <v>5097</v>
      </c>
      <c r="J139">
        <v>6.7000000000000002E-4</v>
      </c>
    </row>
    <row r="140" spans="1:10">
      <c r="A140" t="s">
        <v>2732</v>
      </c>
      <c r="B140">
        <v>22</v>
      </c>
      <c r="C140" t="s">
        <v>7</v>
      </c>
      <c r="D140">
        <v>6</v>
      </c>
      <c r="E140">
        <v>27</v>
      </c>
      <c r="F140">
        <v>2.7E-4</v>
      </c>
      <c r="G140">
        <v>0</v>
      </c>
      <c r="H140" t="s">
        <v>5088</v>
      </c>
      <c r="I140" t="s">
        <v>5097</v>
      </c>
      <c r="J140">
        <v>2.7E-4</v>
      </c>
    </row>
    <row r="141" spans="1:10">
      <c r="A141" t="s">
        <v>1149</v>
      </c>
      <c r="B141">
        <v>22</v>
      </c>
      <c r="C141" t="s">
        <v>7</v>
      </c>
      <c r="D141">
        <v>1</v>
      </c>
      <c r="E141">
        <v>22</v>
      </c>
      <c r="F141">
        <v>2.0000000000000001E-4</v>
      </c>
      <c r="G141">
        <v>0</v>
      </c>
      <c r="H141" t="s">
        <v>5088</v>
      </c>
      <c r="I141" t="s">
        <v>5097</v>
      </c>
      <c r="J141">
        <v>2.0000000000000001E-4</v>
      </c>
    </row>
    <row r="142" spans="1:10">
      <c r="A142" t="s">
        <v>2669</v>
      </c>
      <c r="B142">
        <v>22</v>
      </c>
      <c r="C142" t="s">
        <v>9</v>
      </c>
      <c r="D142">
        <v>8</v>
      </c>
      <c r="E142">
        <v>29</v>
      </c>
      <c r="F142">
        <v>5.9000000000000003E-4</v>
      </c>
      <c r="G142">
        <v>0</v>
      </c>
      <c r="H142" t="s">
        <v>5088</v>
      </c>
      <c r="I142" t="s">
        <v>5097</v>
      </c>
      <c r="J142">
        <v>5.9000000000000003E-4</v>
      </c>
    </row>
    <row r="143" spans="1:10">
      <c r="A143" t="s">
        <v>2662</v>
      </c>
      <c r="B143">
        <v>22</v>
      </c>
      <c r="C143" t="s">
        <v>7</v>
      </c>
      <c r="D143">
        <v>3</v>
      </c>
      <c r="E143">
        <v>24</v>
      </c>
      <c r="F143">
        <v>2.7E-4</v>
      </c>
      <c r="G143">
        <v>0</v>
      </c>
      <c r="H143" t="s">
        <v>5088</v>
      </c>
      <c r="I143" t="s">
        <v>5097</v>
      </c>
      <c r="J143">
        <v>2.7E-4</v>
      </c>
    </row>
    <row r="144" spans="1:10">
      <c r="A144" t="s">
        <v>2640</v>
      </c>
      <c r="B144">
        <v>23</v>
      </c>
      <c r="C144" t="s">
        <v>7</v>
      </c>
      <c r="D144">
        <v>4</v>
      </c>
      <c r="E144">
        <v>26</v>
      </c>
      <c r="F144">
        <v>2.4000000000000001E-4</v>
      </c>
      <c r="G144">
        <v>0</v>
      </c>
      <c r="H144" t="s">
        <v>5088</v>
      </c>
      <c r="I144" t="s">
        <v>5097</v>
      </c>
      <c r="J144">
        <v>2.4000000000000001E-4</v>
      </c>
    </row>
    <row r="145" spans="1:10">
      <c r="A145" t="s">
        <v>2639</v>
      </c>
      <c r="B145">
        <v>23</v>
      </c>
      <c r="C145" t="s">
        <v>9</v>
      </c>
      <c r="D145">
        <v>4</v>
      </c>
      <c r="E145">
        <v>26</v>
      </c>
      <c r="F145">
        <v>5.1000000000000004E-4</v>
      </c>
      <c r="G145">
        <v>0</v>
      </c>
      <c r="H145" t="s">
        <v>5088</v>
      </c>
      <c r="I145" t="s">
        <v>5097</v>
      </c>
      <c r="J145">
        <v>5.1000000000000004E-4</v>
      </c>
    </row>
    <row r="146" spans="1:10">
      <c r="A146" t="s">
        <v>2584</v>
      </c>
      <c r="B146">
        <v>28</v>
      </c>
      <c r="C146" t="s">
        <v>7</v>
      </c>
      <c r="D146">
        <v>1</v>
      </c>
      <c r="E146">
        <v>28</v>
      </c>
      <c r="F146">
        <v>1.1E-4</v>
      </c>
      <c r="G146">
        <v>0</v>
      </c>
      <c r="H146" t="s">
        <v>5088</v>
      </c>
      <c r="I146" t="s">
        <v>5097</v>
      </c>
      <c r="J146">
        <v>1.1E-4</v>
      </c>
    </row>
    <row r="147" spans="1:10">
      <c r="A147" t="s">
        <v>2575</v>
      </c>
      <c r="B147">
        <v>20</v>
      </c>
      <c r="C147" t="s">
        <v>9</v>
      </c>
      <c r="D147">
        <v>2</v>
      </c>
      <c r="E147">
        <v>21</v>
      </c>
      <c r="F147">
        <v>7.2000000000000005E-4</v>
      </c>
      <c r="G147">
        <v>0</v>
      </c>
      <c r="H147" t="s">
        <v>5088</v>
      </c>
      <c r="I147" t="s">
        <v>5097</v>
      </c>
      <c r="J147">
        <v>7.2000000000000005E-4</v>
      </c>
    </row>
    <row r="148" spans="1:10">
      <c r="A148" t="s">
        <v>2561</v>
      </c>
      <c r="B148">
        <v>25</v>
      </c>
      <c r="C148" t="s">
        <v>7</v>
      </c>
      <c r="D148">
        <v>4</v>
      </c>
      <c r="E148">
        <v>28</v>
      </c>
      <c r="F148">
        <v>2.2000000000000001E-4</v>
      </c>
      <c r="G148">
        <v>0</v>
      </c>
      <c r="H148" t="s">
        <v>5088</v>
      </c>
      <c r="I148" t="s">
        <v>5097</v>
      </c>
      <c r="J148">
        <v>2.2000000000000001E-4</v>
      </c>
    </row>
    <row r="149" spans="1:10">
      <c r="A149" t="s">
        <v>2542</v>
      </c>
      <c r="B149">
        <v>20</v>
      </c>
      <c r="C149" t="s">
        <v>7</v>
      </c>
      <c r="D149">
        <v>1</v>
      </c>
      <c r="E149">
        <v>20</v>
      </c>
      <c r="F149">
        <v>2.9E-4</v>
      </c>
      <c r="G149">
        <v>0</v>
      </c>
      <c r="H149" t="s">
        <v>5088</v>
      </c>
      <c r="I149" t="s">
        <v>5097</v>
      </c>
      <c r="J149">
        <v>2.9E-4</v>
      </c>
    </row>
    <row r="150" spans="1:10">
      <c r="A150" t="s">
        <v>2516</v>
      </c>
      <c r="B150">
        <v>25</v>
      </c>
      <c r="C150" t="s">
        <v>9</v>
      </c>
      <c r="D150">
        <v>2</v>
      </c>
      <c r="E150">
        <v>26</v>
      </c>
      <c r="F150">
        <v>4.2000000000000002E-4</v>
      </c>
      <c r="G150">
        <v>0</v>
      </c>
      <c r="H150" t="s">
        <v>5088</v>
      </c>
      <c r="I150" t="s">
        <v>5097</v>
      </c>
      <c r="J150">
        <v>4.2000000000000002E-4</v>
      </c>
    </row>
    <row r="151" spans="1:10">
      <c r="A151" t="s">
        <v>2471</v>
      </c>
      <c r="B151">
        <v>22</v>
      </c>
      <c r="C151" t="s">
        <v>7</v>
      </c>
      <c r="D151">
        <v>8</v>
      </c>
      <c r="E151">
        <v>29</v>
      </c>
      <c r="F151">
        <v>3.3E-4</v>
      </c>
      <c r="G151">
        <v>0</v>
      </c>
      <c r="H151" t="s">
        <v>5088</v>
      </c>
      <c r="I151" t="s">
        <v>5097</v>
      </c>
      <c r="J151">
        <v>3.3E-4</v>
      </c>
    </row>
    <row r="152" spans="1:10">
      <c r="A152" t="s">
        <v>2455</v>
      </c>
      <c r="B152">
        <v>20</v>
      </c>
      <c r="C152" t="s">
        <v>9</v>
      </c>
      <c r="D152">
        <v>6</v>
      </c>
      <c r="E152">
        <v>25</v>
      </c>
      <c r="F152">
        <v>7.7999999999999999E-4</v>
      </c>
      <c r="G152">
        <v>0</v>
      </c>
      <c r="H152" t="s">
        <v>5088</v>
      </c>
      <c r="I152" t="s">
        <v>5097</v>
      </c>
      <c r="J152">
        <v>7.7999999999999999E-4</v>
      </c>
    </row>
    <row r="153" spans="1:10">
      <c r="A153" t="s">
        <v>1245</v>
      </c>
      <c r="B153">
        <v>25</v>
      </c>
      <c r="C153" t="s">
        <v>9</v>
      </c>
      <c r="D153">
        <v>4</v>
      </c>
      <c r="E153">
        <v>28</v>
      </c>
      <c r="F153">
        <v>4.0999999999999999E-4</v>
      </c>
      <c r="G153">
        <v>0</v>
      </c>
      <c r="H153" t="s">
        <v>5088</v>
      </c>
      <c r="I153" t="s">
        <v>5097</v>
      </c>
      <c r="J153">
        <v>4.0999999999999999E-4</v>
      </c>
    </row>
    <row r="154" spans="1:10">
      <c r="A154" t="s">
        <v>2452</v>
      </c>
      <c r="B154">
        <v>21</v>
      </c>
      <c r="C154" t="s">
        <v>9</v>
      </c>
      <c r="D154">
        <v>6</v>
      </c>
      <c r="E154">
        <v>26</v>
      </c>
      <c r="F154">
        <v>6.8000000000000005E-4</v>
      </c>
      <c r="G154">
        <v>0</v>
      </c>
      <c r="H154" t="s">
        <v>5088</v>
      </c>
      <c r="I154" t="s">
        <v>5097</v>
      </c>
      <c r="J154">
        <v>6.8000000000000005E-4</v>
      </c>
    </row>
    <row r="155" spans="1:10">
      <c r="A155" t="s">
        <v>1251</v>
      </c>
      <c r="B155">
        <v>29</v>
      </c>
      <c r="C155" t="s">
        <v>9</v>
      </c>
      <c r="D155">
        <v>1</v>
      </c>
      <c r="E155">
        <v>29</v>
      </c>
      <c r="F155">
        <v>2.5000000000000001E-4</v>
      </c>
      <c r="G155">
        <v>0</v>
      </c>
      <c r="H155" t="s">
        <v>5088</v>
      </c>
      <c r="I155" t="s">
        <v>5097</v>
      </c>
      <c r="J155">
        <v>2.5000000000000001E-4</v>
      </c>
    </row>
    <row r="156" spans="1:10">
      <c r="A156" t="s">
        <v>1252</v>
      </c>
      <c r="B156">
        <v>25</v>
      </c>
      <c r="C156" t="s">
        <v>9</v>
      </c>
      <c r="D156">
        <v>3</v>
      </c>
      <c r="E156">
        <v>27</v>
      </c>
      <c r="F156">
        <v>4.0000000000000002E-4</v>
      </c>
      <c r="G156">
        <v>0</v>
      </c>
      <c r="H156" t="s">
        <v>5088</v>
      </c>
      <c r="I156" t="s">
        <v>5097</v>
      </c>
      <c r="J156">
        <v>4.0000000000000002E-4</v>
      </c>
    </row>
    <row r="157" spans="1:10">
      <c r="A157" t="s">
        <v>2426</v>
      </c>
      <c r="B157">
        <v>26</v>
      </c>
      <c r="C157" t="s">
        <v>9</v>
      </c>
      <c r="D157">
        <v>4</v>
      </c>
      <c r="E157">
        <v>29</v>
      </c>
      <c r="F157">
        <v>3.8999999999999999E-4</v>
      </c>
      <c r="G157">
        <v>0</v>
      </c>
      <c r="H157" t="s">
        <v>5088</v>
      </c>
      <c r="I157" t="s">
        <v>5097</v>
      </c>
      <c r="J157">
        <v>3.8999999999999999E-4</v>
      </c>
    </row>
    <row r="158" spans="1:10">
      <c r="A158" t="s">
        <v>2410</v>
      </c>
      <c r="B158">
        <v>24</v>
      </c>
      <c r="C158" t="s">
        <v>7</v>
      </c>
      <c r="D158">
        <v>6</v>
      </c>
      <c r="E158">
        <v>29</v>
      </c>
      <c r="F158">
        <v>2.7E-4</v>
      </c>
      <c r="G158">
        <v>0</v>
      </c>
      <c r="H158" t="s">
        <v>5088</v>
      </c>
      <c r="I158" t="s">
        <v>5097</v>
      </c>
      <c r="J158">
        <v>2.7E-4</v>
      </c>
    </row>
    <row r="159" spans="1:10">
      <c r="A159" t="s">
        <v>2397</v>
      </c>
      <c r="B159">
        <v>26</v>
      </c>
      <c r="C159" t="s">
        <v>7</v>
      </c>
      <c r="D159">
        <v>1</v>
      </c>
      <c r="E159">
        <v>26</v>
      </c>
      <c r="F159">
        <v>1.3999999999999999E-4</v>
      </c>
      <c r="G159">
        <v>0</v>
      </c>
      <c r="H159" t="s">
        <v>5088</v>
      </c>
      <c r="I159" t="s">
        <v>5097</v>
      </c>
      <c r="J159">
        <v>1.3999999999999999E-4</v>
      </c>
    </row>
    <row r="160" spans="1:10">
      <c r="A160" t="s">
        <v>2374</v>
      </c>
      <c r="B160">
        <v>23</v>
      </c>
      <c r="C160" t="s">
        <v>9</v>
      </c>
      <c r="D160">
        <v>5</v>
      </c>
      <c r="E160">
        <v>27</v>
      </c>
      <c r="F160">
        <v>5.1999999999999995E-4</v>
      </c>
      <c r="G160">
        <v>0</v>
      </c>
      <c r="H160" t="s">
        <v>5088</v>
      </c>
      <c r="I160" t="s">
        <v>5097</v>
      </c>
      <c r="J160">
        <v>5.1999999999999995E-4</v>
      </c>
    </row>
    <row r="161" spans="1:10">
      <c r="A161" t="s">
        <v>2363</v>
      </c>
      <c r="B161">
        <v>24</v>
      </c>
      <c r="C161" t="s">
        <v>7</v>
      </c>
      <c r="D161">
        <v>4</v>
      </c>
      <c r="E161">
        <v>27</v>
      </c>
      <c r="F161">
        <v>2.2000000000000001E-4</v>
      </c>
      <c r="G161">
        <v>0</v>
      </c>
      <c r="H161" t="s">
        <v>5088</v>
      </c>
      <c r="I161" t="s">
        <v>5097</v>
      </c>
      <c r="J161">
        <v>2.2000000000000001E-4</v>
      </c>
    </row>
    <row r="162" spans="1:10">
      <c r="A162" t="s">
        <v>2315</v>
      </c>
      <c r="B162">
        <v>22</v>
      </c>
      <c r="C162" t="s">
        <v>7</v>
      </c>
      <c r="D162">
        <v>6</v>
      </c>
      <c r="E162">
        <v>27</v>
      </c>
      <c r="F162">
        <v>2.7E-4</v>
      </c>
      <c r="G162">
        <v>0</v>
      </c>
      <c r="H162" t="s">
        <v>5088</v>
      </c>
      <c r="I162" t="s">
        <v>5097</v>
      </c>
      <c r="J162">
        <v>2.7E-4</v>
      </c>
    </row>
    <row r="163" spans="1:10">
      <c r="A163" t="s">
        <v>2300</v>
      </c>
      <c r="B163">
        <v>27</v>
      </c>
      <c r="C163" t="s">
        <v>9</v>
      </c>
      <c r="D163">
        <v>2</v>
      </c>
      <c r="E163">
        <v>28</v>
      </c>
      <c r="F163">
        <v>3.4000000000000002E-4</v>
      </c>
      <c r="G163">
        <v>0</v>
      </c>
      <c r="H163" t="s">
        <v>5088</v>
      </c>
      <c r="I163" t="s">
        <v>5097</v>
      </c>
      <c r="J163">
        <v>3.4000000000000002E-4</v>
      </c>
    </row>
    <row r="164" spans="1:10">
      <c r="A164" t="s">
        <v>1325</v>
      </c>
      <c r="B164">
        <v>21</v>
      </c>
      <c r="C164" t="s">
        <v>7</v>
      </c>
      <c r="D164">
        <v>7</v>
      </c>
      <c r="E164">
        <v>27</v>
      </c>
      <c r="F164">
        <v>2.9999999999999997E-4</v>
      </c>
      <c r="G164">
        <v>0</v>
      </c>
      <c r="H164" t="s">
        <v>5088</v>
      </c>
      <c r="I164" t="s">
        <v>5097</v>
      </c>
      <c r="J164">
        <v>2.9999999999999997E-4</v>
      </c>
    </row>
    <row r="165" spans="1:10">
      <c r="A165" t="s">
        <v>2243</v>
      </c>
      <c r="B165">
        <v>25</v>
      </c>
      <c r="C165" t="s">
        <v>7</v>
      </c>
      <c r="D165">
        <v>2</v>
      </c>
      <c r="E165">
        <v>26</v>
      </c>
      <c r="F165">
        <v>1.9000000000000001E-4</v>
      </c>
      <c r="G165">
        <v>0</v>
      </c>
      <c r="H165" t="s">
        <v>5088</v>
      </c>
      <c r="I165" t="s">
        <v>5097</v>
      </c>
      <c r="J165">
        <v>1.9000000000000001E-4</v>
      </c>
    </row>
    <row r="166" spans="1:10">
      <c r="A166" t="s">
        <v>2224</v>
      </c>
      <c r="B166">
        <v>20</v>
      </c>
      <c r="C166" t="s">
        <v>7</v>
      </c>
      <c r="D166">
        <v>8</v>
      </c>
      <c r="E166">
        <v>27</v>
      </c>
      <c r="F166">
        <v>3.2000000000000003E-4</v>
      </c>
      <c r="G166">
        <v>0</v>
      </c>
      <c r="H166" t="s">
        <v>5088</v>
      </c>
      <c r="I166" t="s">
        <v>5097</v>
      </c>
      <c r="J166">
        <v>3.2000000000000003E-4</v>
      </c>
    </row>
    <row r="167" spans="1:10">
      <c r="A167" t="s">
        <v>2199</v>
      </c>
      <c r="B167">
        <v>21</v>
      </c>
      <c r="C167" t="s">
        <v>9</v>
      </c>
      <c r="D167">
        <v>6</v>
      </c>
      <c r="E167">
        <v>26</v>
      </c>
      <c r="F167">
        <v>6.8000000000000005E-4</v>
      </c>
      <c r="G167">
        <v>0</v>
      </c>
      <c r="H167" t="s">
        <v>5088</v>
      </c>
      <c r="I167" t="s">
        <v>5097</v>
      </c>
      <c r="J167">
        <v>6.8000000000000005E-4</v>
      </c>
    </row>
    <row r="168" spans="1:10">
      <c r="A168" t="s">
        <v>2181</v>
      </c>
      <c r="B168">
        <v>25</v>
      </c>
      <c r="C168" t="s">
        <v>9</v>
      </c>
      <c r="D168">
        <v>5</v>
      </c>
      <c r="E168">
        <v>29</v>
      </c>
      <c r="F168">
        <v>4.2999999999999999E-4</v>
      </c>
      <c r="G168">
        <v>0</v>
      </c>
      <c r="H168" t="s">
        <v>5088</v>
      </c>
      <c r="I168" t="s">
        <v>5097</v>
      </c>
      <c r="J168">
        <v>4.2999999999999999E-4</v>
      </c>
    </row>
    <row r="169" spans="1:10">
      <c r="A169" t="s">
        <v>2170</v>
      </c>
      <c r="B169">
        <v>21</v>
      </c>
      <c r="C169" t="s">
        <v>7</v>
      </c>
      <c r="D169">
        <v>4</v>
      </c>
      <c r="E169">
        <v>24</v>
      </c>
      <c r="F169">
        <v>2.9E-4</v>
      </c>
      <c r="G169">
        <v>0</v>
      </c>
      <c r="H169" t="s">
        <v>5088</v>
      </c>
      <c r="I169" t="s">
        <v>5097</v>
      </c>
      <c r="J169">
        <v>2.9E-4</v>
      </c>
    </row>
    <row r="170" spans="1:10">
      <c r="A170" t="s">
        <v>1388</v>
      </c>
      <c r="B170">
        <v>28</v>
      </c>
      <c r="C170" t="s">
        <v>7</v>
      </c>
      <c r="D170">
        <v>2</v>
      </c>
      <c r="E170">
        <v>29</v>
      </c>
      <c r="F170">
        <v>1.7000000000000001E-4</v>
      </c>
      <c r="G170">
        <v>0</v>
      </c>
      <c r="H170" t="s">
        <v>5088</v>
      </c>
      <c r="I170" t="s">
        <v>5097</v>
      </c>
      <c r="J170">
        <v>1.7000000000000001E-4</v>
      </c>
    </row>
    <row r="171" spans="1:10">
      <c r="A171" t="s">
        <v>2120</v>
      </c>
      <c r="B171">
        <v>22</v>
      </c>
      <c r="C171" t="s">
        <v>9</v>
      </c>
      <c r="D171">
        <v>1</v>
      </c>
      <c r="E171">
        <v>22</v>
      </c>
      <c r="F171">
        <v>5.8E-4</v>
      </c>
      <c r="G171">
        <v>0</v>
      </c>
      <c r="H171" t="s">
        <v>5088</v>
      </c>
      <c r="I171" t="s">
        <v>5097</v>
      </c>
      <c r="J171">
        <v>5.8E-4</v>
      </c>
    </row>
    <row r="172" spans="1:10">
      <c r="A172" t="s">
        <v>1425</v>
      </c>
      <c r="B172">
        <v>25</v>
      </c>
      <c r="C172" t="s">
        <v>9</v>
      </c>
      <c r="D172">
        <v>4</v>
      </c>
      <c r="E172">
        <v>28</v>
      </c>
      <c r="F172">
        <v>4.0999999999999999E-4</v>
      </c>
      <c r="G172">
        <v>0</v>
      </c>
      <c r="H172" t="s">
        <v>5088</v>
      </c>
      <c r="I172" t="s">
        <v>5097</v>
      </c>
      <c r="J172">
        <v>4.0999999999999999E-4</v>
      </c>
    </row>
    <row r="173" spans="1:10">
      <c r="A173" t="s">
        <v>2014</v>
      </c>
      <c r="B173">
        <v>22</v>
      </c>
      <c r="C173" t="s">
        <v>7</v>
      </c>
      <c r="D173">
        <v>6</v>
      </c>
      <c r="E173">
        <v>27</v>
      </c>
      <c r="F173">
        <v>2.7E-4</v>
      </c>
      <c r="G173">
        <v>0</v>
      </c>
      <c r="H173" t="s">
        <v>5088</v>
      </c>
      <c r="I173" t="s">
        <v>5097</v>
      </c>
      <c r="J173">
        <v>2.7E-4</v>
      </c>
    </row>
    <row r="174" spans="1:10">
      <c r="A174" t="s">
        <v>1448</v>
      </c>
      <c r="B174">
        <v>24</v>
      </c>
      <c r="C174" t="s">
        <v>9</v>
      </c>
      <c r="D174">
        <v>6</v>
      </c>
      <c r="E174">
        <v>29</v>
      </c>
      <c r="F174">
        <v>4.6999999999999999E-4</v>
      </c>
      <c r="G174">
        <v>0</v>
      </c>
      <c r="H174" t="s">
        <v>5088</v>
      </c>
      <c r="I174" t="s">
        <v>5097</v>
      </c>
      <c r="J174">
        <v>4.6999999999999999E-4</v>
      </c>
    </row>
    <row r="175" spans="1:10">
      <c r="A175" t="s">
        <v>1976</v>
      </c>
      <c r="B175">
        <v>21</v>
      </c>
      <c r="C175" t="s">
        <v>9</v>
      </c>
      <c r="D175">
        <v>3</v>
      </c>
      <c r="E175">
        <v>23</v>
      </c>
      <c r="F175">
        <v>6.7000000000000002E-4</v>
      </c>
      <c r="G175">
        <v>0</v>
      </c>
      <c r="H175" t="s">
        <v>5088</v>
      </c>
      <c r="I175" t="s">
        <v>5097</v>
      </c>
      <c r="J175">
        <v>6.7000000000000002E-4</v>
      </c>
    </row>
    <row r="176" spans="1:10">
      <c r="A176" t="s">
        <v>1971</v>
      </c>
      <c r="B176">
        <v>22</v>
      </c>
      <c r="C176" t="s">
        <v>9</v>
      </c>
      <c r="D176">
        <v>7</v>
      </c>
      <c r="E176">
        <v>28</v>
      </c>
      <c r="F176">
        <v>5.9999999999999995E-4</v>
      </c>
      <c r="G176">
        <v>0</v>
      </c>
      <c r="H176" t="s">
        <v>5088</v>
      </c>
      <c r="I176" t="s">
        <v>5097</v>
      </c>
      <c r="J176">
        <v>5.9999999999999995E-4</v>
      </c>
    </row>
    <row r="177" spans="1:10">
      <c r="A177" t="s">
        <v>1970</v>
      </c>
      <c r="B177">
        <v>24</v>
      </c>
      <c r="C177" t="s">
        <v>7</v>
      </c>
      <c r="D177">
        <v>1</v>
      </c>
      <c r="E177">
        <v>24</v>
      </c>
      <c r="F177">
        <v>1.8000000000000001E-4</v>
      </c>
      <c r="G177">
        <v>0</v>
      </c>
      <c r="H177" t="s">
        <v>5088</v>
      </c>
      <c r="I177" t="s">
        <v>5097</v>
      </c>
      <c r="J177">
        <v>1.8000000000000001E-4</v>
      </c>
    </row>
    <row r="178" spans="1:10">
      <c r="A178" t="s">
        <v>1948</v>
      </c>
      <c r="B178">
        <v>23</v>
      </c>
      <c r="C178" t="s">
        <v>9</v>
      </c>
      <c r="D178">
        <v>5</v>
      </c>
      <c r="E178">
        <v>27</v>
      </c>
      <c r="F178">
        <v>5.1999999999999995E-4</v>
      </c>
      <c r="G178">
        <v>0</v>
      </c>
      <c r="H178" t="s">
        <v>5088</v>
      </c>
      <c r="I178" t="s">
        <v>5097</v>
      </c>
      <c r="J178">
        <v>5.1999999999999995E-4</v>
      </c>
    </row>
    <row r="179" spans="1:10">
      <c r="A179" t="s">
        <v>1917</v>
      </c>
      <c r="B179">
        <v>22</v>
      </c>
      <c r="C179" t="s">
        <v>7</v>
      </c>
      <c r="D179">
        <v>5</v>
      </c>
      <c r="E179">
        <v>26</v>
      </c>
      <c r="F179">
        <v>2.7E-4</v>
      </c>
      <c r="G179">
        <v>0</v>
      </c>
      <c r="H179" t="s">
        <v>5088</v>
      </c>
      <c r="I179" t="s">
        <v>5097</v>
      </c>
      <c r="J179">
        <v>2.7E-4</v>
      </c>
    </row>
    <row r="180" spans="1:10">
      <c r="A180" t="s">
        <v>1896</v>
      </c>
      <c r="B180">
        <v>24</v>
      </c>
      <c r="C180" t="s">
        <v>7</v>
      </c>
      <c r="D180">
        <v>1</v>
      </c>
      <c r="E180">
        <v>24</v>
      </c>
      <c r="F180">
        <v>1.8000000000000001E-4</v>
      </c>
      <c r="G180">
        <v>0</v>
      </c>
      <c r="H180" t="s">
        <v>5088</v>
      </c>
      <c r="I180" t="s">
        <v>5097</v>
      </c>
      <c r="J180">
        <v>1.8000000000000001E-4</v>
      </c>
    </row>
    <row r="181" spans="1:10">
      <c r="A181" t="s">
        <v>1891</v>
      </c>
      <c r="B181">
        <v>24</v>
      </c>
      <c r="C181" t="s">
        <v>9</v>
      </c>
      <c r="D181">
        <v>4</v>
      </c>
      <c r="E181">
        <v>27</v>
      </c>
      <c r="F181">
        <v>4.6000000000000001E-4</v>
      </c>
      <c r="G181">
        <v>0</v>
      </c>
      <c r="H181" t="s">
        <v>5088</v>
      </c>
      <c r="I181" t="s">
        <v>5097</v>
      </c>
      <c r="J181">
        <v>4.6000000000000001E-4</v>
      </c>
    </row>
    <row r="182" spans="1:10">
      <c r="A182" t="s">
        <v>1877</v>
      </c>
      <c r="B182">
        <v>23</v>
      </c>
      <c r="C182" t="s">
        <v>9</v>
      </c>
      <c r="D182">
        <v>4</v>
      </c>
      <c r="E182">
        <v>26</v>
      </c>
      <c r="F182">
        <v>5.1000000000000004E-4</v>
      </c>
      <c r="G182">
        <v>0</v>
      </c>
      <c r="H182" t="s">
        <v>5088</v>
      </c>
      <c r="I182" t="s">
        <v>5097</v>
      </c>
      <c r="J182">
        <v>5.1000000000000004E-4</v>
      </c>
    </row>
    <row r="183" spans="1:10">
      <c r="A183" t="s">
        <v>1501</v>
      </c>
      <c r="B183">
        <v>26</v>
      </c>
      <c r="C183" t="s">
        <v>7</v>
      </c>
      <c r="D183">
        <v>4</v>
      </c>
      <c r="E183">
        <v>29</v>
      </c>
      <c r="F183">
        <v>2.2000000000000001E-4</v>
      </c>
      <c r="G183">
        <v>0</v>
      </c>
      <c r="H183" t="s">
        <v>5088</v>
      </c>
      <c r="I183" t="s">
        <v>5097</v>
      </c>
      <c r="J183">
        <v>2.2000000000000001E-4</v>
      </c>
    </row>
    <row r="184" spans="1:10">
      <c r="A184" t="s">
        <v>1862</v>
      </c>
      <c r="B184">
        <v>22</v>
      </c>
      <c r="C184" t="s">
        <v>7</v>
      </c>
      <c r="D184">
        <v>2</v>
      </c>
      <c r="E184">
        <v>23</v>
      </c>
      <c r="F184">
        <v>2.4000000000000001E-4</v>
      </c>
      <c r="G184">
        <v>0</v>
      </c>
      <c r="H184" t="s">
        <v>5088</v>
      </c>
      <c r="I184" t="s">
        <v>5097</v>
      </c>
      <c r="J184">
        <v>2.4000000000000001E-4</v>
      </c>
    </row>
    <row r="185" spans="1:10">
      <c r="A185" t="s">
        <v>1821</v>
      </c>
      <c r="B185">
        <v>24</v>
      </c>
      <c r="C185" t="s">
        <v>9</v>
      </c>
      <c r="D185">
        <v>4</v>
      </c>
      <c r="E185">
        <v>27</v>
      </c>
      <c r="F185">
        <v>4.6000000000000001E-4</v>
      </c>
      <c r="G185">
        <v>0</v>
      </c>
      <c r="H185" t="s">
        <v>5088</v>
      </c>
      <c r="I185" t="s">
        <v>5097</v>
      </c>
      <c r="J185">
        <v>4.6000000000000001E-4</v>
      </c>
    </row>
    <row r="186" spans="1:10">
      <c r="A186" t="s">
        <v>1810</v>
      </c>
      <c r="B186">
        <v>24</v>
      </c>
      <c r="C186" t="s">
        <v>7</v>
      </c>
      <c r="D186">
        <v>2</v>
      </c>
      <c r="E186">
        <v>25</v>
      </c>
      <c r="F186">
        <v>2.2000000000000001E-4</v>
      </c>
      <c r="G186">
        <v>0</v>
      </c>
      <c r="H186" t="s">
        <v>5088</v>
      </c>
      <c r="I186" t="s">
        <v>5097</v>
      </c>
      <c r="J186">
        <v>2.2000000000000001E-4</v>
      </c>
    </row>
    <row r="187" spans="1:10">
      <c r="A187" t="s">
        <v>1546</v>
      </c>
      <c r="B187">
        <v>25</v>
      </c>
      <c r="C187" t="s">
        <v>7</v>
      </c>
      <c r="D187">
        <v>4</v>
      </c>
      <c r="E187">
        <v>28</v>
      </c>
      <c r="F187">
        <v>2.2000000000000001E-4</v>
      </c>
      <c r="G187">
        <v>0</v>
      </c>
      <c r="H187" t="s">
        <v>5088</v>
      </c>
      <c r="I187" t="s">
        <v>5097</v>
      </c>
      <c r="J187">
        <v>2.2000000000000001E-4</v>
      </c>
    </row>
    <row r="188" spans="1:10">
      <c r="A188" t="s">
        <v>1770</v>
      </c>
      <c r="B188">
        <v>24</v>
      </c>
      <c r="C188" t="s">
        <v>9</v>
      </c>
      <c r="D188">
        <v>1</v>
      </c>
      <c r="E188">
        <v>24</v>
      </c>
      <c r="F188">
        <v>4.4000000000000002E-4</v>
      </c>
      <c r="G188">
        <v>0</v>
      </c>
      <c r="H188" t="s">
        <v>5088</v>
      </c>
      <c r="I188" t="s">
        <v>5097</v>
      </c>
      <c r="J188">
        <v>4.4000000000000002E-4</v>
      </c>
    </row>
    <row r="189" spans="1:10">
      <c r="A189" t="s">
        <v>1763</v>
      </c>
      <c r="B189">
        <v>22</v>
      </c>
      <c r="C189" t="s">
        <v>7</v>
      </c>
      <c r="D189">
        <v>4</v>
      </c>
      <c r="E189">
        <v>25</v>
      </c>
      <c r="F189">
        <v>2.7E-4</v>
      </c>
      <c r="G189">
        <v>0</v>
      </c>
      <c r="H189" t="s">
        <v>5088</v>
      </c>
      <c r="I189" t="s">
        <v>5097</v>
      </c>
      <c r="J189">
        <v>2.7E-4</v>
      </c>
    </row>
    <row r="190" spans="1:10">
      <c r="A190" t="s">
        <v>1556</v>
      </c>
      <c r="B190">
        <v>20</v>
      </c>
      <c r="C190" t="s">
        <v>9</v>
      </c>
      <c r="D190">
        <v>3</v>
      </c>
      <c r="E190">
        <v>22</v>
      </c>
      <c r="F190">
        <v>7.7999999999999999E-4</v>
      </c>
      <c r="G190">
        <v>0</v>
      </c>
      <c r="H190" t="s">
        <v>5088</v>
      </c>
      <c r="I190" t="s">
        <v>5097</v>
      </c>
      <c r="J190">
        <v>7.7999999999999999E-4</v>
      </c>
    </row>
    <row r="191" spans="1:10">
      <c r="A191" t="s">
        <v>1753</v>
      </c>
      <c r="B191">
        <v>25</v>
      </c>
      <c r="C191" t="s">
        <v>7</v>
      </c>
      <c r="D191">
        <v>5</v>
      </c>
      <c r="E191">
        <v>29</v>
      </c>
      <c r="F191">
        <v>2.5000000000000001E-4</v>
      </c>
      <c r="G191">
        <v>0</v>
      </c>
      <c r="H191" t="s">
        <v>5088</v>
      </c>
      <c r="I191" t="s">
        <v>5097</v>
      </c>
      <c r="J191">
        <v>2.5000000000000001E-4</v>
      </c>
    </row>
    <row r="192" spans="1:10">
      <c r="A192" t="s">
        <v>1725</v>
      </c>
      <c r="B192">
        <v>21</v>
      </c>
      <c r="C192" t="s">
        <v>7</v>
      </c>
      <c r="D192">
        <v>5</v>
      </c>
      <c r="E192">
        <v>25</v>
      </c>
      <c r="F192">
        <v>2.9999999999999997E-4</v>
      </c>
      <c r="G192">
        <v>0</v>
      </c>
      <c r="H192" t="s">
        <v>5088</v>
      </c>
      <c r="I192" t="s">
        <v>5097</v>
      </c>
      <c r="J192">
        <v>2.9999999999999997E-4</v>
      </c>
    </row>
    <row r="193" spans="1:10">
      <c r="A193" t="s">
        <v>1681</v>
      </c>
      <c r="B193">
        <v>28</v>
      </c>
      <c r="C193" t="s">
        <v>9</v>
      </c>
      <c r="D193">
        <v>1</v>
      </c>
      <c r="E193">
        <v>28</v>
      </c>
      <c r="F193">
        <v>2.7E-4</v>
      </c>
      <c r="G193">
        <v>0</v>
      </c>
      <c r="H193" t="s">
        <v>5088</v>
      </c>
      <c r="I193" t="s">
        <v>5097</v>
      </c>
      <c r="J193">
        <v>2.7E-4</v>
      </c>
    </row>
    <row r="194" spans="1:10">
      <c r="A194" t="s">
        <v>1641</v>
      </c>
      <c r="B194">
        <v>20</v>
      </c>
      <c r="C194" t="s">
        <v>9</v>
      </c>
      <c r="D194">
        <v>4</v>
      </c>
      <c r="E194">
        <v>23</v>
      </c>
      <c r="F194">
        <v>7.7999999999999999E-4</v>
      </c>
      <c r="G194">
        <v>0</v>
      </c>
      <c r="H194" t="s">
        <v>5088</v>
      </c>
      <c r="I194" t="s">
        <v>5097</v>
      </c>
      <c r="J194">
        <v>7.7999999999999999E-4</v>
      </c>
    </row>
    <row r="195" spans="1:10">
      <c r="A195" t="s">
        <v>1608</v>
      </c>
      <c r="B195">
        <v>25</v>
      </c>
      <c r="C195" t="s">
        <v>7</v>
      </c>
      <c r="D195">
        <v>4</v>
      </c>
      <c r="E195">
        <v>28</v>
      </c>
      <c r="F195">
        <v>2.2000000000000001E-4</v>
      </c>
      <c r="G195">
        <v>0</v>
      </c>
      <c r="H195" t="s">
        <v>5088</v>
      </c>
      <c r="I195" t="s">
        <v>5097</v>
      </c>
      <c r="J195">
        <v>2.2000000000000001E-4</v>
      </c>
    </row>
    <row r="196" spans="1:10">
      <c r="A196" t="s">
        <v>1625</v>
      </c>
      <c r="B196">
        <v>25</v>
      </c>
      <c r="C196" t="s">
        <v>9</v>
      </c>
      <c r="D196">
        <v>2</v>
      </c>
      <c r="E196">
        <v>26</v>
      </c>
      <c r="F196">
        <v>4.2000000000000002E-4</v>
      </c>
      <c r="G196">
        <v>0</v>
      </c>
      <c r="H196" t="s">
        <v>5088</v>
      </c>
      <c r="I196" t="s">
        <v>5097</v>
      </c>
      <c r="J196">
        <v>4.2000000000000002E-4</v>
      </c>
    </row>
    <row r="197" spans="1:10">
      <c r="A197" t="s">
        <v>85</v>
      </c>
      <c r="B197">
        <v>34</v>
      </c>
      <c r="C197" t="s">
        <v>7</v>
      </c>
      <c r="D197">
        <v>5</v>
      </c>
      <c r="E197">
        <v>38</v>
      </c>
      <c r="F197">
        <v>4.6999999999999999E-4</v>
      </c>
      <c r="G197">
        <v>0</v>
      </c>
      <c r="H197" t="s">
        <v>5089</v>
      </c>
      <c r="I197" t="s">
        <v>5097</v>
      </c>
      <c r="J197">
        <v>4.6999999999999999E-4</v>
      </c>
    </row>
    <row r="198" spans="1:10">
      <c r="A198" t="s">
        <v>87</v>
      </c>
      <c r="B198">
        <v>25</v>
      </c>
      <c r="C198" t="s">
        <v>9</v>
      </c>
      <c r="D198">
        <v>7</v>
      </c>
      <c r="E198">
        <v>31</v>
      </c>
      <c r="F198">
        <v>4.8000000000000001E-4</v>
      </c>
      <c r="G198">
        <v>0</v>
      </c>
      <c r="H198" t="s">
        <v>5089</v>
      </c>
      <c r="I198" t="s">
        <v>5097</v>
      </c>
      <c r="J198">
        <v>4.8000000000000001E-4</v>
      </c>
    </row>
    <row r="199" spans="1:10">
      <c r="A199" t="s">
        <v>5060</v>
      </c>
      <c r="B199">
        <v>30</v>
      </c>
      <c r="C199" t="s">
        <v>9</v>
      </c>
      <c r="D199">
        <v>4</v>
      </c>
      <c r="E199">
        <v>33</v>
      </c>
      <c r="F199">
        <v>4.2999999999999999E-4</v>
      </c>
      <c r="G199">
        <v>0</v>
      </c>
      <c r="H199" t="s">
        <v>5089</v>
      </c>
      <c r="I199" t="s">
        <v>5097</v>
      </c>
      <c r="J199">
        <v>4.2999999999999999E-4</v>
      </c>
    </row>
    <row r="200" spans="1:10">
      <c r="A200" t="s">
        <v>5051</v>
      </c>
      <c r="B200">
        <v>29</v>
      </c>
      <c r="C200" t="s">
        <v>9</v>
      </c>
      <c r="D200">
        <v>7</v>
      </c>
      <c r="E200">
        <v>35</v>
      </c>
      <c r="F200">
        <v>5.5999999999999995E-4</v>
      </c>
      <c r="G200">
        <v>0</v>
      </c>
      <c r="H200" t="s">
        <v>5089</v>
      </c>
      <c r="I200" t="s">
        <v>5097</v>
      </c>
      <c r="J200">
        <v>5.5999999999999995E-4</v>
      </c>
    </row>
    <row r="201" spans="1:10">
      <c r="A201" t="s">
        <v>104</v>
      </c>
      <c r="B201">
        <v>23</v>
      </c>
      <c r="C201" t="s">
        <v>7</v>
      </c>
      <c r="D201">
        <v>8</v>
      </c>
      <c r="E201">
        <v>30</v>
      </c>
      <c r="F201">
        <v>3.4000000000000002E-4</v>
      </c>
      <c r="G201">
        <v>0</v>
      </c>
      <c r="H201" t="s">
        <v>5089</v>
      </c>
      <c r="I201" t="s">
        <v>5097</v>
      </c>
      <c r="J201">
        <v>3.4000000000000002E-4</v>
      </c>
    </row>
    <row r="202" spans="1:10">
      <c r="A202" t="s">
        <v>108</v>
      </c>
      <c r="B202">
        <v>29</v>
      </c>
      <c r="C202" t="s">
        <v>9</v>
      </c>
      <c r="D202">
        <v>9</v>
      </c>
      <c r="E202">
        <v>37</v>
      </c>
      <c r="F202">
        <v>6.9999999999999999E-4</v>
      </c>
      <c r="G202">
        <v>0</v>
      </c>
      <c r="H202" t="s">
        <v>5089</v>
      </c>
      <c r="I202" t="s">
        <v>5097</v>
      </c>
      <c r="J202">
        <v>6.9999999999999999E-4</v>
      </c>
    </row>
    <row r="203" spans="1:10">
      <c r="A203" t="s">
        <v>112</v>
      </c>
      <c r="B203">
        <v>27</v>
      </c>
      <c r="C203" t="s">
        <v>7</v>
      </c>
      <c r="D203">
        <v>5</v>
      </c>
      <c r="E203">
        <v>31</v>
      </c>
      <c r="F203">
        <v>2.5999999999999998E-4</v>
      </c>
      <c r="G203">
        <v>0</v>
      </c>
      <c r="H203" t="s">
        <v>5089</v>
      </c>
      <c r="I203" t="s">
        <v>5097</v>
      </c>
      <c r="J203">
        <v>2.5999999999999998E-4</v>
      </c>
    </row>
    <row r="204" spans="1:10">
      <c r="A204" t="s">
        <v>5021</v>
      </c>
      <c r="B204">
        <v>35</v>
      </c>
      <c r="C204" t="s">
        <v>9</v>
      </c>
      <c r="D204">
        <v>2</v>
      </c>
      <c r="E204">
        <v>36</v>
      </c>
      <c r="F204">
        <v>3.4000000000000002E-4</v>
      </c>
      <c r="G204">
        <v>0</v>
      </c>
      <c r="H204" t="s">
        <v>5089</v>
      </c>
      <c r="I204" t="s">
        <v>5097</v>
      </c>
      <c r="J204">
        <v>3.4000000000000002E-4</v>
      </c>
    </row>
    <row r="205" spans="1:10">
      <c r="A205" t="s">
        <v>5018</v>
      </c>
      <c r="B205">
        <v>26</v>
      </c>
      <c r="C205" t="s">
        <v>7</v>
      </c>
      <c r="D205">
        <v>5</v>
      </c>
      <c r="E205">
        <v>30</v>
      </c>
      <c r="F205">
        <v>2.5000000000000001E-4</v>
      </c>
      <c r="G205">
        <v>0</v>
      </c>
      <c r="H205" t="s">
        <v>5089</v>
      </c>
      <c r="I205" t="s">
        <v>5097</v>
      </c>
      <c r="J205">
        <v>2.5000000000000001E-4</v>
      </c>
    </row>
    <row r="206" spans="1:10">
      <c r="A206" t="s">
        <v>124</v>
      </c>
      <c r="B206">
        <v>35</v>
      </c>
      <c r="C206" t="s">
        <v>9</v>
      </c>
      <c r="D206">
        <v>2</v>
      </c>
      <c r="E206">
        <v>36</v>
      </c>
      <c r="F206">
        <v>3.4000000000000002E-4</v>
      </c>
      <c r="G206">
        <v>0</v>
      </c>
      <c r="H206" t="s">
        <v>5089</v>
      </c>
      <c r="I206" t="s">
        <v>5097</v>
      </c>
      <c r="J206">
        <v>3.4000000000000002E-4</v>
      </c>
    </row>
    <row r="207" spans="1:10">
      <c r="A207" t="s">
        <v>5000</v>
      </c>
      <c r="B207">
        <v>34</v>
      </c>
      <c r="C207" t="s">
        <v>9</v>
      </c>
      <c r="D207">
        <v>5</v>
      </c>
      <c r="E207">
        <v>38</v>
      </c>
      <c r="F207">
        <v>6.0999999999999997E-4</v>
      </c>
      <c r="G207">
        <v>0</v>
      </c>
      <c r="H207" t="s">
        <v>5089</v>
      </c>
      <c r="I207" t="s">
        <v>5097</v>
      </c>
      <c r="J207">
        <v>6.0999999999999997E-4</v>
      </c>
    </row>
    <row r="208" spans="1:10">
      <c r="A208" t="s">
        <v>4993</v>
      </c>
      <c r="B208">
        <v>28</v>
      </c>
      <c r="C208" t="s">
        <v>7</v>
      </c>
      <c r="D208">
        <v>7</v>
      </c>
      <c r="E208">
        <v>34</v>
      </c>
      <c r="F208">
        <v>3.6000000000000002E-4</v>
      </c>
      <c r="G208">
        <v>0</v>
      </c>
      <c r="H208" t="s">
        <v>5089</v>
      </c>
      <c r="I208" t="s">
        <v>5097</v>
      </c>
      <c r="J208">
        <v>3.6000000000000002E-4</v>
      </c>
    </row>
    <row r="209" spans="1:10">
      <c r="A209" t="s">
        <v>4990</v>
      </c>
      <c r="B209">
        <v>26</v>
      </c>
      <c r="C209" t="s">
        <v>7</v>
      </c>
      <c r="D209">
        <v>8</v>
      </c>
      <c r="E209">
        <v>33</v>
      </c>
      <c r="F209">
        <v>3.8000000000000002E-4</v>
      </c>
      <c r="G209">
        <v>0</v>
      </c>
      <c r="H209" t="s">
        <v>5089</v>
      </c>
      <c r="I209" t="s">
        <v>5097</v>
      </c>
      <c r="J209">
        <v>3.8000000000000002E-4</v>
      </c>
    </row>
    <row r="210" spans="1:10">
      <c r="A210" t="s">
        <v>142</v>
      </c>
      <c r="B210">
        <v>26</v>
      </c>
      <c r="C210" t="s">
        <v>9</v>
      </c>
      <c r="D210">
        <v>8</v>
      </c>
      <c r="E210">
        <v>33</v>
      </c>
      <c r="F210">
        <v>5.4000000000000001E-4</v>
      </c>
      <c r="G210">
        <v>0</v>
      </c>
      <c r="H210" t="s">
        <v>5089</v>
      </c>
      <c r="I210" t="s">
        <v>5097</v>
      </c>
      <c r="J210">
        <v>5.4000000000000001E-4</v>
      </c>
    </row>
    <row r="211" spans="1:10">
      <c r="A211" t="s">
        <v>4973</v>
      </c>
      <c r="B211">
        <v>31</v>
      </c>
      <c r="C211" t="s">
        <v>9</v>
      </c>
      <c r="D211">
        <v>2</v>
      </c>
      <c r="E211">
        <v>32</v>
      </c>
      <c r="F211">
        <v>2.9E-4</v>
      </c>
      <c r="G211">
        <v>0</v>
      </c>
      <c r="H211" t="s">
        <v>5089</v>
      </c>
      <c r="I211" t="s">
        <v>5097</v>
      </c>
      <c r="J211">
        <v>2.9E-4</v>
      </c>
    </row>
    <row r="212" spans="1:10">
      <c r="A212" t="s">
        <v>4968</v>
      </c>
      <c r="B212">
        <v>29</v>
      </c>
      <c r="C212" t="s">
        <v>9</v>
      </c>
      <c r="D212">
        <v>4</v>
      </c>
      <c r="E212">
        <v>32</v>
      </c>
      <c r="F212">
        <v>4.0999999999999999E-4</v>
      </c>
      <c r="G212">
        <v>0</v>
      </c>
      <c r="H212" t="s">
        <v>5089</v>
      </c>
      <c r="I212" t="s">
        <v>5097</v>
      </c>
      <c r="J212">
        <v>4.0999999999999999E-4</v>
      </c>
    </row>
    <row r="213" spans="1:10">
      <c r="A213" t="s">
        <v>4967</v>
      </c>
      <c r="B213">
        <v>27</v>
      </c>
      <c r="C213" t="s">
        <v>9</v>
      </c>
      <c r="D213">
        <v>5</v>
      </c>
      <c r="E213">
        <v>31</v>
      </c>
      <c r="F213">
        <v>4.0000000000000002E-4</v>
      </c>
      <c r="G213">
        <v>0</v>
      </c>
      <c r="H213" t="s">
        <v>5089</v>
      </c>
      <c r="I213" t="s">
        <v>5097</v>
      </c>
      <c r="J213">
        <v>4.0000000000000002E-4</v>
      </c>
    </row>
    <row r="214" spans="1:10">
      <c r="A214" t="s">
        <v>4964</v>
      </c>
      <c r="B214">
        <v>32</v>
      </c>
      <c r="C214" t="s">
        <v>7</v>
      </c>
      <c r="D214">
        <v>2</v>
      </c>
      <c r="E214">
        <v>33</v>
      </c>
      <c r="F214">
        <v>2.0000000000000001E-4</v>
      </c>
      <c r="G214">
        <v>0</v>
      </c>
      <c r="H214" t="s">
        <v>5089</v>
      </c>
      <c r="I214" t="s">
        <v>5097</v>
      </c>
      <c r="J214">
        <v>2.0000000000000001E-4</v>
      </c>
    </row>
    <row r="215" spans="1:10">
      <c r="A215" t="s">
        <v>155</v>
      </c>
      <c r="B215">
        <v>30</v>
      </c>
      <c r="C215" t="s">
        <v>7</v>
      </c>
      <c r="D215">
        <v>2</v>
      </c>
      <c r="E215">
        <v>31</v>
      </c>
      <c r="F215">
        <v>1.8000000000000001E-4</v>
      </c>
      <c r="G215">
        <v>0</v>
      </c>
      <c r="H215" t="s">
        <v>5089</v>
      </c>
      <c r="I215" t="s">
        <v>5097</v>
      </c>
      <c r="J215">
        <v>1.8000000000000001E-4</v>
      </c>
    </row>
    <row r="216" spans="1:10">
      <c r="A216" t="s">
        <v>156</v>
      </c>
      <c r="B216">
        <v>31</v>
      </c>
      <c r="C216" t="s">
        <v>7</v>
      </c>
      <c r="D216">
        <v>3</v>
      </c>
      <c r="E216">
        <v>33</v>
      </c>
      <c r="F216">
        <v>2.3000000000000001E-4</v>
      </c>
      <c r="G216">
        <v>0</v>
      </c>
      <c r="H216" t="s">
        <v>5089</v>
      </c>
      <c r="I216" t="s">
        <v>5097</v>
      </c>
      <c r="J216">
        <v>2.3000000000000001E-4</v>
      </c>
    </row>
    <row r="217" spans="1:10">
      <c r="A217" t="s">
        <v>4953</v>
      </c>
      <c r="B217">
        <v>31</v>
      </c>
      <c r="C217" t="s">
        <v>7</v>
      </c>
      <c r="D217">
        <v>8</v>
      </c>
      <c r="E217">
        <v>38</v>
      </c>
      <c r="F217">
        <v>5.6999999999999998E-4</v>
      </c>
      <c r="G217">
        <v>0</v>
      </c>
      <c r="H217" t="s">
        <v>5089</v>
      </c>
      <c r="I217" t="s">
        <v>5097</v>
      </c>
      <c r="J217">
        <v>5.6999999999999998E-4</v>
      </c>
    </row>
    <row r="218" spans="1:10">
      <c r="A218" t="s">
        <v>4949</v>
      </c>
      <c r="B218">
        <v>22</v>
      </c>
      <c r="C218" t="s">
        <v>7</v>
      </c>
      <c r="D218">
        <v>9</v>
      </c>
      <c r="E218">
        <v>30</v>
      </c>
      <c r="F218">
        <v>3.6999999999999999E-4</v>
      </c>
      <c r="G218">
        <v>0</v>
      </c>
      <c r="H218" t="s">
        <v>5089</v>
      </c>
      <c r="I218" t="s">
        <v>5097</v>
      </c>
      <c r="J218">
        <v>3.6999999999999999E-4</v>
      </c>
    </row>
    <row r="219" spans="1:10">
      <c r="A219" t="s">
        <v>4943</v>
      </c>
      <c r="B219">
        <v>27</v>
      </c>
      <c r="C219" t="s">
        <v>9</v>
      </c>
      <c r="D219">
        <v>7</v>
      </c>
      <c r="E219">
        <v>33</v>
      </c>
      <c r="F219">
        <v>5.0000000000000001E-4</v>
      </c>
      <c r="G219">
        <v>0</v>
      </c>
      <c r="H219" t="s">
        <v>5089</v>
      </c>
      <c r="I219" t="s">
        <v>5097</v>
      </c>
      <c r="J219">
        <v>5.0000000000000001E-4</v>
      </c>
    </row>
    <row r="220" spans="1:10">
      <c r="A220" t="s">
        <v>4941</v>
      </c>
      <c r="B220">
        <v>30</v>
      </c>
      <c r="C220" t="s">
        <v>9</v>
      </c>
      <c r="D220">
        <v>2</v>
      </c>
      <c r="E220">
        <v>31</v>
      </c>
      <c r="F220">
        <v>2.9E-4</v>
      </c>
      <c r="G220">
        <v>0</v>
      </c>
      <c r="H220" t="s">
        <v>5089</v>
      </c>
      <c r="I220" t="s">
        <v>5097</v>
      </c>
      <c r="J220">
        <v>2.9E-4</v>
      </c>
    </row>
    <row r="221" spans="1:10">
      <c r="A221" t="s">
        <v>170</v>
      </c>
      <c r="B221">
        <v>28</v>
      </c>
      <c r="C221" t="s">
        <v>9</v>
      </c>
      <c r="D221">
        <v>9</v>
      </c>
      <c r="E221">
        <v>36</v>
      </c>
      <c r="F221">
        <v>6.4999999999999997E-4</v>
      </c>
      <c r="G221">
        <v>0</v>
      </c>
      <c r="H221" t="s">
        <v>5089</v>
      </c>
      <c r="I221" t="s">
        <v>5097</v>
      </c>
      <c r="J221">
        <v>6.4999999999999997E-4</v>
      </c>
    </row>
    <row r="222" spans="1:10">
      <c r="A222" t="s">
        <v>4935</v>
      </c>
      <c r="B222">
        <v>34</v>
      </c>
      <c r="C222" t="s">
        <v>7</v>
      </c>
      <c r="D222">
        <v>6</v>
      </c>
      <c r="E222">
        <v>39</v>
      </c>
      <c r="F222">
        <v>5.4000000000000001E-4</v>
      </c>
      <c r="G222">
        <v>0</v>
      </c>
      <c r="H222" t="s">
        <v>5089</v>
      </c>
      <c r="I222" t="s">
        <v>5097</v>
      </c>
      <c r="J222">
        <v>5.4000000000000001E-4</v>
      </c>
    </row>
    <row r="223" spans="1:10">
      <c r="A223" t="s">
        <v>4926</v>
      </c>
      <c r="B223">
        <v>31</v>
      </c>
      <c r="C223" t="s">
        <v>7</v>
      </c>
      <c r="D223">
        <v>5</v>
      </c>
      <c r="E223">
        <v>35</v>
      </c>
      <c r="F223">
        <v>3.2000000000000003E-4</v>
      </c>
      <c r="G223">
        <v>0</v>
      </c>
      <c r="H223" t="s">
        <v>5089</v>
      </c>
      <c r="I223" t="s">
        <v>5097</v>
      </c>
      <c r="J223">
        <v>3.2000000000000003E-4</v>
      </c>
    </row>
    <row r="224" spans="1:10">
      <c r="A224" t="s">
        <v>4907</v>
      </c>
      <c r="B224">
        <v>28</v>
      </c>
      <c r="C224" t="s">
        <v>7</v>
      </c>
      <c r="D224">
        <v>7</v>
      </c>
      <c r="E224">
        <v>34</v>
      </c>
      <c r="F224">
        <v>3.6000000000000002E-4</v>
      </c>
      <c r="G224">
        <v>0</v>
      </c>
      <c r="H224" t="s">
        <v>5089</v>
      </c>
      <c r="I224" t="s">
        <v>5097</v>
      </c>
      <c r="J224">
        <v>3.6000000000000002E-4</v>
      </c>
    </row>
    <row r="225" spans="1:10">
      <c r="A225" t="s">
        <v>4895</v>
      </c>
      <c r="B225">
        <v>33</v>
      </c>
      <c r="C225" t="s">
        <v>9</v>
      </c>
      <c r="D225">
        <v>1</v>
      </c>
      <c r="E225">
        <v>33</v>
      </c>
      <c r="F225">
        <v>2.4000000000000001E-4</v>
      </c>
      <c r="G225">
        <v>0</v>
      </c>
      <c r="H225" t="s">
        <v>5089</v>
      </c>
      <c r="I225" t="s">
        <v>5097</v>
      </c>
      <c r="J225">
        <v>2.4000000000000001E-4</v>
      </c>
    </row>
    <row r="226" spans="1:10">
      <c r="A226" t="s">
        <v>4893</v>
      </c>
      <c r="B226">
        <v>24</v>
      </c>
      <c r="C226" t="s">
        <v>9</v>
      </c>
      <c r="D226">
        <v>8</v>
      </c>
      <c r="E226">
        <v>31</v>
      </c>
      <c r="F226">
        <v>5.2999999999999998E-4</v>
      </c>
      <c r="G226">
        <v>0</v>
      </c>
      <c r="H226" t="s">
        <v>5089</v>
      </c>
      <c r="I226" t="s">
        <v>5097</v>
      </c>
      <c r="J226">
        <v>5.2999999999999998E-4</v>
      </c>
    </row>
    <row r="227" spans="1:10">
      <c r="A227" t="s">
        <v>4868</v>
      </c>
      <c r="B227">
        <v>26</v>
      </c>
      <c r="C227" t="s">
        <v>7</v>
      </c>
      <c r="D227">
        <v>7</v>
      </c>
      <c r="E227">
        <v>32</v>
      </c>
      <c r="F227">
        <v>3.3E-4</v>
      </c>
      <c r="G227">
        <v>0</v>
      </c>
      <c r="H227" t="s">
        <v>5089</v>
      </c>
      <c r="I227" t="s">
        <v>5097</v>
      </c>
      <c r="J227">
        <v>3.3E-4</v>
      </c>
    </row>
    <row r="228" spans="1:10">
      <c r="A228" t="s">
        <v>4855</v>
      </c>
      <c r="B228">
        <v>26</v>
      </c>
      <c r="C228" t="s">
        <v>7</v>
      </c>
      <c r="D228">
        <v>8</v>
      </c>
      <c r="E228">
        <v>33</v>
      </c>
      <c r="F228">
        <v>3.8000000000000002E-4</v>
      </c>
      <c r="G228">
        <v>0</v>
      </c>
      <c r="H228" t="s">
        <v>5089</v>
      </c>
      <c r="I228" t="s">
        <v>5097</v>
      </c>
      <c r="J228">
        <v>3.8000000000000002E-4</v>
      </c>
    </row>
    <row r="229" spans="1:10">
      <c r="A229" t="s">
        <v>4825</v>
      </c>
      <c r="B229">
        <v>31</v>
      </c>
      <c r="C229" t="s">
        <v>7</v>
      </c>
      <c r="D229">
        <v>8</v>
      </c>
      <c r="E229">
        <v>38</v>
      </c>
      <c r="F229">
        <v>5.6999999999999998E-4</v>
      </c>
      <c r="G229">
        <v>0</v>
      </c>
      <c r="H229" t="s">
        <v>5089</v>
      </c>
      <c r="I229" t="s">
        <v>5097</v>
      </c>
      <c r="J229">
        <v>5.6999999999999998E-4</v>
      </c>
    </row>
    <row r="230" spans="1:10">
      <c r="A230" t="s">
        <v>4816</v>
      </c>
      <c r="B230">
        <v>30</v>
      </c>
      <c r="C230" t="s">
        <v>7</v>
      </c>
      <c r="D230">
        <v>5</v>
      </c>
      <c r="E230">
        <v>34</v>
      </c>
      <c r="F230">
        <v>2.9E-4</v>
      </c>
      <c r="G230">
        <v>0</v>
      </c>
      <c r="H230" t="s">
        <v>5089</v>
      </c>
      <c r="I230" t="s">
        <v>5097</v>
      </c>
      <c r="J230">
        <v>2.9E-4</v>
      </c>
    </row>
    <row r="231" spans="1:10">
      <c r="A231" t="s">
        <v>4811</v>
      </c>
      <c r="B231">
        <v>31</v>
      </c>
      <c r="C231" t="s">
        <v>7</v>
      </c>
      <c r="D231">
        <v>3</v>
      </c>
      <c r="E231">
        <v>33</v>
      </c>
      <c r="F231">
        <v>2.3000000000000001E-4</v>
      </c>
      <c r="G231">
        <v>0</v>
      </c>
      <c r="H231" t="s">
        <v>5089</v>
      </c>
      <c r="I231" t="s">
        <v>5097</v>
      </c>
      <c r="J231">
        <v>2.3000000000000001E-4</v>
      </c>
    </row>
    <row r="232" spans="1:10">
      <c r="A232" t="s">
        <v>4806</v>
      </c>
      <c r="B232">
        <v>30</v>
      </c>
      <c r="C232" t="s">
        <v>9</v>
      </c>
      <c r="D232">
        <v>6</v>
      </c>
      <c r="E232">
        <v>35</v>
      </c>
      <c r="F232">
        <v>5.2999999999999998E-4</v>
      </c>
      <c r="G232">
        <v>0</v>
      </c>
      <c r="H232" t="s">
        <v>5089</v>
      </c>
      <c r="I232" t="s">
        <v>5097</v>
      </c>
      <c r="J232">
        <v>5.2999999999999998E-4</v>
      </c>
    </row>
    <row r="233" spans="1:10">
      <c r="A233" t="s">
        <v>4774</v>
      </c>
      <c r="B233">
        <v>30</v>
      </c>
      <c r="C233" t="s">
        <v>9</v>
      </c>
      <c r="D233">
        <v>7</v>
      </c>
      <c r="E233">
        <v>36</v>
      </c>
      <c r="F233">
        <v>5.9000000000000003E-4</v>
      </c>
      <c r="G233">
        <v>0</v>
      </c>
      <c r="H233" t="s">
        <v>5089</v>
      </c>
      <c r="I233" t="s">
        <v>5097</v>
      </c>
      <c r="J233">
        <v>5.9000000000000003E-4</v>
      </c>
    </row>
    <row r="234" spans="1:10">
      <c r="A234" t="s">
        <v>4772</v>
      </c>
      <c r="B234">
        <v>32</v>
      </c>
      <c r="C234" t="s">
        <v>9</v>
      </c>
      <c r="D234">
        <v>7</v>
      </c>
      <c r="E234">
        <v>38</v>
      </c>
      <c r="F234">
        <v>6.6E-4</v>
      </c>
      <c r="G234">
        <v>0</v>
      </c>
      <c r="H234" t="s">
        <v>5089</v>
      </c>
      <c r="I234" t="s">
        <v>5097</v>
      </c>
      <c r="J234">
        <v>6.6E-4</v>
      </c>
    </row>
    <row r="235" spans="1:10">
      <c r="A235" t="s">
        <v>4764</v>
      </c>
      <c r="B235">
        <v>30</v>
      </c>
      <c r="C235" t="s">
        <v>7</v>
      </c>
      <c r="D235">
        <v>2</v>
      </c>
      <c r="E235">
        <v>31</v>
      </c>
      <c r="F235">
        <v>1.8000000000000001E-4</v>
      </c>
      <c r="G235">
        <v>0</v>
      </c>
      <c r="H235" t="s">
        <v>5089</v>
      </c>
      <c r="I235" t="s">
        <v>5097</v>
      </c>
      <c r="J235">
        <v>1.8000000000000001E-4</v>
      </c>
    </row>
    <row r="236" spans="1:10">
      <c r="A236" t="s">
        <v>249</v>
      </c>
      <c r="B236">
        <v>29</v>
      </c>
      <c r="C236" t="s">
        <v>9</v>
      </c>
      <c r="D236">
        <v>8</v>
      </c>
      <c r="E236">
        <v>36</v>
      </c>
      <c r="F236">
        <v>6.3000000000000003E-4</v>
      </c>
      <c r="G236">
        <v>0</v>
      </c>
      <c r="H236" t="s">
        <v>5089</v>
      </c>
      <c r="I236" t="s">
        <v>5097</v>
      </c>
      <c r="J236">
        <v>6.3000000000000003E-4</v>
      </c>
    </row>
    <row r="237" spans="1:10">
      <c r="A237" t="s">
        <v>4747</v>
      </c>
      <c r="B237">
        <v>27</v>
      </c>
      <c r="C237" t="s">
        <v>7</v>
      </c>
      <c r="D237">
        <v>9</v>
      </c>
      <c r="E237">
        <v>35</v>
      </c>
      <c r="F237">
        <v>4.6999999999999999E-4</v>
      </c>
      <c r="G237">
        <v>0</v>
      </c>
      <c r="H237" t="s">
        <v>5089</v>
      </c>
      <c r="I237" t="s">
        <v>5097</v>
      </c>
      <c r="J237">
        <v>4.6999999999999999E-4</v>
      </c>
    </row>
    <row r="238" spans="1:10">
      <c r="A238" t="s">
        <v>4723</v>
      </c>
      <c r="B238">
        <v>38</v>
      </c>
      <c r="C238" t="s">
        <v>7</v>
      </c>
      <c r="D238">
        <v>1</v>
      </c>
      <c r="E238">
        <v>38</v>
      </c>
      <c r="F238">
        <v>2.0000000000000001E-4</v>
      </c>
      <c r="G238">
        <v>0</v>
      </c>
      <c r="H238" t="s">
        <v>5089</v>
      </c>
      <c r="I238" t="s">
        <v>5097</v>
      </c>
      <c r="J238">
        <v>2.0000000000000001E-4</v>
      </c>
    </row>
    <row r="239" spans="1:10">
      <c r="A239" t="s">
        <v>266</v>
      </c>
      <c r="B239">
        <v>25</v>
      </c>
      <c r="C239" t="s">
        <v>7</v>
      </c>
      <c r="D239">
        <v>9</v>
      </c>
      <c r="E239">
        <v>33</v>
      </c>
      <c r="F239">
        <v>4.0000000000000002E-4</v>
      </c>
      <c r="G239">
        <v>0</v>
      </c>
      <c r="H239" t="s">
        <v>5089</v>
      </c>
      <c r="I239" t="s">
        <v>5097</v>
      </c>
      <c r="J239">
        <v>4.0000000000000002E-4</v>
      </c>
    </row>
    <row r="240" spans="1:10">
      <c r="A240" t="s">
        <v>4686</v>
      </c>
      <c r="B240">
        <v>32</v>
      </c>
      <c r="C240" t="s">
        <v>7</v>
      </c>
      <c r="D240">
        <v>6</v>
      </c>
      <c r="E240">
        <v>37</v>
      </c>
      <c r="F240">
        <v>4.4999999999999999E-4</v>
      </c>
      <c r="G240">
        <v>0</v>
      </c>
      <c r="H240" t="s">
        <v>5089</v>
      </c>
      <c r="I240" t="s">
        <v>5097</v>
      </c>
      <c r="J240">
        <v>4.4999999999999999E-4</v>
      </c>
    </row>
    <row r="241" spans="1:10">
      <c r="A241" t="s">
        <v>280</v>
      </c>
      <c r="B241">
        <v>31</v>
      </c>
      <c r="C241" t="s">
        <v>9</v>
      </c>
      <c r="D241">
        <v>7</v>
      </c>
      <c r="E241">
        <v>37</v>
      </c>
      <c r="F241">
        <v>6.0999999999999997E-4</v>
      </c>
      <c r="G241">
        <v>0</v>
      </c>
      <c r="H241" t="s">
        <v>5089</v>
      </c>
      <c r="I241" t="s">
        <v>5097</v>
      </c>
      <c r="J241">
        <v>6.0999999999999997E-4</v>
      </c>
    </row>
    <row r="242" spans="1:10">
      <c r="A242" t="s">
        <v>4668</v>
      </c>
      <c r="B242">
        <v>34</v>
      </c>
      <c r="C242" t="s">
        <v>7</v>
      </c>
      <c r="D242">
        <v>2</v>
      </c>
      <c r="E242">
        <v>35</v>
      </c>
      <c r="F242">
        <v>2.3000000000000001E-4</v>
      </c>
      <c r="G242">
        <v>0</v>
      </c>
      <c r="H242" t="s">
        <v>5089</v>
      </c>
      <c r="I242" t="s">
        <v>5097</v>
      </c>
      <c r="J242">
        <v>2.3000000000000001E-4</v>
      </c>
    </row>
    <row r="243" spans="1:10">
      <c r="A243" t="s">
        <v>284</v>
      </c>
      <c r="B243">
        <v>37</v>
      </c>
      <c r="C243" t="s">
        <v>7</v>
      </c>
      <c r="D243">
        <v>2</v>
      </c>
      <c r="E243">
        <v>38</v>
      </c>
      <c r="F243">
        <v>2.9E-4</v>
      </c>
      <c r="G243">
        <v>0</v>
      </c>
      <c r="H243" t="s">
        <v>5089</v>
      </c>
      <c r="I243" t="s">
        <v>5097</v>
      </c>
      <c r="J243">
        <v>2.9E-4</v>
      </c>
    </row>
    <row r="244" spans="1:10">
      <c r="A244" t="s">
        <v>4646</v>
      </c>
      <c r="B244">
        <v>36</v>
      </c>
      <c r="C244" t="s">
        <v>9</v>
      </c>
      <c r="D244">
        <v>3</v>
      </c>
      <c r="E244">
        <v>38</v>
      </c>
      <c r="F244">
        <v>5.4000000000000001E-4</v>
      </c>
      <c r="G244">
        <v>0</v>
      </c>
      <c r="H244" t="s">
        <v>5089</v>
      </c>
      <c r="I244" t="s">
        <v>5097</v>
      </c>
      <c r="J244">
        <v>5.4000000000000001E-4</v>
      </c>
    </row>
    <row r="245" spans="1:10">
      <c r="A245" t="s">
        <v>4640</v>
      </c>
      <c r="B245">
        <v>35</v>
      </c>
      <c r="C245" t="s">
        <v>7</v>
      </c>
      <c r="D245">
        <v>5</v>
      </c>
      <c r="E245">
        <v>39</v>
      </c>
      <c r="F245">
        <v>5.1999999999999995E-4</v>
      </c>
      <c r="G245">
        <v>0</v>
      </c>
      <c r="H245" t="s">
        <v>5089</v>
      </c>
      <c r="I245" t="s">
        <v>5097</v>
      </c>
      <c r="J245">
        <v>5.1999999999999995E-4</v>
      </c>
    </row>
    <row r="246" spans="1:10">
      <c r="A246" t="s">
        <v>4617</v>
      </c>
      <c r="B246">
        <v>30</v>
      </c>
      <c r="C246" t="s">
        <v>7</v>
      </c>
      <c r="D246">
        <v>3</v>
      </c>
      <c r="E246">
        <v>32</v>
      </c>
      <c r="F246">
        <v>2.2000000000000001E-4</v>
      </c>
      <c r="G246">
        <v>0</v>
      </c>
      <c r="H246" t="s">
        <v>5089</v>
      </c>
      <c r="I246" t="s">
        <v>5097</v>
      </c>
      <c r="J246">
        <v>2.2000000000000001E-4</v>
      </c>
    </row>
    <row r="247" spans="1:10">
      <c r="A247" t="s">
        <v>309</v>
      </c>
      <c r="B247">
        <v>25</v>
      </c>
      <c r="C247" t="s">
        <v>7</v>
      </c>
      <c r="D247">
        <v>8</v>
      </c>
      <c r="E247">
        <v>32</v>
      </c>
      <c r="F247">
        <v>3.6999999999999999E-4</v>
      </c>
      <c r="G247">
        <v>0</v>
      </c>
      <c r="H247" t="s">
        <v>5089</v>
      </c>
      <c r="I247" t="s">
        <v>5097</v>
      </c>
      <c r="J247">
        <v>3.6999999999999999E-4</v>
      </c>
    </row>
    <row r="248" spans="1:10">
      <c r="A248" t="s">
        <v>4604</v>
      </c>
      <c r="B248">
        <v>33</v>
      </c>
      <c r="C248" t="s">
        <v>7</v>
      </c>
      <c r="D248">
        <v>5</v>
      </c>
      <c r="E248">
        <v>37</v>
      </c>
      <c r="F248">
        <v>4.2000000000000002E-4</v>
      </c>
      <c r="G248">
        <v>0</v>
      </c>
      <c r="H248" t="s">
        <v>5089</v>
      </c>
      <c r="I248" t="s">
        <v>5097</v>
      </c>
      <c r="J248">
        <v>4.2000000000000002E-4</v>
      </c>
    </row>
    <row r="249" spans="1:10">
      <c r="A249" t="s">
        <v>4603</v>
      </c>
      <c r="B249">
        <v>31</v>
      </c>
      <c r="C249" t="s">
        <v>9</v>
      </c>
      <c r="D249">
        <v>2</v>
      </c>
      <c r="E249">
        <v>32</v>
      </c>
      <c r="F249">
        <v>2.9E-4</v>
      </c>
      <c r="G249">
        <v>0</v>
      </c>
      <c r="H249" t="s">
        <v>5089</v>
      </c>
      <c r="I249" t="s">
        <v>5097</v>
      </c>
      <c r="J249">
        <v>2.9E-4</v>
      </c>
    </row>
    <row r="250" spans="1:10">
      <c r="A250" t="s">
        <v>4599</v>
      </c>
      <c r="B250">
        <v>28</v>
      </c>
      <c r="C250" t="s">
        <v>7</v>
      </c>
      <c r="D250">
        <v>8</v>
      </c>
      <c r="E250">
        <v>35</v>
      </c>
      <c r="F250">
        <v>4.2999999999999999E-4</v>
      </c>
      <c r="G250">
        <v>0</v>
      </c>
      <c r="H250" t="s">
        <v>5089</v>
      </c>
      <c r="I250" t="s">
        <v>5097</v>
      </c>
      <c r="J250">
        <v>4.2999999999999999E-4</v>
      </c>
    </row>
    <row r="251" spans="1:10">
      <c r="A251" t="s">
        <v>4584</v>
      </c>
      <c r="B251">
        <v>30</v>
      </c>
      <c r="C251" t="s">
        <v>9</v>
      </c>
      <c r="D251">
        <v>7</v>
      </c>
      <c r="E251">
        <v>36</v>
      </c>
      <c r="F251">
        <v>5.9000000000000003E-4</v>
      </c>
      <c r="G251">
        <v>0</v>
      </c>
      <c r="H251" t="s">
        <v>5089</v>
      </c>
      <c r="I251" t="s">
        <v>5097</v>
      </c>
      <c r="J251">
        <v>5.9000000000000003E-4</v>
      </c>
    </row>
    <row r="252" spans="1:10">
      <c r="A252" t="s">
        <v>4575</v>
      </c>
      <c r="B252">
        <v>30</v>
      </c>
      <c r="C252" t="s">
        <v>7</v>
      </c>
      <c r="D252">
        <v>8</v>
      </c>
      <c r="E252">
        <v>37</v>
      </c>
      <c r="F252">
        <v>5.1999999999999995E-4</v>
      </c>
      <c r="G252">
        <v>0</v>
      </c>
      <c r="H252" t="s">
        <v>5089</v>
      </c>
      <c r="I252" t="s">
        <v>5097</v>
      </c>
      <c r="J252">
        <v>5.1999999999999995E-4</v>
      </c>
    </row>
    <row r="253" spans="1:10">
      <c r="A253" t="s">
        <v>4567</v>
      </c>
      <c r="B253">
        <v>35</v>
      </c>
      <c r="C253" t="s">
        <v>9</v>
      </c>
      <c r="D253">
        <v>2</v>
      </c>
      <c r="E253">
        <v>36</v>
      </c>
      <c r="F253">
        <v>3.4000000000000002E-4</v>
      </c>
      <c r="G253">
        <v>0</v>
      </c>
      <c r="H253" t="s">
        <v>5089</v>
      </c>
      <c r="I253" t="s">
        <v>5097</v>
      </c>
      <c r="J253">
        <v>3.4000000000000002E-4</v>
      </c>
    </row>
    <row r="254" spans="1:10">
      <c r="A254" t="s">
        <v>4558</v>
      </c>
      <c r="B254">
        <v>28</v>
      </c>
      <c r="C254" t="s">
        <v>9</v>
      </c>
      <c r="D254">
        <v>8</v>
      </c>
      <c r="E254">
        <v>35</v>
      </c>
      <c r="F254">
        <v>5.9000000000000003E-4</v>
      </c>
      <c r="G254">
        <v>0</v>
      </c>
      <c r="H254" t="s">
        <v>5089</v>
      </c>
      <c r="I254" t="s">
        <v>5097</v>
      </c>
      <c r="J254">
        <v>5.9000000000000003E-4</v>
      </c>
    </row>
    <row r="255" spans="1:10">
      <c r="A255" t="s">
        <v>4550</v>
      </c>
      <c r="B255">
        <v>32</v>
      </c>
      <c r="C255" t="s">
        <v>9</v>
      </c>
      <c r="D255">
        <v>6</v>
      </c>
      <c r="E255">
        <v>37</v>
      </c>
      <c r="F255">
        <v>5.9000000000000003E-4</v>
      </c>
      <c r="G255">
        <v>0</v>
      </c>
      <c r="H255" t="s">
        <v>5089</v>
      </c>
      <c r="I255" t="s">
        <v>5097</v>
      </c>
      <c r="J255">
        <v>5.9000000000000003E-4</v>
      </c>
    </row>
    <row r="256" spans="1:10">
      <c r="A256" t="s">
        <v>4544</v>
      </c>
      <c r="B256">
        <v>26</v>
      </c>
      <c r="C256" t="s">
        <v>7</v>
      </c>
      <c r="D256">
        <v>8</v>
      </c>
      <c r="E256">
        <v>33</v>
      </c>
      <c r="F256">
        <v>3.8000000000000002E-4</v>
      </c>
      <c r="G256">
        <v>0</v>
      </c>
      <c r="H256" t="s">
        <v>5089</v>
      </c>
      <c r="I256" t="s">
        <v>5097</v>
      </c>
      <c r="J256">
        <v>3.8000000000000002E-4</v>
      </c>
    </row>
    <row r="257" spans="1:10">
      <c r="A257" t="s">
        <v>4541</v>
      </c>
      <c r="B257">
        <v>27</v>
      </c>
      <c r="C257" t="s">
        <v>7</v>
      </c>
      <c r="D257">
        <v>9</v>
      </c>
      <c r="E257">
        <v>35</v>
      </c>
      <c r="F257">
        <v>4.6999999999999999E-4</v>
      </c>
      <c r="G257">
        <v>0</v>
      </c>
      <c r="H257" t="s">
        <v>5089</v>
      </c>
      <c r="I257" t="s">
        <v>5097</v>
      </c>
      <c r="J257">
        <v>4.6999999999999999E-4</v>
      </c>
    </row>
    <row r="258" spans="1:10">
      <c r="A258" t="s">
        <v>4525</v>
      </c>
      <c r="B258">
        <v>29</v>
      </c>
      <c r="C258" t="s">
        <v>7</v>
      </c>
      <c r="D258">
        <v>5</v>
      </c>
      <c r="E258">
        <v>33</v>
      </c>
      <c r="F258">
        <v>2.7E-4</v>
      </c>
      <c r="G258">
        <v>0</v>
      </c>
      <c r="H258" t="s">
        <v>5089</v>
      </c>
      <c r="I258" t="s">
        <v>5097</v>
      </c>
      <c r="J258">
        <v>2.7E-4</v>
      </c>
    </row>
    <row r="259" spans="1:10">
      <c r="A259" t="s">
        <v>356</v>
      </c>
      <c r="B259">
        <v>31</v>
      </c>
      <c r="C259" t="s">
        <v>9</v>
      </c>
      <c r="D259">
        <v>6</v>
      </c>
      <c r="E259">
        <v>36</v>
      </c>
      <c r="F259">
        <v>5.5999999999999995E-4</v>
      </c>
      <c r="G259">
        <v>0</v>
      </c>
      <c r="H259" t="s">
        <v>5089</v>
      </c>
      <c r="I259" t="s">
        <v>5097</v>
      </c>
      <c r="J259">
        <v>5.5999999999999995E-4</v>
      </c>
    </row>
    <row r="260" spans="1:10">
      <c r="A260" t="s">
        <v>4493</v>
      </c>
      <c r="B260">
        <v>27</v>
      </c>
      <c r="C260" t="s">
        <v>7</v>
      </c>
      <c r="D260">
        <v>4</v>
      </c>
      <c r="E260">
        <v>30</v>
      </c>
      <c r="F260">
        <v>2.2000000000000001E-4</v>
      </c>
      <c r="G260">
        <v>0</v>
      </c>
      <c r="H260" t="s">
        <v>5089</v>
      </c>
      <c r="I260" t="s">
        <v>5097</v>
      </c>
      <c r="J260">
        <v>2.2000000000000001E-4</v>
      </c>
    </row>
    <row r="261" spans="1:10">
      <c r="A261" t="s">
        <v>4488</v>
      </c>
      <c r="B261">
        <v>29</v>
      </c>
      <c r="C261" t="s">
        <v>9</v>
      </c>
      <c r="D261">
        <v>9</v>
      </c>
      <c r="E261">
        <v>37</v>
      </c>
      <c r="F261">
        <v>6.9999999999999999E-4</v>
      </c>
      <c r="G261">
        <v>0</v>
      </c>
      <c r="H261" t="s">
        <v>5089</v>
      </c>
      <c r="I261" t="s">
        <v>5097</v>
      </c>
      <c r="J261">
        <v>6.9999999999999999E-4</v>
      </c>
    </row>
    <row r="262" spans="1:10">
      <c r="A262" t="s">
        <v>4446</v>
      </c>
      <c r="B262">
        <v>36</v>
      </c>
      <c r="C262" t="s">
        <v>7</v>
      </c>
      <c r="D262">
        <v>1</v>
      </c>
      <c r="E262">
        <v>36</v>
      </c>
      <c r="F262">
        <v>1.7000000000000001E-4</v>
      </c>
      <c r="G262">
        <v>0</v>
      </c>
      <c r="H262" t="s">
        <v>5089</v>
      </c>
      <c r="I262" t="s">
        <v>5097</v>
      </c>
      <c r="J262">
        <v>1.7000000000000001E-4</v>
      </c>
    </row>
    <row r="263" spans="1:10">
      <c r="A263" t="s">
        <v>4428</v>
      </c>
      <c r="B263">
        <v>30</v>
      </c>
      <c r="C263" t="s">
        <v>9</v>
      </c>
      <c r="D263">
        <v>9</v>
      </c>
      <c r="E263">
        <v>38</v>
      </c>
      <c r="F263">
        <v>7.5000000000000002E-4</v>
      </c>
      <c r="G263">
        <v>0</v>
      </c>
      <c r="H263" t="s">
        <v>5089</v>
      </c>
      <c r="I263" t="s">
        <v>5097</v>
      </c>
      <c r="J263">
        <v>7.5000000000000002E-4</v>
      </c>
    </row>
    <row r="264" spans="1:10">
      <c r="A264" t="s">
        <v>4415</v>
      </c>
      <c r="B264">
        <v>27</v>
      </c>
      <c r="C264" t="s">
        <v>9</v>
      </c>
      <c r="D264">
        <v>5</v>
      </c>
      <c r="E264">
        <v>31</v>
      </c>
      <c r="F264">
        <v>4.0000000000000002E-4</v>
      </c>
      <c r="G264">
        <v>0</v>
      </c>
      <c r="H264" t="s">
        <v>5089</v>
      </c>
      <c r="I264" t="s">
        <v>5097</v>
      </c>
      <c r="J264">
        <v>4.0000000000000002E-4</v>
      </c>
    </row>
    <row r="265" spans="1:10">
      <c r="A265" t="s">
        <v>4414</v>
      </c>
      <c r="B265">
        <v>29</v>
      </c>
      <c r="C265" t="s">
        <v>9</v>
      </c>
      <c r="D265">
        <v>2</v>
      </c>
      <c r="E265">
        <v>30</v>
      </c>
      <c r="F265">
        <v>3.1E-4</v>
      </c>
      <c r="G265">
        <v>0</v>
      </c>
      <c r="H265" t="s">
        <v>5089</v>
      </c>
      <c r="I265" t="s">
        <v>5097</v>
      </c>
      <c r="J265">
        <v>3.1E-4</v>
      </c>
    </row>
    <row r="266" spans="1:10">
      <c r="A266" t="s">
        <v>416</v>
      </c>
      <c r="B266">
        <v>29</v>
      </c>
      <c r="C266" t="s">
        <v>9</v>
      </c>
      <c r="D266">
        <v>3</v>
      </c>
      <c r="E266">
        <v>31</v>
      </c>
      <c r="F266">
        <v>3.5E-4</v>
      </c>
      <c r="G266">
        <v>0</v>
      </c>
      <c r="H266" t="s">
        <v>5089</v>
      </c>
      <c r="I266" t="s">
        <v>5097</v>
      </c>
      <c r="J266">
        <v>3.5E-4</v>
      </c>
    </row>
    <row r="267" spans="1:10">
      <c r="A267" t="s">
        <v>4382</v>
      </c>
      <c r="B267">
        <v>36</v>
      </c>
      <c r="C267" t="s">
        <v>7</v>
      </c>
      <c r="D267">
        <v>4</v>
      </c>
      <c r="E267">
        <v>39</v>
      </c>
      <c r="F267">
        <v>4.8999999999999998E-4</v>
      </c>
      <c r="G267">
        <v>0</v>
      </c>
      <c r="H267" t="s">
        <v>5089</v>
      </c>
      <c r="I267" t="s">
        <v>5097</v>
      </c>
      <c r="J267">
        <v>4.8999999999999998E-4</v>
      </c>
    </row>
    <row r="268" spans="1:10">
      <c r="A268" t="s">
        <v>4371</v>
      </c>
      <c r="B268">
        <v>22</v>
      </c>
      <c r="C268" t="s">
        <v>7</v>
      </c>
      <c r="D268">
        <v>9</v>
      </c>
      <c r="E268">
        <v>30</v>
      </c>
      <c r="F268">
        <v>3.6999999999999999E-4</v>
      </c>
      <c r="G268">
        <v>0</v>
      </c>
      <c r="H268" t="s">
        <v>5089</v>
      </c>
      <c r="I268" t="s">
        <v>5097</v>
      </c>
      <c r="J268">
        <v>3.6999999999999999E-4</v>
      </c>
    </row>
    <row r="269" spans="1:10">
      <c r="A269" t="s">
        <v>4370</v>
      </c>
      <c r="B269">
        <v>33</v>
      </c>
      <c r="C269" t="s">
        <v>7</v>
      </c>
      <c r="D269">
        <v>1</v>
      </c>
      <c r="E269">
        <v>33</v>
      </c>
      <c r="F269">
        <v>1.2999999999999999E-4</v>
      </c>
      <c r="G269">
        <v>0</v>
      </c>
      <c r="H269" t="s">
        <v>5089</v>
      </c>
      <c r="I269" t="s">
        <v>5097</v>
      </c>
      <c r="J269">
        <v>1.2999999999999999E-4</v>
      </c>
    </row>
    <row r="270" spans="1:10">
      <c r="A270" t="s">
        <v>4365</v>
      </c>
      <c r="B270">
        <v>29</v>
      </c>
      <c r="C270" t="s">
        <v>7</v>
      </c>
      <c r="D270">
        <v>5</v>
      </c>
      <c r="E270">
        <v>33</v>
      </c>
      <c r="F270">
        <v>2.7E-4</v>
      </c>
      <c r="G270">
        <v>0</v>
      </c>
      <c r="H270" t="s">
        <v>5089</v>
      </c>
      <c r="I270" t="s">
        <v>5097</v>
      </c>
      <c r="J270">
        <v>2.7E-4</v>
      </c>
    </row>
    <row r="271" spans="1:10">
      <c r="A271" t="s">
        <v>4349</v>
      </c>
      <c r="B271">
        <v>23</v>
      </c>
      <c r="C271" t="s">
        <v>7</v>
      </c>
      <c r="D271">
        <v>8</v>
      </c>
      <c r="E271">
        <v>30</v>
      </c>
      <c r="F271">
        <v>3.4000000000000002E-4</v>
      </c>
      <c r="G271">
        <v>0</v>
      </c>
      <c r="H271" t="s">
        <v>5089</v>
      </c>
      <c r="I271" t="s">
        <v>5097</v>
      </c>
      <c r="J271">
        <v>3.4000000000000002E-4</v>
      </c>
    </row>
    <row r="272" spans="1:10">
      <c r="A272" t="s">
        <v>4322</v>
      </c>
      <c r="B272">
        <v>30</v>
      </c>
      <c r="C272" t="s">
        <v>9</v>
      </c>
      <c r="D272">
        <v>8</v>
      </c>
      <c r="E272">
        <v>37</v>
      </c>
      <c r="F272">
        <v>6.6E-4</v>
      </c>
      <c r="G272">
        <v>0</v>
      </c>
      <c r="H272" t="s">
        <v>5089</v>
      </c>
      <c r="I272" t="s">
        <v>5097</v>
      </c>
      <c r="J272">
        <v>6.6E-4</v>
      </c>
    </row>
    <row r="273" spans="1:10">
      <c r="A273" t="s">
        <v>4319</v>
      </c>
      <c r="B273">
        <v>24</v>
      </c>
      <c r="C273" t="s">
        <v>7</v>
      </c>
      <c r="D273">
        <v>8</v>
      </c>
      <c r="E273">
        <v>31</v>
      </c>
      <c r="F273">
        <v>3.5E-4</v>
      </c>
      <c r="G273">
        <v>0</v>
      </c>
      <c r="H273" t="s">
        <v>5089</v>
      </c>
      <c r="I273" t="s">
        <v>5097</v>
      </c>
      <c r="J273">
        <v>3.5E-4</v>
      </c>
    </row>
    <row r="274" spans="1:10">
      <c r="A274" t="s">
        <v>4318</v>
      </c>
      <c r="B274">
        <v>31</v>
      </c>
      <c r="C274" t="s">
        <v>9</v>
      </c>
      <c r="D274">
        <v>8</v>
      </c>
      <c r="E274">
        <v>38</v>
      </c>
      <c r="F274">
        <v>6.9999999999999999E-4</v>
      </c>
      <c r="G274">
        <v>0</v>
      </c>
      <c r="H274" t="s">
        <v>5089</v>
      </c>
      <c r="I274" t="s">
        <v>5097</v>
      </c>
      <c r="J274">
        <v>6.9999999999999999E-4</v>
      </c>
    </row>
    <row r="275" spans="1:10">
      <c r="A275" t="s">
        <v>4316</v>
      </c>
      <c r="B275">
        <v>36</v>
      </c>
      <c r="C275" t="s">
        <v>7</v>
      </c>
      <c r="D275">
        <v>3</v>
      </c>
      <c r="E275">
        <v>38</v>
      </c>
      <c r="F275">
        <v>3.8999999999999999E-4</v>
      </c>
      <c r="G275">
        <v>0</v>
      </c>
      <c r="H275" t="s">
        <v>5089</v>
      </c>
      <c r="I275" t="s">
        <v>5097</v>
      </c>
      <c r="J275">
        <v>3.8999999999999999E-4</v>
      </c>
    </row>
    <row r="276" spans="1:10">
      <c r="A276" t="s">
        <v>4315</v>
      </c>
      <c r="B276">
        <v>30</v>
      </c>
      <c r="C276" t="s">
        <v>7</v>
      </c>
      <c r="D276">
        <v>3</v>
      </c>
      <c r="E276">
        <v>32</v>
      </c>
      <c r="F276">
        <v>2.2000000000000001E-4</v>
      </c>
      <c r="G276">
        <v>0</v>
      </c>
      <c r="H276" t="s">
        <v>5089</v>
      </c>
      <c r="I276" t="s">
        <v>5097</v>
      </c>
      <c r="J276">
        <v>2.2000000000000001E-4</v>
      </c>
    </row>
    <row r="277" spans="1:10">
      <c r="A277" t="s">
        <v>451</v>
      </c>
      <c r="B277">
        <v>31</v>
      </c>
      <c r="C277" t="s">
        <v>9</v>
      </c>
      <c r="D277">
        <v>5</v>
      </c>
      <c r="E277">
        <v>35</v>
      </c>
      <c r="F277">
        <v>5.1000000000000004E-4</v>
      </c>
      <c r="G277">
        <v>0</v>
      </c>
      <c r="H277" t="s">
        <v>5089</v>
      </c>
      <c r="I277" t="s">
        <v>5097</v>
      </c>
      <c r="J277">
        <v>5.1000000000000004E-4</v>
      </c>
    </row>
    <row r="278" spans="1:10">
      <c r="A278" t="s">
        <v>4303</v>
      </c>
      <c r="B278">
        <v>33</v>
      </c>
      <c r="C278" t="s">
        <v>9</v>
      </c>
      <c r="D278">
        <v>7</v>
      </c>
      <c r="E278">
        <v>39</v>
      </c>
      <c r="F278">
        <v>7.2999999999999996E-4</v>
      </c>
      <c r="G278">
        <v>0</v>
      </c>
      <c r="H278" t="s">
        <v>5089</v>
      </c>
      <c r="I278" t="s">
        <v>5097</v>
      </c>
      <c r="J278">
        <v>7.2999999999999996E-4</v>
      </c>
    </row>
    <row r="279" spans="1:10">
      <c r="A279" t="s">
        <v>459</v>
      </c>
      <c r="B279">
        <v>26</v>
      </c>
      <c r="C279" t="s">
        <v>9</v>
      </c>
      <c r="D279">
        <v>8</v>
      </c>
      <c r="E279">
        <v>33</v>
      </c>
      <c r="F279">
        <v>5.4000000000000001E-4</v>
      </c>
      <c r="G279">
        <v>0</v>
      </c>
      <c r="H279" t="s">
        <v>5089</v>
      </c>
      <c r="I279" t="s">
        <v>5097</v>
      </c>
      <c r="J279">
        <v>5.4000000000000001E-4</v>
      </c>
    </row>
    <row r="280" spans="1:10">
      <c r="A280" t="s">
        <v>4287</v>
      </c>
      <c r="B280">
        <v>34</v>
      </c>
      <c r="C280" t="s">
        <v>7</v>
      </c>
      <c r="D280">
        <v>6</v>
      </c>
      <c r="E280">
        <v>39</v>
      </c>
      <c r="F280">
        <v>5.4000000000000001E-4</v>
      </c>
      <c r="G280">
        <v>0</v>
      </c>
      <c r="H280" t="s">
        <v>5089</v>
      </c>
      <c r="I280" t="s">
        <v>5097</v>
      </c>
      <c r="J280">
        <v>5.4000000000000001E-4</v>
      </c>
    </row>
    <row r="281" spans="1:10">
      <c r="A281" t="s">
        <v>464</v>
      </c>
      <c r="B281">
        <v>29</v>
      </c>
      <c r="C281" t="s">
        <v>9</v>
      </c>
      <c r="D281">
        <v>8</v>
      </c>
      <c r="E281">
        <v>36</v>
      </c>
      <c r="F281">
        <v>6.3000000000000003E-4</v>
      </c>
      <c r="G281">
        <v>0</v>
      </c>
      <c r="H281" t="s">
        <v>5089</v>
      </c>
      <c r="I281" t="s">
        <v>5097</v>
      </c>
      <c r="J281">
        <v>6.3000000000000003E-4</v>
      </c>
    </row>
    <row r="282" spans="1:10">
      <c r="A282" t="s">
        <v>4278</v>
      </c>
      <c r="B282">
        <v>28</v>
      </c>
      <c r="C282" t="s">
        <v>9</v>
      </c>
      <c r="D282">
        <v>6</v>
      </c>
      <c r="E282">
        <v>33</v>
      </c>
      <c r="F282">
        <v>4.6000000000000001E-4</v>
      </c>
      <c r="G282">
        <v>0</v>
      </c>
      <c r="H282" t="s">
        <v>5089</v>
      </c>
      <c r="I282" t="s">
        <v>5097</v>
      </c>
      <c r="J282">
        <v>4.6000000000000001E-4</v>
      </c>
    </row>
    <row r="283" spans="1:10">
      <c r="A283" t="s">
        <v>4273</v>
      </c>
      <c r="B283">
        <v>24</v>
      </c>
      <c r="C283" t="s">
        <v>7</v>
      </c>
      <c r="D283">
        <v>7</v>
      </c>
      <c r="E283">
        <v>30</v>
      </c>
      <c r="F283">
        <v>3.1E-4</v>
      </c>
      <c r="G283">
        <v>0</v>
      </c>
      <c r="H283" t="s">
        <v>5089</v>
      </c>
      <c r="I283" t="s">
        <v>5097</v>
      </c>
      <c r="J283">
        <v>3.1E-4</v>
      </c>
    </row>
    <row r="284" spans="1:10">
      <c r="A284" t="s">
        <v>4271</v>
      </c>
      <c r="B284">
        <v>29</v>
      </c>
      <c r="C284" t="s">
        <v>7</v>
      </c>
      <c r="D284">
        <v>9</v>
      </c>
      <c r="E284">
        <v>37</v>
      </c>
      <c r="F284">
        <v>5.5999999999999995E-4</v>
      </c>
      <c r="G284">
        <v>0</v>
      </c>
      <c r="H284" t="s">
        <v>5089</v>
      </c>
      <c r="I284" t="s">
        <v>5097</v>
      </c>
      <c r="J284">
        <v>5.5999999999999995E-4</v>
      </c>
    </row>
    <row r="285" spans="1:10">
      <c r="A285" t="s">
        <v>4235</v>
      </c>
      <c r="B285">
        <v>33</v>
      </c>
      <c r="C285" t="s">
        <v>9</v>
      </c>
      <c r="D285">
        <v>4</v>
      </c>
      <c r="E285">
        <v>36</v>
      </c>
      <c r="F285">
        <v>5.1999999999999995E-4</v>
      </c>
      <c r="G285">
        <v>0</v>
      </c>
      <c r="H285" t="s">
        <v>5089</v>
      </c>
      <c r="I285" t="s">
        <v>5097</v>
      </c>
      <c r="J285">
        <v>5.1999999999999995E-4</v>
      </c>
    </row>
    <row r="286" spans="1:10">
      <c r="A286" t="s">
        <v>4234</v>
      </c>
      <c r="B286">
        <v>33</v>
      </c>
      <c r="C286" t="s">
        <v>7</v>
      </c>
      <c r="D286">
        <v>7</v>
      </c>
      <c r="E286">
        <v>39</v>
      </c>
      <c r="F286">
        <v>5.8E-4</v>
      </c>
      <c r="G286">
        <v>0</v>
      </c>
      <c r="H286" t="s">
        <v>5089</v>
      </c>
      <c r="I286" t="s">
        <v>5097</v>
      </c>
      <c r="J286">
        <v>5.8E-4</v>
      </c>
    </row>
    <row r="287" spans="1:10">
      <c r="A287" t="s">
        <v>493</v>
      </c>
      <c r="B287">
        <v>31</v>
      </c>
      <c r="C287" t="s">
        <v>9</v>
      </c>
      <c r="D287">
        <v>7</v>
      </c>
      <c r="E287">
        <v>37</v>
      </c>
      <c r="F287">
        <v>6.0999999999999997E-4</v>
      </c>
      <c r="G287">
        <v>0</v>
      </c>
      <c r="H287" t="s">
        <v>5089</v>
      </c>
      <c r="I287" t="s">
        <v>5097</v>
      </c>
      <c r="J287">
        <v>6.0999999999999997E-4</v>
      </c>
    </row>
    <row r="288" spans="1:10">
      <c r="A288" t="s">
        <v>494</v>
      </c>
      <c r="B288">
        <v>32</v>
      </c>
      <c r="C288" t="s">
        <v>7</v>
      </c>
      <c r="D288">
        <v>8</v>
      </c>
      <c r="E288">
        <v>39</v>
      </c>
      <c r="F288">
        <v>6.2E-4</v>
      </c>
      <c r="G288">
        <v>0</v>
      </c>
      <c r="H288" t="s">
        <v>5089</v>
      </c>
      <c r="I288" t="s">
        <v>5097</v>
      </c>
      <c r="J288">
        <v>6.2E-4</v>
      </c>
    </row>
    <row r="289" spans="1:10">
      <c r="A289" t="s">
        <v>4221</v>
      </c>
      <c r="B289">
        <v>22</v>
      </c>
      <c r="C289" t="s">
        <v>9</v>
      </c>
      <c r="D289">
        <v>9</v>
      </c>
      <c r="E289">
        <v>30</v>
      </c>
      <c r="F289">
        <v>5.9000000000000003E-4</v>
      </c>
      <c r="G289">
        <v>0</v>
      </c>
      <c r="H289" t="s">
        <v>5089</v>
      </c>
      <c r="I289" t="s">
        <v>5097</v>
      </c>
      <c r="J289">
        <v>5.9000000000000003E-4</v>
      </c>
    </row>
    <row r="290" spans="1:10">
      <c r="A290" t="s">
        <v>4210</v>
      </c>
      <c r="B290">
        <v>30</v>
      </c>
      <c r="C290" t="s">
        <v>9</v>
      </c>
      <c r="D290">
        <v>2</v>
      </c>
      <c r="E290">
        <v>31</v>
      </c>
      <c r="F290">
        <v>2.9E-4</v>
      </c>
      <c r="G290">
        <v>0</v>
      </c>
      <c r="H290" t="s">
        <v>5089</v>
      </c>
      <c r="I290" t="s">
        <v>5097</v>
      </c>
      <c r="J290">
        <v>2.9E-4</v>
      </c>
    </row>
    <row r="291" spans="1:10">
      <c r="A291" t="s">
        <v>4208</v>
      </c>
      <c r="B291">
        <v>23</v>
      </c>
      <c r="C291" t="s">
        <v>7</v>
      </c>
      <c r="D291">
        <v>9</v>
      </c>
      <c r="E291">
        <v>31</v>
      </c>
      <c r="F291">
        <v>3.8000000000000002E-4</v>
      </c>
      <c r="G291">
        <v>0</v>
      </c>
      <c r="H291" t="s">
        <v>5089</v>
      </c>
      <c r="I291" t="s">
        <v>5097</v>
      </c>
      <c r="J291">
        <v>3.8000000000000002E-4</v>
      </c>
    </row>
    <row r="292" spans="1:10">
      <c r="A292" t="s">
        <v>4182</v>
      </c>
      <c r="B292">
        <v>26</v>
      </c>
      <c r="C292" t="s">
        <v>7</v>
      </c>
      <c r="D292">
        <v>8</v>
      </c>
      <c r="E292">
        <v>33</v>
      </c>
      <c r="F292">
        <v>3.8000000000000002E-4</v>
      </c>
      <c r="G292">
        <v>0</v>
      </c>
      <c r="H292" t="s">
        <v>5089</v>
      </c>
      <c r="I292" t="s">
        <v>5097</v>
      </c>
      <c r="J292">
        <v>3.8000000000000002E-4</v>
      </c>
    </row>
    <row r="293" spans="1:10">
      <c r="A293" t="s">
        <v>4158</v>
      </c>
      <c r="B293">
        <v>32</v>
      </c>
      <c r="C293" t="s">
        <v>7</v>
      </c>
      <c r="D293">
        <v>8</v>
      </c>
      <c r="E293">
        <v>39</v>
      </c>
      <c r="F293">
        <v>6.2E-4</v>
      </c>
      <c r="G293">
        <v>0</v>
      </c>
      <c r="H293" t="s">
        <v>5089</v>
      </c>
      <c r="I293" t="s">
        <v>5097</v>
      </c>
      <c r="J293">
        <v>6.2E-4</v>
      </c>
    </row>
    <row r="294" spans="1:10">
      <c r="A294" t="s">
        <v>4157</v>
      </c>
      <c r="B294">
        <v>37</v>
      </c>
      <c r="C294" t="s">
        <v>7</v>
      </c>
      <c r="D294">
        <v>1</v>
      </c>
      <c r="E294">
        <v>37</v>
      </c>
      <c r="F294">
        <v>1.8000000000000001E-4</v>
      </c>
      <c r="G294">
        <v>0</v>
      </c>
      <c r="H294" t="s">
        <v>5089</v>
      </c>
      <c r="I294" t="s">
        <v>5097</v>
      </c>
      <c r="J294">
        <v>1.8000000000000001E-4</v>
      </c>
    </row>
    <row r="295" spans="1:10">
      <c r="A295" t="s">
        <v>4147</v>
      </c>
      <c r="B295">
        <v>33</v>
      </c>
      <c r="C295" t="s">
        <v>7</v>
      </c>
      <c r="D295">
        <v>4</v>
      </c>
      <c r="E295">
        <v>36</v>
      </c>
      <c r="F295">
        <v>3.4000000000000002E-4</v>
      </c>
      <c r="G295">
        <v>0</v>
      </c>
      <c r="H295" t="s">
        <v>5089</v>
      </c>
      <c r="I295" t="s">
        <v>5097</v>
      </c>
      <c r="J295">
        <v>3.4000000000000002E-4</v>
      </c>
    </row>
    <row r="296" spans="1:10">
      <c r="A296" t="s">
        <v>4146</v>
      </c>
      <c r="B296">
        <v>29</v>
      </c>
      <c r="C296" t="s">
        <v>9</v>
      </c>
      <c r="D296">
        <v>9</v>
      </c>
      <c r="E296">
        <v>37</v>
      </c>
      <c r="F296">
        <v>6.9999999999999999E-4</v>
      </c>
      <c r="G296">
        <v>0</v>
      </c>
      <c r="H296" t="s">
        <v>5089</v>
      </c>
      <c r="I296" t="s">
        <v>5097</v>
      </c>
      <c r="J296">
        <v>6.9999999999999999E-4</v>
      </c>
    </row>
    <row r="297" spans="1:10">
      <c r="A297" t="s">
        <v>4139</v>
      </c>
      <c r="B297">
        <v>35</v>
      </c>
      <c r="C297" t="s">
        <v>7</v>
      </c>
      <c r="D297">
        <v>3</v>
      </c>
      <c r="E297">
        <v>37</v>
      </c>
      <c r="F297">
        <v>3.5E-4</v>
      </c>
      <c r="G297">
        <v>0</v>
      </c>
      <c r="H297" t="s">
        <v>5089</v>
      </c>
      <c r="I297" t="s">
        <v>5097</v>
      </c>
      <c r="J297">
        <v>3.5E-4</v>
      </c>
    </row>
    <row r="298" spans="1:10">
      <c r="A298" t="s">
        <v>4122</v>
      </c>
      <c r="B298">
        <v>33</v>
      </c>
      <c r="C298" t="s">
        <v>7</v>
      </c>
      <c r="D298">
        <v>5</v>
      </c>
      <c r="E298">
        <v>37</v>
      </c>
      <c r="F298">
        <v>4.2000000000000002E-4</v>
      </c>
      <c r="G298">
        <v>0</v>
      </c>
      <c r="H298" t="s">
        <v>5089</v>
      </c>
      <c r="I298" t="s">
        <v>5097</v>
      </c>
      <c r="J298">
        <v>4.2000000000000002E-4</v>
      </c>
    </row>
    <row r="299" spans="1:10">
      <c r="A299" t="s">
        <v>4111</v>
      </c>
      <c r="B299">
        <v>30</v>
      </c>
      <c r="C299" t="s">
        <v>7</v>
      </c>
      <c r="D299">
        <v>4</v>
      </c>
      <c r="E299">
        <v>33</v>
      </c>
      <c r="F299">
        <v>2.5000000000000001E-4</v>
      </c>
      <c r="G299">
        <v>0</v>
      </c>
      <c r="H299" t="s">
        <v>5089</v>
      </c>
      <c r="I299" t="s">
        <v>5097</v>
      </c>
      <c r="J299">
        <v>2.5000000000000001E-4</v>
      </c>
    </row>
    <row r="300" spans="1:10">
      <c r="A300" t="s">
        <v>4081</v>
      </c>
      <c r="B300">
        <v>37</v>
      </c>
      <c r="C300" t="s">
        <v>9</v>
      </c>
      <c r="D300">
        <v>3</v>
      </c>
      <c r="E300">
        <v>39</v>
      </c>
      <c r="F300">
        <v>5.8E-4</v>
      </c>
      <c r="G300">
        <v>0</v>
      </c>
      <c r="H300" t="s">
        <v>5089</v>
      </c>
      <c r="I300" t="s">
        <v>5097</v>
      </c>
      <c r="J300">
        <v>5.8E-4</v>
      </c>
    </row>
    <row r="301" spans="1:10">
      <c r="A301" t="s">
        <v>560</v>
      </c>
      <c r="B301">
        <v>27</v>
      </c>
      <c r="C301" t="s">
        <v>7</v>
      </c>
      <c r="D301">
        <v>9</v>
      </c>
      <c r="E301">
        <v>35</v>
      </c>
      <c r="F301">
        <v>4.6999999999999999E-4</v>
      </c>
      <c r="G301">
        <v>0</v>
      </c>
      <c r="H301" t="s">
        <v>5089</v>
      </c>
      <c r="I301" t="s">
        <v>5097</v>
      </c>
      <c r="J301">
        <v>4.6999999999999999E-4</v>
      </c>
    </row>
    <row r="302" spans="1:10">
      <c r="A302" t="s">
        <v>4064</v>
      </c>
      <c r="B302">
        <v>29</v>
      </c>
      <c r="C302" t="s">
        <v>7</v>
      </c>
      <c r="D302">
        <v>8</v>
      </c>
      <c r="E302">
        <v>36</v>
      </c>
      <c r="F302">
        <v>4.6999999999999999E-4</v>
      </c>
      <c r="G302">
        <v>0</v>
      </c>
      <c r="H302" t="s">
        <v>5089</v>
      </c>
      <c r="I302" t="s">
        <v>5097</v>
      </c>
      <c r="J302">
        <v>4.6999999999999999E-4</v>
      </c>
    </row>
    <row r="303" spans="1:10">
      <c r="A303" t="s">
        <v>569</v>
      </c>
      <c r="B303">
        <v>28</v>
      </c>
      <c r="C303" t="s">
        <v>7</v>
      </c>
      <c r="D303">
        <v>8</v>
      </c>
      <c r="E303">
        <v>35</v>
      </c>
      <c r="F303">
        <v>4.2999999999999999E-4</v>
      </c>
      <c r="G303">
        <v>0</v>
      </c>
      <c r="H303" t="s">
        <v>5089</v>
      </c>
      <c r="I303" t="s">
        <v>5097</v>
      </c>
      <c r="J303">
        <v>4.2999999999999999E-4</v>
      </c>
    </row>
    <row r="304" spans="1:10">
      <c r="A304" t="s">
        <v>4058</v>
      </c>
      <c r="B304">
        <v>29</v>
      </c>
      <c r="C304" t="s">
        <v>9</v>
      </c>
      <c r="D304">
        <v>9</v>
      </c>
      <c r="E304">
        <v>37</v>
      </c>
      <c r="F304">
        <v>6.9999999999999999E-4</v>
      </c>
      <c r="G304">
        <v>0</v>
      </c>
      <c r="H304" t="s">
        <v>5089</v>
      </c>
      <c r="I304" t="s">
        <v>5097</v>
      </c>
      <c r="J304">
        <v>6.9999999999999999E-4</v>
      </c>
    </row>
    <row r="305" spans="1:10">
      <c r="A305" t="s">
        <v>4057</v>
      </c>
      <c r="B305">
        <v>31</v>
      </c>
      <c r="C305" t="s">
        <v>9</v>
      </c>
      <c r="D305">
        <v>7</v>
      </c>
      <c r="E305">
        <v>37</v>
      </c>
      <c r="F305">
        <v>6.0999999999999997E-4</v>
      </c>
      <c r="G305">
        <v>0</v>
      </c>
      <c r="H305" t="s">
        <v>5089</v>
      </c>
      <c r="I305" t="s">
        <v>5097</v>
      </c>
      <c r="J305">
        <v>6.0999999999999997E-4</v>
      </c>
    </row>
    <row r="306" spans="1:10">
      <c r="A306" t="s">
        <v>4053</v>
      </c>
      <c r="B306">
        <v>29</v>
      </c>
      <c r="C306" t="s">
        <v>7</v>
      </c>
      <c r="D306">
        <v>5</v>
      </c>
      <c r="E306">
        <v>33</v>
      </c>
      <c r="F306">
        <v>2.7E-4</v>
      </c>
      <c r="G306">
        <v>0</v>
      </c>
      <c r="H306" t="s">
        <v>5089</v>
      </c>
      <c r="I306" t="s">
        <v>5097</v>
      </c>
      <c r="J306">
        <v>2.7E-4</v>
      </c>
    </row>
    <row r="307" spans="1:10">
      <c r="A307" t="s">
        <v>4050</v>
      </c>
      <c r="B307">
        <v>32</v>
      </c>
      <c r="C307" t="s">
        <v>7</v>
      </c>
      <c r="D307">
        <v>8</v>
      </c>
      <c r="E307">
        <v>39</v>
      </c>
      <c r="F307">
        <v>6.2E-4</v>
      </c>
      <c r="G307">
        <v>0</v>
      </c>
      <c r="H307" t="s">
        <v>5089</v>
      </c>
      <c r="I307" t="s">
        <v>5097</v>
      </c>
      <c r="J307">
        <v>6.2E-4</v>
      </c>
    </row>
    <row r="308" spans="1:10">
      <c r="A308" t="s">
        <v>4037</v>
      </c>
      <c r="B308">
        <v>34</v>
      </c>
      <c r="C308" t="s">
        <v>9</v>
      </c>
      <c r="D308">
        <v>6</v>
      </c>
      <c r="E308">
        <v>39</v>
      </c>
      <c r="F308">
        <v>6.9999999999999999E-4</v>
      </c>
      <c r="G308">
        <v>0</v>
      </c>
      <c r="H308" t="s">
        <v>5089</v>
      </c>
      <c r="I308" t="s">
        <v>5097</v>
      </c>
      <c r="J308">
        <v>6.9999999999999999E-4</v>
      </c>
    </row>
    <row r="309" spans="1:10">
      <c r="A309" t="s">
        <v>4036</v>
      </c>
      <c r="B309">
        <v>32</v>
      </c>
      <c r="C309" t="s">
        <v>7</v>
      </c>
      <c r="D309">
        <v>6</v>
      </c>
      <c r="E309">
        <v>37</v>
      </c>
      <c r="F309">
        <v>4.4999999999999999E-4</v>
      </c>
      <c r="G309">
        <v>0</v>
      </c>
      <c r="H309" t="s">
        <v>5089</v>
      </c>
      <c r="I309" t="s">
        <v>5097</v>
      </c>
      <c r="J309">
        <v>4.4999999999999999E-4</v>
      </c>
    </row>
    <row r="310" spans="1:10">
      <c r="A310" t="s">
        <v>4027</v>
      </c>
      <c r="B310">
        <v>25</v>
      </c>
      <c r="C310" t="s">
        <v>9</v>
      </c>
      <c r="D310">
        <v>6</v>
      </c>
      <c r="E310">
        <v>30</v>
      </c>
      <c r="F310">
        <v>4.4000000000000002E-4</v>
      </c>
      <c r="G310">
        <v>0</v>
      </c>
      <c r="H310" t="s">
        <v>5089</v>
      </c>
      <c r="I310" t="s">
        <v>5097</v>
      </c>
      <c r="J310">
        <v>4.4000000000000002E-4</v>
      </c>
    </row>
    <row r="311" spans="1:10">
      <c r="A311" t="s">
        <v>4020</v>
      </c>
      <c r="B311">
        <v>26</v>
      </c>
      <c r="C311" t="s">
        <v>9</v>
      </c>
      <c r="D311">
        <v>8</v>
      </c>
      <c r="E311">
        <v>33</v>
      </c>
      <c r="F311">
        <v>5.4000000000000001E-4</v>
      </c>
      <c r="G311">
        <v>0</v>
      </c>
      <c r="H311" t="s">
        <v>5089</v>
      </c>
      <c r="I311" t="s">
        <v>5097</v>
      </c>
      <c r="J311">
        <v>5.4000000000000001E-4</v>
      </c>
    </row>
    <row r="312" spans="1:10">
      <c r="A312" t="s">
        <v>4000</v>
      </c>
      <c r="B312">
        <v>29</v>
      </c>
      <c r="C312" t="s">
        <v>7</v>
      </c>
      <c r="D312">
        <v>4</v>
      </c>
      <c r="E312">
        <v>32</v>
      </c>
      <c r="F312">
        <v>2.4000000000000001E-4</v>
      </c>
      <c r="G312">
        <v>0</v>
      </c>
      <c r="H312" t="s">
        <v>5089</v>
      </c>
      <c r="I312" t="s">
        <v>5097</v>
      </c>
      <c r="J312">
        <v>2.4000000000000001E-4</v>
      </c>
    </row>
    <row r="313" spans="1:10">
      <c r="A313" t="s">
        <v>3992</v>
      </c>
      <c r="B313">
        <v>35</v>
      </c>
      <c r="C313" t="s">
        <v>7</v>
      </c>
      <c r="D313">
        <v>4</v>
      </c>
      <c r="E313">
        <v>38</v>
      </c>
      <c r="F313">
        <v>4.4000000000000002E-4</v>
      </c>
      <c r="G313">
        <v>0</v>
      </c>
      <c r="H313" t="s">
        <v>5089</v>
      </c>
      <c r="I313" t="s">
        <v>5097</v>
      </c>
      <c r="J313">
        <v>4.4000000000000002E-4</v>
      </c>
    </row>
    <row r="314" spans="1:10">
      <c r="A314" t="s">
        <v>3989</v>
      </c>
      <c r="B314">
        <v>29</v>
      </c>
      <c r="C314" t="s">
        <v>9</v>
      </c>
      <c r="D314">
        <v>6</v>
      </c>
      <c r="E314">
        <v>34</v>
      </c>
      <c r="F314">
        <v>5.1000000000000004E-4</v>
      </c>
      <c r="G314">
        <v>0</v>
      </c>
      <c r="H314" t="s">
        <v>5089</v>
      </c>
      <c r="I314" t="s">
        <v>5097</v>
      </c>
      <c r="J314">
        <v>5.1000000000000004E-4</v>
      </c>
    </row>
    <row r="315" spans="1:10">
      <c r="A315" t="s">
        <v>3985</v>
      </c>
      <c r="B315">
        <v>29</v>
      </c>
      <c r="C315" t="s">
        <v>9</v>
      </c>
      <c r="D315">
        <v>7</v>
      </c>
      <c r="E315">
        <v>35</v>
      </c>
      <c r="F315">
        <v>5.5999999999999995E-4</v>
      </c>
      <c r="G315">
        <v>0</v>
      </c>
      <c r="H315" t="s">
        <v>5089</v>
      </c>
      <c r="I315" t="s">
        <v>5097</v>
      </c>
      <c r="J315">
        <v>5.5999999999999995E-4</v>
      </c>
    </row>
    <row r="316" spans="1:10">
      <c r="A316" t="s">
        <v>3943</v>
      </c>
      <c r="B316">
        <v>24</v>
      </c>
      <c r="C316" t="s">
        <v>9</v>
      </c>
      <c r="D316">
        <v>8</v>
      </c>
      <c r="E316">
        <v>31</v>
      </c>
      <c r="F316">
        <v>5.2999999999999998E-4</v>
      </c>
      <c r="G316">
        <v>0</v>
      </c>
      <c r="H316" t="s">
        <v>5089</v>
      </c>
      <c r="I316" t="s">
        <v>5097</v>
      </c>
      <c r="J316">
        <v>5.2999999999999998E-4</v>
      </c>
    </row>
    <row r="317" spans="1:10">
      <c r="A317" t="s">
        <v>3935</v>
      </c>
      <c r="B317">
        <v>31</v>
      </c>
      <c r="C317" t="s">
        <v>7</v>
      </c>
      <c r="D317">
        <v>3</v>
      </c>
      <c r="E317">
        <v>33</v>
      </c>
      <c r="F317">
        <v>2.3000000000000001E-4</v>
      </c>
      <c r="G317">
        <v>0</v>
      </c>
      <c r="H317" t="s">
        <v>5089</v>
      </c>
      <c r="I317" t="s">
        <v>5097</v>
      </c>
      <c r="J317">
        <v>2.3000000000000001E-4</v>
      </c>
    </row>
    <row r="318" spans="1:10">
      <c r="A318" t="s">
        <v>3932</v>
      </c>
      <c r="B318">
        <v>32</v>
      </c>
      <c r="C318" t="s">
        <v>7</v>
      </c>
      <c r="D318">
        <v>3</v>
      </c>
      <c r="E318">
        <v>34</v>
      </c>
      <c r="F318">
        <v>2.5000000000000001E-4</v>
      </c>
      <c r="G318">
        <v>0</v>
      </c>
      <c r="H318" t="s">
        <v>5089</v>
      </c>
      <c r="I318" t="s">
        <v>5097</v>
      </c>
      <c r="J318">
        <v>2.5000000000000001E-4</v>
      </c>
    </row>
    <row r="319" spans="1:10">
      <c r="A319" t="s">
        <v>3931</v>
      </c>
      <c r="B319">
        <v>36</v>
      </c>
      <c r="C319" t="s">
        <v>7</v>
      </c>
      <c r="D319">
        <v>4</v>
      </c>
      <c r="E319">
        <v>39</v>
      </c>
      <c r="F319">
        <v>4.8999999999999998E-4</v>
      </c>
      <c r="G319">
        <v>0</v>
      </c>
      <c r="H319" t="s">
        <v>5089</v>
      </c>
      <c r="I319" t="s">
        <v>5097</v>
      </c>
      <c r="J319">
        <v>4.8999999999999998E-4</v>
      </c>
    </row>
    <row r="320" spans="1:10">
      <c r="A320" t="s">
        <v>3927</v>
      </c>
      <c r="B320">
        <v>27</v>
      </c>
      <c r="C320" t="s">
        <v>7</v>
      </c>
      <c r="D320">
        <v>6</v>
      </c>
      <c r="E320">
        <v>32</v>
      </c>
      <c r="F320">
        <v>2.9E-4</v>
      </c>
      <c r="G320">
        <v>0</v>
      </c>
      <c r="H320" t="s">
        <v>5089</v>
      </c>
      <c r="I320" t="s">
        <v>5097</v>
      </c>
      <c r="J320">
        <v>2.9E-4</v>
      </c>
    </row>
    <row r="321" spans="1:10">
      <c r="A321" t="s">
        <v>634</v>
      </c>
      <c r="B321">
        <v>32</v>
      </c>
      <c r="C321" t="s">
        <v>9</v>
      </c>
      <c r="D321">
        <v>8</v>
      </c>
      <c r="E321">
        <v>39</v>
      </c>
      <c r="F321">
        <v>7.6000000000000004E-4</v>
      </c>
      <c r="G321">
        <v>0</v>
      </c>
      <c r="H321" t="s">
        <v>5089</v>
      </c>
      <c r="I321" t="s">
        <v>5097</v>
      </c>
      <c r="J321">
        <v>7.6000000000000004E-4</v>
      </c>
    </row>
    <row r="322" spans="1:10">
      <c r="A322" t="s">
        <v>3911</v>
      </c>
      <c r="B322">
        <v>33</v>
      </c>
      <c r="C322" t="s">
        <v>9</v>
      </c>
      <c r="D322">
        <v>4</v>
      </c>
      <c r="E322">
        <v>36</v>
      </c>
      <c r="F322">
        <v>5.1999999999999995E-4</v>
      </c>
      <c r="G322">
        <v>0</v>
      </c>
      <c r="H322" t="s">
        <v>5089</v>
      </c>
      <c r="I322" t="s">
        <v>5097</v>
      </c>
      <c r="J322">
        <v>5.1999999999999995E-4</v>
      </c>
    </row>
    <row r="323" spans="1:10">
      <c r="A323" t="s">
        <v>3905</v>
      </c>
      <c r="B323">
        <v>32</v>
      </c>
      <c r="C323" t="s">
        <v>9</v>
      </c>
      <c r="D323">
        <v>3</v>
      </c>
      <c r="E323">
        <v>34</v>
      </c>
      <c r="F323">
        <v>4.0999999999999999E-4</v>
      </c>
      <c r="G323">
        <v>0</v>
      </c>
      <c r="H323" t="s">
        <v>5089</v>
      </c>
      <c r="I323" t="s">
        <v>5097</v>
      </c>
      <c r="J323">
        <v>4.0999999999999999E-4</v>
      </c>
    </row>
    <row r="324" spans="1:10">
      <c r="A324" t="s">
        <v>3881</v>
      </c>
      <c r="B324">
        <v>31</v>
      </c>
      <c r="C324" t="s">
        <v>7</v>
      </c>
      <c r="D324">
        <v>7</v>
      </c>
      <c r="E324">
        <v>37</v>
      </c>
      <c r="F324">
        <v>4.8000000000000001E-4</v>
      </c>
      <c r="G324">
        <v>0</v>
      </c>
      <c r="H324" t="s">
        <v>5089</v>
      </c>
      <c r="I324" t="s">
        <v>5097</v>
      </c>
      <c r="J324">
        <v>4.8000000000000001E-4</v>
      </c>
    </row>
    <row r="325" spans="1:10">
      <c r="A325" t="s">
        <v>3878</v>
      </c>
      <c r="B325">
        <v>30</v>
      </c>
      <c r="C325" t="s">
        <v>7</v>
      </c>
      <c r="D325">
        <v>1</v>
      </c>
      <c r="E325">
        <v>30</v>
      </c>
      <c r="F325">
        <v>1.2E-4</v>
      </c>
      <c r="G325">
        <v>0</v>
      </c>
      <c r="H325" t="s">
        <v>5089</v>
      </c>
      <c r="I325" t="s">
        <v>5097</v>
      </c>
      <c r="J325">
        <v>1.2E-4</v>
      </c>
    </row>
    <row r="326" spans="1:10">
      <c r="A326" t="s">
        <v>3874</v>
      </c>
      <c r="B326">
        <v>31</v>
      </c>
      <c r="C326" t="s">
        <v>9</v>
      </c>
      <c r="D326">
        <v>9</v>
      </c>
      <c r="E326">
        <v>39</v>
      </c>
      <c r="F326">
        <v>8.1999999999999998E-4</v>
      </c>
      <c r="G326">
        <v>0</v>
      </c>
      <c r="H326" t="s">
        <v>5089</v>
      </c>
      <c r="I326" t="s">
        <v>5097</v>
      </c>
      <c r="J326">
        <v>8.1999999999999998E-4</v>
      </c>
    </row>
    <row r="327" spans="1:10">
      <c r="A327" t="s">
        <v>3857</v>
      </c>
      <c r="B327">
        <v>29</v>
      </c>
      <c r="C327" t="s">
        <v>7</v>
      </c>
      <c r="D327">
        <v>3</v>
      </c>
      <c r="E327">
        <v>31</v>
      </c>
      <c r="F327">
        <v>2.1000000000000001E-4</v>
      </c>
      <c r="G327">
        <v>0</v>
      </c>
      <c r="H327" t="s">
        <v>5089</v>
      </c>
      <c r="I327" t="s">
        <v>5097</v>
      </c>
      <c r="J327">
        <v>2.1000000000000001E-4</v>
      </c>
    </row>
    <row r="328" spans="1:10">
      <c r="A328" t="s">
        <v>3855</v>
      </c>
      <c r="B328">
        <v>30</v>
      </c>
      <c r="C328" t="s">
        <v>7</v>
      </c>
      <c r="D328">
        <v>1</v>
      </c>
      <c r="E328">
        <v>30</v>
      </c>
      <c r="F328">
        <v>1.2E-4</v>
      </c>
      <c r="G328">
        <v>0</v>
      </c>
      <c r="H328" t="s">
        <v>5089</v>
      </c>
      <c r="I328" t="s">
        <v>5097</v>
      </c>
      <c r="J328">
        <v>1.2E-4</v>
      </c>
    </row>
    <row r="329" spans="1:10">
      <c r="A329" t="s">
        <v>3831</v>
      </c>
      <c r="B329">
        <v>24</v>
      </c>
      <c r="C329" t="s">
        <v>9</v>
      </c>
      <c r="D329">
        <v>7</v>
      </c>
      <c r="E329">
        <v>30</v>
      </c>
      <c r="F329">
        <v>4.8999999999999998E-4</v>
      </c>
      <c r="G329">
        <v>0</v>
      </c>
      <c r="H329" t="s">
        <v>5089</v>
      </c>
      <c r="I329" t="s">
        <v>5097</v>
      </c>
      <c r="J329">
        <v>4.8999999999999998E-4</v>
      </c>
    </row>
    <row r="330" spans="1:10">
      <c r="A330" t="s">
        <v>3813</v>
      </c>
      <c r="B330">
        <v>31</v>
      </c>
      <c r="C330" t="s">
        <v>7</v>
      </c>
      <c r="D330">
        <v>1</v>
      </c>
      <c r="E330">
        <v>31</v>
      </c>
      <c r="F330">
        <v>1.2E-4</v>
      </c>
      <c r="G330">
        <v>0</v>
      </c>
      <c r="H330" t="s">
        <v>5089</v>
      </c>
      <c r="I330" t="s">
        <v>5097</v>
      </c>
      <c r="J330">
        <v>1.2E-4</v>
      </c>
    </row>
    <row r="331" spans="1:10">
      <c r="A331" t="s">
        <v>663</v>
      </c>
      <c r="B331">
        <v>26</v>
      </c>
      <c r="C331" t="s">
        <v>7</v>
      </c>
      <c r="D331">
        <v>6</v>
      </c>
      <c r="E331">
        <v>31</v>
      </c>
      <c r="F331">
        <v>2.9E-4</v>
      </c>
      <c r="G331">
        <v>0</v>
      </c>
      <c r="H331" t="s">
        <v>5089</v>
      </c>
      <c r="I331" t="s">
        <v>5097</v>
      </c>
      <c r="J331">
        <v>2.9E-4</v>
      </c>
    </row>
    <row r="332" spans="1:10">
      <c r="A332" t="s">
        <v>664</v>
      </c>
      <c r="B332">
        <v>35</v>
      </c>
      <c r="C332" t="s">
        <v>9</v>
      </c>
      <c r="D332">
        <v>1</v>
      </c>
      <c r="E332">
        <v>35</v>
      </c>
      <c r="F332">
        <v>2.5000000000000001E-4</v>
      </c>
      <c r="G332">
        <v>0</v>
      </c>
      <c r="H332" t="s">
        <v>5089</v>
      </c>
      <c r="I332" t="s">
        <v>5097</v>
      </c>
      <c r="J332">
        <v>2.5000000000000001E-4</v>
      </c>
    </row>
    <row r="333" spans="1:10">
      <c r="A333" t="s">
        <v>3782</v>
      </c>
      <c r="B333">
        <v>24</v>
      </c>
      <c r="C333" t="s">
        <v>7</v>
      </c>
      <c r="D333">
        <v>8</v>
      </c>
      <c r="E333">
        <v>31</v>
      </c>
      <c r="F333">
        <v>3.5E-4</v>
      </c>
      <c r="G333">
        <v>0</v>
      </c>
      <c r="H333" t="s">
        <v>5089</v>
      </c>
      <c r="I333" t="s">
        <v>5097</v>
      </c>
      <c r="J333">
        <v>3.5E-4</v>
      </c>
    </row>
    <row r="334" spans="1:10">
      <c r="A334" t="s">
        <v>3776</v>
      </c>
      <c r="B334">
        <v>39</v>
      </c>
      <c r="C334" t="s">
        <v>9</v>
      </c>
      <c r="D334">
        <v>1</v>
      </c>
      <c r="E334">
        <v>39</v>
      </c>
      <c r="F334">
        <v>2.9E-4</v>
      </c>
      <c r="G334">
        <v>0</v>
      </c>
      <c r="H334" t="s">
        <v>5089</v>
      </c>
      <c r="I334" t="s">
        <v>5097</v>
      </c>
      <c r="J334">
        <v>2.9E-4</v>
      </c>
    </row>
    <row r="335" spans="1:10">
      <c r="A335" t="s">
        <v>678</v>
      </c>
      <c r="B335">
        <v>29</v>
      </c>
      <c r="C335" t="s">
        <v>9</v>
      </c>
      <c r="D335">
        <v>6</v>
      </c>
      <c r="E335">
        <v>34</v>
      </c>
      <c r="F335">
        <v>5.1000000000000004E-4</v>
      </c>
      <c r="G335">
        <v>0</v>
      </c>
      <c r="H335" t="s">
        <v>5089</v>
      </c>
      <c r="I335" t="s">
        <v>5097</v>
      </c>
      <c r="J335">
        <v>5.1000000000000004E-4</v>
      </c>
    </row>
    <row r="336" spans="1:10">
      <c r="A336" t="s">
        <v>3762</v>
      </c>
      <c r="B336">
        <v>27</v>
      </c>
      <c r="C336" t="s">
        <v>7</v>
      </c>
      <c r="D336">
        <v>4</v>
      </c>
      <c r="E336">
        <v>30</v>
      </c>
      <c r="F336">
        <v>2.2000000000000001E-4</v>
      </c>
      <c r="G336">
        <v>0</v>
      </c>
      <c r="H336" t="s">
        <v>5089</v>
      </c>
      <c r="I336" t="s">
        <v>5097</v>
      </c>
      <c r="J336">
        <v>2.2000000000000001E-4</v>
      </c>
    </row>
    <row r="337" spans="1:10">
      <c r="A337" t="s">
        <v>3742</v>
      </c>
      <c r="B337">
        <v>29</v>
      </c>
      <c r="C337" t="s">
        <v>7</v>
      </c>
      <c r="D337">
        <v>8</v>
      </c>
      <c r="E337">
        <v>36</v>
      </c>
      <c r="F337">
        <v>4.6999999999999999E-4</v>
      </c>
      <c r="G337">
        <v>0</v>
      </c>
      <c r="H337" t="s">
        <v>5089</v>
      </c>
      <c r="I337" t="s">
        <v>5097</v>
      </c>
      <c r="J337">
        <v>4.6999999999999999E-4</v>
      </c>
    </row>
    <row r="338" spans="1:10">
      <c r="A338" t="s">
        <v>3735</v>
      </c>
      <c r="B338">
        <v>34</v>
      </c>
      <c r="C338" t="s">
        <v>9</v>
      </c>
      <c r="D338">
        <v>3</v>
      </c>
      <c r="E338">
        <v>36</v>
      </c>
      <c r="F338">
        <v>4.6999999999999999E-4</v>
      </c>
      <c r="G338">
        <v>0</v>
      </c>
      <c r="H338" t="s">
        <v>5089</v>
      </c>
      <c r="I338" t="s">
        <v>5097</v>
      </c>
      <c r="J338">
        <v>4.6999999999999999E-4</v>
      </c>
    </row>
    <row r="339" spans="1:10">
      <c r="A339" t="s">
        <v>3729</v>
      </c>
      <c r="B339">
        <v>30</v>
      </c>
      <c r="C339" t="s">
        <v>9</v>
      </c>
      <c r="D339">
        <v>1</v>
      </c>
      <c r="E339">
        <v>30</v>
      </c>
      <c r="F339">
        <v>2.5000000000000001E-4</v>
      </c>
      <c r="G339">
        <v>0</v>
      </c>
      <c r="H339" t="s">
        <v>5089</v>
      </c>
      <c r="I339" t="s">
        <v>5097</v>
      </c>
      <c r="J339">
        <v>2.5000000000000001E-4</v>
      </c>
    </row>
    <row r="340" spans="1:10">
      <c r="A340" t="s">
        <v>700</v>
      </c>
      <c r="B340">
        <v>23</v>
      </c>
      <c r="C340" t="s">
        <v>7</v>
      </c>
      <c r="D340">
        <v>8</v>
      </c>
      <c r="E340">
        <v>30</v>
      </c>
      <c r="F340">
        <v>3.4000000000000002E-4</v>
      </c>
      <c r="G340">
        <v>0</v>
      </c>
      <c r="H340" t="s">
        <v>5089</v>
      </c>
      <c r="I340" t="s">
        <v>5097</v>
      </c>
      <c r="J340">
        <v>3.4000000000000002E-4</v>
      </c>
    </row>
    <row r="341" spans="1:10">
      <c r="A341" t="s">
        <v>3711</v>
      </c>
      <c r="B341">
        <v>25</v>
      </c>
      <c r="C341" t="s">
        <v>7</v>
      </c>
      <c r="D341">
        <v>6</v>
      </c>
      <c r="E341">
        <v>30</v>
      </c>
      <c r="F341">
        <v>2.7999999999999998E-4</v>
      </c>
      <c r="G341">
        <v>0</v>
      </c>
      <c r="H341" t="s">
        <v>5089</v>
      </c>
      <c r="I341" t="s">
        <v>5097</v>
      </c>
      <c r="J341">
        <v>2.7999999999999998E-4</v>
      </c>
    </row>
    <row r="342" spans="1:10">
      <c r="A342" t="s">
        <v>716</v>
      </c>
      <c r="B342">
        <v>32</v>
      </c>
      <c r="C342" t="s">
        <v>9</v>
      </c>
      <c r="D342">
        <v>2</v>
      </c>
      <c r="E342">
        <v>33</v>
      </c>
      <c r="F342">
        <v>2.9999999999999997E-4</v>
      </c>
      <c r="G342">
        <v>0</v>
      </c>
      <c r="H342" t="s">
        <v>5089</v>
      </c>
      <c r="I342" t="s">
        <v>5097</v>
      </c>
      <c r="J342">
        <v>2.9999999999999997E-4</v>
      </c>
    </row>
    <row r="343" spans="1:10">
      <c r="A343" t="s">
        <v>3681</v>
      </c>
      <c r="B343">
        <v>28</v>
      </c>
      <c r="C343" t="s">
        <v>7</v>
      </c>
      <c r="D343">
        <v>4</v>
      </c>
      <c r="E343">
        <v>31</v>
      </c>
      <c r="F343">
        <v>2.3000000000000001E-4</v>
      </c>
      <c r="G343">
        <v>0</v>
      </c>
      <c r="H343" t="s">
        <v>5089</v>
      </c>
      <c r="I343" t="s">
        <v>5097</v>
      </c>
      <c r="J343">
        <v>2.3000000000000001E-4</v>
      </c>
    </row>
    <row r="344" spans="1:10">
      <c r="A344" t="s">
        <v>3678</v>
      </c>
      <c r="B344">
        <v>33</v>
      </c>
      <c r="C344" t="s">
        <v>9</v>
      </c>
      <c r="D344">
        <v>6</v>
      </c>
      <c r="E344">
        <v>38</v>
      </c>
      <c r="F344">
        <v>6.4000000000000005E-4</v>
      </c>
      <c r="G344">
        <v>0</v>
      </c>
      <c r="H344" t="s">
        <v>5089</v>
      </c>
      <c r="I344" t="s">
        <v>5097</v>
      </c>
      <c r="J344">
        <v>6.4000000000000005E-4</v>
      </c>
    </row>
    <row r="345" spans="1:10">
      <c r="A345" t="s">
        <v>3644</v>
      </c>
      <c r="B345">
        <v>30</v>
      </c>
      <c r="C345" t="s">
        <v>9</v>
      </c>
      <c r="D345">
        <v>6</v>
      </c>
      <c r="E345">
        <v>35</v>
      </c>
      <c r="F345">
        <v>5.2999999999999998E-4</v>
      </c>
      <c r="G345">
        <v>0</v>
      </c>
      <c r="H345" t="s">
        <v>5089</v>
      </c>
      <c r="I345" t="s">
        <v>5097</v>
      </c>
      <c r="J345">
        <v>5.2999999999999998E-4</v>
      </c>
    </row>
    <row r="346" spans="1:10">
      <c r="A346" t="s">
        <v>3616</v>
      </c>
      <c r="B346">
        <v>29</v>
      </c>
      <c r="C346" t="s">
        <v>7</v>
      </c>
      <c r="D346">
        <v>9</v>
      </c>
      <c r="E346">
        <v>37</v>
      </c>
      <c r="F346">
        <v>5.5999999999999995E-4</v>
      </c>
      <c r="G346">
        <v>0</v>
      </c>
      <c r="H346" t="s">
        <v>5089</v>
      </c>
      <c r="I346" t="s">
        <v>5097</v>
      </c>
      <c r="J346">
        <v>5.5999999999999995E-4</v>
      </c>
    </row>
    <row r="347" spans="1:10">
      <c r="A347" t="s">
        <v>3572</v>
      </c>
      <c r="B347">
        <v>34</v>
      </c>
      <c r="C347" t="s">
        <v>7</v>
      </c>
      <c r="D347">
        <v>5</v>
      </c>
      <c r="E347">
        <v>38</v>
      </c>
      <c r="F347">
        <v>4.6999999999999999E-4</v>
      </c>
      <c r="G347">
        <v>0</v>
      </c>
      <c r="H347" t="s">
        <v>5089</v>
      </c>
      <c r="I347" t="s">
        <v>5097</v>
      </c>
      <c r="J347">
        <v>4.6999999999999999E-4</v>
      </c>
    </row>
    <row r="348" spans="1:10">
      <c r="A348" t="s">
        <v>3553</v>
      </c>
      <c r="B348">
        <v>25</v>
      </c>
      <c r="C348" t="s">
        <v>7</v>
      </c>
      <c r="D348">
        <v>7</v>
      </c>
      <c r="E348">
        <v>31</v>
      </c>
      <c r="F348">
        <v>3.2000000000000003E-4</v>
      </c>
      <c r="G348">
        <v>0</v>
      </c>
      <c r="H348" t="s">
        <v>5089</v>
      </c>
      <c r="I348" t="s">
        <v>5097</v>
      </c>
      <c r="J348">
        <v>3.2000000000000003E-4</v>
      </c>
    </row>
    <row r="349" spans="1:10">
      <c r="A349" t="s">
        <v>771</v>
      </c>
      <c r="B349">
        <v>25</v>
      </c>
      <c r="C349" t="s">
        <v>9</v>
      </c>
      <c r="D349">
        <v>9</v>
      </c>
      <c r="E349">
        <v>33</v>
      </c>
      <c r="F349">
        <v>5.8E-4</v>
      </c>
      <c r="G349">
        <v>0</v>
      </c>
      <c r="H349" t="s">
        <v>5089</v>
      </c>
      <c r="I349" t="s">
        <v>5097</v>
      </c>
      <c r="J349">
        <v>5.8E-4</v>
      </c>
    </row>
    <row r="350" spans="1:10">
      <c r="A350" t="s">
        <v>781</v>
      </c>
      <c r="B350">
        <v>30</v>
      </c>
      <c r="C350" t="s">
        <v>9</v>
      </c>
      <c r="D350">
        <v>5</v>
      </c>
      <c r="E350">
        <v>34</v>
      </c>
      <c r="F350">
        <v>4.8000000000000001E-4</v>
      </c>
      <c r="G350">
        <v>0</v>
      </c>
      <c r="H350" t="s">
        <v>5089</v>
      </c>
      <c r="I350" t="s">
        <v>5097</v>
      </c>
      <c r="J350">
        <v>4.8000000000000001E-4</v>
      </c>
    </row>
    <row r="351" spans="1:10">
      <c r="A351" t="s">
        <v>782</v>
      </c>
      <c r="B351">
        <v>29</v>
      </c>
      <c r="C351" t="s">
        <v>9</v>
      </c>
      <c r="D351">
        <v>3</v>
      </c>
      <c r="E351">
        <v>31</v>
      </c>
      <c r="F351">
        <v>3.5E-4</v>
      </c>
      <c r="G351">
        <v>0</v>
      </c>
      <c r="H351" t="s">
        <v>5089</v>
      </c>
      <c r="I351" t="s">
        <v>5097</v>
      </c>
      <c r="J351">
        <v>3.5E-4</v>
      </c>
    </row>
    <row r="352" spans="1:10">
      <c r="A352" t="s">
        <v>3484</v>
      </c>
      <c r="B352">
        <v>28</v>
      </c>
      <c r="C352" t="s">
        <v>7</v>
      </c>
      <c r="D352">
        <v>5</v>
      </c>
      <c r="E352">
        <v>32</v>
      </c>
      <c r="F352">
        <v>2.5999999999999998E-4</v>
      </c>
      <c r="G352">
        <v>0</v>
      </c>
      <c r="H352" t="s">
        <v>5089</v>
      </c>
      <c r="I352" t="s">
        <v>5097</v>
      </c>
      <c r="J352">
        <v>2.5999999999999998E-4</v>
      </c>
    </row>
    <row r="353" spans="1:10">
      <c r="A353" t="s">
        <v>3468</v>
      </c>
      <c r="B353">
        <v>36</v>
      </c>
      <c r="C353" t="s">
        <v>7</v>
      </c>
      <c r="D353">
        <v>2</v>
      </c>
      <c r="E353">
        <v>37</v>
      </c>
      <c r="F353">
        <v>2.7E-4</v>
      </c>
      <c r="G353">
        <v>0</v>
      </c>
      <c r="H353" t="s">
        <v>5089</v>
      </c>
      <c r="I353" t="s">
        <v>5097</v>
      </c>
      <c r="J353">
        <v>2.7E-4</v>
      </c>
    </row>
    <row r="354" spans="1:10">
      <c r="A354" t="s">
        <v>3462</v>
      </c>
      <c r="B354">
        <v>30</v>
      </c>
      <c r="C354" t="s">
        <v>7</v>
      </c>
      <c r="D354">
        <v>2</v>
      </c>
      <c r="E354">
        <v>31</v>
      </c>
      <c r="F354">
        <v>1.8000000000000001E-4</v>
      </c>
      <c r="G354">
        <v>0</v>
      </c>
      <c r="H354" t="s">
        <v>5089</v>
      </c>
      <c r="I354" t="s">
        <v>5097</v>
      </c>
      <c r="J354">
        <v>1.8000000000000001E-4</v>
      </c>
    </row>
    <row r="355" spans="1:10">
      <c r="A355" t="s">
        <v>3451</v>
      </c>
      <c r="B355">
        <v>25</v>
      </c>
      <c r="C355" t="s">
        <v>7</v>
      </c>
      <c r="D355">
        <v>6</v>
      </c>
      <c r="E355">
        <v>30</v>
      </c>
      <c r="F355">
        <v>2.7999999999999998E-4</v>
      </c>
      <c r="G355">
        <v>0</v>
      </c>
      <c r="H355" t="s">
        <v>5089</v>
      </c>
      <c r="I355" t="s">
        <v>5097</v>
      </c>
      <c r="J355">
        <v>2.7999999999999998E-4</v>
      </c>
    </row>
    <row r="356" spans="1:10">
      <c r="A356" t="s">
        <v>3446</v>
      </c>
      <c r="B356">
        <v>22</v>
      </c>
      <c r="C356" t="s">
        <v>7</v>
      </c>
      <c r="D356">
        <v>9</v>
      </c>
      <c r="E356">
        <v>30</v>
      </c>
      <c r="F356">
        <v>3.6999999999999999E-4</v>
      </c>
      <c r="G356">
        <v>0</v>
      </c>
      <c r="H356" t="s">
        <v>5089</v>
      </c>
      <c r="I356" t="s">
        <v>5097</v>
      </c>
      <c r="J356">
        <v>3.6999999999999999E-4</v>
      </c>
    </row>
    <row r="357" spans="1:10">
      <c r="A357" t="s">
        <v>3418</v>
      </c>
      <c r="B357">
        <v>33</v>
      </c>
      <c r="C357" t="s">
        <v>7</v>
      </c>
      <c r="D357">
        <v>6</v>
      </c>
      <c r="E357">
        <v>38</v>
      </c>
      <c r="F357">
        <v>5.0000000000000001E-4</v>
      </c>
      <c r="G357">
        <v>0</v>
      </c>
      <c r="H357" t="s">
        <v>5089</v>
      </c>
      <c r="I357" t="s">
        <v>5097</v>
      </c>
      <c r="J357">
        <v>5.0000000000000001E-4</v>
      </c>
    </row>
    <row r="358" spans="1:10">
      <c r="A358" t="s">
        <v>3395</v>
      </c>
      <c r="B358">
        <v>28</v>
      </c>
      <c r="C358" t="s">
        <v>7</v>
      </c>
      <c r="D358">
        <v>6</v>
      </c>
      <c r="E358">
        <v>33</v>
      </c>
      <c r="F358">
        <v>2.9999999999999997E-4</v>
      </c>
      <c r="G358">
        <v>0</v>
      </c>
      <c r="H358" t="s">
        <v>5089</v>
      </c>
      <c r="I358" t="s">
        <v>5097</v>
      </c>
      <c r="J358">
        <v>2.9999999999999997E-4</v>
      </c>
    </row>
    <row r="359" spans="1:10">
      <c r="A359" t="s">
        <v>3385</v>
      </c>
      <c r="B359">
        <v>27</v>
      </c>
      <c r="C359" t="s">
        <v>9</v>
      </c>
      <c r="D359">
        <v>6</v>
      </c>
      <c r="E359">
        <v>32</v>
      </c>
      <c r="F359">
        <v>4.4000000000000002E-4</v>
      </c>
      <c r="G359">
        <v>0</v>
      </c>
      <c r="H359" t="s">
        <v>5089</v>
      </c>
      <c r="I359" t="s">
        <v>5097</v>
      </c>
      <c r="J359">
        <v>4.4000000000000002E-4</v>
      </c>
    </row>
    <row r="360" spans="1:10">
      <c r="A360" t="s">
        <v>3378</v>
      </c>
      <c r="B360">
        <v>29</v>
      </c>
      <c r="C360" t="s">
        <v>9</v>
      </c>
      <c r="D360">
        <v>2</v>
      </c>
      <c r="E360">
        <v>30</v>
      </c>
      <c r="F360">
        <v>3.1E-4</v>
      </c>
      <c r="G360">
        <v>0</v>
      </c>
      <c r="H360" t="s">
        <v>5089</v>
      </c>
      <c r="I360" t="s">
        <v>5097</v>
      </c>
      <c r="J360">
        <v>3.1E-4</v>
      </c>
    </row>
    <row r="361" spans="1:10">
      <c r="A361" t="s">
        <v>3357</v>
      </c>
      <c r="B361">
        <v>35</v>
      </c>
      <c r="C361" t="s">
        <v>9</v>
      </c>
      <c r="D361">
        <v>2</v>
      </c>
      <c r="E361">
        <v>36</v>
      </c>
      <c r="F361">
        <v>3.4000000000000002E-4</v>
      </c>
      <c r="G361">
        <v>0</v>
      </c>
      <c r="H361" t="s">
        <v>5089</v>
      </c>
      <c r="I361" t="s">
        <v>5097</v>
      </c>
      <c r="J361">
        <v>3.4000000000000002E-4</v>
      </c>
    </row>
    <row r="362" spans="1:10">
      <c r="A362" t="s">
        <v>3356</v>
      </c>
      <c r="B362">
        <v>39</v>
      </c>
      <c r="C362" t="s">
        <v>9</v>
      </c>
      <c r="D362">
        <v>1</v>
      </c>
      <c r="E362">
        <v>39</v>
      </c>
      <c r="F362">
        <v>2.9E-4</v>
      </c>
      <c r="G362">
        <v>0</v>
      </c>
      <c r="H362" t="s">
        <v>5089</v>
      </c>
      <c r="I362" t="s">
        <v>5097</v>
      </c>
      <c r="J362">
        <v>2.9E-4</v>
      </c>
    </row>
    <row r="363" spans="1:10">
      <c r="A363" t="s">
        <v>841</v>
      </c>
      <c r="B363">
        <v>30</v>
      </c>
      <c r="C363" t="s">
        <v>7</v>
      </c>
      <c r="D363">
        <v>3</v>
      </c>
      <c r="E363">
        <v>32</v>
      </c>
      <c r="F363">
        <v>2.2000000000000001E-4</v>
      </c>
      <c r="G363">
        <v>0</v>
      </c>
      <c r="H363" t="s">
        <v>5089</v>
      </c>
      <c r="I363" t="s">
        <v>5097</v>
      </c>
      <c r="J363">
        <v>2.2000000000000001E-4</v>
      </c>
    </row>
    <row r="364" spans="1:10">
      <c r="A364" t="s">
        <v>3335</v>
      </c>
      <c r="B364">
        <v>27</v>
      </c>
      <c r="C364" t="s">
        <v>9</v>
      </c>
      <c r="D364">
        <v>6</v>
      </c>
      <c r="E364">
        <v>32</v>
      </c>
      <c r="F364">
        <v>4.4000000000000002E-4</v>
      </c>
      <c r="G364">
        <v>0</v>
      </c>
      <c r="H364" t="s">
        <v>5089</v>
      </c>
      <c r="I364" t="s">
        <v>5097</v>
      </c>
      <c r="J364">
        <v>4.4000000000000002E-4</v>
      </c>
    </row>
    <row r="365" spans="1:10">
      <c r="A365" t="s">
        <v>3324</v>
      </c>
      <c r="B365">
        <v>28</v>
      </c>
      <c r="C365" t="s">
        <v>7</v>
      </c>
      <c r="D365">
        <v>7</v>
      </c>
      <c r="E365">
        <v>34</v>
      </c>
      <c r="F365">
        <v>3.6000000000000002E-4</v>
      </c>
      <c r="G365">
        <v>0</v>
      </c>
      <c r="H365" t="s">
        <v>5089</v>
      </c>
      <c r="I365" t="s">
        <v>5097</v>
      </c>
      <c r="J365">
        <v>3.6000000000000002E-4</v>
      </c>
    </row>
    <row r="366" spans="1:10">
      <c r="A366" t="s">
        <v>3321</v>
      </c>
      <c r="B366">
        <v>35</v>
      </c>
      <c r="C366" t="s">
        <v>7</v>
      </c>
      <c r="D366">
        <v>5</v>
      </c>
      <c r="E366">
        <v>39</v>
      </c>
      <c r="F366">
        <v>5.1999999999999995E-4</v>
      </c>
      <c r="G366">
        <v>0</v>
      </c>
      <c r="H366" t="s">
        <v>5089</v>
      </c>
      <c r="I366" t="s">
        <v>5097</v>
      </c>
      <c r="J366">
        <v>5.1999999999999995E-4</v>
      </c>
    </row>
    <row r="367" spans="1:10">
      <c r="A367" t="s">
        <v>3313</v>
      </c>
      <c r="B367">
        <v>28</v>
      </c>
      <c r="C367" t="s">
        <v>7</v>
      </c>
      <c r="D367">
        <v>9</v>
      </c>
      <c r="E367">
        <v>36</v>
      </c>
      <c r="F367">
        <v>5.0000000000000001E-4</v>
      </c>
      <c r="G367">
        <v>0</v>
      </c>
      <c r="H367" t="s">
        <v>5089</v>
      </c>
      <c r="I367" t="s">
        <v>5097</v>
      </c>
      <c r="J367">
        <v>5.0000000000000001E-4</v>
      </c>
    </row>
    <row r="368" spans="1:10">
      <c r="A368" t="s">
        <v>3299</v>
      </c>
      <c r="B368">
        <v>29</v>
      </c>
      <c r="C368" t="s">
        <v>7</v>
      </c>
      <c r="D368">
        <v>2</v>
      </c>
      <c r="E368">
        <v>30</v>
      </c>
      <c r="F368">
        <v>1.7000000000000001E-4</v>
      </c>
      <c r="G368">
        <v>0</v>
      </c>
      <c r="H368" t="s">
        <v>5089</v>
      </c>
      <c r="I368" t="s">
        <v>5097</v>
      </c>
      <c r="J368">
        <v>1.7000000000000001E-4</v>
      </c>
    </row>
    <row r="369" spans="1:10">
      <c r="A369" t="s">
        <v>3247</v>
      </c>
      <c r="B369">
        <v>23</v>
      </c>
      <c r="C369" t="s">
        <v>9</v>
      </c>
      <c r="D369">
        <v>8</v>
      </c>
      <c r="E369">
        <v>30</v>
      </c>
      <c r="F369">
        <v>5.5000000000000003E-4</v>
      </c>
      <c r="G369">
        <v>0</v>
      </c>
      <c r="H369" t="s">
        <v>5089</v>
      </c>
      <c r="I369" t="s">
        <v>5097</v>
      </c>
      <c r="J369">
        <v>5.5000000000000003E-4</v>
      </c>
    </row>
    <row r="370" spans="1:10">
      <c r="A370" t="s">
        <v>3243</v>
      </c>
      <c r="B370">
        <v>25</v>
      </c>
      <c r="C370" t="s">
        <v>7</v>
      </c>
      <c r="D370">
        <v>9</v>
      </c>
      <c r="E370">
        <v>33</v>
      </c>
      <c r="F370">
        <v>4.0000000000000002E-4</v>
      </c>
      <c r="G370">
        <v>0</v>
      </c>
      <c r="H370" t="s">
        <v>5089</v>
      </c>
      <c r="I370" t="s">
        <v>5097</v>
      </c>
      <c r="J370">
        <v>4.0000000000000002E-4</v>
      </c>
    </row>
    <row r="371" spans="1:10">
      <c r="A371" t="s">
        <v>3234</v>
      </c>
      <c r="B371">
        <v>35</v>
      </c>
      <c r="C371" t="s">
        <v>7</v>
      </c>
      <c r="D371">
        <v>5</v>
      </c>
      <c r="E371">
        <v>39</v>
      </c>
      <c r="F371">
        <v>5.1999999999999995E-4</v>
      </c>
      <c r="G371">
        <v>0</v>
      </c>
      <c r="H371" t="s">
        <v>5089</v>
      </c>
      <c r="I371" t="s">
        <v>5097</v>
      </c>
      <c r="J371">
        <v>5.1999999999999995E-4</v>
      </c>
    </row>
    <row r="372" spans="1:10">
      <c r="A372" t="s">
        <v>3218</v>
      </c>
      <c r="B372">
        <v>29</v>
      </c>
      <c r="C372" t="s">
        <v>7</v>
      </c>
      <c r="D372">
        <v>2</v>
      </c>
      <c r="E372">
        <v>30</v>
      </c>
      <c r="F372">
        <v>1.7000000000000001E-4</v>
      </c>
      <c r="G372">
        <v>0</v>
      </c>
      <c r="H372" t="s">
        <v>5089</v>
      </c>
      <c r="I372" t="s">
        <v>5097</v>
      </c>
      <c r="J372">
        <v>1.7000000000000001E-4</v>
      </c>
    </row>
    <row r="373" spans="1:10">
      <c r="A373" t="s">
        <v>891</v>
      </c>
      <c r="B373">
        <v>33</v>
      </c>
      <c r="C373" t="s">
        <v>7</v>
      </c>
      <c r="D373">
        <v>3</v>
      </c>
      <c r="E373">
        <v>35</v>
      </c>
      <c r="F373">
        <v>2.7999999999999998E-4</v>
      </c>
      <c r="G373">
        <v>0</v>
      </c>
      <c r="H373" t="s">
        <v>5089</v>
      </c>
      <c r="I373" t="s">
        <v>5097</v>
      </c>
      <c r="J373">
        <v>2.7999999999999998E-4</v>
      </c>
    </row>
    <row r="374" spans="1:10">
      <c r="A374" t="s">
        <v>3168</v>
      </c>
      <c r="B374">
        <v>26</v>
      </c>
      <c r="C374" t="s">
        <v>9</v>
      </c>
      <c r="D374">
        <v>7</v>
      </c>
      <c r="E374">
        <v>32</v>
      </c>
      <c r="F374">
        <v>4.8000000000000001E-4</v>
      </c>
      <c r="G374">
        <v>0</v>
      </c>
      <c r="H374" t="s">
        <v>5089</v>
      </c>
      <c r="I374" t="s">
        <v>5097</v>
      </c>
      <c r="J374">
        <v>4.8000000000000001E-4</v>
      </c>
    </row>
    <row r="375" spans="1:10">
      <c r="A375" t="s">
        <v>3158</v>
      </c>
      <c r="B375">
        <v>35</v>
      </c>
      <c r="C375" t="s">
        <v>7</v>
      </c>
      <c r="D375">
        <v>4</v>
      </c>
      <c r="E375">
        <v>38</v>
      </c>
      <c r="F375">
        <v>4.4000000000000002E-4</v>
      </c>
      <c r="G375">
        <v>0</v>
      </c>
      <c r="H375" t="s">
        <v>5089</v>
      </c>
      <c r="I375" t="s">
        <v>5097</v>
      </c>
      <c r="J375">
        <v>4.4000000000000002E-4</v>
      </c>
    </row>
    <row r="376" spans="1:10">
      <c r="A376" t="s">
        <v>3156</v>
      </c>
      <c r="B376">
        <v>30</v>
      </c>
      <c r="C376" t="s">
        <v>9</v>
      </c>
      <c r="D376">
        <v>8</v>
      </c>
      <c r="E376">
        <v>37</v>
      </c>
      <c r="F376">
        <v>6.6E-4</v>
      </c>
      <c r="G376">
        <v>0</v>
      </c>
      <c r="H376" t="s">
        <v>5089</v>
      </c>
      <c r="I376" t="s">
        <v>5097</v>
      </c>
      <c r="J376">
        <v>6.6E-4</v>
      </c>
    </row>
    <row r="377" spans="1:10">
      <c r="A377" t="s">
        <v>912</v>
      </c>
      <c r="B377">
        <v>35</v>
      </c>
      <c r="C377" t="s">
        <v>7</v>
      </c>
      <c r="D377">
        <v>3</v>
      </c>
      <c r="E377">
        <v>37</v>
      </c>
      <c r="F377">
        <v>3.5E-4</v>
      </c>
      <c r="G377">
        <v>0</v>
      </c>
      <c r="H377" t="s">
        <v>5089</v>
      </c>
      <c r="I377" t="s">
        <v>5097</v>
      </c>
      <c r="J377">
        <v>3.5E-4</v>
      </c>
    </row>
    <row r="378" spans="1:10">
      <c r="A378" t="s">
        <v>920</v>
      </c>
      <c r="B378">
        <v>24</v>
      </c>
      <c r="C378" t="s">
        <v>7</v>
      </c>
      <c r="D378">
        <v>9</v>
      </c>
      <c r="E378">
        <v>32</v>
      </c>
      <c r="F378">
        <v>3.8999999999999999E-4</v>
      </c>
      <c r="G378">
        <v>0</v>
      </c>
      <c r="H378" t="s">
        <v>5089</v>
      </c>
      <c r="I378" t="s">
        <v>5097</v>
      </c>
      <c r="J378">
        <v>3.8999999999999999E-4</v>
      </c>
    </row>
    <row r="379" spans="1:10">
      <c r="A379" t="s">
        <v>3117</v>
      </c>
      <c r="B379">
        <v>38</v>
      </c>
      <c r="C379" t="s">
        <v>7</v>
      </c>
      <c r="D379">
        <v>2</v>
      </c>
      <c r="E379">
        <v>39</v>
      </c>
      <c r="F379">
        <v>3.1E-4</v>
      </c>
      <c r="G379">
        <v>0</v>
      </c>
      <c r="H379" t="s">
        <v>5089</v>
      </c>
      <c r="I379" t="s">
        <v>5097</v>
      </c>
      <c r="J379">
        <v>3.1E-4</v>
      </c>
    </row>
    <row r="380" spans="1:10">
      <c r="A380" t="s">
        <v>924</v>
      </c>
      <c r="B380">
        <v>27</v>
      </c>
      <c r="C380" t="s">
        <v>7</v>
      </c>
      <c r="D380">
        <v>8</v>
      </c>
      <c r="E380">
        <v>34</v>
      </c>
      <c r="F380">
        <v>4.0000000000000002E-4</v>
      </c>
      <c r="G380">
        <v>0</v>
      </c>
      <c r="H380" t="s">
        <v>5089</v>
      </c>
      <c r="I380" t="s">
        <v>5097</v>
      </c>
      <c r="J380">
        <v>4.0000000000000002E-4</v>
      </c>
    </row>
    <row r="381" spans="1:10">
      <c r="A381" t="s">
        <v>926</v>
      </c>
      <c r="B381">
        <v>29</v>
      </c>
      <c r="C381" t="s">
        <v>7</v>
      </c>
      <c r="D381">
        <v>6</v>
      </c>
      <c r="E381">
        <v>34</v>
      </c>
      <c r="F381">
        <v>3.2000000000000003E-4</v>
      </c>
      <c r="G381">
        <v>0</v>
      </c>
      <c r="H381" t="s">
        <v>5089</v>
      </c>
      <c r="I381" t="s">
        <v>5097</v>
      </c>
      <c r="J381">
        <v>3.2000000000000003E-4</v>
      </c>
    </row>
    <row r="382" spans="1:10">
      <c r="A382" t="s">
        <v>3102</v>
      </c>
      <c r="B382">
        <v>34</v>
      </c>
      <c r="C382" t="s">
        <v>9</v>
      </c>
      <c r="D382">
        <v>2</v>
      </c>
      <c r="E382">
        <v>35</v>
      </c>
      <c r="F382">
        <v>3.3E-4</v>
      </c>
      <c r="G382">
        <v>0</v>
      </c>
      <c r="H382" t="s">
        <v>5089</v>
      </c>
      <c r="I382" t="s">
        <v>5097</v>
      </c>
      <c r="J382">
        <v>3.3E-4</v>
      </c>
    </row>
    <row r="383" spans="1:10">
      <c r="A383" t="s">
        <v>941</v>
      </c>
      <c r="B383">
        <v>26</v>
      </c>
      <c r="C383" t="s">
        <v>7</v>
      </c>
      <c r="D383">
        <v>7</v>
      </c>
      <c r="E383">
        <v>32</v>
      </c>
      <c r="F383">
        <v>3.3E-4</v>
      </c>
      <c r="G383">
        <v>0</v>
      </c>
      <c r="H383" t="s">
        <v>5089</v>
      </c>
      <c r="I383" t="s">
        <v>5097</v>
      </c>
      <c r="J383">
        <v>3.3E-4</v>
      </c>
    </row>
    <row r="384" spans="1:10">
      <c r="A384" t="s">
        <v>943</v>
      </c>
      <c r="B384">
        <v>37</v>
      </c>
      <c r="C384" t="s">
        <v>9</v>
      </c>
      <c r="D384">
        <v>3</v>
      </c>
      <c r="E384">
        <v>39</v>
      </c>
      <c r="F384">
        <v>5.8E-4</v>
      </c>
      <c r="G384">
        <v>0</v>
      </c>
      <c r="H384" t="s">
        <v>5089</v>
      </c>
      <c r="I384" t="s">
        <v>5097</v>
      </c>
      <c r="J384">
        <v>5.8E-4</v>
      </c>
    </row>
    <row r="385" spans="1:10">
      <c r="A385" t="s">
        <v>950</v>
      </c>
      <c r="B385">
        <v>32</v>
      </c>
      <c r="C385" t="s">
        <v>7</v>
      </c>
      <c r="D385">
        <v>5</v>
      </c>
      <c r="E385">
        <v>36</v>
      </c>
      <c r="F385">
        <v>3.6999999999999999E-4</v>
      </c>
      <c r="G385">
        <v>0</v>
      </c>
      <c r="H385" t="s">
        <v>5089</v>
      </c>
      <c r="I385" t="s">
        <v>5097</v>
      </c>
      <c r="J385">
        <v>3.6999999999999999E-4</v>
      </c>
    </row>
    <row r="386" spans="1:10">
      <c r="A386" t="s">
        <v>951</v>
      </c>
      <c r="B386">
        <v>29</v>
      </c>
      <c r="C386" t="s">
        <v>9</v>
      </c>
      <c r="D386">
        <v>4</v>
      </c>
      <c r="E386">
        <v>32</v>
      </c>
      <c r="F386">
        <v>4.0999999999999999E-4</v>
      </c>
      <c r="G386">
        <v>0</v>
      </c>
      <c r="H386" t="s">
        <v>5089</v>
      </c>
      <c r="I386" t="s">
        <v>5097</v>
      </c>
      <c r="J386">
        <v>4.0999999999999999E-4</v>
      </c>
    </row>
    <row r="387" spans="1:10">
      <c r="A387" t="s">
        <v>3069</v>
      </c>
      <c r="B387">
        <v>31</v>
      </c>
      <c r="C387" t="s">
        <v>7</v>
      </c>
      <c r="D387">
        <v>9</v>
      </c>
      <c r="E387">
        <v>39</v>
      </c>
      <c r="F387">
        <v>6.6E-4</v>
      </c>
      <c r="G387">
        <v>0</v>
      </c>
      <c r="H387" t="s">
        <v>5089</v>
      </c>
      <c r="I387" t="s">
        <v>5097</v>
      </c>
      <c r="J387">
        <v>6.6E-4</v>
      </c>
    </row>
    <row r="388" spans="1:10">
      <c r="A388" t="s">
        <v>3067</v>
      </c>
      <c r="B388">
        <v>30</v>
      </c>
      <c r="C388" t="s">
        <v>9</v>
      </c>
      <c r="D388">
        <v>6</v>
      </c>
      <c r="E388">
        <v>35</v>
      </c>
      <c r="F388">
        <v>5.2999999999999998E-4</v>
      </c>
      <c r="G388">
        <v>0</v>
      </c>
      <c r="H388" t="s">
        <v>5089</v>
      </c>
      <c r="I388" t="s">
        <v>5097</v>
      </c>
      <c r="J388">
        <v>5.2999999999999998E-4</v>
      </c>
    </row>
    <row r="389" spans="1:10">
      <c r="A389" t="s">
        <v>3061</v>
      </c>
      <c r="B389">
        <v>26</v>
      </c>
      <c r="C389" t="s">
        <v>7</v>
      </c>
      <c r="D389">
        <v>8</v>
      </c>
      <c r="E389">
        <v>33</v>
      </c>
      <c r="F389">
        <v>3.8000000000000002E-4</v>
      </c>
      <c r="G389">
        <v>0</v>
      </c>
      <c r="H389" t="s">
        <v>5089</v>
      </c>
      <c r="I389" t="s">
        <v>5097</v>
      </c>
      <c r="J389">
        <v>3.8000000000000002E-4</v>
      </c>
    </row>
    <row r="390" spans="1:10">
      <c r="A390" t="s">
        <v>960</v>
      </c>
      <c r="B390">
        <v>35</v>
      </c>
      <c r="C390" t="s">
        <v>9</v>
      </c>
      <c r="D390">
        <v>4</v>
      </c>
      <c r="E390">
        <v>38</v>
      </c>
      <c r="F390">
        <v>5.8E-4</v>
      </c>
      <c r="G390">
        <v>0</v>
      </c>
      <c r="H390" t="s">
        <v>5089</v>
      </c>
      <c r="I390" t="s">
        <v>5097</v>
      </c>
      <c r="J390">
        <v>5.8E-4</v>
      </c>
    </row>
    <row r="391" spans="1:10">
      <c r="A391" t="s">
        <v>961</v>
      </c>
      <c r="B391">
        <v>28</v>
      </c>
      <c r="C391" t="s">
        <v>9</v>
      </c>
      <c r="D391">
        <v>4</v>
      </c>
      <c r="E391">
        <v>31</v>
      </c>
      <c r="F391">
        <v>3.8000000000000002E-4</v>
      </c>
      <c r="G391">
        <v>0</v>
      </c>
      <c r="H391" t="s">
        <v>5089</v>
      </c>
      <c r="I391" t="s">
        <v>5097</v>
      </c>
      <c r="J391">
        <v>3.8000000000000002E-4</v>
      </c>
    </row>
    <row r="392" spans="1:10">
      <c r="A392" t="s">
        <v>962</v>
      </c>
      <c r="B392">
        <v>34</v>
      </c>
      <c r="C392" t="s">
        <v>9</v>
      </c>
      <c r="D392">
        <v>5</v>
      </c>
      <c r="E392">
        <v>38</v>
      </c>
      <c r="F392">
        <v>6.0999999999999997E-4</v>
      </c>
      <c r="G392">
        <v>0</v>
      </c>
      <c r="H392" t="s">
        <v>5089</v>
      </c>
      <c r="I392" t="s">
        <v>5097</v>
      </c>
      <c r="J392">
        <v>6.0999999999999997E-4</v>
      </c>
    </row>
    <row r="393" spans="1:10">
      <c r="A393" t="s">
        <v>3059</v>
      </c>
      <c r="B393">
        <v>35</v>
      </c>
      <c r="C393" t="s">
        <v>7</v>
      </c>
      <c r="D393">
        <v>3</v>
      </c>
      <c r="E393">
        <v>37</v>
      </c>
      <c r="F393">
        <v>3.5E-4</v>
      </c>
      <c r="G393">
        <v>0</v>
      </c>
      <c r="H393" t="s">
        <v>5089</v>
      </c>
      <c r="I393" t="s">
        <v>5097</v>
      </c>
      <c r="J393">
        <v>3.5E-4</v>
      </c>
    </row>
    <row r="394" spans="1:10">
      <c r="A394" t="s">
        <v>965</v>
      </c>
      <c r="B394">
        <v>24</v>
      </c>
      <c r="C394" t="s">
        <v>7</v>
      </c>
      <c r="D394">
        <v>7</v>
      </c>
      <c r="E394">
        <v>30</v>
      </c>
      <c r="F394">
        <v>3.1E-4</v>
      </c>
      <c r="G394">
        <v>0</v>
      </c>
      <c r="H394" t="s">
        <v>5089</v>
      </c>
      <c r="I394" t="s">
        <v>5097</v>
      </c>
      <c r="J394">
        <v>3.1E-4</v>
      </c>
    </row>
    <row r="395" spans="1:10">
      <c r="A395" t="s">
        <v>966</v>
      </c>
      <c r="B395">
        <v>28</v>
      </c>
      <c r="C395" t="s">
        <v>7</v>
      </c>
      <c r="D395">
        <v>3</v>
      </c>
      <c r="E395">
        <v>30</v>
      </c>
      <c r="F395">
        <v>2.0000000000000001E-4</v>
      </c>
      <c r="G395">
        <v>0</v>
      </c>
      <c r="H395" t="s">
        <v>5089</v>
      </c>
      <c r="I395" t="s">
        <v>5097</v>
      </c>
      <c r="J395">
        <v>2.0000000000000001E-4</v>
      </c>
    </row>
    <row r="396" spans="1:10">
      <c r="A396" t="s">
        <v>3035</v>
      </c>
      <c r="B396">
        <v>25</v>
      </c>
      <c r="C396" t="s">
        <v>7</v>
      </c>
      <c r="D396">
        <v>9</v>
      </c>
      <c r="E396">
        <v>33</v>
      </c>
      <c r="F396">
        <v>4.0000000000000002E-4</v>
      </c>
      <c r="G396">
        <v>0</v>
      </c>
      <c r="H396" t="s">
        <v>5089</v>
      </c>
      <c r="I396" t="s">
        <v>5097</v>
      </c>
      <c r="J396">
        <v>4.0000000000000002E-4</v>
      </c>
    </row>
    <row r="397" spans="1:10">
      <c r="A397" t="s">
        <v>980</v>
      </c>
      <c r="B397">
        <v>37</v>
      </c>
      <c r="C397" t="s">
        <v>7</v>
      </c>
      <c r="D397">
        <v>2</v>
      </c>
      <c r="E397">
        <v>38</v>
      </c>
      <c r="F397">
        <v>2.9E-4</v>
      </c>
      <c r="G397">
        <v>0</v>
      </c>
      <c r="H397" t="s">
        <v>5089</v>
      </c>
      <c r="I397" t="s">
        <v>5097</v>
      </c>
      <c r="J397">
        <v>2.9E-4</v>
      </c>
    </row>
    <row r="398" spans="1:10">
      <c r="A398" t="s">
        <v>982</v>
      </c>
      <c r="B398">
        <v>30</v>
      </c>
      <c r="C398" t="s">
        <v>9</v>
      </c>
      <c r="D398">
        <v>4</v>
      </c>
      <c r="E398">
        <v>33</v>
      </c>
      <c r="F398">
        <v>4.2999999999999999E-4</v>
      </c>
      <c r="G398">
        <v>0</v>
      </c>
      <c r="H398" t="s">
        <v>5089</v>
      </c>
      <c r="I398" t="s">
        <v>5097</v>
      </c>
      <c r="J398">
        <v>4.2999999999999999E-4</v>
      </c>
    </row>
    <row r="399" spans="1:10">
      <c r="A399" t="s">
        <v>986</v>
      </c>
      <c r="B399">
        <v>31</v>
      </c>
      <c r="C399" t="s">
        <v>7</v>
      </c>
      <c r="D399">
        <v>8</v>
      </c>
      <c r="E399">
        <v>38</v>
      </c>
      <c r="F399">
        <v>5.6999999999999998E-4</v>
      </c>
      <c r="G399">
        <v>0</v>
      </c>
      <c r="H399" t="s">
        <v>5089</v>
      </c>
      <c r="I399" t="s">
        <v>5097</v>
      </c>
      <c r="J399">
        <v>5.6999999999999998E-4</v>
      </c>
    </row>
    <row r="400" spans="1:10">
      <c r="A400" t="s">
        <v>3011</v>
      </c>
      <c r="B400">
        <v>22</v>
      </c>
      <c r="C400" t="s">
        <v>9</v>
      </c>
      <c r="D400">
        <v>9</v>
      </c>
      <c r="E400">
        <v>30</v>
      </c>
      <c r="F400">
        <v>5.9000000000000003E-4</v>
      </c>
      <c r="G400">
        <v>0</v>
      </c>
      <c r="H400" t="s">
        <v>5089</v>
      </c>
      <c r="I400" t="s">
        <v>5097</v>
      </c>
      <c r="J400">
        <v>5.9000000000000003E-4</v>
      </c>
    </row>
    <row r="401" spans="1:10">
      <c r="A401" t="s">
        <v>3010</v>
      </c>
      <c r="B401">
        <v>32</v>
      </c>
      <c r="C401" t="s">
        <v>9</v>
      </c>
      <c r="D401">
        <v>7</v>
      </c>
      <c r="E401">
        <v>38</v>
      </c>
      <c r="F401">
        <v>6.6E-4</v>
      </c>
      <c r="G401">
        <v>0</v>
      </c>
      <c r="H401" t="s">
        <v>5089</v>
      </c>
      <c r="I401" t="s">
        <v>5097</v>
      </c>
      <c r="J401">
        <v>6.6E-4</v>
      </c>
    </row>
    <row r="402" spans="1:10">
      <c r="A402" t="s">
        <v>3002</v>
      </c>
      <c r="B402">
        <v>24</v>
      </c>
      <c r="C402" t="s">
        <v>7</v>
      </c>
      <c r="D402">
        <v>7</v>
      </c>
      <c r="E402">
        <v>30</v>
      </c>
      <c r="F402">
        <v>3.1E-4</v>
      </c>
      <c r="G402">
        <v>0</v>
      </c>
      <c r="H402" t="s">
        <v>5089</v>
      </c>
      <c r="I402" t="s">
        <v>5097</v>
      </c>
      <c r="J402">
        <v>3.1E-4</v>
      </c>
    </row>
    <row r="403" spans="1:10">
      <c r="A403" t="s">
        <v>998</v>
      </c>
      <c r="B403">
        <v>28</v>
      </c>
      <c r="C403" t="s">
        <v>7</v>
      </c>
      <c r="D403">
        <v>6</v>
      </c>
      <c r="E403">
        <v>33</v>
      </c>
      <c r="F403">
        <v>2.9999999999999997E-4</v>
      </c>
      <c r="G403">
        <v>0</v>
      </c>
      <c r="H403" t="s">
        <v>5089</v>
      </c>
      <c r="I403" t="s">
        <v>5097</v>
      </c>
      <c r="J403">
        <v>2.9999999999999997E-4</v>
      </c>
    </row>
    <row r="404" spans="1:10">
      <c r="A404" t="s">
        <v>2987</v>
      </c>
      <c r="B404">
        <v>28</v>
      </c>
      <c r="C404" t="s">
        <v>9</v>
      </c>
      <c r="D404">
        <v>9</v>
      </c>
      <c r="E404">
        <v>36</v>
      </c>
      <c r="F404">
        <v>6.4999999999999997E-4</v>
      </c>
      <c r="G404">
        <v>0</v>
      </c>
      <c r="H404" t="s">
        <v>5089</v>
      </c>
      <c r="I404" t="s">
        <v>5097</v>
      </c>
      <c r="J404">
        <v>6.4999999999999997E-4</v>
      </c>
    </row>
    <row r="405" spans="1:10">
      <c r="A405" t="s">
        <v>2986</v>
      </c>
      <c r="B405">
        <v>28</v>
      </c>
      <c r="C405" t="s">
        <v>9</v>
      </c>
      <c r="D405">
        <v>8</v>
      </c>
      <c r="E405">
        <v>35</v>
      </c>
      <c r="F405">
        <v>5.9000000000000003E-4</v>
      </c>
      <c r="G405">
        <v>0</v>
      </c>
      <c r="H405" t="s">
        <v>5089</v>
      </c>
      <c r="I405" t="s">
        <v>5097</v>
      </c>
      <c r="J405">
        <v>5.9000000000000003E-4</v>
      </c>
    </row>
    <row r="406" spans="1:10">
      <c r="A406" t="s">
        <v>2983</v>
      </c>
      <c r="B406">
        <v>27</v>
      </c>
      <c r="C406" t="s">
        <v>7</v>
      </c>
      <c r="D406">
        <v>7</v>
      </c>
      <c r="E406">
        <v>33</v>
      </c>
      <c r="F406">
        <v>3.4000000000000002E-4</v>
      </c>
      <c r="G406">
        <v>0</v>
      </c>
      <c r="H406" t="s">
        <v>5089</v>
      </c>
      <c r="I406" t="s">
        <v>5097</v>
      </c>
      <c r="J406">
        <v>3.4000000000000002E-4</v>
      </c>
    </row>
    <row r="407" spans="1:10">
      <c r="A407" t="s">
        <v>2979</v>
      </c>
      <c r="B407">
        <v>39</v>
      </c>
      <c r="C407" t="s">
        <v>7</v>
      </c>
      <c r="D407">
        <v>1</v>
      </c>
      <c r="E407">
        <v>39</v>
      </c>
      <c r="F407">
        <v>2.2000000000000001E-4</v>
      </c>
      <c r="G407">
        <v>0</v>
      </c>
      <c r="H407" t="s">
        <v>5089</v>
      </c>
      <c r="I407" t="s">
        <v>5097</v>
      </c>
      <c r="J407">
        <v>2.2000000000000001E-4</v>
      </c>
    </row>
    <row r="408" spans="1:10">
      <c r="A408" t="s">
        <v>2974</v>
      </c>
      <c r="B408">
        <v>31</v>
      </c>
      <c r="C408" t="s">
        <v>9</v>
      </c>
      <c r="D408">
        <v>3</v>
      </c>
      <c r="E408">
        <v>33</v>
      </c>
      <c r="F408">
        <v>3.8999999999999999E-4</v>
      </c>
      <c r="G408">
        <v>0</v>
      </c>
      <c r="H408" t="s">
        <v>5089</v>
      </c>
      <c r="I408" t="s">
        <v>5097</v>
      </c>
      <c r="J408">
        <v>3.8999999999999999E-4</v>
      </c>
    </row>
    <row r="409" spans="1:10">
      <c r="A409" t="s">
        <v>2963</v>
      </c>
      <c r="B409">
        <v>33</v>
      </c>
      <c r="C409" t="s">
        <v>9</v>
      </c>
      <c r="D409">
        <v>3</v>
      </c>
      <c r="E409">
        <v>35</v>
      </c>
      <c r="F409">
        <v>4.4000000000000002E-4</v>
      </c>
      <c r="G409">
        <v>0</v>
      </c>
      <c r="H409" t="s">
        <v>5089</v>
      </c>
      <c r="I409" t="s">
        <v>5097</v>
      </c>
      <c r="J409">
        <v>4.4000000000000002E-4</v>
      </c>
    </row>
    <row r="410" spans="1:10">
      <c r="A410" t="s">
        <v>2903</v>
      </c>
      <c r="B410">
        <v>24</v>
      </c>
      <c r="C410" t="s">
        <v>9</v>
      </c>
      <c r="D410">
        <v>8</v>
      </c>
      <c r="E410">
        <v>31</v>
      </c>
      <c r="F410">
        <v>5.2999999999999998E-4</v>
      </c>
      <c r="G410">
        <v>0</v>
      </c>
      <c r="H410" t="s">
        <v>5089</v>
      </c>
      <c r="I410" t="s">
        <v>5097</v>
      </c>
      <c r="J410">
        <v>5.2999999999999998E-4</v>
      </c>
    </row>
    <row r="411" spans="1:10">
      <c r="A411" t="s">
        <v>2859</v>
      </c>
      <c r="B411">
        <v>37</v>
      </c>
      <c r="C411" t="s">
        <v>7</v>
      </c>
      <c r="D411">
        <v>3</v>
      </c>
      <c r="E411">
        <v>39</v>
      </c>
      <c r="F411">
        <v>4.2999999999999999E-4</v>
      </c>
      <c r="G411">
        <v>0</v>
      </c>
      <c r="H411" t="s">
        <v>5089</v>
      </c>
      <c r="I411" t="s">
        <v>5097</v>
      </c>
      <c r="J411">
        <v>4.2999999999999999E-4</v>
      </c>
    </row>
    <row r="412" spans="1:10">
      <c r="A412" t="s">
        <v>1063</v>
      </c>
      <c r="B412">
        <v>25</v>
      </c>
      <c r="C412" t="s">
        <v>9</v>
      </c>
      <c r="D412">
        <v>7</v>
      </c>
      <c r="E412">
        <v>31</v>
      </c>
      <c r="F412">
        <v>4.8000000000000001E-4</v>
      </c>
      <c r="G412">
        <v>0</v>
      </c>
      <c r="H412" t="s">
        <v>5089</v>
      </c>
      <c r="I412" t="s">
        <v>5097</v>
      </c>
      <c r="J412">
        <v>4.8000000000000001E-4</v>
      </c>
    </row>
    <row r="413" spans="1:10">
      <c r="A413" t="s">
        <v>2849</v>
      </c>
      <c r="B413">
        <v>35</v>
      </c>
      <c r="C413" t="s">
        <v>9</v>
      </c>
      <c r="D413">
        <v>3</v>
      </c>
      <c r="E413">
        <v>37</v>
      </c>
      <c r="F413">
        <v>5.0000000000000001E-4</v>
      </c>
      <c r="G413">
        <v>0</v>
      </c>
      <c r="H413" t="s">
        <v>5089</v>
      </c>
      <c r="I413" t="s">
        <v>5097</v>
      </c>
      <c r="J413">
        <v>5.0000000000000001E-4</v>
      </c>
    </row>
    <row r="414" spans="1:10">
      <c r="A414" t="s">
        <v>2848</v>
      </c>
      <c r="B414">
        <v>30</v>
      </c>
      <c r="C414" t="s">
        <v>9</v>
      </c>
      <c r="D414">
        <v>1</v>
      </c>
      <c r="E414">
        <v>30</v>
      </c>
      <c r="F414">
        <v>2.5000000000000001E-4</v>
      </c>
      <c r="G414">
        <v>0</v>
      </c>
      <c r="H414" t="s">
        <v>5089</v>
      </c>
      <c r="I414" t="s">
        <v>5097</v>
      </c>
      <c r="J414">
        <v>2.5000000000000001E-4</v>
      </c>
    </row>
    <row r="415" spans="1:10">
      <c r="A415" t="s">
        <v>2844</v>
      </c>
      <c r="B415">
        <v>34</v>
      </c>
      <c r="C415" t="s">
        <v>7</v>
      </c>
      <c r="D415">
        <v>2</v>
      </c>
      <c r="E415">
        <v>35</v>
      </c>
      <c r="F415">
        <v>2.3000000000000001E-4</v>
      </c>
      <c r="G415">
        <v>0</v>
      </c>
      <c r="H415" t="s">
        <v>5089</v>
      </c>
      <c r="I415" t="s">
        <v>5097</v>
      </c>
      <c r="J415">
        <v>2.3000000000000001E-4</v>
      </c>
    </row>
    <row r="416" spans="1:10">
      <c r="A416" t="s">
        <v>2820</v>
      </c>
      <c r="B416">
        <v>27</v>
      </c>
      <c r="C416" t="s">
        <v>9</v>
      </c>
      <c r="D416">
        <v>8</v>
      </c>
      <c r="E416">
        <v>34</v>
      </c>
      <c r="F416">
        <v>5.5999999999999995E-4</v>
      </c>
      <c r="G416">
        <v>0</v>
      </c>
      <c r="H416" t="s">
        <v>5089</v>
      </c>
      <c r="I416" t="s">
        <v>5097</v>
      </c>
      <c r="J416">
        <v>5.5999999999999995E-4</v>
      </c>
    </row>
    <row r="417" spans="1:10">
      <c r="A417" t="s">
        <v>2800</v>
      </c>
      <c r="B417">
        <v>31</v>
      </c>
      <c r="C417" t="s">
        <v>7</v>
      </c>
      <c r="D417">
        <v>7</v>
      </c>
      <c r="E417">
        <v>37</v>
      </c>
      <c r="F417">
        <v>4.8000000000000001E-4</v>
      </c>
      <c r="G417">
        <v>0</v>
      </c>
      <c r="H417" t="s">
        <v>5089</v>
      </c>
      <c r="I417" t="s">
        <v>5097</v>
      </c>
      <c r="J417">
        <v>4.8000000000000001E-4</v>
      </c>
    </row>
    <row r="418" spans="1:10">
      <c r="A418" t="s">
        <v>1089</v>
      </c>
      <c r="B418">
        <v>32</v>
      </c>
      <c r="C418" t="s">
        <v>7</v>
      </c>
      <c r="D418">
        <v>5</v>
      </c>
      <c r="E418">
        <v>36</v>
      </c>
      <c r="F418">
        <v>3.6999999999999999E-4</v>
      </c>
      <c r="G418">
        <v>0</v>
      </c>
      <c r="H418" t="s">
        <v>5089</v>
      </c>
      <c r="I418" t="s">
        <v>5097</v>
      </c>
      <c r="J418">
        <v>3.6999999999999999E-4</v>
      </c>
    </row>
    <row r="419" spans="1:10">
      <c r="A419" t="s">
        <v>2784</v>
      </c>
      <c r="B419">
        <v>28</v>
      </c>
      <c r="C419" t="s">
        <v>7</v>
      </c>
      <c r="D419">
        <v>9</v>
      </c>
      <c r="E419">
        <v>36</v>
      </c>
      <c r="F419">
        <v>5.0000000000000001E-4</v>
      </c>
      <c r="G419">
        <v>0</v>
      </c>
      <c r="H419" t="s">
        <v>5089</v>
      </c>
      <c r="I419" t="s">
        <v>5097</v>
      </c>
      <c r="J419">
        <v>5.0000000000000001E-4</v>
      </c>
    </row>
    <row r="420" spans="1:10">
      <c r="A420" t="s">
        <v>2782</v>
      </c>
      <c r="B420">
        <v>30</v>
      </c>
      <c r="C420" t="s">
        <v>9</v>
      </c>
      <c r="D420">
        <v>8</v>
      </c>
      <c r="E420">
        <v>37</v>
      </c>
      <c r="F420">
        <v>6.6E-4</v>
      </c>
      <c r="G420">
        <v>0</v>
      </c>
      <c r="H420" t="s">
        <v>5089</v>
      </c>
      <c r="I420" t="s">
        <v>5097</v>
      </c>
      <c r="J420">
        <v>6.6E-4</v>
      </c>
    </row>
    <row r="421" spans="1:10">
      <c r="A421" t="s">
        <v>2764</v>
      </c>
      <c r="B421">
        <v>32</v>
      </c>
      <c r="C421" t="s">
        <v>7</v>
      </c>
      <c r="D421">
        <v>7</v>
      </c>
      <c r="E421">
        <v>38</v>
      </c>
      <c r="F421">
        <v>5.2999999999999998E-4</v>
      </c>
      <c r="G421">
        <v>0</v>
      </c>
      <c r="H421" t="s">
        <v>5089</v>
      </c>
      <c r="I421" t="s">
        <v>5097</v>
      </c>
      <c r="J421">
        <v>5.2999999999999998E-4</v>
      </c>
    </row>
    <row r="422" spans="1:10">
      <c r="A422" t="s">
        <v>2762</v>
      </c>
      <c r="B422">
        <v>26</v>
      </c>
      <c r="C422" t="s">
        <v>7</v>
      </c>
      <c r="D422">
        <v>5</v>
      </c>
      <c r="E422">
        <v>30</v>
      </c>
      <c r="F422">
        <v>2.5000000000000001E-4</v>
      </c>
      <c r="G422">
        <v>0</v>
      </c>
      <c r="H422" t="s">
        <v>5089</v>
      </c>
      <c r="I422" t="s">
        <v>5097</v>
      </c>
      <c r="J422">
        <v>2.5000000000000001E-4</v>
      </c>
    </row>
    <row r="423" spans="1:10">
      <c r="A423" t="s">
        <v>2754</v>
      </c>
      <c r="B423">
        <v>31</v>
      </c>
      <c r="C423" t="s">
        <v>9</v>
      </c>
      <c r="D423">
        <v>2</v>
      </c>
      <c r="E423">
        <v>32</v>
      </c>
      <c r="F423">
        <v>2.9E-4</v>
      </c>
      <c r="G423">
        <v>0</v>
      </c>
      <c r="H423" t="s">
        <v>5089</v>
      </c>
      <c r="I423" t="s">
        <v>5097</v>
      </c>
      <c r="J423">
        <v>2.9E-4</v>
      </c>
    </row>
    <row r="424" spans="1:10">
      <c r="A424" t="s">
        <v>2752</v>
      </c>
      <c r="B424">
        <v>27</v>
      </c>
      <c r="C424" t="s">
        <v>9</v>
      </c>
      <c r="D424">
        <v>9</v>
      </c>
      <c r="E424">
        <v>35</v>
      </c>
      <c r="F424">
        <v>6.2E-4</v>
      </c>
      <c r="G424">
        <v>0</v>
      </c>
      <c r="H424" t="s">
        <v>5089</v>
      </c>
      <c r="I424" t="s">
        <v>5097</v>
      </c>
      <c r="J424">
        <v>6.2E-4</v>
      </c>
    </row>
    <row r="425" spans="1:10">
      <c r="A425" t="s">
        <v>1126</v>
      </c>
      <c r="B425">
        <v>28</v>
      </c>
      <c r="C425" t="s">
        <v>7</v>
      </c>
      <c r="D425">
        <v>7</v>
      </c>
      <c r="E425">
        <v>34</v>
      </c>
      <c r="F425">
        <v>3.6000000000000002E-4</v>
      </c>
      <c r="G425">
        <v>0</v>
      </c>
      <c r="H425" t="s">
        <v>5089</v>
      </c>
      <c r="I425" t="s">
        <v>5097</v>
      </c>
      <c r="J425">
        <v>3.6000000000000002E-4</v>
      </c>
    </row>
    <row r="426" spans="1:10">
      <c r="A426" t="s">
        <v>1127</v>
      </c>
      <c r="B426">
        <v>30</v>
      </c>
      <c r="C426" t="s">
        <v>9</v>
      </c>
      <c r="D426">
        <v>4</v>
      </c>
      <c r="E426">
        <v>33</v>
      </c>
      <c r="F426">
        <v>4.2999999999999999E-4</v>
      </c>
      <c r="G426">
        <v>0</v>
      </c>
      <c r="H426" t="s">
        <v>5089</v>
      </c>
      <c r="I426" t="s">
        <v>5097</v>
      </c>
      <c r="J426">
        <v>4.2999999999999999E-4</v>
      </c>
    </row>
    <row r="427" spans="1:10">
      <c r="A427" t="s">
        <v>2716</v>
      </c>
      <c r="B427">
        <v>33</v>
      </c>
      <c r="C427" t="s">
        <v>7</v>
      </c>
      <c r="D427">
        <v>1</v>
      </c>
      <c r="E427">
        <v>33</v>
      </c>
      <c r="F427">
        <v>1.2999999999999999E-4</v>
      </c>
      <c r="G427">
        <v>0</v>
      </c>
      <c r="H427" t="s">
        <v>5089</v>
      </c>
      <c r="I427" t="s">
        <v>5097</v>
      </c>
      <c r="J427">
        <v>1.2999999999999999E-4</v>
      </c>
    </row>
    <row r="428" spans="1:10">
      <c r="A428" t="s">
        <v>2711</v>
      </c>
      <c r="B428">
        <v>34</v>
      </c>
      <c r="C428" t="s">
        <v>9</v>
      </c>
      <c r="D428">
        <v>6</v>
      </c>
      <c r="E428">
        <v>39</v>
      </c>
      <c r="F428">
        <v>6.9999999999999999E-4</v>
      </c>
      <c r="G428">
        <v>0</v>
      </c>
      <c r="H428" t="s">
        <v>5089</v>
      </c>
      <c r="I428" t="s">
        <v>5097</v>
      </c>
      <c r="J428">
        <v>6.9999999999999999E-4</v>
      </c>
    </row>
    <row r="429" spans="1:10">
      <c r="A429" t="s">
        <v>2701</v>
      </c>
      <c r="B429">
        <v>25</v>
      </c>
      <c r="C429" t="s">
        <v>7</v>
      </c>
      <c r="D429">
        <v>6</v>
      </c>
      <c r="E429">
        <v>30</v>
      </c>
      <c r="F429">
        <v>2.7999999999999998E-4</v>
      </c>
      <c r="G429">
        <v>0</v>
      </c>
      <c r="H429" t="s">
        <v>5089</v>
      </c>
      <c r="I429" t="s">
        <v>5097</v>
      </c>
      <c r="J429">
        <v>2.7999999999999998E-4</v>
      </c>
    </row>
    <row r="430" spans="1:10">
      <c r="A430" t="s">
        <v>2685</v>
      </c>
      <c r="B430">
        <v>27</v>
      </c>
      <c r="C430" t="s">
        <v>7</v>
      </c>
      <c r="D430">
        <v>6</v>
      </c>
      <c r="E430">
        <v>32</v>
      </c>
      <c r="F430">
        <v>2.9E-4</v>
      </c>
      <c r="G430">
        <v>0</v>
      </c>
      <c r="H430" t="s">
        <v>5089</v>
      </c>
      <c r="I430" t="s">
        <v>5097</v>
      </c>
      <c r="J430">
        <v>2.9E-4</v>
      </c>
    </row>
    <row r="431" spans="1:10">
      <c r="A431" t="s">
        <v>2680</v>
      </c>
      <c r="B431">
        <v>24</v>
      </c>
      <c r="C431" t="s">
        <v>9</v>
      </c>
      <c r="D431">
        <v>9</v>
      </c>
      <c r="E431">
        <v>32</v>
      </c>
      <c r="F431">
        <v>5.6999999999999998E-4</v>
      </c>
      <c r="G431">
        <v>0</v>
      </c>
      <c r="H431" t="s">
        <v>5089</v>
      </c>
      <c r="I431" t="s">
        <v>5097</v>
      </c>
      <c r="J431">
        <v>5.6999999999999998E-4</v>
      </c>
    </row>
    <row r="432" spans="1:10">
      <c r="A432" t="s">
        <v>2675</v>
      </c>
      <c r="B432">
        <v>33</v>
      </c>
      <c r="C432" t="s">
        <v>7</v>
      </c>
      <c r="D432">
        <v>3</v>
      </c>
      <c r="E432">
        <v>35</v>
      </c>
      <c r="F432">
        <v>2.7999999999999998E-4</v>
      </c>
      <c r="G432">
        <v>0</v>
      </c>
      <c r="H432" t="s">
        <v>5089</v>
      </c>
      <c r="I432" t="s">
        <v>5097</v>
      </c>
      <c r="J432">
        <v>2.7999999999999998E-4</v>
      </c>
    </row>
    <row r="433" spans="1:10">
      <c r="A433" t="s">
        <v>2670</v>
      </c>
      <c r="B433">
        <v>33</v>
      </c>
      <c r="C433" t="s">
        <v>7</v>
      </c>
      <c r="D433">
        <v>5</v>
      </c>
      <c r="E433">
        <v>37</v>
      </c>
      <c r="F433">
        <v>4.2000000000000002E-4</v>
      </c>
      <c r="G433">
        <v>0</v>
      </c>
      <c r="H433" t="s">
        <v>5089</v>
      </c>
      <c r="I433" t="s">
        <v>5097</v>
      </c>
      <c r="J433">
        <v>4.2000000000000002E-4</v>
      </c>
    </row>
    <row r="434" spans="1:10">
      <c r="A434" t="s">
        <v>1155</v>
      </c>
      <c r="B434">
        <v>30</v>
      </c>
      <c r="C434" t="s">
        <v>9</v>
      </c>
      <c r="D434">
        <v>4</v>
      </c>
      <c r="E434">
        <v>33</v>
      </c>
      <c r="F434">
        <v>4.2999999999999999E-4</v>
      </c>
      <c r="G434">
        <v>0</v>
      </c>
      <c r="H434" t="s">
        <v>5089</v>
      </c>
      <c r="I434" t="s">
        <v>5097</v>
      </c>
      <c r="J434">
        <v>4.2999999999999999E-4</v>
      </c>
    </row>
    <row r="435" spans="1:10">
      <c r="A435" t="s">
        <v>1156</v>
      </c>
      <c r="B435">
        <v>30</v>
      </c>
      <c r="C435" t="s">
        <v>9</v>
      </c>
      <c r="D435">
        <v>4</v>
      </c>
      <c r="E435">
        <v>33</v>
      </c>
      <c r="F435">
        <v>4.2999999999999999E-4</v>
      </c>
      <c r="G435">
        <v>0</v>
      </c>
      <c r="H435" t="s">
        <v>5089</v>
      </c>
      <c r="I435" t="s">
        <v>5097</v>
      </c>
      <c r="J435">
        <v>4.2999999999999999E-4</v>
      </c>
    </row>
    <row r="436" spans="1:10">
      <c r="A436" t="s">
        <v>1169</v>
      </c>
      <c r="B436">
        <v>30</v>
      </c>
      <c r="C436" t="s">
        <v>7</v>
      </c>
      <c r="D436">
        <v>3</v>
      </c>
      <c r="E436">
        <v>32</v>
      </c>
      <c r="F436">
        <v>2.2000000000000001E-4</v>
      </c>
      <c r="G436">
        <v>0</v>
      </c>
      <c r="H436" t="s">
        <v>5089</v>
      </c>
      <c r="I436" t="s">
        <v>5097</v>
      </c>
      <c r="J436">
        <v>2.2000000000000001E-4</v>
      </c>
    </row>
    <row r="437" spans="1:10">
      <c r="A437" t="s">
        <v>2635</v>
      </c>
      <c r="B437">
        <v>29</v>
      </c>
      <c r="C437" t="s">
        <v>9</v>
      </c>
      <c r="D437">
        <v>7</v>
      </c>
      <c r="E437">
        <v>35</v>
      </c>
      <c r="F437">
        <v>5.5999999999999995E-4</v>
      </c>
      <c r="G437">
        <v>0</v>
      </c>
      <c r="H437" t="s">
        <v>5089</v>
      </c>
      <c r="I437" t="s">
        <v>5097</v>
      </c>
      <c r="J437">
        <v>5.5999999999999995E-4</v>
      </c>
    </row>
    <row r="438" spans="1:10">
      <c r="A438" t="s">
        <v>1181</v>
      </c>
      <c r="B438">
        <v>27</v>
      </c>
      <c r="C438" t="s">
        <v>7</v>
      </c>
      <c r="D438">
        <v>4</v>
      </c>
      <c r="E438">
        <v>30</v>
      </c>
      <c r="F438">
        <v>2.2000000000000001E-4</v>
      </c>
      <c r="G438">
        <v>0</v>
      </c>
      <c r="H438" t="s">
        <v>5089</v>
      </c>
      <c r="I438" t="s">
        <v>5097</v>
      </c>
      <c r="J438">
        <v>2.2000000000000001E-4</v>
      </c>
    </row>
    <row r="439" spans="1:10">
      <c r="A439" t="s">
        <v>2573</v>
      </c>
      <c r="B439">
        <v>27</v>
      </c>
      <c r="C439" t="s">
        <v>9</v>
      </c>
      <c r="D439">
        <v>9</v>
      </c>
      <c r="E439">
        <v>35</v>
      </c>
      <c r="F439">
        <v>6.2E-4</v>
      </c>
      <c r="G439">
        <v>0</v>
      </c>
      <c r="H439" t="s">
        <v>5089</v>
      </c>
      <c r="I439" t="s">
        <v>5097</v>
      </c>
      <c r="J439">
        <v>6.2E-4</v>
      </c>
    </row>
    <row r="440" spans="1:10">
      <c r="A440" t="s">
        <v>2569</v>
      </c>
      <c r="B440">
        <v>32</v>
      </c>
      <c r="C440" t="s">
        <v>7</v>
      </c>
      <c r="D440">
        <v>2</v>
      </c>
      <c r="E440">
        <v>33</v>
      </c>
      <c r="F440">
        <v>2.0000000000000001E-4</v>
      </c>
      <c r="G440">
        <v>0</v>
      </c>
      <c r="H440" t="s">
        <v>5089</v>
      </c>
      <c r="I440" t="s">
        <v>5097</v>
      </c>
      <c r="J440">
        <v>2.0000000000000001E-4</v>
      </c>
    </row>
    <row r="441" spans="1:10">
      <c r="A441" t="s">
        <v>2567</v>
      </c>
      <c r="B441">
        <v>28</v>
      </c>
      <c r="C441" t="s">
        <v>9</v>
      </c>
      <c r="D441">
        <v>7</v>
      </c>
      <c r="E441">
        <v>34</v>
      </c>
      <c r="F441">
        <v>5.1999999999999995E-4</v>
      </c>
      <c r="G441">
        <v>0</v>
      </c>
      <c r="H441" t="s">
        <v>5089</v>
      </c>
      <c r="I441" t="s">
        <v>5097</v>
      </c>
      <c r="J441">
        <v>5.1999999999999995E-4</v>
      </c>
    </row>
    <row r="442" spans="1:10">
      <c r="A442" t="s">
        <v>1202</v>
      </c>
      <c r="B442">
        <v>32</v>
      </c>
      <c r="C442" t="s">
        <v>7</v>
      </c>
      <c r="D442">
        <v>7</v>
      </c>
      <c r="E442">
        <v>38</v>
      </c>
      <c r="F442">
        <v>5.2999999999999998E-4</v>
      </c>
      <c r="G442">
        <v>0</v>
      </c>
      <c r="H442" t="s">
        <v>5089</v>
      </c>
      <c r="I442" t="s">
        <v>5097</v>
      </c>
      <c r="J442">
        <v>5.2999999999999998E-4</v>
      </c>
    </row>
    <row r="443" spans="1:10">
      <c r="A443" t="s">
        <v>2528</v>
      </c>
      <c r="B443">
        <v>33</v>
      </c>
      <c r="C443" t="s">
        <v>9</v>
      </c>
      <c r="D443">
        <v>5</v>
      </c>
      <c r="E443">
        <v>37</v>
      </c>
      <c r="F443">
        <v>5.8E-4</v>
      </c>
      <c r="G443">
        <v>0</v>
      </c>
      <c r="H443" t="s">
        <v>5089</v>
      </c>
      <c r="I443" t="s">
        <v>5097</v>
      </c>
      <c r="J443">
        <v>5.8E-4</v>
      </c>
    </row>
    <row r="444" spans="1:10">
      <c r="A444" t="s">
        <v>2527</v>
      </c>
      <c r="B444">
        <v>24</v>
      </c>
      <c r="C444" t="s">
        <v>9</v>
      </c>
      <c r="D444">
        <v>7</v>
      </c>
      <c r="E444">
        <v>30</v>
      </c>
      <c r="F444">
        <v>4.8999999999999998E-4</v>
      </c>
      <c r="G444">
        <v>0</v>
      </c>
      <c r="H444" t="s">
        <v>5089</v>
      </c>
      <c r="I444" t="s">
        <v>5097</v>
      </c>
      <c r="J444">
        <v>4.8999999999999998E-4</v>
      </c>
    </row>
    <row r="445" spans="1:10">
      <c r="A445" t="s">
        <v>2517</v>
      </c>
      <c r="B445">
        <v>32</v>
      </c>
      <c r="C445" t="s">
        <v>9</v>
      </c>
      <c r="D445">
        <v>5</v>
      </c>
      <c r="E445">
        <v>36</v>
      </c>
      <c r="F445">
        <v>5.4000000000000001E-4</v>
      </c>
      <c r="G445">
        <v>0</v>
      </c>
      <c r="H445" t="s">
        <v>5089</v>
      </c>
      <c r="I445" t="s">
        <v>5097</v>
      </c>
      <c r="J445">
        <v>5.4000000000000001E-4</v>
      </c>
    </row>
    <row r="446" spans="1:10">
      <c r="A446" t="s">
        <v>2496</v>
      </c>
      <c r="B446">
        <v>24</v>
      </c>
      <c r="C446" t="s">
        <v>7</v>
      </c>
      <c r="D446">
        <v>8</v>
      </c>
      <c r="E446">
        <v>31</v>
      </c>
      <c r="F446">
        <v>3.5E-4</v>
      </c>
      <c r="G446">
        <v>0</v>
      </c>
      <c r="H446" t="s">
        <v>5089</v>
      </c>
      <c r="I446" t="s">
        <v>5097</v>
      </c>
      <c r="J446">
        <v>3.5E-4</v>
      </c>
    </row>
    <row r="447" spans="1:10">
      <c r="A447" t="s">
        <v>2494</v>
      </c>
      <c r="B447">
        <v>32</v>
      </c>
      <c r="C447" t="s">
        <v>9</v>
      </c>
      <c r="D447">
        <v>3</v>
      </c>
      <c r="E447">
        <v>34</v>
      </c>
      <c r="F447">
        <v>4.0999999999999999E-4</v>
      </c>
      <c r="G447">
        <v>0</v>
      </c>
      <c r="H447" t="s">
        <v>5089</v>
      </c>
      <c r="I447" t="s">
        <v>5097</v>
      </c>
      <c r="J447">
        <v>4.0999999999999999E-4</v>
      </c>
    </row>
    <row r="448" spans="1:10">
      <c r="A448" t="s">
        <v>2486</v>
      </c>
      <c r="B448">
        <v>30</v>
      </c>
      <c r="C448" t="s">
        <v>7</v>
      </c>
      <c r="D448">
        <v>3</v>
      </c>
      <c r="E448">
        <v>32</v>
      </c>
      <c r="F448">
        <v>2.2000000000000001E-4</v>
      </c>
      <c r="G448">
        <v>0</v>
      </c>
      <c r="H448" t="s">
        <v>5089</v>
      </c>
      <c r="I448" t="s">
        <v>5097</v>
      </c>
      <c r="J448">
        <v>2.2000000000000001E-4</v>
      </c>
    </row>
    <row r="449" spans="1:10">
      <c r="A449" t="s">
        <v>2484</v>
      </c>
      <c r="B449">
        <v>30</v>
      </c>
      <c r="C449" t="s">
        <v>7</v>
      </c>
      <c r="D449">
        <v>6</v>
      </c>
      <c r="E449">
        <v>35</v>
      </c>
      <c r="F449">
        <v>3.5E-4</v>
      </c>
      <c r="G449">
        <v>0</v>
      </c>
      <c r="H449" t="s">
        <v>5089</v>
      </c>
      <c r="I449" t="s">
        <v>5097</v>
      </c>
      <c r="J449">
        <v>3.5E-4</v>
      </c>
    </row>
    <row r="450" spans="1:10">
      <c r="A450" t="s">
        <v>2480</v>
      </c>
      <c r="B450">
        <v>36</v>
      </c>
      <c r="C450" t="s">
        <v>7</v>
      </c>
      <c r="D450">
        <v>4</v>
      </c>
      <c r="E450">
        <v>39</v>
      </c>
      <c r="F450">
        <v>4.8999999999999998E-4</v>
      </c>
      <c r="G450">
        <v>0</v>
      </c>
      <c r="H450" t="s">
        <v>5089</v>
      </c>
      <c r="I450" t="s">
        <v>5097</v>
      </c>
      <c r="J450">
        <v>4.8999999999999998E-4</v>
      </c>
    </row>
    <row r="451" spans="1:10">
      <c r="A451" t="s">
        <v>2458</v>
      </c>
      <c r="B451">
        <v>33</v>
      </c>
      <c r="C451" t="s">
        <v>7</v>
      </c>
      <c r="D451">
        <v>5</v>
      </c>
      <c r="E451">
        <v>37</v>
      </c>
      <c r="F451">
        <v>4.2000000000000002E-4</v>
      </c>
      <c r="G451">
        <v>0</v>
      </c>
      <c r="H451" t="s">
        <v>5089</v>
      </c>
      <c r="I451" t="s">
        <v>5097</v>
      </c>
      <c r="J451">
        <v>4.2000000000000002E-4</v>
      </c>
    </row>
    <row r="452" spans="1:10">
      <c r="A452" t="s">
        <v>2451</v>
      </c>
      <c r="B452">
        <v>31</v>
      </c>
      <c r="C452" t="s">
        <v>7</v>
      </c>
      <c r="D452">
        <v>2</v>
      </c>
      <c r="E452">
        <v>32</v>
      </c>
      <c r="F452">
        <v>1.9000000000000001E-4</v>
      </c>
      <c r="G452">
        <v>0</v>
      </c>
      <c r="H452" t="s">
        <v>5089</v>
      </c>
      <c r="I452" t="s">
        <v>5097</v>
      </c>
      <c r="J452">
        <v>1.9000000000000001E-4</v>
      </c>
    </row>
    <row r="453" spans="1:10">
      <c r="A453" t="s">
        <v>2445</v>
      </c>
      <c r="B453">
        <v>28</v>
      </c>
      <c r="C453" t="s">
        <v>7</v>
      </c>
      <c r="D453">
        <v>5</v>
      </c>
      <c r="E453">
        <v>32</v>
      </c>
      <c r="F453">
        <v>2.5999999999999998E-4</v>
      </c>
      <c r="G453">
        <v>0</v>
      </c>
      <c r="H453" t="s">
        <v>5089</v>
      </c>
      <c r="I453" t="s">
        <v>5097</v>
      </c>
      <c r="J453">
        <v>2.5999999999999998E-4</v>
      </c>
    </row>
    <row r="454" spans="1:10">
      <c r="A454" t="s">
        <v>2403</v>
      </c>
      <c r="B454">
        <v>32</v>
      </c>
      <c r="C454" t="s">
        <v>7</v>
      </c>
      <c r="D454">
        <v>7</v>
      </c>
      <c r="E454">
        <v>38</v>
      </c>
      <c r="F454">
        <v>5.2999999999999998E-4</v>
      </c>
      <c r="G454">
        <v>0</v>
      </c>
      <c r="H454" t="s">
        <v>5089</v>
      </c>
      <c r="I454" t="s">
        <v>5097</v>
      </c>
      <c r="J454">
        <v>5.2999999999999998E-4</v>
      </c>
    </row>
    <row r="455" spans="1:10">
      <c r="A455" t="s">
        <v>2402</v>
      </c>
      <c r="B455">
        <v>27</v>
      </c>
      <c r="C455" t="s">
        <v>7</v>
      </c>
      <c r="D455">
        <v>5</v>
      </c>
      <c r="E455">
        <v>31</v>
      </c>
      <c r="F455">
        <v>2.5999999999999998E-4</v>
      </c>
      <c r="G455">
        <v>0</v>
      </c>
      <c r="H455" t="s">
        <v>5089</v>
      </c>
      <c r="I455" t="s">
        <v>5097</v>
      </c>
      <c r="J455">
        <v>2.5999999999999998E-4</v>
      </c>
    </row>
    <row r="456" spans="1:10">
      <c r="A456" t="s">
        <v>2396</v>
      </c>
      <c r="B456">
        <v>32</v>
      </c>
      <c r="C456" t="s">
        <v>9</v>
      </c>
      <c r="D456">
        <v>1</v>
      </c>
      <c r="E456">
        <v>32</v>
      </c>
      <c r="F456">
        <v>2.3000000000000001E-4</v>
      </c>
      <c r="G456">
        <v>0</v>
      </c>
      <c r="H456" t="s">
        <v>5089</v>
      </c>
      <c r="I456" t="s">
        <v>5097</v>
      </c>
      <c r="J456">
        <v>2.3000000000000001E-4</v>
      </c>
    </row>
    <row r="457" spans="1:10">
      <c r="A457" t="s">
        <v>2385</v>
      </c>
      <c r="B457">
        <v>30</v>
      </c>
      <c r="C457" t="s">
        <v>9</v>
      </c>
      <c r="D457">
        <v>4</v>
      </c>
      <c r="E457">
        <v>33</v>
      </c>
      <c r="F457">
        <v>4.2999999999999999E-4</v>
      </c>
      <c r="G457">
        <v>0</v>
      </c>
      <c r="H457" t="s">
        <v>5089</v>
      </c>
      <c r="I457" t="s">
        <v>5097</v>
      </c>
      <c r="J457">
        <v>4.2999999999999999E-4</v>
      </c>
    </row>
    <row r="458" spans="1:10">
      <c r="A458" t="s">
        <v>2358</v>
      </c>
      <c r="B458">
        <v>35</v>
      </c>
      <c r="C458" t="s">
        <v>7</v>
      </c>
      <c r="D458">
        <v>3</v>
      </c>
      <c r="E458">
        <v>37</v>
      </c>
      <c r="F458">
        <v>3.5E-4</v>
      </c>
      <c r="G458">
        <v>0</v>
      </c>
      <c r="H458" t="s">
        <v>5089</v>
      </c>
      <c r="I458" t="s">
        <v>5097</v>
      </c>
      <c r="J458">
        <v>3.5E-4</v>
      </c>
    </row>
    <row r="459" spans="1:10">
      <c r="A459" t="s">
        <v>2349</v>
      </c>
      <c r="B459">
        <v>34</v>
      </c>
      <c r="C459" t="s">
        <v>9</v>
      </c>
      <c r="D459">
        <v>2</v>
      </c>
      <c r="E459">
        <v>35</v>
      </c>
      <c r="F459">
        <v>3.3E-4</v>
      </c>
      <c r="G459">
        <v>0</v>
      </c>
      <c r="H459" t="s">
        <v>5089</v>
      </c>
      <c r="I459" t="s">
        <v>5097</v>
      </c>
      <c r="J459">
        <v>3.3E-4</v>
      </c>
    </row>
    <row r="460" spans="1:10">
      <c r="A460" t="s">
        <v>1298</v>
      </c>
      <c r="B460">
        <v>34</v>
      </c>
      <c r="C460" t="s">
        <v>9</v>
      </c>
      <c r="D460">
        <v>3</v>
      </c>
      <c r="E460">
        <v>36</v>
      </c>
      <c r="F460">
        <v>4.6999999999999999E-4</v>
      </c>
      <c r="G460">
        <v>0</v>
      </c>
      <c r="H460" t="s">
        <v>5089</v>
      </c>
      <c r="I460" t="s">
        <v>5097</v>
      </c>
      <c r="J460">
        <v>4.6999999999999999E-4</v>
      </c>
    </row>
    <row r="461" spans="1:10">
      <c r="A461" t="s">
        <v>1309</v>
      </c>
      <c r="B461">
        <v>34</v>
      </c>
      <c r="C461" t="s">
        <v>7</v>
      </c>
      <c r="D461">
        <v>3</v>
      </c>
      <c r="E461">
        <v>36</v>
      </c>
      <c r="F461">
        <v>3.1E-4</v>
      </c>
      <c r="G461">
        <v>0</v>
      </c>
      <c r="H461" t="s">
        <v>5089</v>
      </c>
      <c r="I461" t="s">
        <v>5097</v>
      </c>
      <c r="J461">
        <v>3.1E-4</v>
      </c>
    </row>
    <row r="462" spans="1:10">
      <c r="A462" t="s">
        <v>1310</v>
      </c>
      <c r="B462">
        <v>29</v>
      </c>
      <c r="C462" t="s">
        <v>9</v>
      </c>
      <c r="D462">
        <v>6</v>
      </c>
      <c r="E462">
        <v>34</v>
      </c>
      <c r="F462">
        <v>5.1000000000000004E-4</v>
      </c>
      <c r="G462">
        <v>0</v>
      </c>
      <c r="H462" t="s">
        <v>5089</v>
      </c>
      <c r="I462" t="s">
        <v>5097</v>
      </c>
      <c r="J462">
        <v>5.1000000000000004E-4</v>
      </c>
    </row>
    <row r="463" spans="1:10">
      <c r="A463" t="s">
        <v>1314</v>
      </c>
      <c r="B463">
        <v>35</v>
      </c>
      <c r="C463" t="s">
        <v>9</v>
      </c>
      <c r="D463">
        <v>2</v>
      </c>
      <c r="E463">
        <v>36</v>
      </c>
      <c r="F463">
        <v>3.4000000000000002E-4</v>
      </c>
      <c r="G463">
        <v>0</v>
      </c>
      <c r="H463" t="s">
        <v>5089</v>
      </c>
      <c r="I463" t="s">
        <v>5097</v>
      </c>
      <c r="J463">
        <v>3.4000000000000002E-4</v>
      </c>
    </row>
    <row r="464" spans="1:10">
      <c r="A464" t="s">
        <v>1316</v>
      </c>
      <c r="B464">
        <v>29</v>
      </c>
      <c r="C464" t="s">
        <v>9</v>
      </c>
      <c r="D464">
        <v>2</v>
      </c>
      <c r="E464">
        <v>30</v>
      </c>
      <c r="F464">
        <v>3.1E-4</v>
      </c>
      <c r="G464">
        <v>0</v>
      </c>
      <c r="H464" t="s">
        <v>5089</v>
      </c>
      <c r="I464" t="s">
        <v>5097</v>
      </c>
      <c r="J464">
        <v>3.1E-4</v>
      </c>
    </row>
    <row r="465" spans="1:10">
      <c r="A465" t="s">
        <v>1324</v>
      </c>
      <c r="B465">
        <v>24</v>
      </c>
      <c r="C465" t="s">
        <v>9</v>
      </c>
      <c r="D465">
        <v>8</v>
      </c>
      <c r="E465">
        <v>31</v>
      </c>
      <c r="F465">
        <v>5.2999999999999998E-4</v>
      </c>
      <c r="G465">
        <v>0</v>
      </c>
      <c r="H465" t="s">
        <v>5089</v>
      </c>
      <c r="I465" t="s">
        <v>5097</v>
      </c>
      <c r="J465">
        <v>5.2999999999999998E-4</v>
      </c>
    </row>
    <row r="466" spans="1:10">
      <c r="A466" t="s">
        <v>2285</v>
      </c>
      <c r="B466">
        <v>25</v>
      </c>
      <c r="C466" t="s">
        <v>7</v>
      </c>
      <c r="D466">
        <v>7</v>
      </c>
      <c r="E466">
        <v>31</v>
      </c>
      <c r="F466">
        <v>3.2000000000000003E-4</v>
      </c>
      <c r="G466">
        <v>0</v>
      </c>
      <c r="H466" t="s">
        <v>5089</v>
      </c>
      <c r="I466" t="s">
        <v>5097</v>
      </c>
      <c r="J466">
        <v>3.2000000000000003E-4</v>
      </c>
    </row>
    <row r="467" spans="1:10">
      <c r="A467" t="s">
        <v>2272</v>
      </c>
      <c r="B467">
        <v>29</v>
      </c>
      <c r="C467" t="s">
        <v>7</v>
      </c>
      <c r="D467">
        <v>5</v>
      </c>
      <c r="E467">
        <v>33</v>
      </c>
      <c r="F467">
        <v>2.7E-4</v>
      </c>
      <c r="G467">
        <v>0</v>
      </c>
      <c r="H467" t="s">
        <v>5089</v>
      </c>
      <c r="I467" t="s">
        <v>5097</v>
      </c>
      <c r="J467">
        <v>2.7E-4</v>
      </c>
    </row>
    <row r="468" spans="1:10">
      <c r="A468" t="s">
        <v>1337</v>
      </c>
      <c r="B468">
        <v>32</v>
      </c>
      <c r="C468" t="s">
        <v>7</v>
      </c>
      <c r="D468">
        <v>1</v>
      </c>
      <c r="E468">
        <v>32</v>
      </c>
      <c r="F468">
        <v>1.2E-4</v>
      </c>
      <c r="G468">
        <v>0</v>
      </c>
      <c r="H468" t="s">
        <v>5089</v>
      </c>
      <c r="I468" t="s">
        <v>5097</v>
      </c>
      <c r="J468">
        <v>1.2E-4</v>
      </c>
    </row>
    <row r="469" spans="1:10">
      <c r="A469" t="s">
        <v>2257</v>
      </c>
      <c r="B469">
        <v>35</v>
      </c>
      <c r="C469" t="s">
        <v>9</v>
      </c>
      <c r="D469">
        <v>4</v>
      </c>
      <c r="E469">
        <v>38</v>
      </c>
      <c r="F469">
        <v>5.8E-4</v>
      </c>
      <c r="G469">
        <v>0</v>
      </c>
      <c r="H469" t="s">
        <v>5089</v>
      </c>
      <c r="I469" t="s">
        <v>5097</v>
      </c>
      <c r="J469">
        <v>5.8E-4</v>
      </c>
    </row>
    <row r="470" spans="1:10">
      <c r="A470" t="s">
        <v>2228</v>
      </c>
      <c r="B470">
        <v>34</v>
      </c>
      <c r="C470" t="s">
        <v>7</v>
      </c>
      <c r="D470">
        <v>5</v>
      </c>
      <c r="E470">
        <v>38</v>
      </c>
      <c r="F470">
        <v>4.6999999999999999E-4</v>
      </c>
      <c r="G470">
        <v>0</v>
      </c>
      <c r="H470" t="s">
        <v>5089</v>
      </c>
      <c r="I470" t="s">
        <v>5097</v>
      </c>
      <c r="J470">
        <v>4.6999999999999999E-4</v>
      </c>
    </row>
    <row r="471" spans="1:10">
      <c r="A471" t="s">
        <v>2227</v>
      </c>
      <c r="B471">
        <v>35</v>
      </c>
      <c r="C471" t="s">
        <v>7</v>
      </c>
      <c r="D471">
        <v>5</v>
      </c>
      <c r="E471">
        <v>39</v>
      </c>
      <c r="F471">
        <v>5.1999999999999995E-4</v>
      </c>
      <c r="G471">
        <v>0</v>
      </c>
      <c r="H471" t="s">
        <v>5089</v>
      </c>
      <c r="I471" t="s">
        <v>5097</v>
      </c>
      <c r="J471">
        <v>5.1999999999999995E-4</v>
      </c>
    </row>
    <row r="472" spans="1:10">
      <c r="A472" t="s">
        <v>1348</v>
      </c>
      <c r="B472">
        <v>26</v>
      </c>
      <c r="C472" t="s">
        <v>7</v>
      </c>
      <c r="D472">
        <v>7</v>
      </c>
      <c r="E472">
        <v>32</v>
      </c>
      <c r="F472">
        <v>3.3E-4</v>
      </c>
      <c r="G472">
        <v>0</v>
      </c>
      <c r="H472" t="s">
        <v>5089</v>
      </c>
      <c r="I472" t="s">
        <v>5097</v>
      </c>
      <c r="J472">
        <v>3.3E-4</v>
      </c>
    </row>
    <row r="473" spans="1:10">
      <c r="A473" t="s">
        <v>2217</v>
      </c>
      <c r="B473">
        <v>27</v>
      </c>
      <c r="C473" t="s">
        <v>7</v>
      </c>
      <c r="D473">
        <v>4</v>
      </c>
      <c r="E473">
        <v>30</v>
      </c>
      <c r="F473">
        <v>2.2000000000000001E-4</v>
      </c>
      <c r="G473">
        <v>0</v>
      </c>
      <c r="H473" t="s">
        <v>5089</v>
      </c>
      <c r="I473" t="s">
        <v>5097</v>
      </c>
      <c r="J473">
        <v>2.2000000000000001E-4</v>
      </c>
    </row>
    <row r="474" spans="1:10">
      <c r="A474" t="s">
        <v>2210</v>
      </c>
      <c r="B474">
        <v>30</v>
      </c>
      <c r="C474" t="s">
        <v>7</v>
      </c>
      <c r="D474">
        <v>6</v>
      </c>
      <c r="E474">
        <v>35</v>
      </c>
      <c r="F474">
        <v>3.5E-4</v>
      </c>
      <c r="G474">
        <v>0</v>
      </c>
      <c r="H474" t="s">
        <v>5089</v>
      </c>
      <c r="I474" t="s">
        <v>5097</v>
      </c>
      <c r="J474">
        <v>3.5E-4</v>
      </c>
    </row>
    <row r="475" spans="1:10">
      <c r="A475" t="s">
        <v>2185</v>
      </c>
      <c r="B475">
        <v>32</v>
      </c>
      <c r="C475" t="s">
        <v>9</v>
      </c>
      <c r="D475">
        <v>3</v>
      </c>
      <c r="E475">
        <v>34</v>
      </c>
      <c r="F475">
        <v>4.0999999999999999E-4</v>
      </c>
      <c r="G475">
        <v>0</v>
      </c>
      <c r="H475" t="s">
        <v>5089</v>
      </c>
      <c r="I475" t="s">
        <v>5097</v>
      </c>
      <c r="J475">
        <v>4.0999999999999999E-4</v>
      </c>
    </row>
    <row r="476" spans="1:10">
      <c r="A476" t="s">
        <v>2174</v>
      </c>
      <c r="B476">
        <v>31</v>
      </c>
      <c r="C476" t="s">
        <v>9</v>
      </c>
      <c r="D476">
        <v>7</v>
      </c>
      <c r="E476">
        <v>37</v>
      </c>
      <c r="F476">
        <v>6.0999999999999997E-4</v>
      </c>
      <c r="G476">
        <v>0</v>
      </c>
      <c r="H476" t="s">
        <v>5089</v>
      </c>
      <c r="I476" t="s">
        <v>5097</v>
      </c>
      <c r="J476">
        <v>6.0999999999999997E-4</v>
      </c>
    </row>
    <row r="477" spans="1:10">
      <c r="A477" t="s">
        <v>2136</v>
      </c>
      <c r="B477">
        <v>29</v>
      </c>
      <c r="C477" t="s">
        <v>9</v>
      </c>
      <c r="D477">
        <v>4</v>
      </c>
      <c r="E477">
        <v>32</v>
      </c>
      <c r="F477">
        <v>4.0999999999999999E-4</v>
      </c>
      <c r="G477">
        <v>0</v>
      </c>
      <c r="H477" t="s">
        <v>5089</v>
      </c>
      <c r="I477" t="s">
        <v>5097</v>
      </c>
      <c r="J477">
        <v>4.0999999999999999E-4</v>
      </c>
    </row>
    <row r="478" spans="1:10">
      <c r="A478" t="s">
        <v>2132</v>
      </c>
      <c r="B478">
        <v>29</v>
      </c>
      <c r="C478" t="s">
        <v>9</v>
      </c>
      <c r="D478">
        <v>2</v>
      </c>
      <c r="E478">
        <v>30</v>
      </c>
      <c r="F478">
        <v>3.1E-4</v>
      </c>
      <c r="G478">
        <v>0</v>
      </c>
      <c r="H478" t="s">
        <v>5089</v>
      </c>
      <c r="I478" t="s">
        <v>5097</v>
      </c>
      <c r="J478">
        <v>3.1E-4</v>
      </c>
    </row>
    <row r="479" spans="1:10">
      <c r="A479" t="s">
        <v>2125</v>
      </c>
      <c r="B479">
        <v>29</v>
      </c>
      <c r="C479" t="s">
        <v>9</v>
      </c>
      <c r="D479">
        <v>9</v>
      </c>
      <c r="E479">
        <v>37</v>
      </c>
      <c r="F479">
        <v>6.9999999999999999E-4</v>
      </c>
      <c r="G479">
        <v>0</v>
      </c>
      <c r="H479" t="s">
        <v>5089</v>
      </c>
      <c r="I479" t="s">
        <v>5097</v>
      </c>
      <c r="J479">
        <v>6.9999999999999999E-4</v>
      </c>
    </row>
    <row r="480" spans="1:10">
      <c r="A480" t="s">
        <v>2124</v>
      </c>
      <c r="B480">
        <v>28</v>
      </c>
      <c r="C480" t="s">
        <v>9</v>
      </c>
      <c r="D480">
        <v>3</v>
      </c>
      <c r="E480">
        <v>30</v>
      </c>
      <c r="F480">
        <v>3.4000000000000002E-4</v>
      </c>
      <c r="G480">
        <v>0</v>
      </c>
      <c r="H480" t="s">
        <v>5089</v>
      </c>
      <c r="I480" t="s">
        <v>5097</v>
      </c>
      <c r="J480">
        <v>3.4000000000000002E-4</v>
      </c>
    </row>
    <row r="481" spans="1:10">
      <c r="A481" t="s">
        <v>2103</v>
      </c>
      <c r="B481">
        <v>30</v>
      </c>
      <c r="C481" t="s">
        <v>9</v>
      </c>
      <c r="D481">
        <v>2</v>
      </c>
      <c r="E481">
        <v>31</v>
      </c>
      <c r="F481">
        <v>2.9E-4</v>
      </c>
      <c r="G481">
        <v>0</v>
      </c>
      <c r="H481" t="s">
        <v>5089</v>
      </c>
      <c r="I481" t="s">
        <v>5097</v>
      </c>
      <c r="J481">
        <v>2.9E-4</v>
      </c>
    </row>
    <row r="482" spans="1:10">
      <c r="A482" t="s">
        <v>2097</v>
      </c>
      <c r="B482">
        <v>28</v>
      </c>
      <c r="C482" t="s">
        <v>9</v>
      </c>
      <c r="D482">
        <v>9</v>
      </c>
      <c r="E482">
        <v>36</v>
      </c>
      <c r="F482">
        <v>6.4999999999999997E-4</v>
      </c>
      <c r="G482">
        <v>0</v>
      </c>
      <c r="H482" t="s">
        <v>5089</v>
      </c>
      <c r="I482" t="s">
        <v>5097</v>
      </c>
      <c r="J482">
        <v>6.4999999999999997E-4</v>
      </c>
    </row>
    <row r="483" spans="1:10">
      <c r="A483" t="s">
        <v>2075</v>
      </c>
      <c r="B483">
        <v>39</v>
      </c>
      <c r="C483" t="s">
        <v>7</v>
      </c>
      <c r="D483">
        <v>1</v>
      </c>
      <c r="E483">
        <v>39</v>
      </c>
      <c r="F483">
        <v>2.2000000000000001E-4</v>
      </c>
      <c r="G483">
        <v>0</v>
      </c>
      <c r="H483" t="s">
        <v>5089</v>
      </c>
      <c r="I483" t="s">
        <v>5097</v>
      </c>
      <c r="J483">
        <v>2.2000000000000001E-4</v>
      </c>
    </row>
    <row r="484" spans="1:10">
      <c r="A484" t="s">
        <v>2070</v>
      </c>
      <c r="B484">
        <v>31</v>
      </c>
      <c r="C484" t="s">
        <v>7</v>
      </c>
      <c r="D484">
        <v>7</v>
      </c>
      <c r="E484">
        <v>37</v>
      </c>
      <c r="F484">
        <v>4.8000000000000001E-4</v>
      </c>
      <c r="G484">
        <v>0</v>
      </c>
      <c r="H484" t="s">
        <v>5089</v>
      </c>
      <c r="I484" t="s">
        <v>5097</v>
      </c>
      <c r="J484">
        <v>4.8000000000000001E-4</v>
      </c>
    </row>
    <row r="485" spans="1:10">
      <c r="A485" t="s">
        <v>2064</v>
      </c>
      <c r="B485">
        <v>28</v>
      </c>
      <c r="C485" t="s">
        <v>9</v>
      </c>
      <c r="D485">
        <v>8</v>
      </c>
      <c r="E485">
        <v>35</v>
      </c>
      <c r="F485">
        <v>5.9000000000000003E-4</v>
      </c>
      <c r="G485">
        <v>0</v>
      </c>
      <c r="H485" t="s">
        <v>5089</v>
      </c>
      <c r="I485" t="s">
        <v>5097</v>
      </c>
      <c r="J485">
        <v>5.9000000000000003E-4</v>
      </c>
    </row>
    <row r="486" spans="1:10">
      <c r="A486" t="s">
        <v>1416</v>
      </c>
      <c r="B486">
        <v>25</v>
      </c>
      <c r="C486" t="s">
        <v>9</v>
      </c>
      <c r="D486">
        <v>6</v>
      </c>
      <c r="E486">
        <v>30</v>
      </c>
      <c r="F486">
        <v>4.4000000000000002E-4</v>
      </c>
      <c r="G486">
        <v>0</v>
      </c>
      <c r="H486" t="s">
        <v>5089</v>
      </c>
      <c r="I486" t="s">
        <v>5097</v>
      </c>
      <c r="J486">
        <v>4.4000000000000002E-4</v>
      </c>
    </row>
    <row r="487" spans="1:10">
      <c r="A487" t="s">
        <v>2058</v>
      </c>
      <c r="B487">
        <v>32</v>
      </c>
      <c r="C487" t="s">
        <v>9</v>
      </c>
      <c r="D487">
        <v>6</v>
      </c>
      <c r="E487">
        <v>37</v>
      </c>
      <c r="F487">
        <v>5.9000000000000003E-4</v>
      </c>
      <c r="G487">
        <v>0</v>
      </c>
      <c r="H487" t="s">
        <v>5089</v>
      </c>
      <c r="I487" t="s">
        <v>5097</v>
      </c>
      <c r="J487">
        <v>5.9000000000000003E-4</v>
      </c>
    </row>
    <row r="488" spans="1:10">
      <c r="A488" t="s">
        <v>1422</v>
      </c>
      <c r="B488">
        <v>25</v>
      </c>
      <c r="C488" t="s">
        <v>9</v>
      </c>
      <c r="D488">
        <v>7</v>
      </c>
      <c r="E488">
        <v>31</v>
      </c>
      <c r="F488">
        <v>4.8000000000000001E-4</v>
      </c>
      <c r="G488">
        <v>0</v>
      </c>
      <c r="H488" t="s">
        <v>5089</v>
      </c>
      <c r="I488" t="s">
        <v>5097</v>
      </c>
      <c r="J488">
        <v>4.8000000000000001E-4</v>
      </c>
    </row>
    <row r="489" spans="1:10">
      <c r="A489" t="s">
        <v>2037</v>
      </c>
      <c r="B489">
        <v>36</v>
      </c>
      <c r="C489" t="s">
        <v>9</v>
      </c>
      <c r="D489">
        <v>2</v>
      </c>
      <c r="E489">
        <v>37</v>
      </c>
      <c r="F489">
        <v>3.6000000000000002E-4</v>
      </c>
      <c r="G489">
        <v>0</v>
      </c>
      <c r="H489" t="s">
        <v>5089</v>
      </c>
      <c r="I489" t="s">
        <v>5097</v>
      </c>
      <c r="J489">
        <v>3.6000000000000002E-4</v>
      </c>
    </row>
    <row r="490" spans="1:10">
      <c r="A490" t="s">
        <v>2028</v>
      </c>
      <c r="B490">
        <v>30</v>
      </c>
      <c r="C490" t="s">
        <v>7</v>
      </c>
      <c r="D490">
        <v>1</v>
      </c>
      <c r="E490">
        <v>30</v>
      </c>
      <c r="F490">
        <v>1.2E-4</v>
      </c>
      <c r="G490">
        <v>0</v>
      </c>
      <c r="H490" t="s">
        <v>5089</v>
      </c>
      <c r="I490" t="s">
        <v>5097</v>
      </c>
      <c r="J490">
        <v>1.2E-4</v>
      </c>
    </row>
    <row r="491" spans="1:10">
      <c r="A491" t="s">
        <v>1437</v>
      </c>
      <c r="B491">
        <v>39</v>
      </c>
      <c r="C491" t="s">
        <v>9</v>
      </c>
      <c r="D491">
        <v>1</v>
      </c>
      <c r="E491">
        <v>39</v>
      </c>
      <c r="F491">
        <v>2.9E-4</v>
      </c>
      <c r="G491">
        <v>0</v>
      </c>
      <c r="H491" t="s">
        <v>5089</v>
      </c>
      <c r="I491" t="s">
        <v>5097</v>
      </c>
      <c r="J491">
        <v>2.9E-4</v>
      </c>
    </row>
    <row r="492" spans="1:10">
      <c r="A492" t="s">
        <v>1440</v>
      </c>
      <c r="B492">
        <v>39</v>
      </c>
      <c r="C492" t="s">
        <v>7</v>
      </c>
      <c r="D492">
        <v>1</v>
      </c>
      <c r="E492">
        <v>39</v>
      </c>
      <c r="F492">
        <v>2.2000000000000001E-4</v>
      </c>
      <c r="G492">
        <v>0</v>
      </c>
      <c r="H492" t="s">
        <v>5089</v>
      </c>
      <c r="I492" t="s">
        <v>5097</v>
      </c>
      <c r="J492">
        <v>2.2000000000000001E-4</v>
      </c>
    </row>
    <row r="493" spans="1:10">
      <c r="A493" t="s">
        <v>1997</v>
      </c>
      <c r="B493">
        <v>30</v>
      </c>
      <c r="C493" t="s">
        <v>9</v>
      </c>
      <c r="D493">
        <v>3</v>
      </c>
      <c r="E493">
        <v>32</v>
      </c>
      <c r="F493">
        <v>3.6999999999999999E-4</v>
      </c>
      <c r="G493">
        <v>0</v>
      </c>
      <c r="H493" t="s">
        <v>5089</v>
      </c>
      <c r="I493" t="s">
        <v>5097</v>
      </c>
      <c r="J493">
        <v>3.6999999999999999E-4</v>
      </c>
    </row>
    <row r="494" spans="1:10">
      <c r="A494" t="s">
        <v>1453</v>
      </c>
      <c r="B494">
        <v>34</v>
      </c>
      <c r="C494" t="s">
        <v>9</v>
      </c>
      <c r="D494">
        <v>3</v>
      </c>
      <c r="E494">
        <v>36</v>
      </c>
      <c r="F494">
        <v>4.6999999999999999E-4</v>
      </c>
      <c r="G494">
        <v>0</v>
      </c>
      <c r="H494" t="s">
        <v>5089</v>
      </c>
      <c r="I494" t="s">
        <v>5097</v>
      </c>
      <c r="J494">
        <v>4.6999999999999999E-4</v>
      </c>
    </row>
    <row r="495" spans="1:10">
      <c r="A495" t="s">
        <v>1458</v>
      </c>
      <c r="B495">
        <v>31</v>
      </c>
      <c r="C495" t="s">
        <v>7</v>
      </c>
      <c r="D495">
        <v>7</v>
      </c>
      <c r="E495">
        <v>37</v>
      </c>
      <c r="F495">
        <v>4.8000000000000001E-4</v>
      </c>
      <c r="G495">
        <v>0</v>
      </c>
      <c r="H495" t="s">
        <v>5089</v>
      </c>
      <c r="I495" t="s">
        <v>5097</v>
      </c>
      <c r="J495">
        <v>4.8000000000000001E-4</v>
      </c>
    </row>
    <row r="496" spans="1:10">
      <c r="A496" t="s">
        <v>1973</v>
      </c>
      <c r="B496">
        <v>36</v>
      </c>
      <c r="C496" t="s">
        <v>9</v>
      </c>
      <c r="D496">
        <v>2</v>
      </c>
      <c r="E496">
        <v>37</v>
      </c>
      <c r="F496">
        <v>3.6000000000000002E-4</v>
      </c>
      <c r="G496">
        <v>0</v>
      </c>
      <c r="H496" t="s">
        <v>5089</v>
      </c>
      <c r="I496" t="s">
        <v>5097</v>
      </c>
      <c r="J496">
        <v>3.6000000000000002E-4</v>
      </c>
    </row>
    <row r="497" spans="1:10">
      <c r="A497" t="s">
        <v>1967</v>
      </c>
      <c r="B497">
        <v>34</v>
      </c>
      <c r="C497" t="s">
        <v>7</v>
      </c>
      <c r="D497">
        <v>5</v>
      </c>
      <c r="E497">
        <v>38</v>
      </c>
      <c r="F497">
        <v>4.6999999999999999E-4</v>
      </c>
      <c r="G497">
        <v>0</v>
      </c>
      <c r="H497" t="s">
        <v>5089</v>
      </c>
      <c r="I497" t="s">
        <v>5097</v>
      </c>
      <c r="J497">
        <v>4.6999999999999999E-4</v>
      </c>
    </row>
    <row r="498" spans="1:10">
      <c r="A498" t="s">
        <v>1959</v>
      </c>
      <c r="B498">
        <v>33</v>
      </c>
      <c r="C498" t="s">
        <v>7</v>
      </c>
      <c r="D498">
        <v>5</v>
      </c>
      <c r="E498">
        <v>37</v>
      </c>
      <c r="F498">
        <v>4.2000000000000002E-4</v>
      </c>
      <c r="G498">
        <v>0</v>
      </c>
      <c r="H498" t="s">
        <v>5089</v>
      </c>
      <c r="I498" t="s">
        <v>5097</v>
      </c>
      <c r="J498">
        <v>4.2000000000000002E-4</v>
      </c>
    </row>
    <row r="499" spans="1:10">
      <c r="A499" t="s">
        <v>1939</v>
      </c>
      <c r="B499">
        <v>34</v>
      </c>
      <c r="C499" t="s">
        <v>7</v>
      </c>
      <c r="D499">
        <v>1</v>
      </c>
      <c r="E499">
        <v>34</v>
      </c>
      <c r="F499">
        <v>1.3999999999999999E-4</v>
      </c>
      <c r="G499">
        <v>0</v>
      </c>
      <c r="H499" t="s">
        <v>5089</v>
      </c>
      <c r="I499" t="s">
        <v>5097</v>
      </c>
      <c r="J499">
        <v>1.3999999999999999E-4</v>
      </c>
    </row>
    <row r="500" spans="1:10">
      <c r="A500" t="s">
        <v>1936</v>
      </c>
      <c r="B500">
        <v>32</v>
      </c>
      <c r="C500" t="s">
        <v>7</v>
      </c>
      <c r="D500">
        <v>6</v>
      </c>
      <c r="E500">
        <v>37</v>
      </c>
      <c r="F500">
        <v>4.4999999999999999E-4</v>
      </c>
      <c r="G500">
        <v>0</v>
      </c>
      <c r="H500" t="s">
        <v>5089</v>
      </c>
      <c r="I500" t="s">
        <v>5097</v>
      </c>
      <c r="J500">
        <v>4.4999999999999999E-4</v>
      </c>
    </row>
    <row r="501" spans="1:10">
      <c r="A501" t="s">
        <v>1928</v>
      </c>
      <c r="B501">
        <v>25</v>
      </c>
      <c r="C501" t="s">
        <v>7</v>
      </c>
      <c r="D501">
        <v>7</v>
      </c>
      <c r="E501">
        <v>31</v>
      </c>
      <c r="F501">
        <v>3.2000000000000003E-4</v>
      </c>
      <c r="G501">
        <v>0</v>
      </c>
      <c r="H501" t="s">
        <v>5089</v>
      </c>
      <c r="I501" t="s">
        <v>5097</v>
      </c>
      <c r="J501">
        <v>3.2000000000000003E-4</v>
      </c>
    </row>
    <row r="502" spans="1:10">
      <c r="A502" t="s">
        <v>1908</v>
      </c>
      <c r="B502">
        <v>31</v>
      </c>
      <c r="C502" t="s">
        <v>7</v>
      </c>
      <c r="D502">
        <v>7</v>
      </c>
      <c r="E502">
        <v>37</v>
      </c>
      <c r="F502">
        <v>4.8000000000000001E-4</v>
      </c>
      <c r="G502">
        <v>0</v>
      </c>
      <c r="H502" t="s">
        <v>5089</v>
      </c>
      <c r="I502" t="s">
        <v>5097</v>
      </c>
      <c r="J502">
        <v>4.8000000000000001E-4</v>
      </c>
    </row>
    <row r="503" spans="1:10">
      <c r="A503" t="s">
        <v>1906</v>
      </c>
      <c r="B503">
        <v>29</v>
      </c>
      <c r="C503" t="s">
        <v>9</v>
      </c>
      <c r="D503">
        <v>6</v>
      </c>
      <c r="E503">
        <v>34</v>
      </c>
      <c r="F503">
        <v>5.1000000000000004E-4</v>
      </c>
      <c r="G503">
        <v>0</v>
      </c>
      <c r="H503" t="s">
        <v>5089</v>
      </c>
      <c r="I503" t="s">
        <v>5097</v>
      </c>
      <c r="J503">
        <v>5.1000000000000004E-4</v>
      </c>
    </row>
    <row r="504" spans="1:10">
      <c r="A504" t="s">
        <v>1491</v>
      </c>
      <c r="B504">
        <v>28</v>
      </c>
      <c r="C504" t="s">
        <v>7</v>
      </c>
      <c r="D504">
        <v>6</v>
      </c>
      <c r="E504">
        <v>33</v>
      </c>
      <c r="F504">
        <v>2.9999999999999997E-4</v>
      </c>
      <c r="G504">
        <v>0</v>
      </c>
      <c r="H504" t="s">
        <v>5089</v>
      </c>
      <c r="I504" t="s">
        <v>5097</v>
      </c>
      <c r="J504">
        <v>2.9999999999999997E-4</v>
      </c>
    </row>
    <row r="505" spans="1:10">
      <c r="A505" t="s">
        <v>1502</v>
      </c>
      <c r="B505">
        <v>32</v>
      </c>
      <c r="C505" t="s">
        <v>7</v>
      </c>
      <c r="D505">
        <v>7</v>
      </c>
      <c r="E505">
        <v>38</v>
      </c>
      <c r="F505">
        <v>5.2999999999999998E-4</v>
      </c>
      <c r="G505">
        <v>0</v>
      </c>
      <c r="H505" t="s">
        <v>5089</v>
      </c>
      <c r="I505" t="s">
        <v>5097</v>
      </c>
      <c r="J505">
        <v>5.2999999999999998E-4</v>
      </c>
    </row>
    <row r="506" spans="1:10">
      <c r="A506" t="s">
        <v>1515</v>
      </c>
      <c r="B506">
        <v>39</v>
      </c>
      <c r="C506" t="s">
        <v>9</v>
      </c>
      <c r="D506">
        <v>1</v>
      </c>
      <c r="E506">
        <v>39</v>
      </c>
      <c r="F506">
        <v>2.9E-4</v>
      </c>
      <c r="G506">
        <v>0</v>
      </c>
      <c r="H506" t="s">
        <v>5089</v>
      </c>
      <c r="I506" t="s">
        <v>5097</v>
      </c>
      <c r="J506">
        <v>2.9E-4</v>
      </c>
    </row>
    <row r="507" spans="1:10">
      <c r="A507" t="s">
        <v>1519</v>
      </c>
      <c r="B507">
        <v>29</v>
      </c>
      <c r="C507" t="s">
        <v>9</v>
      </c>
      <c r="D507">
        <v>5</v>
      </c>
      <c r="E507">
        <v>33</v>
      </c>
      <c r="F507">
        <v>4.6000000000000001E-4</v>
      </c>
      <c r="G507">
        <v>0</v>
      </c>
      <c r="H507" t="s">
        <v>5089</v>
      </c>
      <c r="I507" t="s">
        <v>5097</v>
      </c>
      <c r="J507">
        <v>4.6000000000000001E-4</v>
      </c>
    </row>
    <row r="508" spans="1:10">
      <c r="A508" t="s">
        <v>1833</v>
      </c>
      <c r="B508">
        <v>32</v>
      </c>
      <c r="C508" t="s">
        <v>7</v>
      </c>
      <c r="D508">
        <v>4</v>
      </c>
      <c r="E508">
        <v>35</v>
      </c>
      <c r="F508">
        <v>2.9999999999999997E-4</v>
      </c>
      <c r="G508">
        <v>0</v>
      </c>
      <c r="H508" t="s">
        <v>5089</v>
      </c>
      <c r="I508" t="s">
        <v>5097</v>
      </c>
      <c r="J508">
        <v>2.9999999999999997E-4</v>
      </c>
    </row>
    <row r="509" spans="1:10">
      <c r="A509" t="s">
        <v>1531</v>
      </c>
      <c r="B509">
        <v>34</v>
      </c>
      <c r="C509" t="s">
        <v>9</v>
      </c>
      <c r="D509">
        <v>5</v>
      </c>
      <c r="E509">
        <v>38</v>
      </c>
      <c r="F509">
        <v>6.0999999999999997E-4</v>
      </c>
      <c r="G509">
        <v>0</v>
      </c>
      <c r="H509" t="s">
        <v>5089</v>
      </c>
      <c r="I509" t="s">
        <v>5097</v>
      </c>
      <c r="J509">
        <v>6.0999999999999997E-4</v>
      </c>
    </row>
    <row r="510" spans="1:10">
      <c r="A510" t="s">
        <v>1533</v>
      </c>
      <c r="B510">
        <v>25</v>
      </c>
      <c r="C510" t="s">
        <v>9</v>
      </c>
      <c r="D510">
        <v>8</v>
      </c>
      <c r="E510">
        <v>32</v>
      </c>
      <c r="F510">
        <v>5.2999999999999998E-4</v>
      </c>
      <c r="G510">
        <v>0</v>
      </c>
      <c r="H510" t="s">
        <v>5089</v>
      </c>
      <c r="I510" t="s">
        <v>5097</v>
      </c>
      <c r="J510">
        <v>5.2999999999999998E-4</v>
      </c>
    </row>
    <row r="511" spans="1:10">
      <c r="A511" t="s">
        <v>1534</v>
      </c>
      <c r="B511">
        <v>29</v>
      </c>
      <c r="C511" t="s">
        <v>9</v>
      </c>
      <c r="D511">
        <v>5</v>
      </c>
      <c r="E511">
        <v>33</v>
      </c>
      <c r="F511">
        <v>4.6000000000000001E-4</v>
      </c>
      <c r="G511">
        <v>0</v>
      </c>
      <c r="H511" t="s">
        <v>5089</v>
      </c>
      <c r="I511" t="s">
        <v>5097</v>
      </c>
      <c r="J511">
        <v>4.6000000000000001E-4</v>
      </c>
    </row>
    <row r="512" spans="1:10">
      <c r="A512" t="s">
        <v>1803</v>
      </c>
      <c r="B512">
        <v>32</v>
      </c>
      <c r="C512" t="s">
        <v>7</v>
      </c>
      <c r="D512">
        <v>1</v>
      </c>
      <c r="E512">
        <v>32</v>
      </c>
      <c r="F512">
        <v>1.2E-4</v>
      </c>
      <c r="G512">
        <v>0</v>
      </c>
      <c r="H512" t="s">
        <v>5089</v>
      </c>
      <c r="I512" t="s">
        <v>5097</v>
      </c>
      <c r="J512">
        <v>1.2E-4</v>
      </c>
    </row>
    <row r="513" spans="1:10">
      <c r="A513" t="s">
        <v>1548</v>
      </c>
      <c r="B513">
        <v>38</v>
      </c>
      <c r="C513" t="s">
        <v>9</v>
      </c>
      <c r="D513">
        <v>1</v>
      </c>
      <c r="E513">
        <v>38</v>
      </c>
      <c r="F513">
        <v>2.7E-4</v>
      </c>
      <c r="G513">
        <v>0</v>
      </c>
      <c r="H513" t="s">
        <v>5089</v>
      </c>
      <c r="I513" t="s">
        <v>5097</v>
      </c>
      <c r="J513">
        <v>2.7E-4</v>
      </c>
    </row>
    <row r="514" spans="1:10">
      <c r="A514" t="s">
        <v>1554</v>
      </c>
      <c r="B514">
        <v>30</v>
      </c>
      <c r="C514" t="s">
        <v>9</v>
      </c>
      <c r="D514">
        <v>2</v>
      </c>
      <c r="E514">
        <v>31</v>
      </c>
      <c r="F514">
        <v>2.9E-4</v>
      </c>
      <c r="G514">
        <v>0</v>
      </c>
      <c r="H514" t="s">
        <v>5089</v>
      </c>
      <c r="I514" t="s">
        <v>5097</v>
      </c>
      <c r="J514">
        <v>2.9E-4</v>
      </c>
    </row>
    <row r="515" spans="1:10">
      <c r="A515" t="s">
        <v>1751</v>
      </c>
      <c r="B515">
        <v>31</v>
      </c>
      <c r="C515" t="s">
        <v>7</v>
      </c>
      <c r="D515">
        <v>9</v>
      </c>
      <c r="E515">
        <v>39</v>
      </c>
      <c r="F515">
        <v>6.6E-4</v>
      </c>
      <c r="G515">
        <v>0</v>
      </c>
      <c r="H515" t="s">
        <v>5089</v>
      </c>
      <c r="I515" t="s">
        <v>5097</v>
      </c>
      <c r="J515">
        <v>6.6E-4</v>
      </c>
    </row>
    <row r="516" spans="1:10">
      <c r="A516" t="s">
        <v>1744</v>
      </c>
      <c r="B516">
        <v>36</v>
      </c>
      <c r="C516" t="s">
        <v>7</v>
      </c>
      <c r="D516">
        <v>2</v>
      </c>
      <c r="E516">
        <v>37</v>
      </c>
      <c r="F516">
        <v>2.7E-4</v>
      </c>
      <c r="G516">
        <v>0</v>
      </c>
      <c r="H516" t="s">
        <v>5089</v>
      </c>
      <c r="I516" t="s">
        <v>5097</v>
      </c>
      <c r="J516">
        <v>2.7E-4</v>
      </c>
    </row>
    <row r="517" spans="1:10">
      <c r="A517" t="s">
        <v>1572</v>
      </c>
      <c r="B517">
        <v>28</v>
      </c>
      <c r="C517" t="s">
        <v>7</v>
      </c>
      <c r="D517">
        <v>7</v>
      </c>
      <c r="E517">
        <v>34</v>
      </c>
      <c r="F517">
        <v>3.6000000000000002E-4</v>
      </c>
      <c r="G517">
        <v>0</v>
      </c>
      <c r="H517" t="s">
        <v>5089</v>
      </c>
      <c r="I517" t="s">
        <v>5097</v>
      </c>
      <c r="J517">
        <v>3.6000000000000002E-4</v>
      </c>
    </row>
    <row r="518" spans="1:10">
      <c r="A518" t="s">
        <v>1712</v>
      </c>
      <c r="B518">
        <v>32</v>
      </c>
      <c r="C518" t="s">
        <v>7</v>
      </c>
      <c r="D518">
        <v>7</v>
      </c>
      <c r="E518">
        <v>38</v>
      </c>
      <c r="F518">
        <v>5.2999999999999998E-4</v>
      </c>
      <c r="G518">
        <v>0</v>
      </c>
      <c r="H518" t="s">
        <v>5089</v>
      </c>
      <c r="I518" t="s">
        <v>5097</v>
      </c>
      <c r="J518">
        <v>5.2999999999999998E-4</v>
      </c>
    </row>
    <row r="519" spans="1:10">
      <c r="A519" t="s">
        <v>1581</v>
      </c>
      <c r="B519">
        <v>32</v>
      </c>
      <c r="C519" t="s">
        <v>9</v>
      </c>
      <c r="D519">
        <v>4</v>
      </c>
      <c r="E519">
        <v>35</v>
      </c>
      <c r="F519">
        <v>4.8999999999999998E-4</v>
      </c>
      <c r="G519">
        <v>0</v>
      </c>
      <c r="H519" t="s">
        <v>5089</v>
      </c>
      <c r="I519" t="s">
        <v>5097</v>
      </c>
      <c r="J519">
        <v>4.8999999999999998E-4</v>
      </c>
    </row>
    <row r="520" spans="1:10">
      <c r="A520" t="s">
        <v>1587</v>
      </c>
      <c r="B520">
        <v>28</v>
      </c>
      <c r="C520" t="s">
        <v>9</v>
      </c>
      <c r="D520">
        <v>6</v>
      </c>
      <c r="E520">
        <v>33</v>
      </c>
      <c r="F520">
        <v>4.6000000000000001E-4</v>
      </c>
      <c r="G520">
        <v>0</v>
      </c>
      <c r="H520" t="s">
        <v>5089</v>
      </c>
      <c r="I520" t="s">
        <v>5097</v>
      </c>
      <c r="J520">
        <v>4.6000000000000001E-4</v>
      </c>
    </row>
    <row r="521" spans="1:10">
      <c r="A521" t="s">
        <v>1690</v>
      </c>
      <c r="B521">
        <v>34</v>
      </c>
      <c r="C521" t="s">
        <v>7</v>
      </c>
      <c r="D521">
        <v>5</v>
      </c>
      <c r="E521">
        <v>38</v>
      </c>
      <c r="F521">
        <v>4.6999999999999999E-4</v>
      </c>
      <c r="G521">
        <v>0</v>
      </c>
      <c r="H521" t="s">
        <v>5089</v>
      </c>
      <c r="I521" t="s">
        <v>5097</v>
      </c>
      <c r="J521">
        <v>4.6999999999999999E-4</v>
      </c>
    </row>
    <row r="522" spans="1:10">
      <c r="A522" t="s">
        <v>1668</v>
      </c>
      <c r="B522">
        <v>28</v>
      </c>
      <c r="C522" t="s">
        <v>7</v>
      </c>
      <c r="D522">
        <v>7</v>
      </c>
      <c r="E522">
        <v>34</v>
      </c>
      <c r="F522">
        <v>3.6000000000000002E-4</v>
      </c>
      <c r="G522">
        <v>0</v>
      </c>
      <c r="H522" t="s">
        <v>5089</v>
      </c>
      <c r="I522" t="s">
        <v>5097</v>
      </c>
      <c r="J522">
        <v>3.6000000000000002E-4</v>
      </c>
    </row>
    <row r="523" spans="1:10">
      <c r="A523" t="s">
        <v>1613</v>
      </c>
      <c r="B523">
        <v>29</v>
      </c>
      <c r="C523" t="s">
        <v>7</v>
      </c>
      <c r="D523">
        <v>6</v>
      </c>
      <c r="E523">
        <v>34</v>
      </c>
      <c r="F523">
        <v>3.2000000000000003E-4</v>
      </c>
      <c r="G523">
        <v>0</v>
      </c>
      <c r="H523" t="s">
        <v>5089</v>
      </c>
      <c r="I523" t="s">
        <v>5097</v>
      </c>
      <c r="J523">
        <v>3.2000000000000003E-4</v>
      </c>
    </row>
    <row r="524" spans="1:10">
      <c r="A524" t="s">
        <v>1622</v>
      </c>
      <c r="B524">
        <v>33</v>
      </c>
      <c r="C524" t="s">
        <v>9</v>
      </c>
      <c r="D524">
        <v>2</v>
      </c>
      <c r="E524">
        <v>34</v>
      </c>
      <c r="F524">
        <v>3.1E-4</v>
      </c>
      <c r="G524">
        <v>0</v>
      </c>
      <c r="H524" t="s">
        <v>5089</v>
      </c>
      <c r="I524" t="s">
        <v>5097</v>
      </c>
      <c r="J524">
        <v>3.1E-4</v>
      </c>
    </row>
    <row r="525" spans="1:10">
      <c r="A525" t="s">
        <v>1616</v>
      </c>
      <c r="B525">
        <v>32</v>
      </c>
      <c r="C525" t="s">
        <v>7</v>
      </c>
      <c r="D525">
        <v>1</v>
      </c>
      <c r="E525">
        <v>32</v>
      </c>
      <c r="F525">
        <v>1.2E-4</v>
      </c>
      <c r="G525">
        <v>0</v>
      </c>
      <c r="H525" t="s">
        <v>5089</v>
      </c>
      <c r="I525" t="s">
        <v>5097</v>
      </c>
      <c r="J525">
        <v>1.2E-4</v>
      </c>
    </row>
    <row r="526" spans="1:10">
      <c r="A526" t="s">
        <v>91</v>
      </c>
      <c r="B526">
        <v>41</v>
      </c>
      <c r="C526" t="s">
        <v>9</v>
      </c>
      <c r="D526">
        <v>9</v>
      </c>
      <c r="E526">
        <v>49</v>
      </c>
      <c r="F526">
        <v>1.82E-3</v>
      </c>
      <c r="G526">
        <v>0</v>
      </c>
      <c r="H526" t="s">
        <v>5090</v>
      </c>
      <c r="I526" t="s">
        <v>5097</v>
      </c>
      <c r="J526">
        <v>1.82E-3</v>
      </c>
    </row>
    <row r="527" spans="1:10">
      <c r="A527" t="s">
        <v>92</v>
      </c>
      <c r="B527">
        <v>41</v>
      </c>
      <c r="C527" t="s">
        <v>9</v>
      </c>
      <c r="D527">
        <v>4</v>
      </c>
      <c r="E527">
        <v>44</v>
      </c>
      <c r="F527">
        <v>9.5E-4</v>
      </c>
      <c r="G527">
        <v>0</v>
      </c>
      <c r="H527" t="s">
        <v>5090</v>
      </c>
      <c r="I527" t="s">
        <v>5097</v>
      </c>
      <c r="J527">
        <v>9.5E-4</v>
      </c>
    </row>
    <row r="528" spans="1:10">
      <c r="A528" t="s">
        <v>5057</v>
      </c>
      <c r="B528">
        <v>36</v>
      </c>
      <c r="C528" t="s">
        <v>7</v>
      </c>
      <c r="D528">
        <v>6</v>
      </c>
      <c r="E528">
        <v>41</v>
      </c>
      <c r="F528">
        <v>6.4999999999999997E-4</v>
      </c>
      <c r="G528">
        <v>0</v>
      </c>
      <c r="H528" t="s">
        <v>5090</v>
      </c>
      <c r="I528" t="s">
        <v>5097</v>
      </c>
      <c r="J528">
        <v>6.4999999999999997E-4</v>
      </c>
    </row>
    <row r="529" spans="1:10">
      <c r="A529" t="s">
        <v>102</v>
      </c>
      <c r="B529">
        <v>35</v>
      </c>
      <c r="C529" t="s">
        <v>9</v>
      </c>
      <c r="D529">
        <v>6</v>
      </c>
      <c r="E529">
        <v>40</v>
      </c>
      <c r="F529">
        <v>7.6000000000000004E-4</v>
      </c>
      <c r="G529">
        <v>0</v>
      </c>
      <c r="H529" t="s">
        <v>5090</v>
      </c>
      <c r="I529" t="s">
        <v>5097</v>
      </c>
      <c r="J529">
        <v>7.6000000000000004E-4</v>
      </c>
    </row>
    <row r="530" spans="1:10">
      <c r="A530" t="s">
        <v>5010</v>
      </c>
      <c r="B530">
        <v>35</v>
      </c>
      <c r="C530" t="s">
        <v>9</v>
      </c>
      <c r="D530">
        <v>9</v>
      </c>
      <c r="E530">
        <v>43</v>
      </c>
      <c r="F530">
        <v>1.16E-3</v>
      </c>
      <c r="G530">
        <v>0</v>
      </c>
      <c r="H530" t="s">
        <v>5090</v>
      </c>
      <c r="I530" t="s">
        <v>5097</v>
      </c>
      <c r="J530">
        <v>1.16E-3</v>
      </c>
    </row>
    <row r="531" spans="1:10">
      <c r="A531" t="s">
        <v>4991</v>
      </c>
      <c r="B531">
        <v>37</v>
      </c>
      <c r="C531" t="s">
        <v>9</v>
      </c>
      <c r="D531">
        <v>7</v>
      </c>
      <c r="E531">
        <v>43</v>
      </c>
      <c r="F531">
        <v>1.0399999999999999E-3</v>
      </c>
      <c r="G531">
        <v>0</v>
      </c>
      <c r="H531" t="s">
        <v>5090</v>
      </c>
      <c r="I531" t="s">
        <v>5097</v>
      </c>
      <c r="J531">
        <v>1.0399999999999999E-3</v>
      </c>
    </row>
    <row r="532" spans="1:10">
      <c r="A532" t="s">
        <v>152</v>
      </c>
      <c r="B532">
        <v>38</v>
      </c>
      <c r="C532" t="s">
        <v>7</v>
      </c>
      <c r="D532">
        <v>7</v>
      </c>
      <c r="E532">
        <v>44</v>
      </c>
      <c r="F532">
        <v>8.0000000000000004E-4</v>
      </c>
      <c r="G532">
        <v>0</v>
      </c>
      <c r="H532" t="s">
        <v>5090</v>
      </c>
      <c r="I532" t="s">
        <v>5097</v>
      </c>
      <c r="J532">
        <v>8.0000000000000004E-4</v>
      </c>
    </row>
    <row r="533" spans="1:10">
      <c r="A533" t="s">
        <v>160</v>
      </c>
      <c r="B533">
        <v>36</v>
      </c>
      <c r="C533" t="s">
        <v>7</v>
      </c>
      <c r="D533">
        <v>7</v>
      </c>
      <c r="E533">
        <v>42</v>
      </c>
      <c r="F533">
        <v>7.2999999999999996E-4</v>
      </c>
      <c r="G533">
        <v>0</v>
      </c>
      <c r="H533" t="s">
        <v>5090</v>
      </c>
      <c r="I533" t="s">
        <v>5097</v>
      </c>
      <c r="J533">
        <v>7.2999999999999996E-4</v>
      </c>
    </row>
    <row r="534" spans="1:10">
      <c r="A534" t="s">
        <v>4944</v>
      </c>
      <c r="B534">
        <v>40</v>
      </c>
      <c r="C534" t="s">
        <v>7</v>
      </c>
      <c r="D534">
        <v>5</v>
      </c>
      <c r="E534">
        <v>44</v>
      </c>
      <c r="F534">
        <v>7.6000000000000004E-4</v>
      </c>
      <c r="G534">
        <v>0</v>
      </c>
      <c r="H534" t="s">
        <v>5090</v>
      </c>
      <c r="I534" t="s">
        <v>5097</v>
      </c>
      <c r="J534">
        <v>7.6000000000000004E-4</v>
      </c>
    </row>
    <row r="535" spans="1:10">
      <c r="A535" t="s">
        <v>176</v>
      </c>
      <c r="B535">
        <v>36</v>
      </c>
      <c r="C535" t="s">
        <v>7</v>
      </c>
      <c r="D535">
        <v>6</v>
      </c>
      <c r="E535">
        <v>41</v>
      </c>
      <c r="F535">
        <v>6.4999999999999997E-4</v>
      </c>
      <c r="G535">
        <v>0</v>
      </c>
      <c r="H535" t="s">
        <v>5090</v>
      </c>
      <c r="I535" t="s">
        <v>5097</v>
      </c>
      <c r="J535">
        <v>6.4999999999999997E-4</v>
      </c>
    </row>
    <row r="536" spans="1:10">
      <c r="A536" t="s">
        <v>4918</v>
      </c>
      <c r="B536">
        <v>40</v>
      </c>
      <c r="C536" t="s">
        <v>7</v>
      </c>
      <c r="D536">
        <v>5</v>
      </c>
      <c r="E536">
        <v>44</v>
      </c>
      <c r="F536">
        <v>7.6000000000000004E-4</v>
      </c>
      <c r="G536">
        <v>0</v>
      </c>
      <c r="H536" t="s">
        <v>5090</v>
      </c>
      <c r="I536" t="s">
        <v>5097</v>
      </c>
      <c r="J536">
        <v>7.6000000000000004E-4</v>
      </c>
    </row>
    <row r="537" spans="1:10">
      <c r="A537" t="s">
        <v>4917</v>
      </c>
      <c r="B537">
        <v>44</v>
      </c>
      <c r="C537" t="s">
        <v>7</v>
      </c>
      <c r="D537">
        <v>5</v>
      </c>
      <c r="E537">
        <v>48</v>
      </c>
      <c r="F537">
        <v>1.0300000000000001E-3</v>
      </c>
      <c r="G537">
        <v>0</v>
      </c>
      <c r="H537" t="s">
        <v>5090</v>
      </c>
      <c r="I537" t="s">
        <v>5097</v>
      </c>
      <c r="J537">
        <v>1.0300000000000001E-3</v>
      </c>
    </row>
    <row r="538" spans="1:10">
      <c r="A538" t="s">
        <v>187</v>
      </c>
      <c r="B538">
        <v>35</v>
      </c>
      <c r="C538" t="s">
        <v>9</v>
      </c>
      <c r="D538">
        <v>9</v>
      </c>
      <c r="E538">
        <v>43</v>
      </c>
      <c r="F538">
        <v>1.16E-3</v>
      </c>
      <c r="G538">
        <v>0</v>
      </c>
      <c r="H538" t="s">
        <v>5090</v>
      </c>
      <c r="I538" t="s">
        <v>5097</v>
      </c>
      <c r="J538">
        <v>1.16E-3</v>
      </c>
    </row>
    <row r="539" spans="1:10">
      <c r="A539" t="s">
        <v>190</v>
      </c>
      <c r="B539">
        <v>34</v>
      </c>
      <c r="C539" t="s">
        <v>9</v>
      </c>
      <c r="D539">
        <v>8</v>
      </c>
      <c r="E539">
        <v>41</v>
      </c>
      <c r="F539">
        <v>9.3000000000000005E-4</v>
      </c>
      <c r="G539">
        <v>0</v>
      </c>
      <c r="H539" t="s">
        <v>5090</v>
      </c>
      <c r="I539" t="s">
        <v>5097</v>
      </c>
      <c r="J539">
        <v>9.3000000000000005E-4</v>
      </c>
    </row>
    <row r="540" spans="1:10">
      <c r="A540" t="s">
        <v>191</v>
      </c>
      <c r="B540">
        <v>41</v>
      </c>
      <c r="C540" t="s">
        <v>7</v>
      </c>
      <c r="D540">
        <v>9</v>
      </c>
      <c r="E540">
        <v>49</v>
      </c>
      <c r="F540">
        <v>1.3500000000000001E-3</v>
      </c>
      <c r="G540">
        <v>0</v>
      </c>
      <c r="H540" t="s">
        <v>5090</v>
      </c>
      <c r="I540" t="s">
        <v>5097</v>
      </c>
      <c r="J540">
        <v>1.3500000000000001E-3</v>
      </c>
    </row>
    <row r="541" spans="1:10">
      <c r="A541" t="s">
        <v>194</v>
      </c>
      <c r="B541">
        <v>36</v>
      </c>
      <c r="C541" t="s">
        <v>7</v>
      </c>
      <c r="D541">
        <v>6</v>
      </c>
      <c r="E541">
        <v>41</v>
      </c>
      <c r="F541">
        <v>6.4999999999999997E-4</v>
      </c>
      <c r="G541">
        <v>0</v>
      </c>
      <c r="H541" t="s">
        <v>5090</v>
      </c>
      <c r="I541" t="s">
        <v>5097</v>
      </c>
      <c r="J541">
        <v>6.4999999999999997E-4</v>
      </c>
    </row>
    <row r="542" spans="1:10">
      <c r="A542" t="s">
        <v>4890</v>
      </c>
      <c r="B542">
        <v>41</v>
      </c>
      <c r="C542" t="s">
        <v>9</v>
      </c>
      <c r="D542">
        <v>1</v>
      </c>
      <c r="E542">
        <v>41</v>
      </c>
      <c r="F542">
        <v>3.5E-4</v>
      </c>
      <c r="G542">
        <v>0</v>
      </c>
      <c r="H542" t="s">
        <v>5090</v>
      </c>
      <c r="I542" t="s">
        <v>5097</v>
      </c>
      <c r="J542">
        <v>3.5E-4</v>
      </c>
    </row>
    <row r="543" spans="1:10">
      <c r="A543" t="s">
        <v>4881</v>
      </c>
      <c r="B543">
        <v>46</v>
      </c>
      <c r="C543" t="s">
        <v>7</v>
      </c>
      <c r="D543">
        <v>2</v>
      </c>
      <c r="E543">
        <v>47</v>
      </c>
      <c r="F543">
        <v>4.6000000000000001E-4</v>
      </c>
      <c r="G543">
        <v>0</v>
      </c>
      <c r="H543" t="s">
        <v>5090</v>
      </c>
      <c r="I543" t="s">
        <v>5097</v>
      </c>
      <c r="J543">
        <v>4.6000000000000001E-4</v>
      </c>
    </row>
    <row r="544" spans="1:10">
      <c r="A544" t="s">
        <v>4874</v>
      </c>
      <c r="B544">
        <v>42</v>
      </c>
      <c r="C544" t="s">
        <v>9</v>
      </c>
      <c r="D544">
        <v>6</v>
      </c>
      <c r="E544">
        <v>47</v>
      </c>
      <c r="F544">
        <v>1.33E-3</v>
      </c>
      <c r="G544">
        <v>0</v>
      </c>
      <c r="H544" t="s">
        <v>5090</v>
      </c>
      <c r="I544" t="s">
        <v>5097</v>
      </c>
      <c r="J544">
        <v>1.33E-3</v>
      </c>
    </row>
    <row r="545" spans="1:10">
      <c r="A545" t="s">
        <v>4871</v>
      </c>
      <c r="B545">
        <v>40</v>
      </c>
      <c r="C545" t="s">
        <v>9</v>
      </c>
      <c r="D545">
        <v>2</v>
      </c>
      <c r="E545">
        <v>41</v>
      </c>
      <c r="F545">
        <v>5.4000000000000001E-4</v>
      </c>
      <c r="G545">
        <v>0</v>
      </c>
      <c r="H545" t="s">
        <v>5090</v>
      </c>
      <c r="I545" t="s">
        <v>5097</v>
      </c>
      <c r="J545">
        <v>5.4000000000000001E-4</v>
      </c>
    </row>
    <row r="546" spans="1:10">
      <c r="A546" t="s">
        <v>4860</v>
      </c>
      <c r="B546">
        <v>36</v>
      </c>
      <c r="C546" t="s">
        <v>9</v>
      </c>
      <c r="D546">
        <v>8</v>
      </c>
      <c r="E546">
        <v>43</v>
      </c>
      <c r="F546">
        <v>1.1000000000000001E-3</v>
      </c>
      <c r="G546">
        <v>0</v>
      </c>
      <c r="H546" t="s">
        <v>5090</v>
      </c>
      <c r="I546" t="s">
        <v>5097</v>
      </c>
      <c r="J546">
        <v>1.1000000000000001E-3</v>
      </c>
    </row>
    <row r="547" spans="1:10">
      <c r="A547" t="s">
        <v>4814</v>
      </c>
      <c r="B547">
        <v>37</v>
      </c>
      <c r="C547" t="s">
        <v>9</v>
      </c>
      <c r="D547">
        <v>8</v>
      </c>
      <c r="E547">
        <v>44</v>
      </c>
      <c r="F547">
        <v>1.17E-3</v>
      </c>
      <c r="G547">
        <v>0</v>
      </c>
      <c r="H547" t="s">
        <v>5090</v>
      </c>
      <c r="I547" t="s">
        <v>5097</v>
      </c>
      <c r="J547">
        <v>1.17E-3</v>
      </c>
    </row>
    <row r="548" spans="1:10">
      <c r="A548" t="s">
        <v>231</v>
      </c>
      <c r="B548">
        <v>46</v>
      </c>
      <c r="C548" t="s">
        <v>9</v>
      </c>
      <c r="D548">
        <v>2</v>
      </c>
      <c r="E548">
        <v>47</v>
      </c>
      <c r="F548">
        <v>8.8000000000000003E-4</v>
      </c>
      <c r="G548">
        <v>0</v>
      </c>
      <c r="H548" t="s">
        <v>5090</v>
      </c>
      <c r="I548" t="s">
        <v>5097</v>
      </c>
      <c r="J548">
        <v>8.8000000000000003E-4</v>
      </c>
    </row>
    <row r="549" spans="1:10">
      <c r="A549" t="s">
        <v>4793</v>
      </c>
      <c r="B549">
        <v>32</v>
      </c>
      <c r="C549" t="s">
        <v>7</v>
      </c>
      <c r="D549">
        <v>9</v>
      </c>
      <c r="E549">
        <v>40</v>
      </c>
      <c r="F549">
        <v>6.9999999999999999E-4</v>
      </c>
      <c r="G549">
        <v>0</v>
      </c>
      <c r="H549" t="s">
        <v>5090</v>
      </c>
      <c r="I549" t="s">
        <v>5097</v>
      </c>
      <c r="J549">
        <v>6.9999999999999999E-4</v>
      </c>
    </row>
    <row r="550" spans="1:10">
      <c r="A550" t="s">
        <v>251</v>
      </c>
      <c r="B550">
        <v>43</v>
      </c>
      <c r="C550" t="s">
        <v>7</v>
      </c>
      <c r="D550">
        <v>6</v>
      </c>
      <c r="E550">
        <v>48</v>
      </c>
      <c r="F550">
        <v>1.1000000000000001E-3</v>
      </c>
      <c r="G550">
        <v>0</v>
      </c>
      <c r="H550" t="s">
        <v>5090</v>
      </c>
      <c r="I550" t="s">
        <v>5097</v>
      </c>
      <c r="J550">
        <v>1.1000000000000001E-3</v>
      </c>
    </row>
    <row r="551" spans="1:10">
      <c r="A551" t="s">
        <v>253</v>
      </c>
      <c r="B551">
        <v>39</v>
      </c>
      <c r="C551" t="s">
        <v>7</v>
      </c>
      <c r="D551">
        <v>4</v>
      </c>
      <c r="E551">
        <v>42</v>
      </c>
      <c r="F551">
        <v>6.2E-4</v>
      </c>
      <c r="G551">
        <v>0</v>
      </c>
      <c r="H551" t="s">
        <v>5090</v>
      </c>
      <c r="I551" t="s">
        <v>5097</v>
      </c>
      <c r="J551">
        <v>6.2E-4</v>
      </c>
    </row>
    <row r="552" spans="1:10">
      <c r="A552" t="s">
        <v>4753</v>
      </c>
      <c r="B552">
        <v>44</v>
      </c>
      <c r="C552" t="s">
        <v>7</v>
      </c>
      <c r="D552">
        <v>3</v>
      </c>
      <c r="E552">
        <v>46</v>
      </c>
      <c r="F552">
        <v>6.2E-4</v>
      </c>
      <c r="G552">
        <v>0</v>
      </c>
      <c r="H552" t="s">
        <v>5090</v>
      </c>
      <c r="I552" t="s">
        <v>5097</v>
      </c>
      <c r="J552">
        <v>6.2E-4</v>
      </c>
    </row>
    <row r="553" spans="1:10">
      <c r="A553" t="s">
        <v>4700</v>
      </c>
      <c r="B553">
        <v>33</v>
      </c>
      <c r="C553" t="s">
        <v>7</v>
      </c>
      <c r="D553">
        <v>9</v>
      </c>
      <c r="E553">
        <v>41</v>
      </c>
      <c r="F553">
        <v>7.2999999999999996E-4</v>
      </c>
      <c r="G553">
        <v>0</v>
      </c>
      <c r="H553" t="s">
        <v>5090</v>
      </c>
      <c r="I553" t="s">
        <v>5097</v>
      </c>
      <c r="J553">
        <v>7.2999999999999996E-4</v>
      </c>
    </row>
    <row r="554" spans="1:10">
      <c r="A554" t="s">
        <v>4692</v>
      </c>
      <c r="B554">
        <v>41</v>
      </c>
      <c r="C554" t="s">
        <v>9</v>
      </c>
      <c r="D554">
        <v>8</v>
      </c>
      <c r="E554">
        <v>48</v>
      </c>
      <c r="F554">
        <v>1.58E-3</v>
      </c>
      <c r="G554">
        <v>0</v>
      </c>
      <c r="H554" t="s">
        <v>5090</v>
      </c>
      <c r="I554" t="s">
        <v>5097</v>
      </c>
      <c r="J554">
        <v>1.58E-3</v>
      </c>
    </row>
    <row r="555" spans="1:10">
      <c r="A555" t="s">
        <v>4690</v>
      </c>
      <c r="B555">
        <v>38</v>
      </c>
      <c r="C555" t="s">
        <v>7</v>
      </c>
      <c r="D555">
        <v>5</v>
      </c>
      <c r="E555">
        <v>42</v>
      </c>
      <c r="F555">
        <v>6.7000000000000002E-4</v>
      </c>
      <c r="G555">
        <v>0</v>
      </c>
      <c r="H555" t="s">
        <v>5090</v>
      </c>
      <c r="I555" t="s">
        <v>5097</v>
      </c>
      <c r="J555">
        <v>6.7000000000000002E-4</v>
      </c>
    </row>
    <row r="556" spans="1:10">
      <c r="A556" t="s">
        <v>4675</v>
      </c>
      <c r="B556">
        <v>46</v>
      </c>
      <c r="C556" t="s">
        <v>7</v>
      </c>
      <c r="D556">
        <v>4</v>
      </c>
      <c r="E556">
        <v>49</v>
      </c>
      <c r="F556">
        <v>1.0499999999999999E-3</v>
      </c>
      <c r="G556">
        <v>0</v>
      </c>
      <c r="H556" t="s">
        <v>5090</v>
      </c>
      <c r="I556" t="s">
        <v>5097</v>
      </c>
      <c r="J556">
        <v>1.0499999999999999E-3</v>
      </c>
    </row>
    <row r="557" spans="1:10">
      <c r="A557" t="s">
        <v>278</v>
      </c>
      <c r="B557">
        <v>36</v>
      </c>
      <c r="C557" t="s">
        <v>9</v>
      </c>
      <c r="D557">
        <v>8</v>
      </c>
      <c r="E557">
        <v>43</v>
      </c>
      <c r="F557">
        <v>1.1000000000000001E-3</v>
      </c>
      <c r="G557">
        <v>0</v>
      </c>
      <c r="H557" t="s">
        <v>5090</v>
      </c>
      <c r="I557" t="s">
        <v>5097</v>
      </c>
      <c r="J557">
        <v>1.1000000000000001E-3</v>
      </c>
    </row>
    <row r="558" spans="1:10">
      <c r="A558" t="s">
        <v>4671</v>
      </c>
      <c r="B558">
        <v>44</v>
      </c>
      <c r="C558" t="s">
        <v>9</v>
      </c>
      <c r="D558">
        <v>4</v>
      </c>
      <c r="E558">
        <v>47</v>
      </c>
      <c r="F558">
        <v>1.1999999999999999E-3</v>
      </c>
      <c r="G558">
        <v>0</v>
      </c>
      <c r="H558" t="s">
        <v>5090</v>
      </c>
      <c r="I558" t="s">
        <v>5097</v>
      </c>
      <c r="J558">
        <v>1.1999999999999999E-3</v>
      </c>
    </row>
    <row r="559" spans="1:10">
      <c r="A559" t="s">
        <v>4661</v>
      </c>
      <c r="B559">
        <v>42</v>
      </c>
      <c r="C559" t="s">
        <v>7</v>
      </c>
      <c r="D559">
        <v>7</v>
      </c>
      <c r="E559">
        <v>48</v>
      </c>
      <c r="F559">
        <v>1.1299999999999999E-3</v>
      </c>
      <c r="G559">
        <v>0</v>
      </c>
      <c r="H559" t="s">
        <v>5090</v>
      </c>
      <c r="I559" t="s">
        <v>5097</v>
      </c>
      <c r="J559">
        <v>1.1299999999999999E-3</v>
      </c>
    </row>
    <row r="560" spans="1:10">
      <c r="A560" t="s">
        <v>4660</v>
      </c>
      <c r="B560">
        <v>38</v>
      </c>
      <c r="C560" t="s">
        <v>9</v>
      </c>
      <c r="D560">
        <v>8</v>
      </c>
      <c r="E560">
        <v>45</v>
      </c>
      <c r="F560">
        <v>1.1999999999999999E-3</v>
      </c>
      <c r="G560">
        <v>0</v>
      </c>
      <c r="H560" t="s">
        <v>5090</v>
      </c>
      <c r="I560" t="s">
        <v>5097</v>
      </c>
      <c r="J560">
        <v>1.1999999999999999E-3</v>
      </c>
    </row>
    <row r="561" spans="1:10">
      <c r="A561" t="s">
        <v>4659</v>
      </c>
      <c r="B561">
        <v>41</v>
      </c>
      <c r="C561" t="s">
        <v>9</v>
      </c>
      <c r="D561">
        <v>2</v>
      </c>
      <c r="E561">
        <v>42</v>
      </c>
      <c r="F561">
        <v>5.9999999999999995E-4</v>
      </c>
      <c r="G561">
        <v>0</v>
      </c>
      <c r="H561" t="s">
        <v>5090</v>
      </c>
      <c r="I561" t="s">
        <v>5097</v>
      </c>
      <c r="J561">
        <v>5.9999999999999995E-4</v>
      </c>
    </row>
    <row r="562" spans="1:10">
      <c r="A562" t="s">
        <v>291</v>
      </c>
      <c r="B562">
        <v>39</v>
      </c>
      <c r="C562" t="s">
        <v>7</v>
      </c>
      <c r="D562">
        <v>3</v>
      </c>
      <c r="E562">
        <v>41</v>
      </c>
      <c r="F562">
        <v>4.8000000000000001E-4</v>
      </c>
      <c r="G562">
        <v>0</v>
      </c>
      <c r="H562" t="s">
        <v>5090</v>
      </c>
      <c r="I562" t="s">
        <v>5097</v>
      </c>
      <c r="J562">
        <v>4.8000000000000001E-4</v>
      </c>
    </row>
    <row r="563" spans="1:10">
      <c r="A563" t="s">
        <v>297</v>
      </c>
      <c r="B563">
        <v>35</v>
      </c>
      <c r="C563" t="s">
        <v>7</v>
      </c>
      <c r="D563">
        <v>6</v>
      </c>
      <c r="E563">
        <v>40</v>
      </c>
      <c r="F563">
        <v>5.9000000000000003E-4</v>
      </c>
      <c r="G563">
        <v>0</v>
      </c>
      <c r="H563" t="s">
        <v>5090</v>
      </c>
      <c r="I563" t="s">
        <v>5097</v>
      </c>
      <c r="J563">
        <v>5.9000000000000003E-4</v>
      </c>
    </row>
    <row r="564" spans="1:10">
      <c r="A564" t="s">
        <v>4624</v>
      </c>
      <c r="B564">
        <v>41</v>
      </c>
      <c r="C564" t="s">
        <v>9</v>
      </c>
      <c r="D564">
        <v>3</v>
      </c>
      <c r="E564">
        <v>43</v>
      </c>
      <c r="F564">
        <v>8.1999999999999998E-4</v>
      </c>
      <c r="G564">
        <v>0</v>
      </c>
      <c r="H564" t="s">
        <v>5090</v>
      </c>
      <c r="I564" t="s">
        <v>5097</v>
      </c>
      <c r="J564">
        <v>8.1999999999999998E-4</v>
      </c>
    </row>
    <row r="565" spans="1:10">
      <c r="A565" t="s">
        <v>4608</v>
      </c>
      <c r="B565">
        <v>41</v>
      </c>
      <c r="C565" t="s">
        <v>9</v>
      </c>
      <c r="D565">
        <v>1</v>
      </c>
      <c r="E565">
        <v>41</v>
      </c>
      <c r="F565">
        <v>3.5E-4</v>
      </c>
      <c r="G565">
        <v>0</v>
      </c>
      <c r="H565" t="s">
        <v>5090</v>
      </c>
      <c r="I565" t="s">
        <v>5097</v>
      </c>
      <c r="J565">
        <v>3.5E-4</v>
      </c>
    </row>
    <row r="566" spans="1:10">
      <c r="A566" t="s">
        <v>313</v>
      </c>
      <c r="B566">
        <v>37</v>
      </c>
      <c r="C566" t="s">
        <v>7</v>
      </c>
      <c r="D566">
        <v>6</v>
      </c>
      <c r="E566">
        <v>42</v>
      </c>
      <c r="F566">
        <v>7.1000000000000002E-4</v>
      </c>
      <c r="G566">
        <v>0</v>
      </c>
      <c r="H566" t="s">
        <v>5090</v>
      </c>
      <c r="I566" t="s">
        <v>5097</v>
      </c>
      <c r="J566">
        <v>7.1000000000000002E-4</v>
      </c>
    </row>
    <row r="567" spans="1:10">
      <c r="A567" t="s">
        <v>4602</v>
      </c>
      <c r="B567">
        <v>36</v>
      </c>
      <c r="C567" t="s">
        <v>9</v>
      </c>
      <c r="D567">
        <v>9</v>
      </c>
      <c r="E567">
        <v>44</v>
      </c>
      <c r="F567">
        <v>1.2099999999999999E-3</v>
      </c>
      <c r="G567">
        <v>0</v>
      </c>
      <c r="H567" t="s">
        <v>5090</v>
      </c>
      <c r="I567" t="s">
        <v>5097</v>
      </c>
      <c r="J567">
        <v>1.2099999999999999E-3</v>
      </c>
    </row>
    <row r="568" spans="1:10">
      <c r="A568" t="s">
        <v>4570</v>
      </c>
      <c r="B568">
        <v>41</v>
      </c>
      <c r="C568" t="s">
        <v>9</v>
      </c>
      <c r="D568">
        <v>4</v>
      </c>
      <c r="E568">
        <v>44</v>
      </c>
      <c r="F568">
        <v>9.5E-4</v>
      </c>
      <c r="G568">
        <v>0</v>
      </c>
      <c r="H568" t="s">
        <v>5090</v>
      </c>
      <c r="I568" t="s">
        <v>5097</v>
      </c>
      <c r="J568">
        <v>9.5E-4</v>
      </c>
    </row>
    <row r="569" spans="1:10">
      <c r="A569" t="s">
        <v>4562</v>
      </c>
      <c r="B569">
        <v>43</v>
      </c>
      <c r="C569" t="s">
        <v>9</v>
      </c>
      <c r="D569">
        <v>4</v>
      </c>
      <c r="E569">
        <v>46</v>
      </c>
      <c r="F569">
        <v>1.1000000000000001E-3</v>
      </c>
      <c r="G569">
        <v>0</v>
      </c>
      <c r="H569" t="s">
        <v>5090</v>
      </c>
      <c r="I569" t="s">
        <v>5097</v>
      </c>
      <c r="J569">
        <v>1.1000000000000001E-3</v>
      </c>
    </row>
    <row r="570" spans="1:10">
      <c r="A570" t="s">
        <v>339</v>
      </c>
      <c r="B570">
        <v>46</v>
      </c>
      <c r="C570" t="s">
        <v>9</v>
      </c>
      <c r="D570">
        <v>2</v>
      </c>
      <c r="E570">
        <v>47</v>
      </c>
      <c r="F570">
        <v>8.8000000000000003E-4</v>
      </c>
      <c r="G570">
        <v>0</v>
      </c>
      <c r="H570" t="s">
        <v>5090</v>
      </c>
      <c r="I570" t="s">
        <v>5097</v>
      </c>
      <c r="J570">
        <v>8.8000000000000003E-4</v>
      </c>
    </row>
    <row r="571" spans="1:10">
      <c r="A571" t="s">
        <v>4534</v>
      </c>
      <c r="B571">
        <v>37</v>
      </c>
      <c r="C571" t="s">
        <v>9</v>
      </c>
      <c r="D571">
        <v>6</v>
      </c>
      <c r="E571">
        <v>42</v>
      </c>
      <c r="F571">
        <v>8.9999999999999998E-4</v>
      </c>
      <c r="G571">
        <v>0</v>
      </c>
      <c r="H571" t="s">
        <v>5090</v>
      </c>
      <c r="I571" t="s">
        <v>5097</v>
      </c>
      <c r="J571">
        <v>8.9999999999999998E-4</v>
      </c>
    </row>
    <row r="572" spans="1:10">
      <c r="A572" t="s">
        <v>4533</v>
      </c>
      <c r="B572">
        <v>46</v>
      </c>
      <c r="C572" t="s">
        <v>7</v>
      </c>
      <c r="D572">
        <v>4</v>
      </c>
      <c r="E572">
        <v>49</v>
      </c>
      <c r="F572">
        <v>1.0499999999999999E-3</v>
      </c>
      <c r="G572">
        <v>0</v>
      </c>
      <c r="H572" t="s">
        <v>5090</v>
      </c>
      <c r="I572" t="s">
        <v>5097</v>
      </c>
      <c r="J572">
        <v>1.0499999999999999E-3</v>
      </c>
    </row>
    <row r="573" spans="1:10">
      <c r="A573" t="s">
        <v>4522</v>
      </c>
      <c r="B573">
        <v>33</v>
      </c>
      <c r="C573" t="s">
        <v>7</v>
      </c>
      <c r="D573">
        <v>9</v>
      </c>
      <c r="E573">
        <v>41</v>
      </c>
      <c r="F573">
        <v>7.2999999999999996E-4</v>
      </c>
      <c r="G573">
        <v>0</v>
      </c>
      <c r="H573" t="s">
        <v>5090</v>
      </c>
      <c r="I573" t="s">
        <v>5097</v>
      </c>
      <c r="J573">
        <v>7.2999999999999996E-4</v>
      </c>
    </row>
    <row r="574" spans="1:10">
      <c r="A574" t="s">
        <v>4506</v>
      </c>
      <c r="B574">
        <v>41</v>
      </c>
      <c r="C574" t="s">
        <v>9</v>
      </c>
      <c r="D574">
        <v>6</v>
      </c>
      <c r="E574">
        <v>46</v>
      </c>
      <c r="F574">
        <v>1.2199999999999999E-3</v>
      </c>
      <c r="G574">
        <v>0</v>
      </c>
      <c r="H574" t="s">
        <v>5090</v>
      </c>
      <c r="I574" t="s">
        <v>5097</v>
      </c>
      <c r="J574">
        <v>1.2199999999999999E-3</v>
      </c>
    </row>
    <row r="575" spans="1:10">
      <c r="A575" t="s">
        <v>4499</v>
      </c>
      <c r="B575">
        <v>39</v>
      </c>
      <c r="C575" t="s">
        <v>7</v>
      </c>
      <c r="D575">
        <v>4</v>
      </c>
      <c r="E575">
        <v>42</v>
      </c>
      <c r="F575">
        <v>6.2E-4</v>
      </c>
      <c r="G575">
        <v>0</v>
      </c>
      <c r="H575" t="s">
        <v>5090</v>
      </c>
      <c r="I575" t="s">
        <v>5097</v>
      </c>
      <c r="J575">
        <v>6.2E-4</v>
      </c>
    </row>
    <row r="576" spans="1:10">
      <c r="A576" t="s">
        <v>370</v>
      </c>
      <c r="B576">
        <v>42</v>
      </c>
      <c r="C576" t="s">
        <v>7</v>
      </c>
      <c r="D576">
        <v>8</v>
      </c>
      <c r="E576">
        <v>49</v>
      </c>
      <c r="F576">
        <v>1.2800000000000001E-3</v>
      </c>
      <c r="G576">
        <v>0</v>
      </c>
      <c r="H576" t="s">
        <v>5090</v>
      </c>
      <c r="I576" t="s">
        <v>5097</v>
      </c>
      <c r="J576">
        <v>1.2800000000000001E-3</v>
      </c>
    </row>
    <row r="577" spans="1:10">
      <c r="A577" t="s">
        <v>4491</v>
      </c>
      <c r="B577">
        <v>40</v>
      </c>
      <c r="C577" t="s">
        <v>7</v>
      </c>
      <c r="D577">
        <v>6</v>
      </c>
      <c r="E577">
        <v>45</v>
      </c>
      <c r="F577">
        <v>8.3000000000000001E-4</v>
      </c>
      <c r="G577">
        <v>0</v>
      </c>
      <c r="H577" t="s">
        <v>5090</v>
      </c>
      <c r="I577" t="s">
        <v>5097</v>
      </c>
      <c r="J577">
        <v>8.3000000000000001E-4</v>
      </c>
    </row>
    <row r="578" spans="1:10">
      <c r="A578" t="s">
        <v>4467</v>
      </c>
      <c r="B578">
        <v>42</v>
      </c>
      <c r="C578" t="s">
        <v>9</v>
      </c>
      <c r="D578">
        <v>6</v>
      </c>
      <c r="E578">
        <v>47</v>
      </c>
      <c r="F578">
        <v>1.33E-3</v>
      </c>
      <c r="G578">
        <v>0</v>
      </c>
      <c r="H578" t="s">
        <v>5090</v>
      </c>
      <c r="I578" t="s">
        <v>5097</v>
      </c>
      <c r="J578">
        <v>1.33E-3</v>
      </c>
    </row>
    <row r="579" spans="1:10">
      <c r="A579" t="s">
        <v>4463</v>
      </c>
      <c r="B579">
        <v>37</v>
      </c>
      <c r="C579" t="s">
        <v>9</v>
      </c>
      <c r="D579">
        <v>6</v>
      </c>
      <c r="E579">
        <v>42</v>
      </c>
      <c r="F579">
        <v>8.9999999999999998E-4</v>
      </c>
      <c r="G579">
        <v>0</v>
      </c>
      <c r="H579" t="s">
        <v>5090</v>
      </c>
      <c r="I579" t="s">
        <v>5097</v>
      </c>
      <c r="J579">
        <v>8.9999999999999998E-4</v>
      </c>
    </row>
    <row r="580" spans="1:10">
      <c r="A580" t="s">
        <v>382</v>
      </c>
      <c r="B580">
        <v>45</v>
      </c>
      <c r="C580" t="s">
        <v>9</v>
      </c>
      <c r="D580">
        <v>1</v>
      </c>
      <c r="E580">
        <v>45</v>
      </c>
      <c r="F580">
        <v>5.5000000000000003E-4</v>
      </c>
      <c r="G580">
        <v>0</v>
      </c>
      <c r="H580" t="s">
        <v>5090</v>
      </c>
      <c r="I580" t="s">
        <v>5097</v>
      </c>
      <c r="J580">
        <v>5.5000000000000003E-4</v>
      </c>
    </row>
    <row r="581" spans="1:10">
      <c r="A581" t="s">
        <v>4457</v>
      </c>
      <c r="B581">
        <v>36</v>
      </c>
      <c r="C581" t="s">
        <v>7</v>
      </c>
      <c r="D581">
        <v>6</v>
      </c>
      <c r="E581">
        <v>41</v>
      </c>
      <c r="F581">
        <v>6.4999999999999997E-4</v>
      </c>
      <c r="G581">
        <v>0</v>
      </c>
      <c r="H581" t="s">
        <v>5090</v>
      </c>
      <c r="I581" t="s">
        <v>5097</v>
      </c>
      <c r="J581">
        <v>6.4999999999999997E-4</v>
      </c>
    </row>
    <row r="582" spans="1:10">
      <c r="A582" t="s">
        <v>4454</v>
      </c>
      <c r="B582">
        <v>41</v>
      </c>
      <c r="C582" t="s">
        <v>7</v>
      </c>
      <c r="D582">
        <v>6</v>
      </c>
      <c r="E582">
        <v>46</v>
      </c>
      <c r="F582">
        <v>9.2000000000000003E-4</v>
      </c>
      <c r="G582">
        <v>0</v>
      </c>
      <c r="H582" t="s">
        <v>5090</v>
      </c>
      <c r="I582" t="s">
        <v>5097</v>
      </c>
      <c r="J582">
        <v>9.2000000000000003E-4</v>
      </c>
    </row>
    <row r="583" spans="1:10">
      <c r="A583" t="s">
        <v>4429</v>
      </c>
      <c r="B583">
        <v>41</v>
      </c>
      <c r="C583" t="s">
        <v>9</v>
      </c>
      <c r="D583">
        <v>5</v>
      </c>
      <c r="E583">
        <v>45</v>
      </c>
      <c r="F583">
        <v>1.07E-3</v>
      </c>
      <c r="G583">
        <v>0</v>
      </c>
      <c r="H583" t="s">
        <v>5090</v>
      </c>
      <c r="I583" t="s">
        <v>5097</v>
      </c>
      <c r="J583">
        <v>1.07E-3</v>
      </c>
    </row>
    <row r="584" spans="1:10">
      <c r="A584" t="s">
        <v>4423</v>
      </c>
      <c r="B584">
        <v>44</v>
      </c>
      <c r="C584" t="s">
        <v>7</v>
      </c>
      <c r="D584">
        <v>6</v>
      </c>
      <c r="E584">
        <v>49</v>
      </c>
      <c r="F584">
        <v>1.1800000000000001E-3</v>
      </c>
      <c r="G584">
        <v>0</v>
      </c>
      <c r="H584" t="s">
        <v>5090</v>
      </c>
      <c r="I584" t="s">
        <v>5097</v>
      </c>
      <c r="J584">
        <v>1.1800000000000001E-3</v>
      </c>
    </row>
    <row r="585" spans="1:10">
      <c r="A585" t="s">
        <v>4421</v>
      </c>
      <c r="B585">
        <v>43</v>
      </c>
      <c r="C585" t="s">
        <v>9</v>
      </c>
      <c r="D585">
        <v>6</v>
      </c>
      <c r="E585">
        <v>48</v>
      </c>
      <c r="F585">
        <v>1.4499999999999999E-3</v>
      </c>
      <c r="G585">
        <v>0</v>
      </c>
      <c r="H585" t="s">
        <v>5090</v>
      </c>
      <c r="I585" t="s">
        <v>5097</v>
      </c>
      <c r="J585">
        <v>1.4499999999999999E-3</v>
      </c>
    </row>
    <row r="586" spans="1:10">
      <c r="A586" t="s">
        <v>4413</v>
      </c>
      <c r="B586">
        <v>40</v>
      </c>
      <c r="C586" t="s">
        <v>9</v>
      </c>
      <c r="D586">
        <v>7</v>
      </c>
      <c r="E586">
        <v>46</v>
      </c>
      <c r="F586">
        <v>1.2700000000000001E-3</v>
      </c>
      <c r="G586">
        <v>0</v>
      </c>
      <c r="H586" t="s">
        <v>5090</v>
      </c>
      <c r="I586" t="s">
        <v>5097</v>
      </c>
      <c r="J586">
        <v>1.2700000000000001E-3</v>
      </c>
    </row>
    <row r="587" spans="1:10">
      <c r="A587" t="s">
        <v>4390</v>
      </c>
      <c r="B587">
        <v>43</v>
      </c>
      <c r="C587" t="s">
        <v>9</v>
      </c>
      <c r="D587">
        <v>4</v>
      </c>
      <c r="E587">
        <v>46</v>
      </c>
      <c r="F587">
        <v>1.1000000000000001E-3</v>
      </c>
      <c r="G587">
        <v>0</v>
      </c>
      <c r="H587" t="s">
        <v>5090</v>
      </c>
      <c r="I587" t="s">
        <v>5097</v>
      </c>
      <c r="J587">
        <v>1.1000000000000001E-3</v>
      </c>
    </row>
    <row r="588" spans="1:10">
      <c r="A588" t="s">
        <v>4381</v>
      </c>
      <c r="B588">
        <v>45</v>
      </c>
      <c r="C588" t="s">
        <v>7</v>
      </c>
      <c r="D588">
        <v>2</v>
      </c>
      <c r="E588">
        <v>46</v>
      </c>
      <c r="F588">
        <v>4.4000000000000002E-4</v>
      </c>
      <c r="G588">
        <v>0</v>
      </c>
      <c r="H588" t="s">
        <v>5090</v>
      </c>
      <c r="I588" t="s">
        <v>5097</v>
      </c>
      <c r="J588">
        <v>4.4000000000000002E-4</v>
      </c>
    </row>
    <row r="589" spans="1:10">
      <c r="A589" t="s">
        <v>4379</v>
      </c>
      <c r="B589">
        <v>35</v>
      </c>
      <c r="C589" t="s">
        <v>7</v>
      </c>
      <c r="D589">
        <v>8</v>
      </c>
      <c r="E589">
        <v>42</v>
      </c>
      <c r="F589">
        <v>7.3999999999999999E-4</v>
      </c>
      <c r="G589">
        <v>0</v>
      </c>
      <c r="H589" t="s">
        <v>5090</v>
      </c>
      <c r="I589" t="s">
        <v>5097</v>
      </c>
      <c r="J589">
        <v>7.3999999999999999E-4</v>
      </c>
    </row>
    <row r="590" spans="1:10">
      <c r="A590" t="s">
        <v>424</v>
      </c>
      <c r="B590">
        <v>43</v>
      </c>
      <c r="C590" t="s">
        <v>7</v>
      </c>
      <c r="D590">
        <v>5</v>
      </c>
      <c r="E590">
        <v>47</v>
      </c>
      <c r="F590">
        <v>9.5E-4</v>
      </c>
      <c r="G590">
        <v>0</v>
      </c>
      <c r="H590" t="s">
        <v>5090</v>
      </c>
      <c r="I590" t="s">
        <v>5097</v>
      </c>
      <c r="J590">
        <v>9.5E-4</v>
      </c>
    </row>
    <row r="591" spans="1:10">
      <c r="A591" t="s">
        <v>432</v>
      </c>
      <c r="B591">
        <v>43</v>
      </c>
      <c r="C591" t="s">
        <v>7</v>
      </c>
      <c r="D591">
        <v>4</v>
      </c>
      <c r="E591">
        <v>46</v>
      </c>
      <c r="F591">
        <v>7.9000000000000001E-4</v>
      </c>
      <c r="G591">
        <v>0</v>
      </c>
      <c r="H591" t="s">
        <v>5090</v>
      </c>
      <c r="I591" t="s">
        <v>5097</v>
      </c>
      <c r="J591">
        <v>7.9000000000000001E-4</v>
      </c>
    </row>
    <row r="592" spans="1:10">
      <c r="A592" t="s">
        <v>4341</v>
      </c>
      <c r="B592">
        <v>39</v>
      </c>
      <c r="C592" t="s">
        <v>7</v>
      </c>
      <c r="D592">
        <v>4</v>
      </c>
      <c r="E592">
        <v>42</v>
      </c>
      <c r="F592">
        <v>6.2E-4</v>
      </c>
      <c r="G592">
        <v>0</v>
      </c>
      <c r="H592" t="s">
        <v>5090</v>
      </c>
      <c r="I592" t="s">
        <v>5097</v>
      </c>
      <c r="J592">
        <v>6.2E-4</v>
      </c>
    </row>
    <row r="593" spans="1:10">
      <c r="A593" t="s">
        <v>4334</v>
      </c>
      <c r="B593">
        <v>44</v>
      </c>
      <c r="C593" t="s">
        <v>9</v>
      </c>
      <c r="D593">
        <v>5</v>
      </c>
      <c r="E593">
        <v>48</v>
      </c>
      <c r="F593">
        <v>1.39E-3</v>
      </c>
      <c r="G593">
        <v>0</v>
      </c>
      <c r="H593" t="s">
        <v>5090</v>
      </c>
      <c r="I593" t="s">
        <v>5097</v>
      </c>
      <c r="J593">
        <v>1.39E-3</v>
      </c>
    </row>
    <row r="594" spans="1:10">
      <c r="A594" t="s">
        <v>445</v>
      </c>
      <c r="B594">
        <v>37</v>
      </c>
      <c r="C594" t="s">
        <v>7</v>
      </c>
      <c r="D594">
        <v>7</v>
      </c>
      <c r="E594">
        <v>43</v>
      </c>
      <c r="F594">
        <v>7.6000000000000004E-4</v>
      </c>
      <c r="G594">
        <v>0</v>
      </c>
      <c r="H594" t="s">
        <v>5090</v>
      </c>
      <c r="I594" t="s">
        <v>5097</v>
      </c>
      <c r="J594">
        <v>7.6000000000000004E-4</v>
      </c>
    </row>
    <row r="595" spans="1:10">
      <c r="A595" t="s">
        <v>4310</v>
      </c>
      <c r="B595">
        <v>42</v>
      </c>
      <c r="C595" t="s">
        <v>9</v>
      </c>
      <c r="D595">
        <v>8</v>
      </c>
      <c r="E595">
        <v>49</v>
      </c>
      <c r="F595">
        <v>1.74E-3</v>
      </c>
      <c r="G595">
        <v>0</v>
      </c>
      <c r="H595" t="s">
        <v>5090</v>
      </c>
      <c r="I595" t="s">
        <v>5097</v>
      </c>
      <c r="J595">
        <v>1.74E-3</v>
      </c>
    </row>
    <row r="596" spans="1:10">
      <c r="A596" t="s">
        <v>450</v>
      </c>
      <c r="B596">
        <v>40</v>
      </c>
      <c r="C596" t="s">
        <v>9</v>
      </c>
      <c r="D596">
        <v>4</v>
      </c>
      <c r="E596">
        <v>43</v>
      </c>
      <c r="F596">
        <v>8.8000000000000003E-4</v>
      </c>
      <c r="G596">
        <v>0</v>
      </c>
      <c r="H596" t="s">
        <v>5090</v>
      </c>
      <c r="I596" t="s">
        <v>5097</v>
      </c>
      <c r="J596">
        <v>8.8000000000000003E-4</v>
      </c>
    </row>
    <row r="597" spans="1:10">
      <c r="A597" t="s">
        <v>4301</v>
      </c>
      <c r="B597">
        <v>43</v>
      </c>
      <c r="C597" t="s">
        <v>7</v>
      </c>
      <c r="D597">
        <v>5</v>
      </c>
      <c r="E597">
        <v>47</v>
      </c>
      <c r="F597">
        <v>9.5E-4</v>
      </c>
      <c r="G597">
        <v>0</v>
      </c>
      <c r="H597" t="s">
        <v>5090</v>
      </c>
      <c r="I597" t="s">
        <v>5097</v>
      </c>
      <c r="J597">
        <v>9.5E-4</v>
      </c>
    </row>
    <row r="598" spans="1:10">
      <c r="A598" t="s">
        <v>4298</v>
      </c>
      <c r="B598">
        <v>37</v>
      </c>
      <c r="C598" t="s">
        <v>7</v>
      </c>
      <c r="D598">
        <v>7</v>
      </c>
      <c r="E598">
        <v>43</v>
      </c>
      <c r="F598">
        <v>7.6000000000000004E-4</v>
      </c>
      <c r="G598">
        <v>0</v>
      </c>
      <c r="H598" t="s">
        <v>5090</v>
      </c>
      <c r="I598" t="s">
        <v>5097</v>
      </c>
      <c r="J598">
        <v>7.6000000000000004E-4</v>
      </c>
    </row>
    <row r="599" spans="1:10">
      <c r="A599" t="s">
        <v>457</v>
      </c>
      <c r="B599">
        <v>40</v>
      </c>
      <c r="C599" t="s">
        <v>7</v>
      </c>
      <c r="D599">
        <v>6</v>
      </c>
      <c r="E599">
        <v>45</v>
      </c>
      <c r="F599">
        <v>8.3000000000000001E-4</v>
      </c>
      <c r="G599">
        <v>0</v>
      </c>
      <c r="H599" t="s">
        <v>5090</v>
      </c>
      <c r="I599" t="s">
        <v>5097</v>
      </c>
      <c r="J599">
        <v>8.3000000000000001E-4</v>
      </c>
    </row>
    <row r="600" spans="1:10">
      <c r="A600" t="s">
        <v>4284</v>
      </c>
      <c r="B600">
        <v>34</v>
      </c>
      <c r="C600" t="s">
        <v>7</v>
      </c>
      <c r="D600">
        <v>8</v>
      </c>
      <c r="E600">
        <v>41</v>
      </c>
      <c r="F600">
        <v>6.9999999999999999E-4</v>
      </c>
      <c r="G600">
        <v>0</v>
      </c>
      <c r="H600" t="s">
        <v>5090</v>
      </c>
      <c r="I600" t="s">
        <v>5097</v>
      </c>
      <c r="J600">
        <v>6.9999999999999999E-4</v>
      </c>
    </row>
    <row r="601" spans="1:10">
      <c r="A601" t="s">
        <v>4262</v>
      </c>
      <c r="B601">
        <v>37</v>
      </c>
      <c r="C601" t="s">
        <v>7</v>
      </c>
      <c r="D601">
        <v>9</v>
      </c>
      <c r="E601">
        <v>45</v>
      </c>
      <c r="F601">
        <v>8.8000000000000003E-4</v>
      </c>
      <c r="G601">
        <v>0</v>
      </c>
      <c r="H601" t="s">
        <v>5090</v>
      </c>
      <c r="I601" t="s">
        <v>5097</v>
      </c>
      <c r="J601">
        <v>8.8000000000000003E-4</v>
      </c>
    </row>
    <row r="602" spans="1:10">
      <c r="A602" t="s">
        <v>4248</v>
      </c>
      <c r="B602">
        <v>46</v>
      </c>
      <c r="C602" t="s">
        <v>7</v>
      </c>
      <c r="D602">
        <v>3</v>
      </c>
      <c r="E602">
        <v>48</v>
      </c>
      <c r="F602">
        <v>7.5000000000000002E-4</v>
      </c>
      <c r="G602">
        <v>0</v>
      </c>
      <c r="H602" t="s">
        <v>5090</v>
      </c>
      <c r="I602" t="s">
        <v>5097</v>
      </c>
      <c r="J602">
        <v>7.5000000000000002E-4</v>
      </c>
    </row>
    <row r="603" spans="1:10">
      <c r="A603" t="s">
        <v>4241</v>
      </c>
      <c r="B603">
        <v>46</v>
      </c>
      <c r="C603" t="s">
        <v>7</v>
      </c>
      <c r="D603">
        <v>2</v>
      </c>
      <c r="E603">
        <v>47</v>
      </c>
      <c r="F603">
        <v>4.6000000000000001E-4</v>
      </c>
      <c r="G603">
        <v>0</v>
      </c>
      <c r="H603" t="s">
        <v>5090</v>
      </c>
      <c r="I603" t="s">
        <v>5097</v>
      </c>
      <c r="J603">
        <v>4.6000000000000001E-4</v>
      </c>
    </row>
    <row r="604" spans="1:10">
      <c r="A604" t="s">
        <v>485</v>
      </c>
      <c r="B604">
        <v>38</v>
      </c>
      <c r="C604" t="s">
        <v>7</v>
      </c>
      <c r="D604">
        <v>9</v>
      </c>
      <c r="E604">
        <v>46</v>
      </c>
      <c r="F604">
        <v>1.01E-3</v>
      </c>
      <c r="G604">
        <v>0</v>
      </c>
      <c r="H604" t="s">
        <v>5090</v>
      </c>
      <c r="I604" t="s">
        <v>5097</v>
      </c>
      <c r="J604">
        <v>1.01E-3</v>
      </c>
    </row>
    <row r="605" spans="1:10">
      <c r="A605" t="s">
        <v>4219</v>
      </c>
      <c r="B605">
        <v>47</v>
      </c>
      <c r="C605" t="s">
        <v>7</v>
      </c>
      <c r="D605">
        <v>1</v>
      </c>
      <c r="E605">
        <v>47</v>
      </c>
      <c r="F605">
        <v>3.6000000000000002E-4</v>
      </c>
      <c r="G605">
        <v>0</v>
      </c>
      <c r="H605" t="s">
        <v>5090</v>
      </c>
      <c r="I605" t="s">
        <v>5097</v>
      </c>
      <c r="J605">
        <v>3.6000000000000002E-4</v>
      </c>
    </row>
    <row r="606" spans="1:10">
      <c r="A606" t="s">
        <v>4214</v>
      </c>
      <c r="B606">
        <v>39</v>
      </c>
      <c r="C606" t="s">
        <v>9</v>
      </c>
      <c r="D606">
        <v>6</v>
      </c>
      <c r="E606">
        <v>44</v>
      </c>
      <c r="F606">
        <v>1.06E-3</v>
      </c>
      <c r="G606">
        <v>0</v>
      </c>
      <c r="H606" t="s">
        <v>5090</v>
      </c>
      <c r="I606" t="s">
        <v>5097</v>
      </c>
      <c r="J606">
        <v>1.06E-3</v>
      </c>
    </row>
    <row r="607" spans="1:10">
      <c r="A607" t="s">
        <v>500</v>
      </c>
      <c r="B607">
        <v>48</v>
      </c>
      <c r="C607" t="s">
        <v>9</v>
      </c>
      <c r="D607">
        <v>2</v>
      </c>
      <c r="E607">
        <v>49</v>
      </c>
      <c r="F607">
        <v>1E-3</v>
      </c>
      <c r="G607">
        <v>0</v>
      </c>
      <c r="H607" t="s">
        <v>5090</v>
      </c>
      <c r="I607" t="s">
        <v>5097</v>
      </c>
      <c r="J607">
        <v>1E-3</v>
      </c>
    </row>
    <row r="608" spans="1:10">
      <c r="A608" t="s">
        <v>4192</v>
      </c>
      <c r="B608">
        <v>43</v>
      </c>
      <c r="C608" t="s">
        <v>9</v>
      </c>
      <c r="D608">
        <v>7</v>
      </c>
      <c r="E608">
        <v>49</v>
      </c>
      <c r="F608">
        <v>1.66E-3</v>
      </c>
      <c r="G608">
        <v>0</v>
      </c>
      <c r="H608" t="s">
        <v>5090</v>
      </c>
      <c r="I608" t="s">
        <v>5097</v>
      </c>
      <c r="J608">
        <v>1.66E-3</v>
      </c>
    </row>
    <row r="609" spans="1:10">
      <c r="A609" t="s">
        <v>509</v>
      </c>
      <c r="B609">
        <v>38</v>
      </c>
      <c r="C609" t="s">
        <v>7</v>
      </c>
      <c r="D609">
        <v>3</v>
      </c>
      <c r="E609">
        <v>40</v>
      </c>
      <c r="F609">
        <v>4.6000000000000001E-4</v>
      </c>
      <c r="G609">
        <v>0</v>
      </c>
      <c r="H609" t="s">
        <v>5090</v>
      </c>
      <c r="I609" t="s">
        <v>5097</v>
      </c>
      <c r="J609">
        <v>4.6000000000000001E-4</v>
      </c>
    </row>
    <row r="610" spans="1:10">
      <c r="A610" t="s">
        <v>4188</v>
      </c>
      <c r="B610">
        <v>38</v>
      </c>
      <c r="C610" t="s">
        <v>9</v>
      </c>
      <c r="D610">
        <v>4</v>
      </c>
      <c r="E610">
        <v>41</v>
      </c>
      <c r="F610">
        <v>7.3999999999999999E-4</v>
      </c>
      <c r="G610">
        <v>0</v>
      </c>
      <c r="H610" t="s">
        <v>5090</v>
      </c>
      <c r="I610" t="s">
        <v>5097</v>
      </c>
      <c r="J610">
        <v>7.3999999999999999E-4</v>
      </c>
    </row>
    <row r="611" spans="1:10">
      <c r="A611" t="s">
        <v>4162</v>
      </c>
      <c r="B611">
        <v>43</v>
      </c>
      <c r="C611" t="s">
        <v>7</v>
      </c>
      <c r="D611">
        <v>3</v>
      </c>
      <c r="E611">
        <v>45</v>
      </c>
      <c r="F611">
        <v>5.6999999999999998E-4</v>
      </c>
      <c r="G611">
        <v>0</v>
      </c>
      <c r="H611" t="s">
        <v>5090</v>
      </c>
      <c r="I611" t="s">
        <v>5097</v>
      </c>
      <c r="J611">
        <v>5.6999999999999998E-4</v>
      </c>
    </row>
    <row r="612" spans="1:10">
      <c r="A612" t="s">
        <v>527</v>
      </c>
      <c r="B612">
        <v>43</v>
      </c>
      <c r="C612" t="s">
        <v>7</v>
      </c>
      <c r="D612">
        <v>3</v>
      </c>
      <c r="E612">
        <v>45</v>
      </c>
      <c r="F612">
        <v>5.6999999999999998E-4</v>
      </c>
      <c r="G612">
        <v>0</v>
      </c>
      <c r="H612" t="s">
        <v>5090</v>
      </c>
      <c r="I612" t="s">
        <v>5097</v>
      </c>
      <c r="J612">
        <v>5.6999999999999998E-4</v>
      </c>
    </row>
    <row r="613" spans="1:10">
      <c r="A613" t="s">
        <v>4144</v>
      </c>
      <c r="B613">
        <v>43</v>
      </c>
      <c r="C613" t="s">
        <v>9</v>
      </c>
      <c r="D613">
        <v>3</v>
      </c>
      <c r="E613">
        <v>45</v>
      </c>
      <c r="F613">
        <v>9.2000000000000003E-4</v>
      </c>
      <c r="G613">
        <v>0</v>
      </c>
      <c r="H613" t="s">
        <v>5090</v>
      </c>
      <c r="I613" t="s">
        <v>5097</v>
      </c>
      <c r="J613">
        <v>9.2000000000000003E-4</v>
      </c>
    </row>
    <row r="614" spans="1:10">
      <c r="A614" t="s">
        <v>532</v>
      </c>
      <c r="B614">
        <v>41</v>
      </c>
      <c r="C614" t="s">
        <v>9</v>
      </c>
      <c r="D614">
        <v>5</v>
      </c>
      <c r="E614">
        <v>45</v>
      </c>
      <c r="F614">
        <v>1.07E-3</v>
      </c>
      <c r="G614">
        <v>0</v>
      </c>
      <c r="H614" t="s">
        <v>5090</v>
      </c>
      <c r="I614" t="s">
        <v>5097</v>
      </c>
      <c r="J614">
        <v>1.07E-3</v>
      </c>
    </row>
    <row r="615" spans="1:10">
      <c r="A615" t="s">
        <v>536</v>
      </c>
      <c r="B615">
        <v>38</v>
      </c>
      <c r="C615" t="s">
        <v>9</v>
      </c>
      <c r="D615">
        <v>7</v>
      </c>
      <c r="E615">
        <v>44</v>
      </c>
      <c r="F615">
        <v>1.1199999999999999E-3</v>
      </c>
      <c r="G615">
        <v>0</v>
      </c>
      <c r="H615" t="s">
        <v>5090</v>
      </c>
      <c r="I615" t="s">
        <v>5097</v>
      </c>
      <c r="J615">
        <v>1.1199999999999999E-3</v>
      </c>
    </row>
    <row r="616" spans="1:10">
      <c r="A616" t="s">
        <v>4126</v>
      </c>
      <c r="B616">
        <v>45</v>
      </c>
      <c r="C616" t="s">
        <v>7</v>
      </c>
      <c r="D616">
        <v>4</v>
      </c>
      <c r="E616">
        <v>48</v>
      </c>
      <c r="F616">
        <v>9.7999999999999997E-4</v>
      </c>
      <c r="G616">
        <v>0</v>
      </c>
      <c r="H616" t="s">
        <v>5090</v>
      </c>
      <c r="I616" t="s">
        <v>5097</v>
      </c>
      <c r="J616">
        <v>9.7999999999999997E-4</v>
      </c>
    </row>
    <row r="617" spans="1:10">
      <c r="A617" t="s">
        <v>4124</v>
      </c>
      <c r="B617">
        <v>44</v>
      </c>
      <c r="C617" t="s">
        <v>7</v>
      </c>
      <c r="D617">
        <v>6</v>
      </c>
      <c r="E617">
        <v>49</v>
      </c>
      <c r="F617">
        <v>1.1800000000000001E-3</v>
      </c>
      <c r="G617">
        <v>0</v>
      </c>
      <c r="H617" t="s">
        <v>5090</v>
      </c>
      <c r="I617" t="s">
        <v>5097</v>
      </c>
      <c r="J617">
        <v>1.1800000000000001E-3</v>
      </c>
    </row>
    <row r="618" spans="1:10">
      <c r="A618" t="s">
        <v>4112</v>
      </c>
      <c r="B618">
        <v>34</v>
      </c>
      <c r="C618" t="s">
        <v>9</v>
      </c>
      <c r="D618">
        <v>8</v>
      </c>
      <c r="E618">
        <v>41</v>
      </c>
      <c r="F618">
        <v>9.3000000000000005E-4</v>
      </c>
      <c r="G618">
        <v>0</v>
      </c>
      <c r="H618" t="s">
        <v>5090</v>
      </c>
      <c r="I618" t="s">
        <v>5097</v>
      </c>
      <c r="J618">
        <v>9.3000000000000005E-4</v>
      </c>
    </row>
    <row r="619" spans="1:10">
      <c r="A619" t="s">
        <v>548</v>
      </c>
      <c r="B619">
        <v>48</v>
      </c>
      <c r="C619" t="s">
        <v>7</v>
      </c>
      <c r="D619">
        <v>2</v>
      </c>
      <c r="E619">
        <v>49</v>
      </c>
      <c r="F619">
        <v>5.2999999999999998E-4</v>
      </c>
      <c r="G619">
        <v>0</v>
      </c>
      <c r="H619" t="s">
        <v>5090</v>
      </c>
      <c r="I619" t="s">
        <v>5097</v>
      </c>
      <c r="J619">
        <v>5.2999999999999998E-4</v>
      </c>
    </row>
    <row r="620" spans="1:10">
      <c r="A620" t="s">
        <v>553</v>
      </c>
      <c r="B620">
        <v>48</v>
      </c>
      <c r="C620" t="s">
        <v>9</v>
      </c>
      <c r="D620">
        <v>2</v>
      </c>
      <c r="E620">
        <v>49</v>
      </c>
      <c r="F620">
        <v>1E-3</v>
      </c>
      <c r="G620">
        <v>0</v>
      </c>
      <c r="H620" t="s">
        <v>5090</v>
      </c>
      <c r="I620" t="s">
        <v>5097</v>
      </c>
      <c r="J620">
        <v>1E-3</v>
      </c>
    </row>
    <row r="621" spans="1:10">
      <c r="A621" t="s">
        <v>4097</v>
      </c>
      <c r="B621">
        <v>38</v>
      </c>
      <c r="C621" t="s">
        <v>7</v>
      </c>
      <c r="D621">
        <v>6</v>
      </c>
      <c r="E621">
        <v>43</v>
      </c>
      <c r="F621">
        <v>7.5000000000000002E-4</v>
      </c>
      <c r="G621">
        <v>0</v>
      </c>
      <c r="H621" t="s">
        <v>5090</v>
      </c>
      <c r="I621" t="s">
        <v>5097</v>
      </c>
      <c r="J621">
        <v>7.5000000000000002E-4</v>
      </c>
    </row>
    <row r="622" spans="1:10">
      <c r="A622" t="s">
        <v>4091</v>
      </c>
      <c r="B622">
        <v>39</v>
      </c>
      <c r="C622" t="s">
        <v>9</v>
      </c>
      <c r="D622">
        <v>9</v>
      </c>
      <c r="E622">
        <v>47</v>
      </c>
      <c r="F622">
        <v>1.5E-3</v>
      </c>
      <c r="G622">
        <v>0</v>
      </c>
      <c r="H622" t="s">
        <v>5090</v>
      </c>
      <c r="I622" t="s">
        <v>5097</v>
      </c>
      <c r="J622">
        <v>1.5E-3</v>
      </c>
    </row>
    <row r="623" spans="1:10">
      <c r="A623" t="s">
        <v>558</v>
      </c>
      <c r="B623">
        <v>37</v>
      </c>
      <c r="C623" t="s">
        <v>7</v>
      </c>
      <c r="D623">
        <v>8</v>
      </c>
      <c r="E623">
        <v>44</v>
      </c>
      <c r="F623">
        <v>8.1999999999999998E-4</v>
      </c>
      <c r="G623">
        <v>0</v>
      </c>
      <c r="H623" t="s">
        <v>5090</v>
      </c>
      <c r="I623" t="s">
        <v>5097</v>
      </c>
      <c r="J623">
        <v>8.1999999999999998E-4</v>
      </c>
    </row>
    <row r="624" spans="1:10">
      <c r="A624" t="s">
        <v>4071</v>
      </c>
      <c r="B624">
        <v>35</v>
      </c>
      <c r="C624" t="s">
        <v>7</v>
      </c>
      <c r="D624">
        <v>7</v>
      </c>
      <c r="E624">
        <v>41</v>
      </c>
      <c r="F624">
        <v>6.8000000000000005E-4</v>
      </c>
      <c r="G624">
        <v>0</v>
      </c>
      <c r="H624" t="s">
        <v>5090</v>
      </c>
      <c r="I624" t="s">
        <v>5097</v>
      </c>
      <c r="J624">
        <v>6.8000000000000005E-4</v>
      </c>
    </row>
    <row r="625" spans="1:10">
      <c r="A625" t="s">
        <v>4034</v>
      </c>
      <c r="B625">
        <v>32</v>
      </c>
      <c r="C625" t="s">
        <v>9</v>
      </c>
      <c r="D625">
        <v>9</v>
      </c>
      <c r="E625">
        <v>40</v>
      </c>
      <c r="F625">
        <v>9.1E-4</v>
      </c>
      <c r="G625">
        <v>0</v>
      </c>
      <c r="H625" t="s">
        <v>5090</v>
      </c>
      <c r="I625" t="s">
        <v>5097</v>
      </c>
      <c r="J625">
        <v>9.1E-4</v>
      </c>
    </row>
    <row r="626" spans="1:10">
      <c r="A626" t="s">
        <v>4017</v>
      </c>
      <c r="B626">
        <v>38</v>
      </c>
      <c r="C626" t="s">
        <v>9</v>
      </c>
      <c r="D626">
        <v>9</v>
      </c>
      <c r="E626">
        <v>46</v>
      </c>
      <c r="F626">
        <v>1.3600000000000001E-3</v>
      </c>
      <c r="G626">
        <v>0</v>
      </c>
      <c r="H626" t="s">
        <v>5090</v>
      </c>
      <c r="I626" t="s">
        <v>5097</v>
      </c>
      <c r="J626">
        <v>1.3600000000000001E-3</v>
      </c>
    </row>
    <row r="627" spans="1:10">
      <c r="A627" t="s">
        <v>599</v>
      </c>
      <c r="B627">
        <v>40</v>
      </c>
      <c r="C627" t="s">
        <v>7</v>
      </c>
      <c r="D627">
        <v>7</v>
      </c>
      <c r="E627">
        <v>46</v>
      </c>
      <c r="F627">
        <v>9.5E-4</v>
      </c>
      <c r="G627">
        <v>0</v>
      </c>
      <c r="H627" t="s">
        <v>5090</v>
      </c>
      <c r="I627" t="s">
        <v>5097</v>
      </c>
      <c r="J627">
        <v>9.5E-4</v>
      </c>
    </row>
    <row r="628" spans="1:10">
      <c r="A628" t="s">
        <v>4005</v>
      </c>
      <c r="B628">
        <v>36</v>
      </c>
      <c r="C628" t="s">
        <v>7</v>
      </c>
      <c r="D628">
        <v>7</v>
      </c>
      <c r="E628">
        <v>42</v>
      </c>
      <c r="F628">
        <v>7.2999999999999996E-4</v>
      </c>
      <c r="G628">
        <v>0</v>
      </c>
      <c r="H628" t="s">
        <v>5090</v>
      </c>
      <c r="I628" t="s">
        <v>5097</v>
      </c>
      <c r="J628">
        <v>7.2999999999999996E-4</v>
      </c>
    </row>
    <row r="629" spans="1:10">
      <c r="A629" t="s">
        <v>602</v>
      </c>
      <c r="B629">
        <v>35</v>
      </c>
      <c r="C629" t="s">
        <v>7</v>
      </c>
      <c r="D629">
        <v>7</v>
      </c>
      <c r="E629">
        <v>41</v>
      </c>
      <c r="F629">
        <v>6.8000000000000005E-4</v>
      </c>
      <c r="G629">
        <v>0</v>
      </c>
      <c r="H629" t="s">
        <v>5090</v>
      </c>
      <c r="I629" t="s">
        <v>5097</v>
      </c>
      <c r="J629">
        <v>6.8000000000000005E-4</v>
      </c>
    </row>
    <row r="630" spans="1:10">
      <c r="A630" t="s">
        <v>3998</v>
      </c>
      <c r="B630">
        <v>41</v>
      </c>
      <c r="C630" t="s">
        <v>7</v>
      </c>
      <c r="D630">
        <v>3</v>
      </c>
      <c r="E630">
        <v>43</v>
      </c>
      <c r="F630">
        <v>5.1999999999999995E-4</v>
      </c>
      <c r="G630">
        <v>0</v>
      </c>
      <c r="H630" t="s">
        <v>5090</v>
      </c>
      <c r="I630" t="s">
        <v>5097</v>
      </c>
      <c r="J630">
        <v>5.1999999999999995E-4</v>
      </c>
    </row>
    <row r="631" spans="1:10">
      <c r="A631" t="s">
        <v>608</v>
      </c>
      <c r="B631">
        <v>38</v>
      </c>
      <c r="C631" t="s">
        <v>9</v>
      </c>
      <c r="D631">
        <v>3</v>
      </c>
      <c r="E631">
        <v>40</v>
      </c>
      <c r="F631">
        <v>6.3000000000000003E-4</v>
      </c>
      <c r="G631">
        <v>0</v>
      </c>
      <c r="H631" t="s">
        <v>5090</v>
      </c>
      <c r="I631" t="s">
        <v>5097</v>
      </c>
      <c r="J631">
        <v>6.3000000000000003E-4</v>
      </c>
    </row>
    <row r="632" spans="1:10">
      <c r="A632" t="s">
        <v>3988</v>
      </c>
      <c r="B632">
        <v>39</v>
      </c>
      <c r="C632" t="s">
        <v>7</v>
      </c>
      <c r="D632">
        <v>4</v>
      </c>
      <c r="E632">
        <v>42</v>
      </c>
      <c r="F632">
        <v>6.2E-4</v>
      </c>
      <c r="G632">
        <v>0</v>
      </c>
      <c r="H632" t="s">
        <v>5090</v>
      </c>
      <c r="I632" t="s">
        <v>5097</v>
      </c>
      <c r="J632">
        <v>6.2E-4</v>
      </c>
    </row>
    <row r="633" spans="1:10">
      <c r="A633" t="s">
        <v>625</v>
      </c>
      <c r="B633">
        <v>44</v>
      </c>
      <c r="C633" t="s">
        <v>7</v>
      </c>
      <c r="D633">
        <v>5</v>
      </c>
      <c r="E633">
        <v>48</v>
      </c>
      <c r="F633">
        <v>1.0300000000000001E-3</v>
      </c>
      <c r="G633">
        <v>0</v>
      </c>
      <c r="H633" t="s">
        <v>5090</v>
      </c>
      <c r="I633" t="s">
        <v>5097</v>
      </c>
      <c r="J633">
        <v>1.0300000000000001E-3</v>
      </c>
    </row>
    <row r="634" spans="1:10">
      <c r="A634" t="s">
        <v>3939</v>
      </c>
      <c r="B634">
        <v>40</v>
      </c>
      <c r="C634" t="s">
        <v>7</v>
      </c>
      <c r="D634">
        <v>2</v>
      </c>
      <c r="E634">
        <v>41</v>
      </c>
      <c r="F634">
        <v>3.4000000000000002E-4</v>
      </c>
      <c r="G634">
        <v>0</v>
      </c>
      <c r="H634" t="s">
        <v>5090</v>
      </c>
      <c r="I634" t="s">
        <v>5097</v>
      </c>
      <c r="J634">
        <v>3.4000000000000002E-4</v>
      </c>
    </row>
    <row r="635" spans="1:10">
      <c r="A635" t="s">
        <v>3925</v>
      </c>
      <c r="B635">
        <v>45</v>
      </c>
      <c r="C635" t="s">
        <v>7</v>
      </c>
      <c r="D635">
        <v>2</v>
      </c>
      <c r="E635">
        <v>46</v>
      </c>
      <c r="F635">
        <v>4.4000000000000002E-4</v>
      </c>
      <c r="G635">
        <v>0</v>
      </c>
      <c r="H635" t="s">
        <v>5090</v>
      </c>
      <c r="I635" t="s">
        <v>5097</v>
      </c>
      <c r="J635">
        <v>4.4000000000000002E-4</v>
      </c>
    </row>
    <row r="636" spans="1:10">
      <c r="A636" t="s">
        <v>3921</v>
      </c>
      <c r="B636">
        <v>39</v>
      </c>
      <c r="C636" t="s">
        <v>7</v>
      </c>
      <c r="D636">
        <v>7</v>
      </c>
      <c r="E636">
        <v>45</v>
      </c>
      <c r="F636">
        <v>8.4999999999999995E-4</v>
      </c>
      <c r="G636">
        <v>0</v>
      </c>
      <c r="H636" t="s">
        <v>5090</v>
      </c>
      <c r="I636" t="s">
        <v>5097</v>
      </c>
      <c r="J636">
        <v>8.4999999999999995E-4</v>
      </c>
    </row>
    <row r="637" spans="1:10">
      <c r="A637" t="s">
        <v>3918</v>
      </c>
      <c r="B637">
        <v>45</v>
      </c>
      <c r="C637" t="s">
        <v>9</v>
      </c>
      <c r="D637">
        <v>2</v>
      </c>
      <c r="E637">
        <v>46</v>
      </c>
      <c r="F637">
        <v>8.1999999999999998E-4</v>
      </c>
      <c r="G637">
        <v>0</v>
      </c>
      <c r="H637" t="s">
        <v>5090</v>
      </c>
      <c r="I637" t="s">
        <v>5097</v>
      </c>
      <c r="J637">
        <v>8.1999999999999998E-4</v>
      </c>
    </row>
    <row r="638" spans="1:10">
      <c r="A638" t="s">
        <v>3893</v>
      </c>
      <c r="B638">
        <v>43</v>
      </c>
      <c r="C638" t="s">
        <v>9</v>
      </c>
      <c r="D638">
        <v>5</v>
      </c>
      <c r="E638">
        <v>47</v>
      </c>
      <c r="F638">
        <v>1.2800000000000001E-3</v>
      </c>
      <c r="G638">
        <v>0</v>
      </c>
      <c r="H638" t="s">
        <v>5090</v>
      </c>
      <c r="I638" t="s">
        <v>5097</v>
      </c>
      <c r="J638">
        <v>1.2800000000000001E-3</v>
      </c>
    </row>
    <row r="639" spans="1:10">
      <c r="A639" t="s">
        <v>3872</v>
      </c>
      <c r="B639">
        <v>41</v>
      </c>
      <c r="C639" t="s">
        <v>9</v>
      </c>
      <c r="D639">
        <v>6</v>
      </c>
      <c r="E639">
        <v>46</v>
      </c>
      <c r="F639">
        <v>1.2199999999999999E-3</v>
      </c>
      <c r="G639">
        <v>0</v>
      </c>
      <c r="H639" t="s">
        <v>5090</v>
      </c>
      <c r="I639" t="s">
        <v>5097</v>
      </c>
      <c r="J639">
        <v>1.2199999999999999E-3</v>
      </c>
    </row>
    <row r="640" spans="1:10">
      <c r="A640" t="s">
        <v>3834</v>
      </c>
      <c r="B640">
        <v>44</v>
      </c>
      <c r="C640" t="s">
        <v>7</v>
      </c>
      <c r="D640">
        <v>4</v>
      </c>
      <c r="E640">
        <v>47</v>
      </c>
      <c r="F640">
        <v>8.8000000000000003E-4</v>
      </c>
      <c r="G640">
        <v>0</v>
      </c>
      <c r="H640" t="s">
        <v>5090</v>
      </c>
      <c r="I640" t="s">
        <v>5097</v>
      </c>
      <c r="J640">
        <v>8.8000000000000003E-4</v>
      </c>
    </row>
    <row r="641" spans="1:10">
      <c r="A641" t="s">
        <v>3805</v>
      </c>
      <c r="B641">
        <v>44</v>
      </c>
      <c r="C641" t="s">
        <v>7</v>
      </c>
      <c r="D641">
        <v>2</v>
      </c>
      <c r="E641">
        <v>45</v>
      </c>
      <c r="F641">
        <v>4.2000000000000002E-4</v>
      </c>
      <c r="G641">
        <v>0</v>
      </c>
      <c r="H641" t="s">
        <v>5090</v>
      </c>
      <c r="I641" t="s">
        <v>5097</v>
      </c>
      <c r="J641">
        <v>4.2000000000000002E-4</v>
      </c>
    </row>
    <row r="642" spans="1:10">
      <c r="A642" t="s">
        <v>3797</v>
      </c>
      <c r="B642">
        <v>46</v>
      </c>
      <c r="C642" t="s">
        <v>7</v>
      </c>
      <c r="D642">
        <v>2</v>
      </c>
      <c r="E642">
        <v>47</v>
      </c>
      <c r="F642">
        <v>4.6000000000000001E-4</v>
      </c>
      <c r="G642">
        <v>0</v>
      </c>
      <c r="H642" t="s">
        <v>5090</v>
      </c>
      <c r="I642" t="s">
        <v>5097</v>
      </c>
      <c r="J642">
        <v>4.6000000000000001E-4</v>
      </c>
    </row>
    <row r="643" spans="1:10">
      <c r="A643" t="s">
        <v>3783</v>
      </c>
      <c r="B643">
        <v>45</v>
      </c>
      <c r="C643" t="s">
        <v>7</v>
      </c>
      <c r="D643">
        <v>4</v>
      </c>
      <c r="E643">
        <v>48</v>
      </c>
      <c r="F643">
        <v>9.7999999999999997E-4</v>
      </c>
      <c r="G643">
        <v>0</v>
      </c>
      <c r="H643" t="s">
        <v>5090</v>
      </c>
      <c r="I643" t="s">
        <v>5097</v>
      </c>
      <c r="J643">
        <v>9.7999999999999997E-4</v>
      </c>
    </row>
    <row r="644" spans="1:10">
      <c r="A644" t="s">
        <v>3770</v>
      </c>
      <c r="B644">
        <v>43</v>
      </c>
      <c r="C644" t="s">
        <v>9</v>
      </c>
      <c r="D644">
        <v>6</v>
      </c>
      <c r="E644">
        <v>48</v>
      </c>
      <c r="F644">
        <v>1.4499999999999999E-3</v>
      </c>
      <c r="G644">
        <v>0</v>
      </c>
      <c r="H644" t="s">
        <v>5090</v>
      </c>
      <c r="I644" t="s">
        <v>5097</v>
      </c>
      <c r="J644">
        <v>1.4499999999999999E-3</v>
      </c>
    </row>
    <row r="645" spans="1:10">
      <c r="A645" t="s">
        <v>3744</v>
      </c>
      <c r="B645">
        <v>35</v>
      </c>
      <c r="C645" t="s">
        <v>9</v>
      </c>
      <c r="D645">
        <v>8</v>
      </c>
      <c r="E645">
        <v>42</v>
      </c>
      <c r="F645">
        <v>1.0200000000000001E-3</v>
      </c>
      <c r="G645">
        <v>0</v>
      </c>
      <c r="H645" t="s">
        <v>5090</v>
      </c>
      <c r="I645" t="s">
        <v>5097</v>
      </c>
      <c r="J645">
        <v>1.0200000000000001E-3</v>
      </c>
    </row>
    <row r="646" spans="1:10">
      <c r="A646" t="s">
        <v>3739</v>
      </c>
      <c r="B646">
        <v>36</v>
      </c>
      <c r="C646" t="s">
        <v>9</v>
      </c>
      <c r="D646">
        <v>5</v>
      </c>
      <c r="E646">
        <v>40</v>
      </c>
      <c r="F646">
        <v>7.2000000000000005E-4</v>
      </c>
      <c r="G646">
        <v>0</v>
      </c>
      <c r="H646" t="s">
        <v>5090</v>
      </c>
      <c r="I646" t="s">
        <v>5097</v>
      </c>
      <c r="J646">
        <v>7.2000000000000005E-4</v>
      </c>
    </row>
    <row r="647" spans="1:10">
      <c r="A647" t="s">
        <v>3733</v>
      </c>
      <c r="B647">
        <v>46</v>
      </c>
      <c r="C647" t="s">
        <v>7</v>
      </c>
      <c r="D647">
        <v>2</v>
      </c>
      <c r="E647">
        <v>47</v>
      </c>
      <c r="F647">
        <v>4.6000000000000001E-4</v>
      </c>
      <c r="G647">
        <v>0</v>
      </c>
      <c r="H647" t="s">
        <v>5090</v>
      </c>
      <c r="I647" t="s">
        <v>5097</v>
      </c>
      <c r="J647">
        <v>4.6000000000000001E-4</v>
      </c>
    </row>
    <row r="648" spans="1:10">
      <c r="A648" t="s">
        <v>3731</v>
      </c>
      <c r="B648">
        <v>40</v>
      </c>
      <c r="C648" t="s">
        <v>7</v>
      </c>
      <c r="D648">
        <v>1</v>
      </c>
      <c r="E648">
        <v>40</v>
      </c>
      <c r="F648">
        <v>2.3000000000000001E-4</v>
      </c>
      <c r="G648">
        <v>0</v>
      </c>
      <c r="H648" t="s">
        <v>5090</v>
      </c>
      <c r="I648" t="s">
        <v>5097</v>
      </c>
      <c r="J648">
        <v>2.3000000000000001E-4</v>
      </c>
    </row>
    <row r="649" spans="1:10">
      <c r="A649" t="s">
        <v>696</v>
      </c>
      <c r="B649">
        <v>42</v>
      </c>
      <c r="C649" t="s">
        <v>9</v>
      </c>
      <c r="D649">
        <v>5</v>
      </c>
      <c r="E649">
        <v>46</v>
      </c>
      <c r="F649">
        <v>1.17E-3</v>
      </c>
      <c r="G649">
        <v>0</v>
      </c>
      <c r="H649" t="s">
        <v>5090</v>
      </c>
      <c r="I649" t="s">
        <v>5097</v>
      </c>
      <c r="J649">
        <v>1.17E-3</v>
      </c>
    </row>
    <row r="650" spans="1:10">
      <c r="A650" t="s">
        <v>704</v>
      </c>
      <c r="B650">
        <v>40</v>
      </c>
      <c r="C650" t="s">
        <v>9</v>
      </c>
      <c r="D650">
        <v>8</v>
      </c>
      <c r="E650">
        <v>47</v>
      </c>
      <c r="F650">
        <v>1.4400000000000001E-3</v>
      </c>
      <c r="G650">
        <v>0</v>
      </c>
      <c r="H650" t="s">
        <v>5090</v>
      </c>
      <c r="I650" t="s">
        <v>5097</v>
      </c>
      <c r="J650">
        <v>1.4400000000000001E-3</v>
      </c>
    </row>
    <row r="651" spans="1:10">
      <c r="A651" t="s">
        <v>3716</v>
      </c>
      <c r="B651">
        <v>49</v>
      </c>
      <c r="C651" t="s">
        <v>9</v>
      </c>
      <c r="D651">
        <v>1</v>
      </c>
      <c r="E651">
        <v>49</v>
      </c>
      <c r="F651">
        <v>7.7999999999999999E-4</v>
      </c>
      <c r="G651">
        <v>0</v>
      </c>
      <c r="H651" t="s">
        <v>5090</v>
      </c>
      <c r="I651" t="s">
        <v>5097</v>
      </c>
      <c r="J651">
        <v>7.7999999999999999E-4</v>
      </c>
    </row>
    <row r="652" spans="1:10">
      <c r="A652" t="s">
        <v>3709</v>
      </c>
      <c r="B652">
        <v>44</v>
      </c>
      <c r="C652" t="s">
        <v>9</v>
      </c>
      <c r="D652">
        <v>2</v>
      </c>
      <c r="E652">
        <v>45</v>
      </c>
      <c r="F652">
        <v>7.6999999999999996E-4</v>
      </c>
      <c r="G652">
        <v>0</v>
      </c>
      <c r="H652" t="s">
        <v>5090</v>
      </c>
      <c r="I652" t="s">
        <v>5097</v>
      </c>
      <c r="J652">
        <v>7.6999999999999996E-4</v>
      </c>
    </row>
    <row r="653" spans="1:10">
      <c r="A653" t="s">
        <v>3706</v>
      </c>
      <c r="B653">
        <v>42</v>
      </c>
      <c r="C653" t="s">
        <v>9</v>
      </c>
      <c r="D653">
        <v>1</v>
      </c>
      <c r="E653">
        <v>42</v>
      </c>
      <c r="F653">
        <v>3.8999999999999999E-4</v>
      </c>
      <c r="G653">
        <v>0</v>
      </c>
      <c r="H653" t="s">
        <v>5090</v>
      </c>
      <c r="I653" t="s">
        <v>5097</v>
      </c>
      <c r="J653">
        <v>3.8999999999999999E-4</v>
      </c>
    </row>
    <row r="654" spans="1:10">
      <c r="A654" t="s">
        <v>3705</v>
      </c>
      <c r="B654">
        <v>37</v>
      </c>
      <c r="C654" t="s">
        <v>7</v>
      </c>
      <c r="D654">
        <v>8</v>
      </c>
      <c r="E654">
        <v>44</v>
      </c>
      <c r="F654">
        <v>8.1999999999999998E-4</v>
      </c>
      <c r="G654">
        <v>0</v>
      </c>
      <c r="H654" t="s">
        <v>5090</v>
      </c>
      <c r="I654" t="s">
        <v>5097</v>
      </c>
      <c r="J654">
        <v>8.1999999999999998E-4</v>
      </c>
    </row>
    <row r="655" spans="1:10">
      <c r="A655" t="s">
        <v>714</v>
      </c>
      <c r="B655">
        <v>35</v>
      </c>
      <c r="C655" t="s">
        <v>9</v>
      </c>
      <c r="D655">
        <v>9</v>
      </c>
      <c r="E655">
        <v>43</v>
      </c>
      <c r="F655">
        <v>1.16E-3</v>
      </c>
      <c r="G655">
        <v>0</v>
      </c>
      <c r="H655" t="s">
        <v>5090</v>
      </c>
      <c r="I655" t="s">
        <v>5097</v>
      </c>
      <c r="J655">
        <v>1.16E-3</v>
      </c>
    </row>
    <row r="656" spans="1:10">
      <c r="A656" t="s">
        <v>3701</v>
      </c>
      <c r="B656">
        <v>39</v>
      </c>
      <c r="C656" t="s">
        <v>9</v>
      </c>
      <c r="D656">
        <v>6</v>
      </c>
      <c r="E656">
        <v>44</v>
      </c>
      <c r="F656">
        <v>1.06E-3</v>
      </c>
      <c r="G656">
        <v>0</v>
      </c>
      <c r="H656" t="s">
        <v>5090</v>
      </c>
      <c r="I656" t="s">
        <v>5097</v>
      </c>
      <c r="J656">
        <v>1.06E-3</v>
      </c>
    </row>
    <row r="657" spans="1:10">
      <c r="A657" t="s">
        <v>3680</v>
      </c>
      <c r="B657">
        <v>36</v>
      </c>
      <c r="C657" t="s">
        <v>7</v>
      </c>
      <c r="D657">
        <v>9</v>
      </c>
      <c r="E657">
        <v>44</v>
      </c>
      <c r="F657">
        <v>8.4000000000000003E-4</v>
      </c>
      <c r="G657">
        <v>0</v>
      </c>
      <c r="H657" t="s">
        <v>5090</v>
      </c>
      <c r="I657" t="s">
        <v>5097</v>
      </c>
      <c r="J657">
        <v>8.4000000000000003E-4</v>
      </c>
    </row>
    <row r="658" spans="1:10">
      <c r="A658" t="s">
        <v>3670</v>
      </c>
      <c r="B658">
        <v>38</v>
      </c>
      <c r="C658" t="s">
        <v>9</v>
      </c>
      <c r="D658">
        <v>4</v>
      </c>
      <c r="E658">
        <v>41</v>
      </c>
      <c r="F658">
        <v>7.3999999999999999E-4</v>
      </c>
      <c r="G658">
        <v>0</v>
      </c>
      <c r="H658" t="s">
        <v>5090</v>
      </c>
      <c r="I658" t="s">
        <v>5097</v>
      </c>
      <c r="J658">
        <v>7.3999999999999999E-4</v>
      </c>
    </row>
    <row r="659" spans="1:10">
      <c r="A659" t="s">
        <v>3669</v>
      </c>
      <c r="B659">
        <v>41</v>
      </c>
      <c r="C659" t="s">
        <v>7</v>
      </c>
      <c r="D659">
        <v>9</v>
      </c>
      <c r="E659">
        <v>49</v>
      </c>
      <c r="F659">
        <v>1.3500000000000001E-3</v>
      </c>
      <c r="G659">
        <v>0</v>
      </c>
      <c r="H659" t="s">
        <v>5090</v>
      </c>
      <c r="I659" t="s">
        <v>5097</v>
      </c>
      <c r="J659">
        <v>1.3500000000000001E-3</v>
      </c>
    </row>
    <row r="660" spans="1:10">
      <c r="A660" t="s">
        <v>3658</v>
      </c>
      <c r="B660">
        <v>45</v>
      </c>
      <c r="C660" t="s">
        <v>7</v>
      </c>
      <c r="D660">
        <v>2</v>
      </c>
      <c r="E660">
        <v>46</v>
      </c>
      <c r="F660">
        <v>4.4000000000000002E-4</v>
      </c>
      <c r="G660">
        <v>0</v>
      </c>
      <c r="H660" t="s">
        <v>5090</v>
      </c>
      <c r="I660" t="s">
        <v>5097</v>
      </c>
      <c r="J660">
        <v>4.4000000000000002E-4</v>
      </c>
    </row>
    <row r="661" spans="1:10">
      <c r="A661" t="s">
        <v>3654</v>
      </c>
      <c r="B661">
        <v>37</v>
      </c>
      <c r="C661" t="s">
        <v>7</v>
      </c>
      <c r="D661">
        <v>8</v>
      </c>
      <c r="E661">
        <v>44</v>
      </c>
      <c r="F661">
        <v>8.1999999999999998E-4</v>
      </c>
      <c r="G661">
        <v>0</v>
      </c>
      <c r="H661" t="s">
        <v>5090</v>
      </c>
      <c r="I661" t="s">
        <v>5097</v>
      </c>
      <c r="J661">
        <v>8.1999999999999998E-4</v>
      </c>
    </row>
    <row r="662" spans="1:10">
      <c r="A662" t="s">
        <v>3645</v>
      </c>
      <c r="B662">
        <v>39</v>
      </c>
      <c r="C662" t="s">
        <v>7</v>
      </c>
      <c r="D662">
        <v>4</v>
      </c>
      <c r="E662">
        <v>42</v>
      </c>
      <c r="F662">
        <v>6.2E-4</v>
      </c>
      <c r="G662">
        <v>0</v>
      </c>
      <c r="H662" t="s">
        <v>5090</v>
      </c>
      <c r="I662" t="s">
        <v>5097</v>
      </c>
      <c r="J662">
        <v>6.2E-4</v>
      </c>
    </row>
    <row r="663" spans="1:10">
      <c r="A663" t="s">
        <v>732</v>
      </c>
      <c r="B663">
        <v>41</v>
      </c>
      <c r="C663" t="s">
        <v>7</v>
      </c>
      <c r="D663">
        <v>9</v>
      </c>
      <c r="E663">
        <v>49</v>
      </c>
      <c r="F663">
        <v>1.3500000000000001E-3</v>
      </c>
      <c r="G663">
        <v>0</v>
      </c>
      <c r="H663" t="s">
        <v>5090</v>
      </c>
      <c r="I663" t="s">
        <v>5097</v>
      </c>
      <c r="J663">
        <v>1.3500000000000001E-3</v>
      </c>
    </row>
    <row r="664" spans="1:10">
      <c r="A664" t="s">
        <v>734</v>
      </c>
      <c r="B664">
        <v>42</v>
      </c>
      <c r="C664" t="s">
        <v>9</v>
      </c>
      <c r="D664">
        <v>6</v>
      </c>
      <c r="E664">
        <v>47</v>
      </c>
      <c r="F664">
        <v>1.33E-3</v>
      </c>
      <c r="G664">
        <v>0</v>
      </c>
      <c r="H664" t="s">
        <v>5090</v>
      </c>
      <c r="I664" t="s">
        <v>5097</v>
      </c>
      <c r="J664">
        <v>1.33E-3</v>
      </c>
    </row>
    <row r="665" spans="1:10">
      <c r="A665" t="s">
        <v>3637</v>
      </c>
      <c r="B665">
        <v>49</v>
      </c>
      <c r="C665" t="s">
        <v>9</v>
      </c>
      <c r="D665">
        <v>1</v>
      </c>
      <c r="E665">
        <v>49</v>
      </c>
      <c r="F665">
        <v>7.7999999999999999E-4</v>
      </c>
      <c r="G665">
        <v>0</v>
      </c>
      <c r="H665" t="s">
        <v>5090</v>
      </c>
      <c r="I665" t="s">
        <v>5097</v>
      </c>
      <c r="J665">
        <v>7.7999999999999999E-4</v>
      </c>
    </row>
    <row r="666" spans="1:10">
      <c r="A666" t="s">
        <v>742</v>
      </c>
      <c r="B666">
        <v>46</v>
      </c>
      <c r="C666" t="s">
        <v>9</v>
      </c>
      <c r="D666">
        <v>1</v>
      </c>
      <c r="E666">
        <v>46</v>
      </c>
      <c r="F666">
        <v>6.0999999999999997E-4</v>
      </c>
      <c r="G666">
        <v>0</v>
      </c>
      <c r="H666" t="s">
        <v>5090</v>
      </c>
      <c r="I666" t="s">
        <v>5097</v>
      </c>
      <c r="J666">
        <v>6.0999999999999997E-4</v>
      </c>
    </row>
    <row r="667" spans="1:10">
      <c r="A667" t="s">
        <v>3597</v>
      </c>
      <c r="B667">
        <v>33</v>
      </c>
      <c r="C667" t="s">
        <v>9</v>
      </c>
      <c r="D667">
        <v>9</v>
      </c>
      <c r="E667">
        <v>41</v>
      </c>
      <c r="F667">
        <v>1E-3</v>
      </c>
      <c r="G667">
        <v>0</v>
      </c>
      <c r="H667" t="s">
        <v>5090</v>
      </c>
      <c r="I667" t="s">
        <v>5097</v>
      </c>
      <c r="J667">
        <v>1E-3</v>
      </c>
    </row>
    <row r="668" spans="1:10">
      <c r="A668" t="s">
        <v>3596</v>
      </c>
      <c r="B668">
        <v>41</v>
      </c>
      <c r="C668" t="s">
        <v>7</v>
      </c>
      <c r="D668">
        <v>5</v>
      </c>
      <c r="E668">
        <v>45</v>
      </c>
      <c r="F668">
        <v>8.0000000000000004E-4</v>
      </c>
      <c r="G668">
        <v>0</v>
      </c>
      <c r="H668" t="s">
        <v>5090</v>
      </c>
      <c r="I668" t="s">
        <v>5097</v>
      </c>
      <c r="J668">
        <v>8.0000000000000004E-4</v>
      </c>
    </row>
    <row r="669" spans="1:10">
      <c r="A669" t="s">
        <v>3580</v>
      </c>
      <c r="B669">
        <v>40</v>
      </c>
      <c r="C669" t="s">
        <v>9</v>
      </c>
      <c r="D669">
        <v>5</v>
      </c>
      <c r="E669">
        <v>44</v>
      </c>
      <c r="F669">
        <v>1.01E-3</v>
      </c>
      <c r="G669">
        <v>0</v>
      </c>
      <c r="H669" t="s">
        <v>5090</v>
      </c>
      <c r="I669" t="s">
        <v>5097</v>
      </c>
      <c r="J669">
        <v>1.01E-3</v>
      </c>
    </row>
    <row r="670" spans="1:10">
      <c r="A670" t="s">
        <v>3561</v>
      </c>
      <c r="B670">
        <v>38</v>
      </c>
      <c r="C670" t="s">
        <v>7</v>
      </c>
      <c r="D670">
        <v>6</v>
      </c>
      <c r="E670">
        <v>43</v>
      </c>
      <c r="F670">
        <v>7.5000000000000002E-4</v>
      </c>
      <c r="G670">
        <v>0</v>
      </c>
      <c r="H670" t="s">
        <v>5090</v>
      </c>
      <c r="I670" t="s">
        <v>5097</v>
      </c>
      <c r="J670">
        <v>7.5000000000000002E-4</v>
      </c>
    </row>
    <row r="671" spans="1:10">
      <c r="A671" t="s">
        <v>3555</v>
      </c>
      <c r="B671">
        <v>49</v>
      </c>
      <c r="C671" t="s">
        <v>9</v>
      </c>
      <c r="D671">
        <v>1</v>
      </c>
      <c r="E671">
        <v>49</v>
      </c>
      <c r="F671">
        <v>7.7999999999999999E-4</v>
      </c>
      <c r="G671">
        <v>0</v>
      </c>
      <c r="H671" t="s">
        <v>5090</v>
      </c>
      <c r="I671" t="s">
        <v>5097</v>
      </c>
      <c r="J671">
        <v>7.7999999999999999E-4</v>
      </c>
    </row>
    <row r="672" spans="1:10">
      <c r="A672" t="s">
        <v>3551</v>
      </c>
      <c r="B672">
        <v>45</v>
      </c>
      <c r="C672" t="s">
        <v>7</v>
      </c>
      <c r="D672">
        <v>2</v>
      </c>
      <c r="E672">
        <v>46</v>
      </c>
      <c r="F672">
        <v>4.4000000000000002E-4</v>
      </c>
      <c r="G672">
        <v>0</v>
      </c>
      <c r="H672" t="s">
        <v>5090</v>
      </c>
      <c r="I672" t="s">
        <v>5097</v>
      </c>
      <c r="J672">
        <v>4.4000000000000002E-4</v>
      </c>
    </row>
    <row r="673" spans="1:10">
      <c r="A673" t="s">
        <v>3544</v>
      </c>
      <c r="B673">
        <v>34</v>
      </c>
      <c r="C673" t="s">
        <v>9</v>
      </c>
      <c r="D673">
        <v>8</v>
      </c>
      <c r="E673">
        <v>41</v>
      </c>
      <c r="F673">
        <v>9.3000000000000005E-4</v>
      </c>
      <c r="G673">
        <v>0</v>
      </c>
      <c r="H673" t="s">
        <v>5090</v>
      </c>
      <c r="I673" t="s">
        <v>5097</v>
      </c>
      <c r="J673">
        <v>9.3000000000000005E-4</v>
      </c>
    </row>
    <row r="674" spans="1:10">
      <c r="A674" t="s">
        <v>3541</v>
      </c>
      <c r="B674">
        <v>38</v>
      </c>
      <c r="C674" t="s">
        <v>9</v>
      </c>
      <c r="D674">
        <v>9</v>
      </c>
      <c r="E674">
        <v>46</v>
      </c>
      <c r="F674">
        <v>1.3600000000000001E-3</v>
      </c>
      <c r="G674">
        <v>0</v>
      </c>
      <c r="H674" t="s">
        <v>5090</v>
      </c>
      <c r="I674" t="s">
        <v>5097</v>
      </c>
      <c r="J674">
        <v>1.3600000000000001E-3</v>
      </c>
    </row>
    <row r="675" spans="1:10">
      <c r="A675" t="s">
        <v>764</v>
      </c>
      <c r="B675">
        <v>42</v>
      </c>
      <c r="C675" t="s">
        <v>9</v>
      </c>
      <c r="D675">
        <v>2</v>
      </c>
      <c r="E675">
        <v>43</v>
      </c>
      <c r="F675">
        <v>6.7000000000000002E-4</v>
      </c>
      <c r="G675">
        <v>0</v>
      </c>
      <c r="H675" t="s">
        <v>5090</v>
      </c>
      <c r="I675" t="s">
        <v>5097</v>
      </c>
      <c r="J675">
        <v>6.7000000000000002E-4</v>
      </c>
    </row>
    <row r="676" spans="1:10">
      <c r="A676" t="s">
        <v>3530</v>
      </c>
      <c r="B676">
        <v>43</v>
      </c>
      <c r="C676" t="s">
        <v>9</v>
      </c>
      <c r="D676">
        <v>2</v>
      </c>
      <c r="E676">
        <v>44</v>
      </c>
      <c r="F676">
        <v>7.2000000000000005E-4</v>
      </c>
      <c r="G676">
        <v>0</v>
      </c>
      <c r="H676" t="s">
        <v>5090</v>
      </c>
      <c r="I676" t="s">
        <v>5097</v>
      </c>
      <c r="J676">
        <v>7.2000000000000005E-4</v>
      </c>
    </row>
    <row r="677" spans="1:10">
      <c r="A677" t="s">
        <v>3523</v>
      </c>
      <c r="B677">
        <v>46</v>
      </c>
      <c r="C677" t="s">
        <v>9</v>
      </c>
      <c r="D677">
        <v>1</v>
      </c>
      <c r="E677">
        <v>46</v>
      </c>
      <c r="F677">
        <v>6.0999999999999997E-4</v>
      </c>
      <c r="G677">
        <v>0</v>
      </c>
      <c r="H677" t="s">
        <v>5090</v>
      </c>
      <c r="I677" t="s">
        <v>5097</v>
      </c>
      <c r="J677">
        <v>6.0999999999999997E-4</v>
      </c>
    </row>
    <row r="678" spans="1:10">
      <c r="A678" t="s">
        <v>776</v>
      </c>
      <c r="B678">
        <v>46</v>
      </c>
      <c r="C678" t="s">
        <v>9</v>
      </c>
      <c r="D678">
        <v>4</v>
      </c>
      <c r="E678">
        <v>49</v>
      </c>
      <c r="F678">
        <v>1.4400000000000001E-3</v>
      </c>
      <c r="G678">
        <v>0</v>
      </c>
      <c r="H678" t="s">
        <v>5090</v>
      </c>
      <c r="I678" t="s">
        <v>5097</v>
      </c>
      <c r="J678">
        <v>1.4400000000000001E-3</v>
      </c>
    </row>
    <row r="679" spans="1:10">
      <c r="A679" t="s">
        <v>778</v>
      </c>
      <c r="B679">
        <v>44</v>
      </c>
      <c r="C679" t="s">
        <v>9</v>
      </c>
      <c r="D679">
        <v>1</v>
      </c>
      <c r="E679">
        <v>44</v>
      </c>
      <c r="F679">
        <v>5.0000000000000001E-4</v>
      </c>
      <c r="G679">
        <v>0</v>
      </c>
      <c r="H679" t="s">
        <v>5090</v>
      </c>
      <c r="I679" t="s">
        <v>5097</v>
      </c>
      <c r="J679">
        <v>5.0000000000000001E-4</v>
      </c>
    </row>
    <row r="680" spans="1:10">
      <c r="A680" t="s">
        <v>3489</v>
      </c>
      <c r="B680">
        <v>47</v>
      </c>
      <c r="C680" t="s">
        <v>7</v>
      </c>
      <c r="D680">
        <v>3</v>
      </c>
      <c r="E680">
        <v>49</v>
      </c>
      <c r="F680">
        <v>8.4999999999999995E-4</v>
      </c>
      <c r="G680">
        <v>0</v>
      </c>
      <c r="H680" t="s">
        <v>5090</v>
      </c>
      <c r="I680" t="s">
        <v>5097</v>
      </c>
      <c r="J680">
        <v>8.4999999999999995E-4</v>
      </c>
    </row>
    <row r="681" spans="1:10">
      <c r="A681" t="s">
        <v>3488</v>
      </c>
      <c r="B681">
        <v>39</v>
      </c>
      <c r="C681" t="s">
        <v>9</v>
      </c>
      <c r="D681">
        <v>3</v>
      </c>
      <c r="E681">
        <v>41</v>
      </c>
      <c r="F681">
        <v>6.8999999999999997E-4</v>
      </c>
      <c r="G681">
        <v>0</v>
      </c>
      <c r="H681" t="s">
        <v>5090</v>
      </c>
      <c r="I681" t="s">
        <v>5097</v>
      </c>
      <c r="J681">
        <v>6.8999999999999997E-4</v>
      </c>
    </row>
    <row r="682" spans="1:10">
      <c r="A682" t="s">
        <v>3477</v>
      </c>
      <c r="B682">
        <v>35</v>
      </c>
      <c r="C682" t="s">
        <v>7</v>
      </c>
      <c r="D682">
        <v>9</v>
      </c>
      <c r="E682">
        <v>43</v>
      </c>
      <c r="F682">
        <v>8.0000000000000004E-4</v>
      </c>
      <c r="G682">
        <v>0</v>
      </c>
      <c r="H682" t="s">
        <v>5090</v>
      </c>
      <c r="I682" t="s">
        <v>5097</v>
      </c>
      <c r="J682">
        <v>8.0000000000000004E-4</v>
      </c>
    </row>
    <row r="683" spans="1:10">
      <c r="A683" t="s">
        <v>3474</v>
      </c>
      <c r="B683">
        <v>39</v>
      </c>
      <c r="C683" t="s">
        <v>9</v>
      </c>
      <c r="D683">
        <v>6</v>
      </c>
      <c r="E683">
        <v>44</v>
      </c>
      <c r="F683">
        <v>1.06E-3</v>
      </c>
      <c r="G683">
        <v>0</v>
      </c>
      <c r="H683" t="s">
        <v>5090</v>
      </c>
      <c r="I683" t="s">
        <v>5097</v>
      </c>
      <c r="J683">
        <v>1.06E-3</v>
      </c>
    </row>
    <row r="684" spans="1:10">
      <c r="A684" t="s">
        <v>3465</v>
      </c>
      <c r="B684">
        <v>38</v>
      </c>
      <c r="C684" t="s">
        <v>9</v>
      </c>
      <c r="D684">
        <v>7</v>
      </c>
      <c r="E684">
        <v>44</v>
      </c>
      <c r="F684">
        <v>1.1199999999999999E-3</v>
      </c>
      <c r="G684">
        <v>0</v>
      </c>
      <c r="H684" t="s">
        <v>5090</v>
      </c>
      <c r="I684" t="s">
        <v>5097</v>
      </c>
      <c r="J684">
        <v>1.1199999999999999E-3</v>
      </c>
    </row>
    <row r="685" spans="1:10">
      <c r="A685" t="s">
        <v>798</v>
      </c>
      <c r="B685">
        <v>35</v>
      </c>
      <c r="C685" t="s">
        <v>7</v>
      </c>
      <c r="D685">
        <v>9</v>
      </c>
      <c r="E685">
        <v>43</v>
      </c>
      <c r="F685">
        <v>8.0000000000000004E-4</v>
      </c>
      <c r="G685">
        <v>0</v>
      </c>
      <c r="H685" t="s">
        <v>5090</v>
      </c>
      <c r="I685" t="s">
        <v>5097</v>
      </c>
      <c r="J685">
        <v>8.0000000000000004E-4</v>
      </c>
    </row>
    <row r="686" spans="1:10">
      <c r="A686" t="s">
        <v>799</v>
      </c>
      <c r="B686">
        <v>44</v>
      </c>
      <c r="C686" t="s">
        <v>9</v>
      </c>
      <c r="D686">
        <v>3</v>
      </c>
      <c r="E686">
        <v>46</v>
      </c>
      <c r="F686">
        <v>9.8999999999999999E-4</v>
      </c>
      <c r="G686">
        <v>0</v>
      </c>
      <c r="H686" t="s">
        <v>5090</v>
      </c>
      <c r="I686" t="s">
        <v>5097</v>
      </c>
      <c r="J686">
        <v>9.8999999999999999E-4</v>
      </c>
    </row>
    <row r="687" spans="1:10">
      <c r="A687" t="s">
        <v>3459</v>
      </c>
      <c r="B687">
        <v>38</v>
      </c>
      <c r="C687" t="s">
        <v>7</v>
      </c>
      <c r="D687">
        <v>9</v>
      </c>
      <c r="E687">
        <v>46</v>
      </c>
      <c r="F687">
        <v>1.01E-3</v>
      </c>
      <c r="G687">
        <v>0</v>
      </c>
      <c r="H687" t="s">
        <v>5090</v>
      </c>
      <c r="I687" t="s">
        <v>5097</v>
      </c>
      <c r="J687">
        <v>1.01E-3</v>
      </c>
    </row>
    <row r="688" spans="1:10">
      <c r="A688" t="s">
        <v>3458</v>
      </c>
      <c r="B688">
        <v>32</v>
      </c>
      <c r="C688" t="s">
        <v>7</v>
      </c>
      <c r="D688">
        <v>9</v>
      </c>
      <c r="E688">
        <v>40</v>
      </c>
      <c r="F688">
        <v>6.9999999999999999E-4</v>
      </c>
      <c r="G688">
        <v>0</v>
      </c>
      <c r="H688" t="s">
        <v>5090</v>
      </c>
      <c r="I688" t="s">
        <v>5097</v>
      </c>
      <c r="J688">
        <v>6.9999999999999999E-4</v>
      </c>
    </row>
    <row r="689" spans="1:10">
      <c r="A689" t="s">
        <v>3435</v>
      </c>
      <c r="B689">
        <v>43</v>
      </c>
      <c r="C689" t="s">
        <v>7</v>
      </c>
      <c r="D689">
        <v>1</v>
      </c>
      <c r="E689">
        <v>43</v>
      </c>
      <c r="F689">
        <v>2.5999999999999998E-4</v>
      </c>
      <c r="G689">
        <v>0</v>
      </c>
      <c r="H689" t="s">
        <v>5090</v>
      </c>
      <c r="I689" t="s">
        <v>5097</v>
      </c>
      <c r="J689">
        <v>2.5999999999999998E-4</v>
      </c>
    </row>
    <row r="690" spans="1:10">
      <c r="A690" t="s">
        <v>3431</v>
      </c>
      <c r="B690">
        <v>36</v>
      </c>
      <c r="C690" t="s">
        <v>7</v>
      </c>
      <c r="D690">
        <v>9</v>
      </c>
      <c r="E690">
        <v>44</v>
      </c>
      <c r="F690">
        <v>8.4000000000000003E-4</v>
      </c>
      <c r="G690">
        <v>0</v>
      </c>
      <c r="H690" t="s">
        <v>5090</v>
      </c>
      <c r="I690" t="s">
        <v>5097</v>
      </c>
      <c r="J690">
        <v>8.4000000000000003E-4</v>
      </c>
    </row>
    <row r="691" spans="1:10">
      <c r="A691" t="s">
        <v>3405</v>
      </c>
      <c r="B691">
        <v>33</v>
      </c>
      <c r="C691" t="s">
        <v>9</v>
      </c>
      <c r="D691">
        <v>9</v>
      </c>
      <c r="E691">
        <v>41</v>
      </c>
      <c r="F691">
        <v>1E-3</v>
      </c>
      <c r="G691">
        <v>0</v>
      </c>
      <c r="H691" t="s">
        <v>5090</v>
      </c>
      <c r="I691" t="s">
        <v>5097</v>
      </c>
      <c r="J691">
        <v>1E-3</v>
      </c>
    </row>
    <row r="692" spans="1:10">
      <c r="A692" t="s">
        <v>3384</v>
      </c>
      <c r="B692">
        <v>44</v>
      </c>
      <c r="C692" t="s">
        <v>7</v>
      </c>
      <c r="D692">
        <v>5</v>
      </c>
      <c r="E692">
        <v>48</v>
      </c>
      <c r="F692">
        <v>1.0300000000000001E-3</v>
      </c>
      <c r="G692">
        <v>0</v>
      </c>
      <c r="H692" t="s">
        <v>5090</v>
      </c>
      <c r="I692" t="s">
        <v>5097</v>
      </c>
      <c r="J692">
        <v>1.0300000000000001E-3</v>
      </c>
    </row>
    <row r="693" spans="1:10">
      <c r="A693" t="s">
        <v>3366</v>
      </c>
      <c r="B693">
        <v>47</v>
      </c>
      <c r="C693" t="s">
        <v>9</v>
      </c>
      <c r="D693">
        <v>3</v>
      </c>
      <c r="E693">
        <v>49</v>
      </c>
      <c r="F693">
        <v>1.2800000000000001E-3</v>
      </c>
      <c r="G693">
        <v>0</v>
      </c>
      <c r="H693" t="s">
        <v>5090</v>
      </c>
      <c r="I693" t="s">
        <v>5097</v>
      </c>
      <c r="J693">
        <v>1.2800000000000001E-3</v>
      </c>
    </row>
    <row r="694" spans="1:10">
      <c r="A694" t="s">
        <v>843</v>
      </c>
      <c r="B694">
        <v>38</v>
      </c>
      <c r="C694" t="s">
        <v>7</v>
      </c>
      <c r="D694">
        <v>6</v>
      </c>
      <c r="E694">
        <v>43</v>
      </c>
      <c r="F694">
        <v>7.5000000000000002E-4</v>
      </c>
      <c r="G694">
        <v>0</v>
      </c>
      <c r="H694" t="s">
        <v>5090</v>
      </c>
      <c r="I694" t="s">
        <v>5097</v>
      </c>
      <c r="J694">
        <v>7.5000000000000002E-4</v>
      </c>
    </row>
    <row r="695" spans="1:10">
      <c r="A695" t="s">
        <v>3326</v>
      </c>
      <c r="B695">
        <v>47</v>
      </c>
      <c r="C695" t="s">
        <v>9</v>
      </c>
      <c r="D695">
        <v>3</v>
      </c>
      <c r="E695">
        <v>49</v>
      </c>
      <c r="F695">
        <v>1.2800000000000001E-3</v>
      </c>
      <c r="G695">
        <v>0</v>
      </c>
      <c r="H695" t="s">
        <v>5090</v>
      </c>
      <c r="I695" t="s">
        <v>5097</v>
      </c>
      <c r="J695">
        <v>1.2800000000000001E-3</v>
      </c>
    </row>
    <row r="696" spans="1:10">
      <c r="A696" t="s">
        <v>851</v>
      </c>
      <c r="B696">
        <v>35</v>
      </c>
      <c r="C696" t="s">
        <v>7</v>
      </c>
      <c r="D696">
        <v>7</v>
      </c>
      <c r="E696">
        <v>41</v>
      </c>
      <c r="F696">
        <v>6.8000000000000005E-4</v>
      </c>
      <c r="G696">
        <v>0</v>
      </c>
      <c r="H696" t="s">
        <v>5090</v>
      </c>
      <c r="I696" t="s">
        <v>5097</v>
      </c>
      <c r="J696">
        <v>6.8000000000000005E-4</v>
      </c>
    </row>
    <row r="697" spans="1:10">
      <c r="A697" t="s">
        <v>3305</v>
      </c>
      <c r="B697">
        <v>37</v>
      </c>
      <c r="C697" t="s">
        <v>9</v>
      </c>
      <c r="D697">
        <v>5</v>
      </c>
      <c r="E697">
        <v>41</v>
      </c>
      <c r="F697">
        <v>8.0000000000000004E-4</v>
      </c>
      <c r="G697">
        <v>0</v>
      </c>
      <c r="H697" t="s">
        <v>5090</v>
      </c>
      <c r="I697" t="s">
        <v>5097</v>
      </c>
      <c r="J697">
        <v>8.0000000000000004E-4</v>
      </c>
    </row>
    <row r="698" spans="1:10">
      <c r="A698" t="s">
        <v>3296</v>
      </c>
      <c r="B698">
        <v>41</v>
      </c>
      <c r="C698" t="s">
        <v>7</v>
      </c>
      <c r="D698">
        <v>2</v>
      </c>
      <c r="E698">
        <v>42</v>
      </c>
      <c r="F698">
        <v>3.6000000000000002E-4</v>
      </c>
      <c r="G698">
        <v>0</v>
      </c>
      <c r="H698" t="s">
        <v>5090</v>
      </c>
      <c r="I698" t="s">
        <v>5097</v>
      </c>
      <c r="J698">
        <v>3.6000000000000002E-4</v>
      </c>
    </row>
    <row r="699" spans="1:10">
      <c r="A699" t="s">
        <v>3283</v>
      </c>
      <c r="B699">
        <v>47</v>
      </c>
      <c r="C699" t="s">
        <v>7</v>
      </c>
      <c r="D699">
        <v>1</v>
      </c>
      <c r="E699">
        <v>47</v>
      </c>
      <c r="F699">
        <v>3.6000000000000002E-4</v>
      </c>
      <c r="G699">
        <v>0</v>
      </c>
      <c r="H699" t="s">
        <v>5090</v>
      </c>
      <c r="I699" t="s">
        <v>5097</v>
      </c>
      <c r="J699">
        <v>3.6000000000000002E-4</v>
      </c>
    </row>
    <row r="700" spans="1:10">
      <c r="A700" t="s">
        <v>3252</v>
      </c>
      <c r="B700">
        <v>42</v>
      </c>
      <c r="C700" t="s">
        <v>9</v>
      </c>
      <c r="D700">
        <v>4</v>
      </c>
      <c r="E700">
        <v>45</v>
      </c>
      <c r="F700">
        <v>1.01E-3</v>
      </c>
      <c r="G700">
        <v>0</v>
      </c>
      <c r="H700" t="s">
        <v>5090</v>
      </c>
      <c r="I700" t="s">
        <v>5097</v>
      </c>
      <c r="J700">
        <v>1.01E-3</v>
      </c>
    </row>
    <row r="701" spans="1:10">
      <c r="A701" t="s">
        <v>3245</v>
      </c>
      <c r="B701">
        <v>37</v>
      </c>
      <c r="C701" t="s">
        <v>7</v>
      </c>
      <c r="D701">
        <v>9</v>
      </c>
      <c r="E701">
        <v>45</v>
      </c>
      <c r="F701">
        <v>8.8000000000000003E-4</v>
      </c>
      <c r="G701">
        <v>0</v>
      </c>
      <c r="H701" t="s">
        <v>5090</v>
      </c>
      <c r="I701" t="s">
        <v>5097</v>
      </c>
      <c r="J701">
        <v>8.8000000000000003E-4</v>
      </c>
    </row>
    <row r="702" spans="1:10">
      <c r="A702" t="s">
        <v>873</v>
      </c>
      <c r="B702">
        <v>49</v>
      </c>
      <c r="C702" t="s">
        <v>9</v>
      </c>
      <c r="D702">
        <v>1</v>
      </c>
      <c r="E702">
        <v>49</v>
      </c>
      <c r="F702">
        <v>7.7999999999999999E-4</v>
      </c>
      <c r="G702">
        <v>0</v>
      </c>
      <c r="H702" t="s">
        <v>5090</v>
      </c>
      <c r="I702" t="s">
        <v>5097</v>
      </c>
      <c r="J702">
        <v>7.7999999999999999E-4</v>
      </c>
    </row>
    <row r="703" spans="1:10">
      <c r="A703" t="s">
        <v>876</v>
      </c>
      <c r="B703">
        <v>39</v>
      </c>
      <c r="C703" t="s">
        <v>7</v>
      </c>
      <c r="D703">
        <v>6</v>
      </c>
      <c r="E703">
        <v>44</v>
      </c>
      <c r="F703">
        <v>7.9000000000000001E-4</v>
      </c>
      <c r="G703">
        <v>0</v>
      </c>
      <c r="H703" t="s">
        <v>5090</v>
      </c>
      <c r="I703" t="s">
        <v>5097</v>
      </c>
      <c r="J703">
        <v>7.9000000000000001E-4</v>
      </c>
    </row>
    <row r="704" spans="1:10">
      <c r="A704" t="s">
        <v>3224</v>
      </c>
      <c r="B704">
        <v>44</v>
      </c>
      <c r="C704" t="s">
        <v>7</v>
      </c>
      <c r="D704">
        <v>6</v>
      </c>
      <c r="E704">
        <v>49</v>
      </c>
      <c r="F704">
        <v>1.1800000000000001E-3</v>
      </c>
      <c r="G704">
        <v>0</v>
      </c>
      <c r="H704" t="s">
        <v>5090</v>
      </c>
      <c r="I704" t="s">
        <v>5097</v>
      </c>
      <c r="J704">
        <v>1.1800000000000001E-3</v>
      </c>
    </row>
    <row r="705" spans="1:10">
      <c r="A705" t="s">
        <v>3202</v>
      </c>
      <c r="B705">
        <v>35</v>
      </c>
      <c r="C705" t="s">
        <v>9</v>
      </c>
      <c r="D705">
        <v>8</v>
      </c>
      <c r="E705">
        <v>42</v>
      </c>
      <c r="F705">
        <v>1.0200000000000001E-3</v>
      </c>
      <c r="G705">
        <v>0</v>
      </c>
      <c r="H705" t="s">
        <v>5090</v>
      </c>
      <c r="I705" t="s">
        <v>5097</v>
      </c>
      <c r="J705">
        <v>1.0200000000000001E-3</v>
      </c>
    </row>
    <row r="706" spans="1:10">
      <c r="A706" t="s">
        <v>3201</v>
      </c>
      <c r="B706">
        <v>42</v>
      </c>
      <c r="C706" t="s">
        <v>9</v>
      </c>
      <c r="D706">
        <v>7</v>
      </c>
      <c r="E706">
        <v>48</v>
      </c>
      <c r="F706">
        <v>1.5200000000000001E-3</v>
      </c>
      <c r="G706">
        <v>0</v>
      </c>
      <c r="H706" t="s">
        <v>5090</v>
      </c>
      <c r="I706" t="s">
        <v>5097</v>
      </c>
      <c r="J706">
        <v>1.5200000000000001E-3</v>
      </c>
    </row>
    <row r="707" spans="1:10">
      <c r="A707" t="s">
        <v>3180</v>
      </c>
      <c r="B707">
        <v>38</v>
      </c>
      <c r="C707" t="s">
        <v>7</v>
      </c>
      <c r="D707">
        <v>3</v>
      </c>
      <c r="E707">
        <v>40</v>
      </c>
      <c r="F707">
        <v>4.6000000000000001E-4</v>
      </c>
      <c r="G707">
        <v>0</v>
      </c>
      <c r="H707" t="s">
        <v>5090</v>
      </c>
      <c r="I707" t="s">
        <v>5097</v>
      </c>
      <c r="J707">
        <v>4.6000000000000001E-4</v>
      </c>
    </row>
    <row r="708" spans="1:10">
      <c r="A708" t="s">
        <v>3179</v>
      </c>
      <c r="B708">
        <v>42</v>
      </c>
      <c r="C708" t="s">
        <v>7</v>
      </c>
      <c r="D708">
        <v>3</v>
      </c>
      <c r="E708">
        <v>44</v>
      </c>
      <c r="F708">
        <v>5.4000000000000001E-4</v>
      </c>
      <c r="G708">
        <v>0</v>
      </c>
      <c r="H708" t="s">
        <v>5090</v>
      </c>
      <c r="I708" t="s">
        <v>5097</v>
      </c>
      <c r="J708">
        <v>5.4000000000000001E-4</v>
      </c>
    </row>
    <row r="709" spans="1:10">
      <c r="A709" t="s">
        <v>3176</v>
      </c>
      <c r="B709">
        <v>39</v>
      </c>
      <c r="C709" t="s">
        <v>9</v>
      </c>
      <c r="D709">
        <v>4</v>
      </c>
      <c r="E709">
        <v>42</v>
      </c>
      <c r="F709">
        <v>8.0999999999999996E-4</v>
      </c>
      <c r="G709">
        <v>0</v>
      </c>
      <c r="H709" t="s">
        <v>5090</v>
      </c>
      <c r="I709" t="s">
        <v>5097</v>
      </c>
      <c r="J709">
        <v>8.0999999999999996E-4</v>
      </c>
    </row>
    <row r="710" spans="1:10">
      <c r="A710" t="s">
        <v>3155</v>
      </c>
      <c r="B710">
        <v>45</v>
      </c>
      <c r="C710" t="s">
        <v>9</v>
      </c>
      <c r="D710">
        <v>3</v>
      </c>
      <c r="E710">
        <v>47</v>
      </c>
      <c r="F710">
        <v>1.08E-3</v>
      </c>
      <c r="G710">
        <v>0</v>
      </c>
      <c r="H710" t="s">
        <v>5090</v>
      </c>
      <c r="I710" t="s">
        <v>5097</v>
      </c>
      <c r="J710">
        <v>1.08E-3</v>
      </c>
    </row>
    <row r="711" spans="1:10">
      <c r="A711" t="s">
        <v>908</v>
      </c>
      <c r="B711">
        <v>39</v>
      </c>
      <c r="C711" t="s">
        <v>7</v>
      </c>
      <c r="D711">
        <v>3</v>
      </c>
      <c r="E711">
        <v>41</v>
      </c>
      <c r="F711">
        <v>4.8000000000000001E-4</v>
      </c>
      <c r="G711">
        <v>0</v>
      </c>
      <c r="H711" t="s">
        <v>5090</v>
      </c>
      <c r="I711" t="s">
        <v>5097</v>
      </c>
      <c r="J711">
        <v>4.8000000000000001E-4</v>
      </c>
    </row>
    <row r="712" spans="1:10">
      <c r="A712" t="s">
        <v>3142</v>
      </c>
      <c r="B712">
        <v>39</v>
      </c>
      <c r="C712" t="s">
        <v>7</v>
      </c>
      <c r="D712">
        <v>2</v>
      </c>
      <c r="E712">
        <v>40</v>
      </c>
      <c r="F712">
        <v>3.3E-4</v>
      </c>
      <c r="G712">
        <v>0</v>
      </c>
      <c r="H712" t="s">
        <v>5090</v>
      </c>
      <c r="I712" t="s">
        <v>5097</v>
      </c>
      <c r="J712">
        <v>3.3E-4</v>
      </c>
    </row>
    <row r="713" spans="1:10">
      <c r="A713" t="s">
        <v>3136</v>
      </c>
      <c r="B713">
        <v>35</v>
      </c>
      <c r="C713" t="s">
        <v>7</v>
      </c>
      <c r="D713">
        <v>6</v>
      </c>
      <c r="E713">
        <v>40</v>
      </c>
      <c r="F713">
        <v>5.9000000000000003E-4</v>
      </c>
      <c r="G713">
        <v>0</v>
      </c>
      <c r="H713" t="s">
        <v>5090</v>
      </c>
      <c r="I713" t="s">
        <v>5097</v>
      </c>
      <c r="J713">
        <v>5.9000000000000003E-4</v>
      </c>
    </row>
    <row r="714" spans="1:10">
      <c r="A714" t="s">
        <v>917</v>
      </c>
      <c r="B714">
        <v>36</v>
      </c>
      <c r="C714" t="s">
        <v>9</v>
      </c>
      <c r="D714">
        <v>6</v>
      </c>
      <c r="E714">
        <v>41</v>
      </c>
      <c r="F714">
        <v>8.3000000000000001E-4</v>
      </c>
      <c r="G714">
        <v>0</v>
      </c>
      <c r="H714" t="s">
        <v>5090</v>
      </c>
      <c r="I714" t="s">
        <v>5097</v>
      </c>
      <c r="J714">
        <v>8.3000000000000001E-4</v>
      </c>
    </row>
    <row r="715" spans="1:10">
      <c r="A715" t="s">
        <v>3114</v>
      </c>
      <c r="B715">
        <v>46</v>
      </c>
      <c r="C715" t="s">
        <v>7</v>
      </c>
      <c r="D715">
        <v>3</v>
      </c>
      <c r="E715">
        <v>48</v>
      </c>
      <c r="F715">
        <v>7.5000000000000002E-4</v>
      </c>
      <c r="G715">
        <v>0</v>
      </c>
      <c r="H715" t="s">
        <v>5090</v>
      </c>
      <c r="I715" t="s">
        <v>5097</v>
      </c>
      <c r="J715">
        <v>7.5000000000000002E-4</v>
      </c>
    </row>
    <row r="716" spans="1:10">
      <c r="A716" t="s">
        <v>3107</v>
      </c>
      <c r="B716">
        <v>32</v>
      </c>
      <c r="C716" t="s">
        <v>9</v>
      </c>
      <c r="D716">
        <v>9</v>
      </c>
      <c r="E716">
        <v>40</v>
      </c>
      <c r="F716">
        <v>9.1E-4</v>
      </c>
      <c r="G716">
        <v>0</v>
      </c>
      <c r="H716" t="s">
        <v>5090</v>
      </c>
      <c r="I716" t="s">
        <v>5097</v>
      </c>
      <c r="J716">
        <v>9.1E-4</v>
      </c>
    </row>
    <row r="717" spans="1:10">
      <c r="A717" t="s">
        <v>929</v>
      </c>
      <c r="B717">
        <v>40</v>
      </c>
      <c r="C717" t="s">
        <v>7</v>
      </c>
      <c r="D717">
        <v>9</v>
      </c>
      <c r="E717">
        <v>48</v>
      </c>
      <c r="F717">
        <v>1.23E-3</v>
      </c>
      <c r="G717">
        <v>0</v>
      </c>
      <c r="H717" t="s">
        <v>5090</v>
      </c>
      <c r="I717" t="s">
        <v>5097</v>
      </c>
      <c r="J717">
        <v>1.23E-3</v>
      </c>
    </row>
    <row r="718" spans="1:10">
      <c r="A718" t="s">
        <v>3105</v>
      </c>
      <c r="B718">
        <v>39</v>
      </c>
      <c r="C718" t="s">
        <v>7</v>
      </c>
      <c r="D718">
        <v>6</v>
      </c>
      <c r="E718">
        <v>44</v>
      </c>
      <c r="F718">
        <v>7.9000000000000001E-4</v>
      </c>
      <c r="G718">
        <v>0</v>
      </c>
      <c r="H718" t="s">
        <v>5090</v>
      </c>
      <c r="I718" t="s">
        <v>5097</v>
      </c>
      <c r="J718">
        <v>7.9000000000000001E-4</v>
      </c>
    </row>
    <row r="719" spans="1:10">
      <c r="A719" t="s">
        <v>932</v>
      </c>
      <c r="B719">
        <v>45</v>
      </c>
      <c r="C719" t="s">
        <v>7</v>
      </c>
      <c r="D719">
        <v>3</v>
      </c>
      <c r="E719">
        <v>47</v>
      </c>
      <c r="F719">
        <v>6.8000000000000005E-4</v>
      </c>
      <c r="G719">
        <v>0</v>
      </c>
      <c r="H719" t="s">
        <v>5090</v>
      </c>
      <c r="I719" t="s">
        <v>5097</v>
      </c>
      <c r="J719">
        <v>6.8000000000000005E-4</v>
      </c>
    </row>
    <row r="720" spans="1:10">
      <c r="A720" t="s">
        <v>934</v>
      </c>
      <c r="B720">
        <v>43</v>
      </c>
      <c r="C720" t="s">
        <v>9</v>
      </c>
      <c r="D720">
        <v>7</v>
      </c>
      <c r="E720">
        <v>49</v>
      </c>
      <c r="F720">
        <v>1.66E-3</v>
      </c>
      <c r="G720">
        <v>0</v>
      </c>
      <c r="H720" t="s">
        <v>5090</v>
      </c>
      <c r="I720" t="s">
        <v>5097</v>
      </c>
      <c r="J720">
        <v>1.66E-3</v>
      </c>
    </row>
    <row r="721" spans="1:10">
      <c r="A721" t="s">
        <v>938</v>
      </c>
      <c r="B721">
        <v>46</v>
      </c>
      <c r="C721" t="s">
        <v>9</v>
      </c>
      <c r="D721">
        <v>1</v>
      </c>
      <c r="E721">
        <v>46</v>
      </c>
      <c r="F721">
        <v>6.0999999999999997E-4</v>
      </c>
      <c r="G721">
        <v>0</v>
      </c>
      <c r="H721" t="s">
        <v>5090</v>
      </c>
      <c r="I721" t="s">
        <v>5097</v>
      </c>
      <c r="J721">
        <v>6.0999999999999997E-4</v>
      </c>
    </row>
    <row r="722" spans="1:10">
      <c r="A722" t="s">
        <v>3091</v>
      </c>
      <c r="B722">
        <v>38</v>
      </c>
      <c r="C722" t="s">
        <v>7</v>
      </c>
      <c r="D722">
        <v>4</v>
      </c>
      <c r="E722">
        <v>41</v>
      </c>
      <c r="F722">
        <v>5.9000000000000003E-4</v>
      </c>
      <c r="G722">
        <v>0</v>
      </c>
      <c r="H722" t="s">
        <v>5090</v>
      </c>
      <c r="I722" t="s">
        <v>5097</v>
      </c>
      <c r="J722">
        <v>5.9000000000000003E-4</v>
      </c>
    </row>
    <row r="723" spans="1:10">
      <c r="A723" t="s">
        <v>946</v>
      </c>
      <c r="B723">
        <v>45</v>
      </c>
      <c r="C723" t="s">
        <v>7</v>
      </c>
      <c r="D723">
        <v>3</v>
      </c>
      <c r="E723">
        <v>47</v>
      </c>
      <c r="F723">
        <v>6.8000000000000005E-4</v>
      </c>
      <c r="G723">
        <v>0</v>
      </c>
      <c r="H723" t="s">
        <v>5090</v>
      </c>
      <c r="I723" t="s">
        <v>5097</v>
      </c>
      <c r="J723">
        <v>6.8000000000000005E-4</v>
      </c>
    </row>
    <row r="724" spans="1:10">
      <c r="A724" t="s">
        <v>3077</v>
      </c>
      <c r="B724">
        <v>49</v>
      </c>
      <c r="C724" t="s">
        <v>7</v>
      </c>
      <c r="D724">
        <v>1</v>
      </c>
      <c r="E724">
        <v>49</v>
      </c>
      <c r="F724">
        <v>4.0000000000000002E-4</v>
      </c>
      <c r="G724">
        <v>0</v>
      </c>
      <c r="H724" t="s">
        <v>5090</v>
      </c>
      <c r="I724" t="s">
        <v>5097</v>
      </c>
      <c r="J724">
        <v>4.0000000000000002E-4</v>
      </c>
    </row>
    <row r="725" spans="1:10">
      <c r="A725" t="s">
        <v>952</v>
      </c>
      <c r="B725">
        <v>46</v>
      </c>
      <c r="C725" t="s">
        <v>7</v>
      </c>
      <c r="D725">
        <v>4</v>
      </c>
      <c r="E725">
        <v>49</v>
      </c>
      <c r="F725">
        <v>1.0499999999999999E-3</v>
      </c>
      <c r="G725">
        <v>0</v>
      </c>
      <c r="H725" t="s">
        <v>5090</v>
      </c>
      <c r="I725" t="s">
        <v>5097</v>
      </c>
      <c r="J725">
        <v>1.0499999999999999E-3</v>
      </c>
    </row>
    <row r="726" spans="1:10">
      <c r="A726" t="s">
        <v>956</v>
      </c>
      <c r="B726">
        <v>40</v>
      </c>
      <c r="C726" t="s">
        <v>9</v>
      </c>
      <c r="D726">
        <v>5</v>
      </c>
      <c r="E726">
        <v>44</v>
      </c>
      <c r="F726">
        <v>1.01E-3</v>
      </c>
      <c r="G726">
        <v>0</v>
      </c>
      <c r="H726" t="s">
        <v>5090</v>
      </c>
      <c r="I726" t="s">
        <v>5097</v>
      </c>
      <c r="J726">
        <v>1.01E-3</v>
      </c>
    </row>
    <row r="727" spans="1:10">
      <c r="A727" t="s">
        <v>967</v>
      </c>
      <c r="B727">
        <v>41</v>
      </c>
      <c r="C727" t="s">
        <v>9</v>
      </c>
      <c r="D727">
        <v>4</v>
      </c>
      <c r="E727">
        <v>44</v>
      </c>
      <c r="F727">
        <v>9.5E-4</v>
      </c>
      <c r="G727">
        <v>0</v>
      </c>
      <c r="H727" t="s">
        <v>5090</v>
      </c>
      <c r="I727" t="s">
        <v>5097</v>
      </c>
      <c r="J727">
        <v>9.5E-4</v>
      </c>
    </row>
    <row r="728" spans="1:10">
      <c r="A728" t="s">
        <v>3028</v>
      </c>
      <c r="B728">
        <v>39</v>
      </c>
      <c r="C728" t="s">
        <v>9</v>
      </c>
      <c r="D728">
        <v>3</v>
      </c>
      <c r="E728">
        <v>41</v>
      </c>
      <c r="F728">
        <v>6.8999999999999997E-4</v>
      </c>
      <c r="G728">
        <v>0</v>
      </c>
      <c r="H728" t="s">
        <v>5090</v>
      </c>
      <c r="I728" t="s">
        <v>5097</v>
      </c>
      <c r="J728">
        <v>6.8999999999999997E-4</v>
      </c>
    </row>
    <row r="729" spans="1:10">
      <c r="A729" t="s">
        <v>3015</v>
      </c>
      <c r="B729">
        <v>45</v>
      </c>
      <c r="C729" t="s">
        <v>7</v>
      </c>
      <c r="D729">
        <v>2</v>
      </c>
      <c r="E729">
        <v>46</v>
      </c>
      <c r="F729">
        <v>4.4000000000000002E-4</v>
      </c>
      <c r="G729">
        <v>0</v>
      </c>
      <c r="H729" t="s">
        <v>5090</v>
      </c>
      <c r="I729" t="s">
        <v>5097</v>
      </c>
      <c r="J729">
        <v>4.4000000000000002E-4</v>
      </c>
    </row>
    <row r="730" spans="1:10">
      <c r="A730" t="s">
        <v>994</v>
      </c>
      <c r="B730">
        <v>40</v>
      </c>
      <c r="C730" t="s">
        <v>9</v>
      </c>
      <c r="D730">
        <v>2</v>
      </c>
      <c r="E730">
        <v>41</v>
      </c>
      <c r="F730">
        <v>5.4000000000000001E-4</v>
      </c>
      <c r="G730">
        <v>0</v>
      </c>
      <c r="H730" t="s">
        <v>5090</v>
      </c>
      <c r="I730" t="s">
        <v>5097</v>
      </c>
      <c r="J730">
        <v>5.4000000000000001E-4</v>
      </c>
    </row>
    <row r="731" spans="1:10">
      <c r="A731" t="s">
        <v>3003</v>
      </c>
      <c r="B731">
        <v>40</v>
      </c>
      <c r="C731" t="s">
        <v>9</v>
      </c>
      <c r="D731">
        <v>4</v>
      </c>
      <c r="E731">
        <v>43</v>
      </c>
      <c r="F731">
        <v>8.8000000000000003E-4</v>
      </c>
      <c r="G731">
        <v>0</v>
      </c>
      <c r="H731" t="s">
        <v>5090</v>
      </c>
      <c r="I731" t="s">
        <v>5097</v>
      </c>
      <c r="J731">
        <v>8.8000000000000003E-4</v>
      </c>
    </row>
    <row r="732" spans="1:10">
      <c r="A732" t="s">
        <v>996</v>
      </c>
      <c r="B732">
        <v>43</v>
      </c>
      <c r="C732" t="s">
        <v>9</v>
      </c>
      <c r="D732">
        <v>3</v>
      </c>
      <c r="E732">
        <v>45</v>
      </c>
      <c r="F732">
        <v>9.2000000000000003E-4</v>
      </c>
      <c r="G732">
        <v>0</v>
      </c>
      <c r="H732" t="s">
        <v>5090</v>
      </c>
      <c r="I732" t="s">
        <v>5097</v>
      </c>
      <c r="J732">
        <v>9.2000000000000003E-4</v>
      </c>
    </row>
    <row r="733" spans="1:10">
      <c r="A733" t="s">
        <v>2993</v>
      </c>
      <c r="B733">
        <v>39</v>
      </c>
      <c r="C733" t="s">
        <v>7</v>
      </c>
      <c r="D733">
        <v>6</v>
      </c>
      <c r="E733">
        <v>44</v>
      </c>
      <c r="F733">
        <v>7.9000000000000001E-4</v>
      </c>
      <c r="G733">
        <v>0</v>
      </c>
      <c r="H733" t="s">
        <v>5090</v>
      </c>
      <c r="I733" t="s">
        <v>5097</v>
      </c>
      <c r="J733">
        <v>7.9000000000000001E-4</v>
      </c>
    </row>
    <row r="734" spans="1:10">
      <c r="A734" t="s">
        <v>2992</v>
      </c>
      <c r="B734">
        <v>45</v>
      </c>
      <c r="C734" t="s">
        <v>7</v>
      </c>
      <c r="D734">
        <v>4</v>
      </c>
      <c r="E734">
        <v>48</v>
      </c>
      <c r="F734">
        <v>9.7999999999999997E-4</v>
      </c>
      <c r="G734">
        <v>0</v>
      </c>
      <c r="H734" t="s">
        <v>5090</v>
      </c>
      <c r="I734" t="s">
        <v>5097</v>
      </c>
      <c r="J734">
        <v>9.7999999999999997E-4</v>
      </c>
    </row>
    <row r="735" spans="1:10">
      <c r="A735" t="s">
        <v>1001</v>
      </c>
      <c r="B735">
        <v>42</v>
      </c>
      <c r="C735" t="s">
        <v>7</v>
      </c>
      <c r="D735">
        <v>8</v>
      </c>
      <c r="E735">
        <v>49</v>
      </c>
      <c r="F735">
        <v>1.2800000000000001E-3</v>
      </c>
      <c r="G735">
        <v>0</v>
      </c>
      <c r="H735" t="s">
        <v>5090</v>
      </c>
      <c r="I735" t="s">
        <v>5097</v>
      </c>
      <c r="J735">
        <v>1.2800000000000001E-3</v>
      </c>
    </row>
    <row r="736" spans="1:10">
      <c r="A736" t="s">
        <v>2985</v>
      </c>
      <c r="B736">
        <v>43</v>
      </c>
      <c r="C736" t="s">
        <v>7</v>
      </c>
      <c r="D736">
        <v>4</v>
      </c>
      <c r="E736">
        <v>46</v>
      </c>
      <c r="F736">
        <v>7.9000000000000001E-4</v>
      </c>
      <c r="G736">
        <v>0</v>
      </c>
      <c r="H736" t="s">
        <v>5090</v>
      </c>
      <c r="I736" t="s">
        <v>5097</v>
      </c>
      <c r="J736">
        <v>7.9000000000000001E-4</v>
      </c>
    </row>
    <row r="737" spans="1:10">
      <c r="A737" t="s">
        <v>2976</v>
      </c>
      <c r="B737">
        <v>46</v>
      </c>
      <c r="C737" t="s">
        <v>9</v>
      </c>
      <c r="D737">
        <v>3</v>
      </c>
      <c r="E737">
        <v>48</v>
      </c>
      <c r="F737">
        <v>1.17E-3</v>
      </c>
      <c r="G737">
        <v>0</v>
      </c>
      <c r="H737" t="s">
        <v>5090</v>
      </c>
      <c r="I737" t="s">
        <v>5097</v>
      </c>
      <c r="J737">
        <v>1.17E-3</v>
      </c>
    </row>
    <row r="738" spans="1:10">
      <c r="A738" t="s">
        <v>2966</v>
      </c>
      <c r="B738">
        <v>44</v>
      </c>
      <c r="C738" t="s">
        <v>7</v>
      </c>
      <c r="D738">
        <v>1</v>
      </c>
      <c r="E738">
        <v>44</v>
      </c>
      <c r="F738">
        <v>2.7999999999999998E-4</v>
      </c>
      <c r="G738">
        <v>0</v>
      </c>
      <c r="H738" t="s">
        <v>5090</v>
      </c>
      <c r="I738" t="s">
        <v>5097</v>
      </c>
      <c r="J738">
        <v>2.7999999999999998E-4</v>
      </c>
    </row>
    <row r="739" spans="1:10">
      <c r="A739" t="s">
        <v>1018</v>
      </c>
      <c r="B739">
        <v>41</v>
      </c>
      <c r="C739" t="s">
        <v>7</v>
      </c>
      <c r="D739">
        <v>6</v>
      </c>
      <c r="E739">
        <v>46</v>
      </c>
      <c r="F739">
        <v>9.2000000000000003E-4</v>
      </c>
      <c r="G739">
        <v>0</v>
      </c>
      <c r="H739" t="s">
        <v>5090</v>
      </c>
      <c r="I739" t="s">
        <v>5097</v>
      </c>
      <c r="J739">
        <v>9.2000000000000003E-4</v>
      </c>
    </row>
    <row r="740" spans="1:10">
      <c r="A740" t="s">
        <v>1023</v>
      </c>
      <c r="B740">
        <v>41</v>
      </c>
      <c r="C740" t="s">
        <v>7</v>
      </c>
      <c r="D740">
        <v>7</v>
      </c>
      <c r="E740">
        <v>47</v>
      </c>
      <c r="F740">
        <v>1.0499999999999999E-3</v>
      </c>
      <c r="G740">
        <v>0</v>
      </c>
      <c r="H740" t="s">
        <v>5090</v>
      </c>
      <c r="I740" t="s">
        <v>5097</v>
      </c>
      <c r="J740">
        <v>1.0499999999999999E-3</v>
      </c>
    </row>
    <row r="741" spans="1:10">
      <c r="A741" t="s">
        <v>2949</v>
      </c>
      <c r="B741">
        <v>45</v>
      </c>
      <c r="C741" t="s">
        <v>7</v>
      </c>
      <c r="D741">
        <v>1</v>
      </c>
      <c r="E741">
        <v>45</v>
      </c>
      <c r="F741">
        <v>3.1E-4</v>
      </c>
      <c r="G741">
        <v>0</v>
      </c>
      <c r="H741" t="s">
        <v>5090</v>
      </c>
      <c r="I741" t="s">
        <v>5097</v>
      </c>
      <c r="J741">
        <v>3.1E-4</v>
      </c>
    </row>
    <row r="742" spans="1:10">
      <c r="A742" t="s">
        <v>2933</v>
      </c>
      <c r="B742">
        <v>43</v>
      </c>
      <c r="C742" t="s">
        <v>9</v>
      </c>
      <c r="D742">
        <v>1</v>
      </c>
      <c r="E742">
        <v>43</v>
      </c>
      <c r="F742">
        <v>4.4000000000000002E-4</v>
      </c>
      <c r="G742">
        <v>0</v>
      </c>
      <c r="H742" t="s">
        <v>5090</v>
      </c>
      <c r="I742" t="s">
        <v>5097</v>
      </c>
      <c r="J742">
        <v>4.4000000000000002E-4</v>
      </c>
    </row>
    <row r="743" spans="1:10">
      <c r="A743" t="s">
        <v>2925</v>
      </c>
      <c r="B743">
        <v>40</v>
      </c>
      <c r="C743" t="s">
        <v>9</v>
      </c>
      <c r="D743">
        <v>1</v>
      </c>
      <c r="E743">
        <v>40</v>
      </c>
      <c r="F743">
        <v>3.1E-4</v>
      </c>
      <c r="G743">
        <v>0</v>
      </c>
      <c r="H743" t="s">
        <v>5090</v>
      </c>
      <c r="I743" t="s">
        <v>5097</v>
      </c>
      <c r="J743">
        <v>3.1E-4</v>
      </c>
    </row>
    <row r="744" spans="1:10">
      <c r="A744" t="s">
        <v>2919</v>
      </c>
      <c r="B744">
        <v>39</v>
      </c>
      <c r="C744" t="s">
        <v>9</v>
      </c>
      <c r="D744">
        <v>6</v>
      </c>
      <c r="E744">
        <v>44</v>
      </c>
      <c r="F744">
        <v>1.06E-3</v>
      </c>
      <c r="G744">
        <v>0</v>
      </c>
      <c r="H744" t="s">
        <v>5090</v>
      </c>
      <c r="I744" t="s">
        <v>5097</v>
      </c>
      <c r="J744">
        <v>1.06E-3</v>
      </c>
    </row>
    <row r="745" spans="1:10">
      <c r="A745" t="s">
        <v>1050</v>
      </c>
      <c r="B745">
        <v>46</v>
      </c>
      <c r="C745" t="s">
        <v>9</v>
      </c>
      <c r="D745">
        <v>4</v>
      </c>
      <c r="E745">
        <v>49</v>
      </c>
      <c r="F745">
        <v>1.4400000000000001E-3</v>
      </c>
      <c r="G745">
        <v>0</v>
      </c>
      <c r="H745" t="s">
        <v>5090</v>
      </c>
      <c r="I745" t="s">
        <v>5097</v>
      </c>
      <c r="J745">
        <v>1.4400000000000001E-3</v>
      </c>
    </row>
    <row r="746" spans="1:10">
      <c r="A746" t="s">
        <v>2892</v>
      </c>
      <c r="B746">
        <v>42</v>
      </c>
      <c r="C746" t="s">
        <v>9</v>
      </c>
      <c r="D746">
        <v>3</v>
      </c>
      <c r="E746">
        <v>44</v>
      </c>
      <c r="F746">
        <v>8.7000000000000001E-4</v>
      </c>
      <c r="G746">
        <v>0</v>
      </c>
      <c r="H746" t="s">
        <v>5090</v>
      </c>
      <c r="I746" t="s">
        <v>5097</v>
      </c>
      <c r="J746">
        <v>8.7000000000000001E-4</v>
      </c>
    </row>
    <row r="747" spans="1:10">
      <c r="A747" t="s">
        <v>2891</v>
      </c>
      <c r="B747">
        <v>38</v>
      </c>
      <c r="C747" t="s">
        <v>9</v>
      </c>
      <c r="D747">
        <v>6</v>
      </c>
      <c r="E747">
        <v>43</v>
      </c>
      <c r="F747">
        <v>9.8999999999999999E-4</v>
      </c>
      <c r="G747">
        <v>0</v>
      </c>
      <c r="H747" t="s">
        <v>5090</v>
      </c>
      <c r="I747" t="s">
        <v>5097</v>
      </c>
      <c r="J747">
        <v>9.8999999999999999E-4</v>
      </c>
    </row>
    <row r="748" spans="1:10">
      <c r="A748" t="s">
        <v>2885</v>
      </c>
      <c r="B748">
        <v>47</v>
      </c>
      <c r="C748" t="s">
        <v>7</v>
      </c>
      <c r="D748">
        <v>2</v>
      </c>
      <c r="E748">
        <v>48</v>
      </c>
      <c r="F748">
        <v>4.8999999999999998E-4</v>
      </c>
      <c r="G748">
        <v>0</v>
      </c>
      <c r="H748" t="s">
        <v>5090</v>
      </c>
      <c r="I748" t="s">
        <v>5097</v>
      </c>
      <c r="J748">
        <v>4.8999999999999998E-4</v>
      </c>
    </row>
    <row r="749" spans="1:10">
      <c r="A749" t="s">
        <v>2870</v>
      </c>
      <c r="B749">
        <v>35</v>
      </c>
      <c r="C749" t="s">
        <v>9</v>
      </c>
      <c r="D749">
        <v>9</v>
      </c>
      <c r="E749">
        <v>43</v>
      </c>
      <c r="F749">
        <v>1.16E-3</v>
      </c>
      <c r="G749">
        <v>0</v>
      </c>
      <c r="H749" t="s">
        <v>5090</v>
      </c>
      <c r="I749" t="s">
        <v>5097</v>
      </c>
      <c r="J749">
        <v>1.16E-3</v>
      </c>
    </row>
    <row r="750" spans="1:10">
      <c r="A750" t="s">
        <v>2864</v>
      </c>
      <c r="B750">
        <v>44</v>
      </c>
      <c r="C750" t="s">
        <v>9</v>
      </c>
      <c r="D750">
        <v>6</v>
      </c>
      <c r="E750">
        <v>49</v>
      </c>
      <c r="F750">
        <v>1.5900000000000001E-3</v>
      </c>
      <c r="G750">
        <v>0</v>
      </c>
      <c r="H750" t="s">
        <v>5090</v>
      </c>
      <c r="I750" t="s">
        <v>5097</v>
      </c>
      <c r="J750">
        <v>1.5900000000000001E-3</v>
      </c>
    </row>
    <row r="751" spans="1:10">
      <c r="A751" t="s">
        <v>1062</v>
      </c>
      <c r="B751">
        <v>40</v>
      </c>
      <c r="C751" t="s">
        <v>7</v>
      </c>
      <c r="D751">
        <v>9</v>
      </c>
      <c r="E751">
        <v>48</v>
      </c>
      <c r="F751">
        <v>1.23E-3</v>
      </c>
      <c r="G751">
        <v>0</v>
      </c>
      <c r="H751" t="s">
        <v>5090</v>
      </c>
      <c r="I751" t="s">
        <v>5097</v>
      </c>
      <c r="J751">
        <v>1.23E-3</v>
      </c>
    </row>
    <row r="752" spans="1:10">
      <c r="A752" t="s">
        <v>2837</v>
      </c>
      <c r="B752">
        <v>44</v>
      </c>
      <c r="C752" t="s">
        <v>7</v>
      </c>
      <c r="D752">
        <v>3</v>
      </c>
      <c r="E752">
        <v>46</v>
      </c>
      <c r="F752">
        <v>6.2E-4</v>
      </c>
      <c r="G752">
        <v>0</v>
      </c>
      <c r="H752" t="s">
        <v>5090</v>
      </c>
      <c r="I752" t="s">
        <v>5097</v>
      </c>
      <c r="J752">
        <v>6.2E-4</v>
      </c>
    </row>
    <row r="753" spans="1:10">
      <c r="A753" t="s">
        <v>2831</v>
      </c>
      <c r="B753">
        <v>37</v>
      </c>
      <c r="C753" t="s">
        <v>9</v>
      </c>
      <c r="D753">
        <v>5</v>
      </c>
      <c r="E753">
        <v>41</v>
      </c>
      <c r="F753">
        <v>8.0000000000000004E-4</v>
      </c>
      <c r="G753">
        <v>0</v>
      </c>
      <c r="H753" t="s">
        <v>5090</v>
      </c>
      <c r="I753" t="s">
        <v>5097</v>
      </c>
      <c r="J753">
        <v>8.0000000000000004E-4</v>
      </c>
    </row>
    <row r="754" spans="1:10">
      <c r="A754" t="s">
        <v>2821</v>
      </c>
      <c r="B754">
        <v>42</v>
      </c>
      <c r="C754" t="s">
        <v>7</v>
      </c>
      <c r="D754">
        <v>3</v>
      </c>
      <c r="E754">
        <v>44</v>
      </c>
      <c r="F754">
        <v>5.4000000000000001E-4</v>
      </c>
      <c r="G754">
        <v>0</v>
      </c>
      <c r="H754" t="s">
        <v>5090</v>
      </c>
      <c r="I754" t="s">
        <v>5097</v>
      </c>
      <c r="J754">
        <v>5.4000000000000001E-4</v>
      </c>
    </row>
    <row r="755" spans="1:10">
      <c r="A755" t="s">
        <v>1077</v>
      </c>
      <c r="B755">
        <v>33</v>
      </c>
      <c r="C755" t="s">
        <v>7</v>
      </c>
      <c r="D755">
        <v>9</v>
      </c>
      <c r="E755">
        <v>41</v>
      </c>
      <c r="F755">
        <v>7.2999999999999996E-4</v>
      </c>
      <c r="G755">
        <v>0</v>
      </c>
      <c r="H755" t="s">
        <v>5090</v>
      </c>
      <c r="I755" t="s">
        <v>5097</v>
      </c>
      <c r="J755">
        <v>7.2999999999999996E-4</v>
      </c>
    </row>
    <row r="756" spans="1:10">
      <c r="A756" t="s">
        <v>2815</v>
      </c>
      <c r="B756">
        <v>38</v>
      </c>
      <c r="C756" t="s">
        <v>7</v>
      </c>
      <c r="D756">
        <v>4</v>
      </c>
      <c r="E756">
        <v>41</v>
      </c>
      <c r="F756">
        <v>5.9000000000000003E-4</v>
      </c>
      <c r="G756">
        <v>0</v>
      </c>
      <c r="H756" t="s">
        <v>5090</v>
      </c>
      <c r="I756" t="s">
        <v>5097</v>
      </c>
      <c r="J756">
        <v>5.9000000000000003E-4</v>
      </c>
    </row>
    <row r="757" spans="1:10">
      <c r="A757" t="s">
        <v>2797</v>
      </c>
      <c r="B757">
        <v>45</v>
      </c>
      <c r="C757" t="s">
        <v>9</v>
      </c>
      <c r="D757">
        <v>5</v>
      </c>
      <c r="E757">
        <v>49</v>
      </c>
      <c r="F757">
        <v>1.5200000000000001E-3</v>
      </c>
      <c r="G757">
        <v>0</v>
      </c>
      <c r="H757" t="s">
        <v>5090</v>
      </c>
      <c r="I757" t="s">
        <v>5097</v>
      </c>
      <c r="J757">
        <v>1.5200000000000001E-3</v>
      </c>
    </row>
    <row r="758" spans="1:10">
      <c r="A758" t="s">
        <v>2796</v>
      </c>
      <c r="B758">
        <v>37</v>
      </c>
      <c r="C758" t="s">
        <v>7</v>
      </c>
      <c r="D758">
        <v>7</v>
      </c>
      <c r="E758">
        <v>43</v>
      </c>
      <c r="F758">
        <v>7.6000000000000004E-4</v>
      </c>
      <c r="G758">
        <v>0</v>
      </c>
      <c r="H758" t="s">
        <v>5090</v>
      </c>
      <c r="I758" t="s">
        <v>5097</v>
      </c>
      <c r="J758">
        <v>7.6000000000000004E-4</v>
      </c>
    </row>
    <row r="759" spans="1:10">
      <c r="A759" t="s">
        <v>2791</v>
      </c>
      <c r="B759">
        <v>37</v>
      </c>
      <c r="C759" t="s">
        <v>9</v>
      </c>
      <c r="D759">
        <v>6</v>
      </c>
      <c r="E759">
        <v>42</v>
      </c>
      <c r="F759">
        <v>8.9999999999999998E-4</v>
      </c>
      <c r="G759">
        <v>0</v>
      </c>
      <c r="H759" t="s">
        <v>5090</v>
      </c>
      <c r="I759" t="s">
        <v>5097</v>
      </c>
      <c r="J759">
        <v>8.9999999999999998E-4</v>
      </c>
    </row>
    <row r="760" spans="1:10">
      <c r="A760" t="s">
        <v>2787</v>
      </c>
      <c r="B760">
        <v>40</v>
      </c>
      <c r="C760" t="s">
        <v>7</v>
      </c>
      <c r="D760">
        <v>3</v>
      </c>
      <c r="E760">
        <v>42</v>
      </c>
      <c r="F760">
        <v>5.0000000000000001E-4</v>
      </c>
      <c r="G760">
        <v>0</v>
      </c>
      <c r="H760" t="s">
        <v>5090</v>
      </c>
      <c r="I760" t="s">
        <v>5097</v>
      </c>
      <c r="J760">
        <v>5.0000000000000001E-4</v>
      </c>
    </row>
    <row r="761" spans="1:10">
      <c r="A761" t="s">
        <v>2761</v>
      </c>
      <c r="B761">
        <v>37</v>
      </c>
      <c r="C761" t="s">
        <v>7</v>
      </c>
      <c r="D761">
        <v>7</v>
      </c>
      <c r="E761">
        <v>43</v>
      </c>
      <c r="F761">
        <v>7.6000000000000004E-4</v>
      </c>
      <c r="G761">
        <v>0</v>
      </c>
      <c r="H761" t="s">
        <v>5090</v>
      </c>
      <c r="I761" t="s">
        <v>5097</v>
      </c>
      <c r="J761">
        <v>7.6000000000000004E-4</v>
      </c>
    </row>
    <row r="762" spans="1:10">
      <c r="A762" t="s">
        <v>1107</v>
      </c>
      <c r="B762">
        <v>46</v>
      </c>
      <c r="C762" t="s">
        <v>7</v>
      </c>
      <c r="D762">
        <v>2</v>
      </c>
      <c r="E762">
        <v>47</v>
      </c>
      <c r="F762">
        <v>4.6000000000000001E-4</v>
      </c>
      <c r="G762">
        <v>0</v>
      </c>
      <c r="H762" t="s">
        <v>5090</v>
      </c>
      <c r="I762" t="s">
        <v>5097</v>
      </c>
      <c r="J762">
        <v>4.6000000000000001E-4</v>
      </c>
    </row>
    <row r="763" spans="1:10">
      <c r="A763" t="s">
        <v>2755</v>
      </c>
      <c r="B763">
        <v>40</v>
      </c>
      <c r="C763" t="s">
        <v>9</v>
      </c>
      <c r="D763">
        <v>7</v>
      </c>
      <c r="E763">
        <v>46</v>
      </c>
      <c r="F763">
        <v>1.2700000000000001E-3</v>
      </c>
      <c r="G763">
        <v>0</v>
      </c>
      <c r="H763" t="s">
        <v>5090</v>
      </c>
      <c r="I763" t="s">
        <v>5097</v>
      </c>
      <c r="J763">
        <v>1.2700000000000001E-3</v>
      </c>
    </row>
    <row r="764" spans="1:10">
      <c r="A764" t="s">
        <v>2742</v>
      </c>
      <c r="B764">
        <v>35</v>
      </c>
      <c r="C764" t="s">
        <v>7</v>
      </c>
      <c r="D764">
        <v>9</v>
      </c>
      <c r="E764">
        <v>43</v>
      </c>
      <c r="F764">
        <v>8.0000000000000004E-4</v>
      </c>
      <c r="G764">
        <v>0</v>
      </c>
      <c r="H764" t="s">
        <v>5090</v>
      </c>
      <c r="I764" t="s">
        <v>5097</v>
      </c>
      <c r="J764">
        <v>8.0000000000000004E-4</v>
      </c>
    </row>
    <row r="765" spans="1:10">
      <c r="A765" t="s">
        <v>2736</v>
      </c>
      <c r="B765">
        <v>44</v>
      </c>
      <c r="C765" t="s">
        <v>9</v>
      </c>
      <c r="D765">
        <v>5</v>
      </c>
      <c r="E765">
        <v>48</v>
      </c>
      <c r="F765">
        <v>1.39E-3</v>
      </c>
      <c r="G765">
        <v>0</v>
      </c>
      <c r="H765" t="s">
        <v>5090</v>
      </c>
      <c r="I765" t="s">
        <v>5097</v>
      </c>
      <c r="J765">
        <v>1.39E-3</v>
      </c>
    </row>
    <row r="766" spans="1:10">
      <c r="A766" t="s">
        <v>1125</v>
      </c>
      <c r="B766">
        <v>45</v>
      </c>
      <c r="C766" t="s">
        <v>9</v>
      </c>
      <c r="D766">
        <v>1</v>
      </c>
      <c r="E766">
        <v>45</v>
      </c>
      <c r="F766">
        <v>5.5000000000000003E-4</v>
      </c>
      <c r="G766">
        <v>0</v>
      </c>
      <c r="H766" t="s">
        <v>5090</v>
      </c>
      <c r="I766" t="s">
        <v>5097</v>
      </c>
      <c r="J766">
        <v>5.5000000000000003E-4</v>
      </c>
    </row>
    <row r="767" spans="1:10">
      <c r="A767" t="s">
        <v>2721</v>
      </c>
      <c r="B767">
        <v>42</v>
      </c>
      <c r="C767" t="s">
        <v>9</v>
      </c>
      <c r="D767">
        <v>4</v>
      </c>
      <c r="E767">
        <v>45</v>
      </c>
      <c r="F767">
        <v>1.01E-3</v>
      </c>
      <c r="G767">
        <v>0</v>
      </c>
      <c r="H767" t="s">
        <v>5090</v>
      </c>
      <c r="I767" t="s">
        <v>5097</v>
      </c>
      <c r="J767">
        <v>1.01E-3</v>
      </c>
    </row>
    <row r="768" spans="1:10">
      <c r="A768" t="s">
        <v>2720</v>
      </c>
      <c r="B768">
        <v>42</v>
      </c>
      <c r="C768" t="s">
        <v>7</v>
      </c>
      <c r="D768">
        <v>1</v>
      </c>
      <c r="E768">
        <v>42</v>
      </c>
      <c r="F768">
        <v>2.5000000000000001E-4</v>
      </c>
      <c r="G768">
        <v>0</v>
      </c>
      <c r="H768" t="s">
        <v>5090</v>
      </c>
      <c r="I768" t="s">
        <v>5097</v>
      </c>
      <c r="J768">
        <v>2.5000000000000001E-4</v>
      </c>
    </row>
    <row r="769" spans="1:10">
      <c r="A769" t="s">
        <v>2713</v>
      </c>
      <c r="B769">
        <v>44</v>
      </c>
      <c r="C769" t="s">
        <v>9</v>
      </c>
      <c r="D769">
        <v>6</v>
      </c>
      <c r="E769">
        <v>49</v>
      </c>
      <c r="F769">
        <v>1.5900000000000001E-3</v>
      </c>
      <c r="G769">
        <v>0</v>
      </c>
      <c r="H769" t="s">
        <v>5090</v>
      </c>
      <c r="I769" t="s">
        <v>5097</v>
      </c>
      <c r="J769">
        <v>1.5900000000000001E-3</v>
      </c>
    </row>
    <row r="770" spans="1:10">
      <c r="A770" t="s">
        <v>2708</v>
      </c>
      <c r="B770">
        <v>42</v>
      </c>
      <c r="C770" t="s">
        <v>7</v>
      </c>
      <c r="D770">
        <v>8</v>
      </c>
      <c r="E770">
        <v>49</v>
      </c>
      <c r="F770">
        <v>1.2800000000000001E-3</v>
      </c>
      <c r="G770">
        <v>0</v>
      </c>
      <c r="H770" t="s">
        <v>5090</v>
      </c>
      <c r="I770" t="s">
        <v>5097</v>
      </c>
      <c r="J770">
        <v>1.2800000000000001E-3</v>
      </c>
    </row>
    <row r="771" spans="1:10">
      <c r="A771" t="s">
        <v>2683</v>
      </c>
      <c r="B771">
        <v>34</v>
      </c>
      <c r="C771" t="s">
        <v>9</v>
      </c>
      <c r="D771">
        <v>9</v>
      </c>
      <c r="E771">
        <v>42</v>
      </c>
      <c r="F771">
        <v>1.08E-3</v>
      </c>
      <c r="G771">
        <v>0</v>
      </c>
      <c r="H771" t="s">
        <v>5090</v>
      </c>
      <c r="I771" t="s">
        <v>5097</v>
      </c>
      <c r="J771">
        <v>1.08E-3</v>
      </c>
    </row>
    <row r="772" spans="1:10">
      <c r="A772" t="s">
        <v>1152</v>
      </c>
      <c r="B772">
        <v>41</v>
      </c>
      <c r="C772" t="s">
        <v>9</v>
      </c>
      <c r="D772">
        <v>6</v>
      </c>
      <c r="E772">
        <v>46</v>
      </c>
      <c r="F772">
        <v>1.2199999999999999E-3</v>
      </c>
      <c r="G772">
        <v>0</v>
      </c>
      <c r="H772" t="s">
        <v>5090</v>
      </c>
      <c r="I772" t="s">
        <v>5097</v>
      </c>
      <c r="J772">
        <v>1.2199999999999999E-3</v>
      </c>
    </row>
    <row r="773" spans="1:10">
      <c r="A773" t="s">
        <v>2660</v>
      </c>
      <c r="B773">
        <v>40</v>
      </c>
      <c r="C773" t="s">
        <v>9</v>
      </c>
      <c r="D773">
        <v>4</v>
      </c>
      <c r="E773">
        <v>43</v>
      </c>
      <c r="F773">
        <v>8.8000000000000003E-4</v>
      </c>
      <c r="G773">
        <v>0</v>
      </c>
      <c r="H773" t="s">
        <v>5090</v>
      </c>
      <c r="I773" t="s">
        <v>5097</v>
      </c>
      <c r="J773">
        <v>8.8000000000000003E-4</v>
      </c>
    </row>
    <row r="774" spans="1:10">
      <c r="A774" t="s">
        <v>1161</v>
      </c>
      <c r="B774">
        <v>40</v>
      </c>
      <c r="C774" t="s">
        <v>7</v>
      </c>
      <c r="D774">
        <v>1</v>
      </c>
      <c r="E774">
        <v>40</v>
      </c>
      <c r="F774">
        <v>2.3000000000000001E-4</v>
      </c>
      <c r="G774">
        <v>0</v>
      </c>
      <c r="H774" t="s">
        <v>5090</v>
      </c>
      <c r="I774" t="s">
        <v>5097</v>
      </c>
      <c r="J774">
        <v>2.3000000000000001E-4</v>
      </c>
    </row>
    <row r="775" spans="1:10">
      <c r="A775" t="s">
        <v>2647</v>
      </c>
      <c r="B775">
        <v>43</v>
      </c>
      <c r="C775" t="s">
        <v>9</v>
      </c>
      <c r="D775">
        <v>1</v>
      </c>
      <c r="E775">
        <v>43</v>
      </c>
      <c r="F775">
        <v>4.4000000000000002E-4</v>
      </c>
      <c r="G775">
        <v>0</v>
      </c>
      <c r="H775" t="s">
        <v>5090</v>
      </c>
      <c r="I775" t="s">
        <v>5097</v>
      </c>
      <c r="J775">
        <v>4.4000000000000002E-4</v>
      </c>
    </row>
    <row r="776" spans="1:10">
      <c r="A776" t="s">
        <v>1166</v>
      </c>
      <c r="B776">
        <v>44</v>
      </c>
      <c r="C776" t="s">
        <v>7</v>
      </c>
      <c r="D776">
        <v>5</v>
      </c>
      <c r="E776">
        <v>48</v>
      </c>
      <c r="F776">
        <v>1.0300000000000001E-3</v>
      </c>
      <c r="G776">
        <v>0</v>
      </c>
      <c r="H776" t="s">
        <v>5090</v>
      </c>
      <c r="I776" t="s">
        <v>5097</v>
      </c>
      <c r="J776">
        <v>1.0300000000000001E-3</v>
      </c>
    </row>
    <row r="777" spans="1:10">
      <c r="A777" t="s">
        <v>1170</v>
      </c>
      <c r="B777">
        <v>41</v>
      </c>
      <c r="C777" t="s">
        <v>9</v>
      </c>
      <c r="D777">
        <v>9</v>
      </c>
      <c r="E777">
        <v>49</v>
      </c>
      <c r="F777">
        <v>1.82E-3</v>
      </c>
      <c r="G777">
        <v>0</v>
      </c>
      <c r="H777" t="s">
        <v>5090</v>
      </c>
      <c r="I777" t="s">
        <v>5097</v>
      </c>
      <c r="J777">
        <v>1.82E-3</v>
      </c>
    </row>
    <row r="778" spans="1:10">
      <c r="A778" t="s">
        <v>2624</v>
      </c>
      <c r="B778">
        <v>41</v>
      </c>
      <c r="C778" t="s">
        <v>7</v>
      </c>
      <c r="D778">
        <v>5</v>
      </c>
      <c r="E778">
        <v>45</v>
      </c>
      <c r="F778">
        <v>8.0000000000000004E-4</v>
      </c>
      <c r="G778">
        <v>0</v>
      </c>
      <c r="H778" t="s">
        <v>5090</v>
      </c>
      <c r="I778" t="s">
        <v>5097</v>
      </c>
      <c r="J778">
        <v>8.0000000000000004E-4</v>
      </c>
    </row>
    <row r="779" spans="1:10">
      <c r="A779" t="s">
        <v>2619</v>
      </c>
      <c r="B779">
        <v>38</v>
      </c>
      <c r="C779" t="s">
        <v>7</v>
      </c>
      <c r="D779">
        <v>5</v>
      </c>
      <c r="E779">
        <v>42</v>
      </c>
      <c r="F779">
        <v>6.7000000000000002E-4</v>
      </c>
      <c r="G779">
        <v>0</v>
      </c>
      <c r="H779" t="s">
        <v>5090</v>
      </c>
      <c r="I779" t="s">
        <v>5097</v>
      </c>
      <c r="J779">
        <v>6.7000000000000002E-4</v>
      </c>
    </row>
    <row r="780" spans="1:10">
      <c r="A780" t="s">
        <v>2617</v>
      </c>
      <c r="B780">
        <v>40</v>
      </c>
      <c r="C780" t="s">
        <v>7</v>
      </c>
      <c r="D780">
        <v>5</v>
      </c>
      <c r="E780">
        <v>44</v>
      </c>
      <c r="F780">
        <v>7.6000000000000004E-4</v>
      </c>
      <c r="G780">
        <v>0</v>
      </c>
      <c r="H780" t="s">
        <v>5090</v>
      </c>
      <c r="I780" t="s">
        <v>5097</v>
      </c>
      <c r="J780">
        <v>7.6000000000000004E-4</v>
      </c>
    </row>
    <row r="781" spans="1:10">
      <c r="A781" t="s">
        <v>2609</v>
      </c>
      <c r="B781">
        <v>38</v>
      </c>
      <c r="C781" t="s">
        <v>9</v>
      </c>
      <c r="D781">
        <v>3</v>
      </c>
      <c r="E781">
        <v>40</v>
      </c>
      <c r="F781">
        <v>6.3000000000000003E-4</v>
      </c>
      <c r="G781">
        <v>0</v>
      </c>
      <c r="H781" t="s">
        <v>5090</v>
      </c>
      <c r="I781" t="s">
        <v>5097</v>
      </c>
      <c r="J781">
        <v>6.3000000000000003E-4</v>
      </c>
    </row>
    <row r="782" spans="1:10">
      <c r="A782" t="s">
        <v>2570</v>
      </c>
      <c r="B782">
        <v>32</v>
      </c>
      <c r="C782" t="s">
        <v>7</v>
      </c>
      <c r="D782">
        <v>9</v>
      </c>
      <c r="E782">
        <v>40</v>
      </c>
      <c r="F782">
        <v>6.9999999999999999E-4</v>
      </c>
      <c r="G782">
        <v>0</v>
      </c>
      <c r="H782" t="s">
        <v>5090</v>
      </c>
      <c r="I782" t="s">
        <v>5097</v>
      </c>
      <c r="J782">
        <v>6.9999999999999999E-4</v>
      </c>
    </row>
    <row r="783" spans="1:10">
      <c r="A783" t="s">
        <v>2534</v>
      </c>
      <c r="B783">
        <v>44</v>
      </c>
      <c r="C783" t="s">
        <v>9</v>
      </c>
      <c r="D783">
        <v>6</v>
      </c>
      <c r="E783">
        <v>49</v>
      </c>
      <c r="F783">
        <v>1.5900000000000001E-3</v>
      </c>
      <c r="G783">
        <v>0</v>
      </c>
      <c r="H783" t="s">
        <v>5090</v>
      </c>
      <c r="I783" t="s">
        <v>5097</v>
      </c>
      <c r="J783">
        <v>1.5900000000000001E-3</v>
      </c>
    </row>
    <row r="784" spans="1:10">
      <c r="A784" t="s">
        <v>2529</v>
      </c>
      <c r="B784">
        <v>33</v>
      </c>
      <c r="C784" t="s">
        <v>7</v>
      </c>
      <c r="D784">
        <v>8</v>
      </c>
      <c r="E784">
        <v>40</v>
      </c>
      <c r="F784">
        <v>6.6E-4</v>
      </c>
      <c r="G784">
        <v>0</v>
      </c>
      <c r="H784" t="s">
        <v>5090</v>
      </c>
      <c r="I784" t="s">
        <v>5097</v>
      </c>
      <c r="J784">
        <v>6.6E-4</v>
      </c>
    </row>
    <row r="785" spans="1:10">
      <c r="A785" t="s">
        <v>2504</v>
      </c>
      <c r="B785">
        <v>43</v>
      </c>
      <c r="C785" t="s">
        <v>9</v>
      </c>
      <c r="D785">
        <v>2</v>
      </c>
      <c r="E785">
        <v>44</v>
      </c>
      <c r="F785">
        <v>7.2000000000000005E-4</v>
      </c>
      <c r="G785">
        <v>0</v>
      </c>
      <c r="H785" t="s">
        <v>5090</v>
      </c>
      <c r="I785" t="s">
        <v>5097</v>
      </c>
      <c r="J785">
        <v>7.2000000000000005E-4</v>
      </c>
    </row>
    <row r="786" spans="1:10">
      <c r="A786" t="s">
        <v>2502</v>
      </c>
      <c r="B786">
        <v>40</v>
      </c>
      <c r="C786" t="s">
        <v>9</v>
      </c>
      <c r="D786">
        <v>1</v>
      </c>
      <c r="E786">
        <v>40</v>
      </c>
      <c r="F786">
        <v>3.1E-4</v>
      </c>
      <c r="G786">
        <v>0</v>
      </c>
      <c r="H786" t="s">
        <v>5090</v>
      </c>
      <c r="I786" t="s">
        <v>5097</v>
      </c>
      <c r="J786">
        <v>3.1E-4</v>
      </c>
    </row>
    <row r="787" spans="1:10">
      <c r="A787" t="s">
        <v>2487</v>
      </c>
      <c r="B787">
        <v>37</v>
      </c>
      <c r="C787" t="s">
        <v>9</v>
      </c>
      <c r="D787">
        <v>5</v>
      </c>
      <c r="E787">
        <v>41</v>
      </c>
      <c r="F787">
        <v>8.0000000000000004E-4</v>
      </c>
      <c r="G787">
        <v>0</v>
      </c>
      <c r="H787" t="s">
        <v>5090</v>
      </c>
      <c r="I787" t="s">
        <v>5097</v>
      </c>
      <c r="J787">
        <v>8.0000000000000004E-4</v>
      </c>
    </row>
    <row r="788" spans="1:10">
      <c r="A788" t="s">
        <v>2475</v>
      </c>
      <c r="B788">
        <v>43</v>
      </c>
      <c r="C788" t="s">
        <v>7</v>
      </c>
      <c r="D788">
        <v>3</v>
      </c>
      <c r="E788">
        <v>45</v>
      </c>
      <c r="F788">
        <v>5.6999999999999998E-4</v>
      </c>
      <c r="G788">
        <v>0</v>
      </c>
      <c r="H788" t="s">
        <v>5090</v>
      </c>
      <c r="I788" t="s">
        <v>5097</v>
      </c>
      <c r="J788">
        <v>5.6999999999999998E-4</v>
      </c>
    </row>
    <row r="789" spans="1:10">
      <c r="A789" t="s">
        <v>2450</v>
      </c>
      <c r="B789">
        <v>39</v>
      </c>
      <c r="C789" t="s">
        <v>9</v>
      </c>
      <c r="D789">
        <v>3</v>
      </c>
      <c r="E789">
        <v>41</v>
      </c>
      <c r="F789">
        <v>6.8999999999999997E-4</v>
      </c>
      <c r="G789">
        <v>0</v>
      </c>
      <c r="H789" t="s">
        <v>5090</v>
      </c>
      <c r="I789" t="s">
        <v>5097</v>
      </c>
      <c r="J789">
        <v>6.8999999999999997E-4</v>
      </c>
    </row>
    <row r="790" spans="1:10">
      <c r="A790" t="s">
        <v>2448</v>
      </c>
      <c r="B790">
        <v>45</v>
      </c>
      <c r="C790" t="s">
        <v>7</v>
      </c>
      <c r="D790">
        <v>3</v>
      </c>
      <c r="E790">
        <v>47</v>
      </c>
      <c r="F790">
        <v>6.8000000000000005E-4</v>
      </c>
      <c r="G790">
        <v>0</v>
      </c>
      <c r="H790" t="s">
        <v>5090</v>
      </c>
      <c r="I790" t="s">
        <v>5097</v>
      </c>
      <c r="J790">
        <v>6.8000000000000005E-4</v>
      </c>
    </row>
    <row r="791" spans="1:10">
      <c r="A791" t="s">
        <v>2442</v>
      </c>
      <c r="B791">
        <v>41</v>
      </c>
      <c r="C791" t="s">
        <v>9</v>
      </c>
      <c r="D791">
        <v>8</v>
      </c>
      <c r="E791">
        <v>48</v>
      </c>
      <c r="F791">
        <v>1.58E-3</v>
      </c>
      <c r="G791">
        <v>0</v>
      </c>
      <c r="H791" t="s">
        <v>5090</v>
      </c>
      <c r="I791" t="s">
        <v>5097</v>
      </c>
      <c r="J791">
        <v>1.58E-3</v>
      </c>
    </row>
    <row r="792" spans="1:10">
      <c r="A792" t="s">
        <v>2429</v>
      </c>
      <c r="B792">
        <v>37</v>
      </c>
      <c r="C792" t="s">
        <v>7</v>
      </c>
      <c r="D792">
        <v>7</v>
      </c>
      <c r="E792">
        <v>43</v>
      </c>
      <c r="F792">
        <v>7.6000000000000004E-4</v>
      </c>
      <c r="G792">
        <v>0</v>
      </c>
      <c r="H792" t="s">
        <v>5090</v>
      </c>
      <c r="I792" t="s">
        <v>5097</v>
      </c>
      <c r="J792">
        <v>7.6000000000000004E-4</v>
      </c>
    </row>
    <row r="793" spans="1:10">
      <c r="A793" t="s">
        <v>1267</v>
      </c>
      <c r="B793">
        <v>39</v>
      </c>
      <c r="C793" t="s">
        <v>7</v>
      </c>
      <c r="D793">
        <v>7</v>
      </c>
      <c r="E793">
        <v>45</v>
      </c>
      <c r="F793">
        <v>8.4999999999999995E-4</v>
      </c>
      <c r="G793">
        <v>0</v>
      </c>
      <c r="H793" t="s">
        <v>5090</v>
      </c>
      <c r="I793" t="s">
        <v>5097</v>
      </c>
      <c r="J793">
        <v>8.4999999999999995E-4</v>
      </c>
    </row>
    <row r="794" spans="1:10">
      <c r="A794" t="s">
        <v>1268</v>
      </c>
      <c r="B794">
        <v>42</v>
      </c>
      <c r="C794" t="s">
        <v>9</v>
      </c>
      <c r="D794">
        <v>7</v>
      </c>
      <c r="E794">
        <v>48</v>
      </c>
      <c r="F794">
        <v>1.5200000000000001E-3</v>
      </c>
      <c r="G794">
        <v>0</v>
      </c>
      <c r="H794" t="s">
        <v>5090</v>
      </c>
      <c r="I794" t="s">
        <v>5097</v>
      </c>
      <c r="J794">
        <v>1.5200000000000001E-3</v>
      </c>
    </row>
    <row r="795" spans="1:10">
      <c r="A795" t="s">
        <v>1270</v>
      </c>
      <c r="B795">
        <v>36</v>
      </c>
      <c r="C795" t="s">
        <v>9</v>
      </c>
      <c r="D795">
        <v>7</v>
      </c>
      <c r="E795">
        <v>42</v>
      </c>
      <c r="F795">
        <v>9.5E-4</v>
      </c>
      <c r="G795">
        <v>0</v>
      </c>
      <c r="H795" t="s">
        <v>5090</v>
      </c>
      <c r="I795" t="s">
        <v>5097</v>
      </c>
      <c r="J795">
        <v>9.5E-4</v>
      </c>
    </row>
    <row r="796" spans="1:10">
      <c r="A796" t="s">
        <v>2394</v>
      </c>
      <c r="B796">
        <v>38</v>
      </c>
      <c r="C796" t="s">
        <v>9</v>
      </c>
      <c r="D796">
        <v>6</v>
      </c>
      <c r="E796">
        <v>43</v>
      </c>
      <c r="F796">
        <v>9.8999999999999999E-4</v>
      </c>
      <c r="G796">
        <v>0</v>
      </c>
      <c r="H796" t="s">
        <v>5090</v>
      </c>
      <c r="I796" t="s">
        <v>5097</v>
      </c>
      <c r="J796">
        <v>9.8999999999999999E-4</v>
      </c>
    </row>
    <row r="797" spans="1:10">
      <c r="A797" t="s">
        <v>2393</v>
      </c>
      <c r="B797">
        <v>43</v>
      </c>
      <c r="C797" t="s">
        <v>7</v>
      </c>
      <c r="D797">
        <v>2</v>
      </c>
      <c r="E797">
        <v>44</v>
      </c>
      <c r="F797">
        <v>4.0000000000000002E-4</v>
      </c>
      <c r="G797">
        <v>0</v>
      </c>
      <c r="H797" t="s">
        <v>5090</v>
      </c>
      <c r="I797" t="s">
        <v>5097</v>
      </c>
      <c r="J797">
        <v>4.0000000000000002E-4</v>
      </c>
    </row>
    <row r="798" spans="1:10">
      <c r="A798" t="s">
        <v>1281</v>
      </c>
      <c r="B798">
        <v>43</v>
      </c>
      <c r="C798" t="s">
        <v>7</v>
      </c>
      <c r="D798">
        <v>5</v>
      </c>
      <c r="E798">
        <v>47</v>
      </c>
      <c r="F798">
        <v>9.5E-4</v>
      </c>
      <c r="G798">
        <v>0</v>
      </c>
      <c r="H798" t="s">
        <v>5090</v>
      </c>
      <c r="I798" t="s">
        <v>5097</v>
      </c>
      <c r="J798">
        <v>9.5E-4</v>
      </c>
    </row>
    <row r="799" spans="1:10">
      <c r="A799" t="s">
        <v>2362</v>
      </c>
      <c r="B799">
        <v>48</v>
      </c>
      <c r="C799" t="s">
        <v>9</v>
      </c>
      <c r="D799">
        <v>2</v>
      </c>
      <c r="E799">
        <v>49</v>
      </c>
      <c r="F799">
        <v>1E-3</v>
      </c>
      <c r="G799">
        <v>0</v>
      </c>
      <c r="H799" t="s">
        <v>5090</v>
      </c>
      <c r="I799" t="s">
        <v>5097</v>
      </c>
      <c r="J799">
        <v>1E-3</v>
      </c>
    </row>
    <row r="800" spans="1:10">
      <c r="A800" t="s">
        <v>1292</v>
      </c>
      <c r="B800">
        <v>38</v>
      </c>
      <c r="C800" t="s">
        <v>9</v>
      </c>
      <c r="D800">
        <v>5</v>
      </c>
      <c r="E800">
        <v>42</v>
      </c>
      <c r="F800">
        <v>8.5999999999999998E-4</v>
      </c>
      <c r="G800">
        <v>0</v>
      </c>
      <c r="H800" t="s">
        <v>5090</v>
      </c>
      <c r="I800" t="s">
        <v>5097</v>
      </c>
      <c r="J800">
        <v>8.5999999999999998E-4</v>
      </c>
    </row>
    <row r="801" spans="1:10">
      <c r="A801" t="s">
        <v>2356</v>
      </c>
      <c r="B801">
        <v>36</v>
      </c>
      <c r="C801" t="s">
        <v>9</v>
      </c>
      <c r="D801">
        <v>8</v>
      </c>
      <c r="E801">
        <v>43</v>
      </c>
      <c r="F801">
        <v>1.1000000000000001E-3</v>
      </c>
      <c r="G801">
        <v>0</v>
      </c>
      <c r="H801" t="s">
        <v>5090</v>
      </c>
      <c r="I801" t="s">
        <v>5097</v>
      </c>
      <c r="J801">
        <v>1.1000000000000001E-3</v>
      </c>
    </row>
    <row r="802" spans="1:10">
      <c r="A802" t="s">
        <v>2353</v>
      </c>
      <c r="B802">
        <v>35</v>
      </c>
      <c r="C802" t="s">
        <v>9</v>
      </c>
      <c r="D802">
        <v>7</v>
      </c>
      <c r="E802">
        <v>41</v>
      </c>
      <c r="F802">
        <v>8.5999999999999998E-4</v>
      </c>
      <c r="G802">
        <v>0</v>
      </c>
      <c r="H802" t="s">
        <v>5090</v>
      </c>
      <c r="I802" t="s">
        <v>5097</v>
      </c>
      <c r="J802">
        <v>8.5999999999999998E-4</v>
      </c>
    </row>
    <row r="803" spans="1:10">
      <c r="A803" t="s">
        <v>2345</v>
      </c>
      <c r="B803">
        <v>49</v>
      </c>
      <c r="C803" t="s">
        <v>7</v>
      </c>
      <c r="D803">
        <v>1</v>
      </c>
      <c r="E803">
        <v>49</v>
      </c>
      <c r="F803">
        <v>4.0000000000000002E-4</v>
      </c>
      <c r="G803">
        <v>0</v>
      </c>
      <c r="H803" t="s">
        <v>5090</v>
      </c>
      <c r="I803" t="s">
        <v>5097</v>
      </c>
      <c r="J803">
        <v>4.0000000000000002E-4</v>
      </c>
    </row>
    <row r="804" spans="1:10">
      <c r="A804" t="s">
        <v>2335</v>
      </c>
      <c r="B804">
        <v>43</v>
      </c>
      <c r="C804" t="s">
        <v>9</v>
      </c>
      <c r="D804">
        <v>2</v>
      </c>
      <c r="E804">
        <v>44</v>
      </c>
      <c r="F804">
        <v>7.2000000000000005E-4</v>
      </c>
      <c r="G804">
        <v>0</v>
      </c>
      <c r="H804" t="s">
        <v>5090</v>
      </c>
      <c r="I804" t="s">
        <v>5097</v>
      </c>
      <c r="J804">
        <v>7.2000000000000005E-4</v>
      </c>
    </row>
    <row r="805" spans="1:10">
      <c r="A805" t="s">
        <v>2316</v>
      </c>
      <c r="B805">
        <v>39</v>
      </c>
      <c r="C805" t="s">
        <v>9</v>
      </c>
      <c r="D805">
        <v>3</v>
      </c>
      <c r="E805">
        <v>41</v>
      </c>
      <c r="F805">
        <v>6.8999999999999997E-4</v>
      </c>
      <c r="G805">
        <v>0</v>
      </c>
      <c r="H805" t="s">
        <v>5090</v>
      </c>
      <c r="I805" t="s">
        <v>5097</v>
      </c>
      <c r="J805">
        <v>6.8999999999999997E-4</v>
      </c>
    </row>
    <row r="806" spans="1:10">
      <c r="A806" t="s">
        <v>2302</v>
      </c>
      <c r="B806">
        <v>44</v>
      </c>
      <c r="C806" t="s">
        <v>9</v>
      </c>
      <c r="D806">
        <v>4</v>
      </c>
      <c r="E806">
        <v>47</v>
      </c>
      <c r="F806">
        <v>1.1999999999999999E-3</v>
      </c>
      <c r="G806">
        <v>0</v>
      </c>
      <c r="H806" t="s">
        <v>5090</v>
      </c>
      <c r="I806" t="s">
        <v>5097</v>
      </c>
      <c r="J806">
        <v>1.1999999999999999E-3</v>
      </c>
    </row>
    <row r="807" spans="1:10">
      <c r="A807" t="s">
        <v>1319</v>
      </c>
      <c r="B807">
        <v>38</v>
      </c>
      <c r="C807" t="s">
        <v>9</v>
      </c>
      <c r="D807">
        <v>3</v>
      </c>
      <c r="E807">
        <v>40</v>
      </c>
      <c r="F807">
        <v>6.3000000000000003E-4</v>
      </c>
      <c r="G807">
        <v>0</v>
      </c>
      <c r="H807" t="s">
        <v>5090</v>
      </c>
      <c r="I807" t="s">
        <v>5097</v>
      </c>
      <c r="J807">
        <v>6.3000000000000003E-4</v>
      </c>
    </row>
    <row r="808" spans="1:10">
      <c r="A808" t="s">
        <v>2299</v>
      </c>
      <c r="B808">
        <v>40</v>
      </c>
      <c r="C808" t="s">
        <v>9</v>
      </c>
      <c r="D808">
        <v>9</v>
      </c>
      <c r="E808">
        <v>48</v>
      </c>
      <c r="F808">
        <v>1.65E-3</v>
      </c>
      <c r="G808">
        <v>0</v>
      </c>
      <c r="H808" t="s">
        <v>5090</v>
      </c>
      <c r="I808" t="s">
        <v>5097</v>
      </c>
      <c r="J808">
        <v>1.65E-3</v>
      </c>
    </row>
    <row r="809" spans="1:10">
      <c r="A809" t="s">
        <v>2298</v>
      </c>
      <c r="B809">
        <v>44</v>
      </c>
      <c r="C809" t="s">
        <v>9</v>
      </c>
      <c r="D809">
        <v>4</v>
      </c>
      <c r="E809">
        <v>47</v>
      </c>
      <c r="F809">
        <v>1.1999999999999999E-3</v>
      </c>
      <c r="G809">
        <v>0</v>
      </c>
      <c r="H809" t="s">
        <v>5090</v>
      </c>
      <c r="I809" t="s">
        <v>5097</v>
      </c>
      <c r="J809">
        <v>1.1999999999999999E-3</v>
      </c>
    </row>
    <row r="810" spans="1:10">
      <c r="A810" t="s">
        <v>2297</v>
      </c>
      <c r="B810">
        <v>40</v>
      </c>
      <c r="C810" t="s">
        <v>9</v>
      </c>
      <c r="D810">
        <v>6</v>
      </c>
      <c r="E810">
        <v>45</v>
      </c>
      <c r="F810">
        <v>1.1199999999999999E-3</v>
      </c>
      <c r="G810">
        <v>0</v>
      </c>
      <c r="H810" t="s">
        <v>5090</v>
      </c>
      <c r="I810" t="s">
        <v>5097</v>
      </c>
      <c r="J810">
        <v>1.1199999999999999E-3</v>
      </c>
    </row>
    <row r="811" spans="1:10">
      <c r="A811" t="s">
        <v>2289</v>
      </c>
      <c r="B811">
        <v>33</v>
      </c>
      <c r="C811" t="s">
        <v>7</v>
      </c>
      <c r="D811">
        <v>8</v>
      </c>
      <c r="E811">
        <v>40</v>
      </c>
      <c r="F811">
        <v>6.6E-4</v>
      </c>
      <c r="G811">
        <v>0</v>
      </c>
      <c r="H811" t="s">
        <v>5090</v>
      </c>
      <c r="I811" t="s">
        <v>5097</v>
      </c>
      <c r="J811">
        <v>6.6E-4</v>
      </c>
    </row>
    <row r="812" spans="1:10">
      <c r="A812" t="s">
        <v>2279</v>
      </c>
      <c r="B812">
        <v>40</v>
      </c>
      <c r="C812" t="s">
        <v>7</v>
      </c>
      <c r="D812">
        <v>3</v>
      </c>
      <c r="E812">
        <v>42</v>
      </c>
      <c r="F812">
        <v>5.0000000000000001E-4</v>
      </c>
      <c r="G812">
        <v>0</v>
      </c>
      <c r="H812" t="s">
        <v>5090</v>
      </c>
      <c r="I812" t="s">
        <v>5097</v>
      </c>
      <c r="J812">
        <v>5.0000000000000001E-4</v>
      </c>
    </row>
    <row r="813" spans="1:10">
      <c r="A813" t="s">
        <v>2269</v>
      </c>
      <c r="B813">
        <v>46</v>
      </c>
      <c r="C813" t="s">
        <v>9</v>
      </c>
      <c r="D813">
        <v>4</v>
      </c>
      <c r="E813">
        <v>49</v>
      </c>
      <c r="F813">
        <v>1.4400000000000001E-3</v>
      </c>
      <c r="G813">
        <v>0</v>
      </c>
      <c r="H813" t="s">
        <v>5090</v>
      </c>
      <c r="I813" t="s">
        <v>5097</v>
      </c>
      <c r="J813">
        <v>1.4400000000000001E-3</v>
      </c>
    </row>
    <row r="814" spans="1:10">
      <c r="A814" t="s">
        <v>2259</v>
      </c>
      <c r="B814">
        <v>46</v>
      </c>
      <c r="C814" t="s">
        <v>9</v>
      </c>
      <c r="D814">
        <v>3</v>
      </c>
      <c r="E814">
        <v>48</v>
      </c>
      <c r="F814">
        <v>1.17E-3</v>
      </c>
      <c r="G814">
        <v>0</v>
      </c>
      <c r="H814" t="s">
        <v>5090</v>
      </c>
      <c r="I814" t="s">
        <v>5097</v>
      </c>
      <c r="J814">
        <v>1.17E-3</v>
      </c>
    </row>
    <row r="815" spans="1:10">
      <c r="A815" t="s">
        <v>1340</v>
      </c>
      <c r="B815">
        <v>43</v>
      </c>
      <c r="C815" t="s">
        <v>9</v>
      </c>
      <c r="D815">
        <v>4</v>
      </c>
      <c r="E815">
        <v>46</v>
      </c>
      <c r="F815">
        <v>1.1000000000000001E-3</v>
      </c>
      <c r="G815">
        <v>0</v>
      </c>
      <c r="H815" t="s">
        <v>5090</v>
      </c>
      <c r="I815" t="s">
        <v>5097</v>
      </c>
      <c r="J815">
        <v>1.1000000000000001E-3</v>
      </c>
    </row>
    <row r="816" spans="1:10">
      <c r="A816" t="s">
        <v>1341</v>
      </c>
      <c r="B816">
        <v>36</v>
      </c>
      <c r="C816" t="s">
        <v>7</v>
      </c>
      <c r="D816">
        <v>9</v>
      </c>
      <c r="E816">
        <v>44</v>
      </c>
      <c r="F816">
        <v>8.4000000000000003E-4</v>
      </c>
      <c r="G816">
        <v>0</v>
      </c>
      <c r="H816" t="s">
        <v>5090</v>
      </c>
      <c r="I816" t="s">
        <v>5097</v>
      </c>
      <c r="J816">
        <v>8.4000000000000003E-4</v>
      </c>
    </row>
    <row r="817" spans="1:10">
      <c r="A817" t="s">
        <v>2250</v>
      </c>
      <c r="B817">
        <v>42</v>
      </c>
      <c r="C817" t="s">
        <v>9</v>
      </c>
      <c r="D817">
        <v>4</v>
      </c>
      <c r="E817">
        <v>45</v>
      </c>
      <c r="F817">
        <v>1.01E-3</v>
      </c>
      <c r="G817">
        <v>0</v>
      </c>
      <c r="H817" t="s">
        <v>5090</v>
      </c>
      <c r="I817" t="s">
        <v>5097</v>
      </c>
      <c r="J817">
        <v>1.01E-3</v>
      </c>
    </row>
    <row r="818" spans="1:10">
      <c r="A818" t="s">
        <v>2220</v>
      </c>
      <c r="B818">
        <v>43</v>
      </c>
      <c r="C818" t="s">
        <v>7</v>
      </c>
      <c r="D818">
        <v>6</v>
      </c>
      <c r="E818">
        <v>48</v>
      </c>
      <c r="F818">
        <v>1.1000000000000001E-3</v>
      </c>
      <c r="G818">
        <v>0</v>
      </c>
      <c r="H818" t="s">
        <v>5090</v>
      </c>
      <c r="I818" t="s">
        <v>5097</v>
      </c>
      <c r="J818">
        <v>1.1000000000000001E-3</v>
      </c>
    </row>
    <row r="819" spans="1:10">
      <c r="A819" t="s">
        <v>1352</v>
      </c>
      <c r="B819">
        <v>47</v>
      </c>
      <c r="C819" t="s">
        <v>9</v>
      </c>
      <c r="D819">
        <v>3</v>
      </c>
      <c r="E819">
        <v>49</v>
      </c>
      <c r="F819">
        <v>1.2800000000000001E-3</v>
      </c>
      <c r="G819">
        <v>0</v>
      </c>
      <c r="H819" t="s">
        <v>5090</v>
      </c>
      <c r="I819" t="s">
        <v>5097</v>
      </c>
      <c r="J819">
        <v>1.2800000000000001E-3</v>
      </c>
    </row>
    <row r="820" spans="1:10">
      <c r="A820" t="s">
        <v>1365</v>
      </c>
      <c r="B820">
        <v>37</v>
      </c>
      <c r="C820" t="s">
        <v>7</v>
      </c>
      <c r="D820">
        <v>8</v>
      </c>
      <c r="E820">
        <v>44</v>
      </c>
      <c r="F820">
        <v>8.1999999999999998E-4</v>
      </c>
      <c r="G820">
        <v>0</v>
      </c>
      <c r="H820" t="s">
        <v>5090</v>
      </c>
      <c r="I820" t="s">
        <v>5097</v>
      </c>
      <c r="J820">
        <v>8.1999999999999998E-4</v>
      </c>
    </row>
    <row r="821" spans="1:10">
      <c r="A821" t="s">
        <v>1368</v>
      </c>
      <c r="B821">
        <v>41</v>
      </c>
      <c r="C821" t="s">
        <v>7</v>
      </c>
      <c r="D821">
        <v>4</v>
      </c>
      <c r="E821">
        <v>44</v>
      </c>
      <c r="F821">
        <v>6.7000000000000002E-4</v>
      </c>
      <c r="G821">
        <v>0</v>
      </c>
      <c r="H821" t="s">
        <v>5090</v>
      </c>
      <c r="I821" t="s">
        <v>5097</v>
      </c>
      <c r="J821">
        <v>6.7000000000000002E-4</v>
      </c>
    </row>
    <row r="822" spans="1:10">
      <c r="A822" t="s">
        <v>2164</v>
      </c>
      <c r="B822">
        <v>39</v>
      </c>
      <c r="C822" t="s">
        <v>7</v>
      </c>
      <c r="D822">
        <v>5</v>
      </c>
      <c r="E822">
        <v>43</v>
      </c>
      <c r="F822">
        <v>7.2000000000000005E-4</v>
      </c>
      <c r="G822">
        <v>0</v>
      </c>
      <c r="H822" t="s">
        <v>5090</v>
      </c>
      <c r="I822" t="s">
        <v>5097</v>
      </c>
      <c r="J822">
        <v>7.2000000000000005E-4</v>
      </c>
    </row>
    <row r="823" spans="1:10">
      <c r="A823" t="s">
        <v>2151</v>
      </c>
      <c r="B823">
        <v>45</v>
      </c>
      <c r="C823" t="s">
        <v>9</v>
      </c>
      <c r="D823">
        <v>3</v>
      </c>
      <c r="E823">
        <v>47</v>
      </c>
      <c r="F823">
        <v>1.08E-3</v>
      </c>
      <c r="G823">
        <v>0</v>
      </c>
      <c r="H823" t="s">
        <v>5090</v>
      </c>
      <c r="I823" t="s">
        <v>5097</v>
      </c>
      <c r="J823">
        <v>1.08E-3</v>
      </c>
    </row>
    <row r="824" spans="1:10">
      <c r="A824" t="s">
        <v>1376</v>
      </c>
      <c r="B824">
        <v>36</v>
      </c>
      <c r="C824" t="s">
        <v>9</v>
      </c>
      <c r="D824">
        <v>8</v>
      </c>
      <c r="E824">
        <v>43</v>
      </c>
      <c r="F824">
        <v>1.1000000000000001E-3</v>
      </c>
      <c r="G824">
        <v>0</v>
      </c>
      <c r="H824" t="s">
        <v>5090</v>
      </c>
      <c r="I824" t="s">
        <v>5097</v>
      </c>
      <c r="J824">
        <v>1.1000000000000001E-3</v>
      </c>
    </row>
    <row r="825" spans="1:10">
      <c r="A825" t="s">
        <v>1377</v>
      </c>
      <c r="B825">
        <v>41</v>
      </c>
      <c r="C825" t="s">
        <v>7</v>
      </c>
      <c r="D825">
        <v>3</v>
      </c>
      <c r="E825">
        <v>43</v>
      </c>
      <c r="F825">
        <v>5.1999999999999995E-4</v>
      </c>
      <c r="G825">
        <v>0</v>
      </c>
      <c r="H825" t="s">
        <v>5090</v>
      </c>
      <c r="I825" t="s">
        <v>5097</v>
      </c>
      <c r="J825">
        <v>5.1999999999999995E-4</v>
      </c>
    </row>
    <row r="826" spans="1:10">
      <c r="A826" t="s">
        <v>1381</v>
      </c>
      <c r="B826">
        <v>36</v>
      </c>
      <c r="C826" t="s">
        <v>9</v>
      </c>
      <c r="D826">
        <v>7</v>
      </c>
      <c r="E826">
        <v>42</v>
      </c>
      <c r="F826">
        <v>9.5E-4</v>
      </c>
      <c r="G826">
        <v>0</v>
      </c>
      <c r="H826" t="s">
        <v>5090</v>
      </c>
      <c r="I826" t="s">
        <v>5097</v>
      </c>
      <c r="J826">
        <v>9.5E-4</v>
      </c>
    </row>
    <row r="827" spans="1:10">
      <c r="A827" t="s">
        <v>2137</v>
      </c>
      <c r="B827">
        <v>38</v>
      </c>
      <c r="C827" t="s">
        <v>7</v>
      </c>
      <c r="D827">
        <v>6</v>
      </c>
      <c r="E827">
        <v>43</v>
      </c>
      <c r="F827">
        <v>7.5000000000000002E-4</v>
      </c>
      <c r="G827">
        <v>0</v>
      </c>
      <c r="H827" t="s">
        <v>5090</v>
      </c>
      <c r="I827" t="s">
        <v>5097</v>
      </c>
      <c r="J827">
        <v>7.5000000000000002E-4</v>
      </c>
    </row>
    <row r="828" spans="1:10">
      <c r="A828" t="s">
        <v>2133</v>
      </c>
      <c r="B828">
        <v>36</v>
      </c>
      <c r="C828" t="s">
        <v>7</v>
      </c>
      <c r="D828">
        <v>6</v>
      </c>
      <c r="E828">
        <v>41</v>
      </c>
      <c r="F828">
        <v>6.4999999999999997E-4</v>
      </c>
      <c r="G828">
        <v>0</v>
      </c>
      <c r="H828" t="s">
        <v>5090</v>
      </c>
      <c r="I828" t="s">
        <v>5097</v>
      </c>
      <c r="J828">
        <v>6.4999999999999997E-4</v>
      </c>
    </row>
    <row r="829" spans="1:10">
      <c r="A829" t="s">
        <v>2112</v>
      </c>
      <c r="B829">
        <v>36</v>
      </c>
      <c r="C829" t="s">
        <v>7</v>
      </c>
      <c r="D829">
        <v>8</v>
      </c>
      <c r="E829">
        <v>43</v>
      </c>
      <c r="F829">
        <v>7.7999999999999999E-4</v>
      </c>
      <c r="G829">
        <v>0</v>
      </c>
      <c r="H829" t="s">
        <v>5090</v>
      </c>
      <c r="I829" t="s">
        <v>5097</v>
      </c>
      <c r="J829">
        <v>7.7999999999999999E-4</v>
      </c>
    </row>
    <row r="830" spans="1:10">
      <c r="A830" t="s">
        <v>2104</v>
      </c>
      <c r="B830">
        <v>36</v>
      </c>
      <c r="C830" t="s">
        <v>9</v>
      </c>
      <c r="D830">
        <v>5</v>
      </c>
      <c r="E830">
        <v>40</v>
      </c>
      <c r="F830">
        <v>7.2000000000000005E-4</v>
      </c>
      <c r="G830">
        <v>0</v>
      </c>
      <c r="H830" t="s">
        <v>5090</v>
      </c>
      <c r="I830" t="s">
        <v>5097</v>
      </c>
      <c r="J830">
        <v>7.2000000000000005E-4</v>
      </c>
    </row>
    <row r="831" spans="1:10">
      <c r="A831" t="s">
        <v>1404</v>
      </c>
      <c r="B831">
        <v>39</v>
      </c>
      <c r="C831" t="s">
        <v>7</v>
      </c>
      <c r="D831">
        <v>9</v>
      </c>
      <c r="E831">
        <v>47</v>
      </c>
      <c r="F831">
        <v>1.1100000000000001E-3</v>
      </c>
      <c r="G831">
        <v>0</v>
      </c>
      <c r="H831" t="s">
        <v>5090</v>
      </c>
      <c r="I831" t="s">
        <v>5097</v>
      </c>
      <c r="J831">
        <v>1.1100000000000001E-3</v>
      </c>
    </row>
    <row r="832" spans="1:10">
      <c r="A832" t="s">
        <v>1405</v>
      </c>
      <c r="B832">
        <v>45</v>
      </c>
      <c r="C832" t="s">
        <v>7</v>
      </c>
      <c r="D832">
        <v>4</v>
      </c>
      <c r="E832">
        <v>48</v>
      </c>
      <c r="F832">
        <v>9.7999999999999997E-4</v>
      </c>
      <c r="G832">
        <v>0</v>
      </c>
      <c r="H832" t="s">
        <v>5090</v>
      </c>
      <c r="I832" t="s">
        <v>5097</v>
      </c>
      <c r="J832">
        <v>9.7999999999999997E-4</v>
      </c>
    </row>
    <row r="833" spans="1:10">
      <c r="A833" t="s">
        <v>1407</v>
      </c>
      <c r="B833">
        <v>41</v>
      </c>
      <c r="C833" t="s">
        <v>9</v>
      </c>
      <c r="D833">
        <v>9</v>
      </c>
      <c r="E833">
        <v>49</v>
      </c>
      <c r="F833">
        <v>1.82E-3</v>
      </c>
      <c r="G833">
        <v>0</v>
      </c>
      <c r="H833" t="s">
        <v>5090</v>
      </c>
      <c r="I833" t="s">
        <v>5097</v>
      </c>
      <c r="J833">
        <v>1.82E-3</v>
      </c>
    </row>
    <row r="834" spans="1:10">
      <c r="A834" t="s">
        <v>2099</v>
      </c>
      <c r="B834">
        <v>43</v>
      </c>
      <c r="C834" t="s">
        <v>9</v>
      </c>
      <c r="D834">
        <v>6</v>
      </c>
      <c r="E834">
        <v>48</v>
      </c>
      <c r="F834">
        <v>1.4499999999999999E-3</v>
      </c>
      <c r="G834">
        <v>0</v>
      </c>
      <c r="H834" t="s">
        <v>5090</v>
      </c>
      <c r="I834" t="s">
        <v>5097</v>
      </c>
      <c r="J834">
        <v>1.4499999999999999E-3</v>
      </c>
    </row>
    <row r="835" spans="1:10">
      <c r="A835" t="s">
        <v>2043</v>
      </c>
      <c r="B835">
        <v>40</v>
      </c>
      <c r="C835" t="s">
        <v>9</v>
      </c>
      <c r="D835">
        <v>7</v>
      </c>
      <c r="E835">
        <v>46</v>
      </c>
      <c r="F835">
        <v>1.2700000000000001E-3</v>
      </c>
      <c r="G835">
        <v>0</v>
      </c>
      <c r="H835" t="s">
        <v>5090</v>
      </c>
      <c r="I835" t="s">
        <v>5097</v>
      </c>
      <c r="J835">
        <v>1.2700000000000001E-3</v>
      </c>
    </row>
    <row r="836" spans="1:10">
      <c r="A836" t="s">
        <v>2024</v>
      </c>
      <c r="B836">
        <v>44</v>
      </c>
      <c r="C836" t="s">
        <v>9</v>
      </c>
      <c r="D836">
        <v>4</v>
      </c>
      <c r="E836">
        <v>47</v>
      </c>
      <c r="F836">
        <v>1.1999999999999999E-3</v>
      </c>
      <c r="G836">
        <v>0</v>
      </c>
      <c r="H836" t="s">
        <v>5090</v>
      </c>
      <c r="I836" t="s">
        <v>5097</v>
      </c>
      <c r="J836">
        <v>1.1999999999999999E-3</v>
      </c>
    </row>
    <row r="837" spans="1:10">
      <c r="A837" t="s">
        <v>1443</v>
      </c>
      <c r="B837">
        <v>35</v>
      </c>
      <c r="C837" t="s">
        <v>7</v>
      </c>
      <c r="D837">
        <v>6</v>
      </c>
      <c r="E837">
        <v>40</v>
      </c>
      <c r="F837">
        <v>5.9000000000000003E-4</v>
      </c>
      <c r="G837">
        <v>0</v>
      </c>
      <c r="H837" t="s">
        <v>5090</v>
      </c>
      <c r="I837" t="s">
        <v>5097</v>
      </c>
      <c r="J837">
        <v>5.9000000000000003E-4</v>
      </c>
    </row>
    <row r="838" spans="1:10">
      <c r="A838" t="s">
        <v>1452</v>
      </c>
      <c r="B838">
        <v>37</v>
      </c>
      <c r="C838" t="s">
        <v>7</v>
      </c>
      <c r="D838">
        <v>5</v>
      </c>
      <c r="E838">
        <v>41</v>
      </c>
      <c r="F838">
        <v>6.3000000000000003E-4</v>
      </c>
      <c r="G838">
        <v>0</v>
      </c>
      <c r="H838" t="s">
        <v>5090</v>
      </c>
      <c r="I838" t="s">
        <v>5097</v>
      </c>
      <c r="J838">
        <v>6.3000000000000003E-4</v>
      </c>
    </row>
    <row r="839" spans="1:10">
      <c r="A839" t="s">
        <v>1986</v>
      </c>
      <c r="B839">
        <v>46</v>
      </c>
      <c r="C839" t="s">
        <v>7</v>
      </c>
      <c r="D839">
        <v>4</v>
      </c>
      <c r="E839">
        <v>49</v>
      </c>
      <c r="F839">
        <v>1.0499999999999999E-3</v>
      </c>
      <c r="G839">
        <v>0</v>
      </c>
      <c r="H839" t="s">
        <v>5090</v>
      </c>
      <c r="I839" t="s">
        <v>5097</v>
      </c>
      <c r="J839">
        <v>1.0499999999999999E-3</v>
      </c>
    </row>
    <row r="840" spans="1:10">
      <c r="A840" t="s">
        <v>1981</v>
      </c>
      <c r="B840">
        <v>38</v>
      </c>
      <c r="C840" t="s">
        <v>7</v>
      </c>
      <c r="D840">
        <v>6</v>
      </c>
      <c r="E840">
        <v>43</v>
      </c>
      <c r="F840">
        <v>7.5000000000000002E-4</v>
      </c>
      <c r="G840">
        <v>0</v>
      </c>
      <c r="H840" t="s">
        <v>5090</v>
      </c>
      <c r="I840" t="s">
        <v>5097</v>
      </c>
      <c r="J840">
        <v>7.5000000000000002E-4</v>
      </c>
    </row>
    <row r="841" spans="1:10">
      <c r="A841" t="s">
        <v>1466</v>
      </c>
      <c r="B841">
        <v>39</v>
      </c>
      <c r="C841" t="s">
        <v>9</v>
      </c>
      <c r="D841">
        <v>7</v>
      </c>
      <c r="E841">
        <v>45</v>
      </c>
      <c r="F841">
        <v>1.16E-3</v>
      </c>
      <c r="G841">
        <v>0</v>
      </c>
      <c r="H841" t="s">
        <v>5090</v>
      </c>
      <c r="I841" t="s">
        <v>5097</v>
      </c>
      <c r="J841">
        <v>1.16E-3</v>
      </c>
    </row>
    <row r="842" spans="1:10">
      <c r="A842" t="s">
        <v>1921</v>
      </c>
      <c r="B842">
        <v>37</v>
      </c>
      <c r="C842" t="s">
        <v>9</v>
      </c>
      <c r="D842">
        <v>7</v>
      </c>
      <c r="E842">
        <v>43</v>
      </c>
      <c r="F842">
        <v>1.0399999999999999E-3</v>
      </c>
      <c r="G842">
        <v>0</v>
      </c>
      <c r="H842" t="s">
        <v>5090</v>
      </c>
      <c r="I842" t="s">
        <v>5097</v>
      </c>
      <c r="J842">
        <v>1.0399999999999999E-3</v>
      </c>
    </row>
    <row r="843" spans="1:10">
      <c r="A843" t="s">
        <v>1919</v>
      </c>
      <c r="B843">
        <v>42</v>
      </c>
      <c r="C843" t="s">
        <v>9</v>
      </c>
      <c r="D843">
        <v>3</v>
      </c>
      <c r="E843">
        <v>44</v>
      </c>
      <c r="F843">
        <v>8.7000000000000001E-4</v>
      </c>
      <c r="G843">
        <v>0</v>
      </c>
      <c r="H843" t="s">
        <v>5090</v>
      </c>
      <c r="I843" t="s">
        <v>5097</v>
      </c>
      <c r="J843">
        <v>8.7000000000000001E-4</v>
      </c>
    </row>
    <row r="844" spans="1:10">
      <c r="A844" t="s">
        <v>1901</v>
      </c>
      <c r="B844">
        <v>39</v>
      </c>
      <c r="C844" t="s">
        <v>7</v>
      </c>
      <c r="D844">
        <v>6</v>
      </c>
      <c r="E844">
        <v>44</v>
      </c>
      <c r="F844">
        <v>7.9000000000000001E-4</v>
      </c>
      <c r="G844">
        <v>0</v>
      </c>
      <c r="H844" t="s">
        <v>5090</v>
      </c>
      <c r="I844" t="s">
        <v>5097</v>
      </c>
      <c r="J844">
        <v>7.9000000000000001E-4</v>
      </c>
    </row>
    <row r="845" spans="1:10">
      <c r="A845" t="s">
        <v>1500</v>
      </c>
      <c r="B845">
        <v>39</v>
      </c>
      <c r="C845" t="s">
        <v>7</v>
      </c>
      <c r="D845">
        <v>3</v>
      </c>
      <c r="E845">
        <v>41</v>
      </c>
      <c r="F845">
        <v>4.8000000000000001E-4</v>
      </c>
      <c r="G845">
        <v>0</v>
      </c>
      <c r="H845" t="s">
        <v>5090</v>
      </c>
      <c r="I845" t="s">
        <v>5097</v>
      </c>
      <c r="J845">
        <v>4.8000000000000001E-4</v>
      </c>
    </row>
    <row r="846" spans="1:10">
      <c r="A846" t="s">
        <v>1850</v>
      </c>
      <c r="B846">
        <v>43</v>
      </c>
      <c r="C846" t="s">
        <v>9</v>
      </c>
      <c r="D846">
        <v>5</v>
      </c>
      <c r="E846">
        <v>47</v>
      </c>
      <c r="F846">
        <v>1.2800000000000001E-3</v>
      </c>
      <c r="G846">
        <v>0</v>
      </c>
      <c r="H846" t="s">
        <v>5090</v>
      </c>
      <c r="I846" t="s">
        <v>5097</v>
      </c>
      <c r="J846">
        <v>1.2800000000000001E-3</v>
      </c>
    </row>
    <row r="847" spans="1:10">
      <c r="A847" t="s">
        <v>1513</v>
      </c>
      <c r="B847">
        <v>45</v>
      </c>
      <c r="C847" t="s">
        <v>7</v>
      </c>
      <c r="D847">
        <v>1</v>
      </c>
      <c r="E847">
        <v>45</v>
      </c>
      <c r="F847">
        <v>3.1E-4</v>
      </c>
      <c r="G847">
        <v>0</v>
      </c>
      <c r="H847" t="s">
        <v>5090</v>
      </c>
      <c r="I847" t="s">
        <v>5097</v>
      </c>
      <c r="J847">
        <v>3.1E-4</v>
      </c>
    </row>
    <row r="848" spans="1:10">
      <c r="A848" t="s">
        <v>1516</v>
      </c>
      <c r="B848">
        <v>40</v>
      </c>
      <c r="C848" t="s">
        <v>7</v>
      </c>
      <c r="D848">
        <v>1</v>
      </c>
      <c r="E848">
        <v>40</v>
      </c>
      <c r="F848">
        <v>2.3000000000000001E-4</v>
      </c>
      <c r="G848">
        <v>0</v>
      </c>
      <c r="H848" t="s">
        <v>5090</v>
      </c>
      <c r="I848" t="s">
        <v>5097</v>
      </c>
      <c r="J848">
        <v>2.3000000000000001E-4</v>
      </c>
    </row>
    <row r="849" spans="1:10">
      <c r="A849" t="s">
        <v>1846</v>
      </c>
      <c r="B849">
        <v>40</v>
      </c>
      <c r="C849" t="s">
        <v>9</v>
      </c>
      <c r="D849">
        <v>8</v>
      </c>
      <c r="E849">
        <v>47</v>
      </c>
      <c r="F849">
        <v>1.4400000000000001E-3</v>
      </c>
      <c r="G849">
        <v>0</v>
      </c>
      <c r="H849" t="s">
        <v>5090</v>
      </c>
      <c r="I849" t="s">
        <v>5097</v>
      </c>
      <c r="J849">
        <v>1.4400000000000001E-3</v>
      </c>
    </row>
    <row r="850" spans="1:10">
      <c r="A850" t="s">
        <v>1520</v>
      </c>
      <c r="B850">
        <v>35</v>
      </c>
      <c r="C850" t="s">
        <v>9</v>
      </c>
      <c r="D850">
        <v>8</v>
      </c>
      <c r="E850">
        <v>42</v>
      </c>
      <c r="F850">
        <v>1.0200000000000001E-3</v>
      </c>
      <c r="G850">
        <v>0</v>
      </c>
      <c r="H850" t="s">
        <v>5090</v>
      </c>
      <c r="I850" t="s">
        <v>5097</v>
      </c>
      <c r="J850">
        <v>1.0200000000000001E-3</v>
      </c>
    </row>
    <row r="851" spans="1:10">
      <c r="A851" t="s">
        <v>1836</v>
      </c>
      <c r="B851">
        <v>33</v>
      </c>
      <c r="C851" t="s">
        <v>9</v>
      </c>
      <c r="D851">
        <v>9</v>
      </c>
      <c r="E851">
        <v>41</v>
      </c>
      <c r="F851">
        <v>1E-3</v>
      </c>
      <c r="G851">
        <v>0</v>
      </c>
      <c r="H851" t="s">
        <v>5090</v>
      </c>
      <c r="I851" t="s">
        <v>5097</v>
      </c>
      <c r="J851">
        <v>1E-3</v>
      </c>
    </row>
    <row r="852" spans="1:10">
      <c r="A852" t="s">
        <v>1529</v>
      </c>
      <c r="B852">
        <v>44</v>
      </c>
      <c r="C852" t="s">
        <v>9</v>
      </c>
      <c r="D852">
        <v>2</v>
      </c>
      <c r="E852">
        <v>45</v>
      </c>
      <c r="F852">
        <v>7.6999999999999996E-4</v>
      </c>
      <c r="G852">
        <v>0</v>
      </c>
      <c r="H852" t="s">
        <v>5090</v>
      </c>
      <c r="I852" t="s">
        <v>5097</v>
      </c>
      <c r="J852">
        <v>7.6999999999999996E-4</v>
      </c>
    </row>
    <row r="853" spans="1:10">
      <c r="A853" t="s">
        <v>1806</v>
      </c>
      <c r="B853">
        <v>48</v>
      </c>
      <c r="C853" t="s">
        <v>9</v>
      </c>
      <c r="D853">
        <v>1</v>
      </c>
      <c r="E853">
        <v>48</v>
      </c>
      <c r="F853">
        <v>7.2999999999999996E-4</v>
      </c>
      <c r="G853">
        <v>0</v>
      </c>
      <c r="H853" t="s">
        <v>5090</v>
      </c>
      <c r="I853" t="s">
        <v>5097</v>
      </c>
      <c r="J853">
        <v>7.2999999999999996E-4</v>
      </c>
    </row>
    <row r="854" spans="1:10">
      <c r="A854" t="s">
        <v>1798</v>
      </c>
      <c r="B854">
        <v>41</v>
      </c>
      <c r="C854" t="s">
        <v>7</v>
      </c>
      <c r="D854">
        <v>3</v>
      </c>
      <c r="E854">
        <v>43</v>
      </c>
      <c r="F854">
        <v>5.1999999999999995E-4</v>
      </c>
      <c r="G854">
        <v>0</v>
      </c>
      <c r="H854" t="s">
        <v>5090</v>
      </c>
      <c r="I854" t="s">
        <v>5097</v>
      </c>
      <c r="J854">
        <v>5.1999999999999995E-4</v>
      </c>
    </row>
    <row r="855" spans="1:10">
      <c r="A855" t="s">
        <v>1543</v>
      </c>
      <c r="B855">
        <v>39</v>
      </c>
      <c r="C855" t="s">
        <v>7</v>
      </c>
      <c r="D855">
        <v>6</v>
      </c>
      <c r="E855">
        <v>44</v>
      </c>
      <c r="F855">
        <v>7.9000000000000001E-4</v>
      </c>
      <c r="G855">
        <v>0</v>
      </c>
      <c r="H855" t="s">
        <v>5090</v>
      </c>
      <c r="I855" t="s">
        <v>5097</v>
      </c>
      <c r="J855">
        <v>7.9000000000000001E-4</v>
      </c>
    </row>
    <row r="856" spans="1:10">
      <c r="A856" t="s">
        <v>1545</v>
      </c>
      <c r="B856">
        <v>34</v>
      </c>
      <c r="C856" t="s">
        <v>7</v>
      </c>
      <c r="D856">
        <v>7</v>
      </c>
      <c r="E856">
        <v>40</v>
      </c>
      <c r="F856">
        <v>6.3000000000000003E-4</v>
      </c>
      <c r="G856">
        <v>0</v>
      </c>
      <c r="H856" t="s">
        <v>5090</v>
      </c>
      <c r="I856" t="s">
        <v>5097</v>
      </c>
      <c r="J856">
        <v>6.3000000000000003E-4</v>
      </c>
    </row>
    <row r="857" spans="1:10">
      <c r="A857" t="s">
        <v>1780</v>
      </c>
      <c r="B857">
        <v>40</v>
      </c>
      <c r="C857" t="s">
        <v>9</v>
      </c>
      <c r="D857">
        <v>9</v>
      </c>
      <c r="E857">
        <v>48</v>
      </c>
      <c r="F857">
        <v>1.65E-3</v>
      </c>
      <c r="G857">
        <v>0</v>
      </c>
      <c r="H857" t="s">
        <v>5090</v>
      </c>
      <c r="I857" t="s">
        <v>5097</v>
      </c>
      <c r="J857">
        <v>1.65E-3</v>
      </c>
    </row>
    <row r="858" spans="1:10">
      <c r="A858" t="s">
        <v>1772</v>
      </c>
      <c r="B858">
        <v>36</v>
      </c>
      <c r="C858" t="s">
        <v>9</v>
      </c>
      <c r="D858">
        <v>7</v>
      </c>
      <c r="E858">
        <v>42</v>
      </c>
      <c r="F858">
        <v>9.5E-4</v>
      </c>
      <c r="G858">
        <v>0</v>
      </c>
      <c r="H858" t="s">
        <v>5090</v>
      </c>
      <c r="I858" t="s">
        <v>5097</v>
      </c>
      <c r="J858">
        <v>9.5E-4</v>
      </c>
    </row>
    <row r="859" spans="1:10">
      <c r="A859" t="s">
        <v>1765</v>
      </c>
      <c r="B859">
        <v>41</v>
      </c>
      <c r="C859" t="s">
        <v>9</v>
      </c>
      <c r="D859">
        <v>9</v>
      </c>
      <c r="E859">
        <v>49</v>
      </c>
      <c r="F859">
        <v>1.82E-3</v>
      </c>
      <c r="G859">
        <v>0</v>
      </c>
      <c r="H859" t="s">
        <v>5090</v>
      </c>
      <c r="I859" t="s">
        <v>5097</v>
      </c>
      <c r="J859">
        <v>1.82E-3</v>
      </c>
    </row>
    <row r="860" spans="1:10">
      <c r="A860" t="s">
        <v>1733</v>
      </c>
      <c r="B860">
        <v>43</v>
      </c>
      <c r="C860" t="s">
        <v>7</v>
      </c>
      <c r="D860">
        <v>2</v>
      </c>
      <c r="E860">
        <v>44</v>
      </c>
      <c r="F860">
        <v>4.0000000000000002E-4</v>
      </c>
      <c r="G860">
        <v>0</v>
      </c>
      <c r="H860" t="s">
        <v>5090</v>
      </c>
      <c r="I860" t="s">
        <v>5097</v>
      </c>
      <c r="J860">
        <v>4.0000000000000002E-4</v>
      </c>
    </row>
    <row r="861" spans="1:10">
      <c r="A861" t="s">
        <v>1730</v>
      </c>
      <c r="B861">
        <v>42</v>
      </c>
      <c r="C861" t="s">
        <v>9</v>
      </c>
      <c r="D861">
        <v>8</v>
      </c>
      <c r="E861">
        <v>49</v>
      </c>
      <c r="F861">
        <v>1.74E-3</v>
      </c>
      <c r="G861">
        <v>0</v>
      </c>
      <c r="H861" t="s">
        <v>5090</v>
      </c>
      <c r="I861" t="s">
        <v>5097</v>
      </c>
      <c r="J861">
        <v>1.74E-3</v>
      </c>
    </row>
    <row r="862" spans="1:10">
      <c r="A862" t="s">
        <v>1706</v>
      </c>
      <c r="B862">
        <v>45</v>
      </c>
      <c r="C862" t="s">
        <v>7</v>
      </c>
      <c r="D862">
        <v>3</v>
      </c>
      <c r="E862">
        <v>47</v>
      </c>
      <c r="F862">
        <v>6.8000000000000005E-4</v>
      </c>
      <c r="G862">
        <v>0</v>
      </c>
      <c r="H862" t="s">
        <v>5090</v>
      </c>
      <c r="I862" t="s">
        <v>5097</v>
      </c>
      <c r="J862">
        <v>6.8000000000000005E-4</v>
      </c>
    </row>
    <row r="863" spans="1:10">
      <c r="A863" t="s">
        <v>1584</v>
      </c>
      <c r="B863">
        <v>42</v>
      </c>
      <c r="C863" t="s">
        <v>7</v>
      </c>
      <c r="D863">
        <v>3</v>
      </c>
      <c r="E863">
        <v>44</v>
      </c>
      <c r="F863">
        <v>5.4000000000000001E-4</v>
      </c>
      <c r="G863">
        <v>0</v>
      </c>
      <c r="H863" t="s">
        <v>5090</v>
      </c>
      <c r="I863" t="s">
        <v>5097</v>
      </c>
      <c r="J863">
        <v>5.4000000000000001E-4</v>
      </c>
    </row>
    <row r="864" spans="1:10">
      <c r="A864" t="s">
        <v>1586</v>
      </c>
      <c r="B864">
        <v>43</v>
      </c>
      <c r="C864" t="s">
        <v>7</v>
      </c>
      <c r="D864">
        <v>6</v>
      </c>
      <c r="E864">
        <v>48</v>
      </c>
      <c r="F864">
        <v>1.1000000000000001E-3</v>
      </c>
      <c r="G864">
        <v>0</v>
      </c>
      <c r="H864" t="s">
        <v>5090</v>
      </c>
      <c r="I864" t="s">
        <v>5097</v>
      </c>
      <c r="J864">
        <v>1.1000000000000001E-3</v>
      </c>
    </row>
    <row r="865" spans="1:10">
      <c r="A865" t="s">
        <v>1678</v>
      </c>
      <c r="B865">
        <v>40</v>
      </c>
      <c r="C865" t="s">
        <v>9</v>
      </c>
      <c r="D865">
        <v>9</v>
      </c>
      <c r="E865">
        <v>48</v>
      </c>
      <c r="F865">
        <v>1.65E-3</v>
      </c>
      <c r="G865">
        <v>0</v>
      </c>
      <c r="H865" t="s">
        <v>5090</v>
      </c>
      <c r="I865" t="s">
        <v>5097</v>
      </c>
      <c r="J865">
        <v>1.65E-3</v>
      </c>
    </row>
    <row r="866" spans="1:10">
      <c r="A866" t="s">
        <v>1676</v>
      </c>
      <c r="B866">
        <v>37</v>
      </c>
      <c r="C866" t="s">
        <v>9</v>
      </c>
      <c r="D866">
        <v>4</v>
      </c>
      <c r="E866">
        <v>40</v>
      </c>
      <c r="F866">
        <v>6.8999999999999997E-4</v>
      </c>
      <c r="G866">
        <v>0</v>
      </c>
      <c r="H866" t="s">
        <v>5090</v>
      </c>
      <c r="I866" t="s">
        <v>5097</v>
      </c>
      <c r="J866">
        <v>6.8999999999999997E-4</v>
      </c>
    </row>
    <row r="867" spans="1:10">
      <c r="A867" t="s">
        <v>1662</v>
      </c>
      <c r="B867">
        <v>39</v>
      </c>
      <c r="C867" t="s">
        <v>7</v>
      </c>
      <c r="D867">
        <v>7</v>
      </c>
      <c r="E867">
        <v>45</v>
      </c>
      <c r="F867">
        <v>8.4999999999999995E-4</v>
      </c>
      <c r="G867">
        <v>0</v>
      </c>
      <c r="H867" t="s">
        <v>5090</v>
      </c>
      <c r="I867" t="s">
        <v>5097</v>
      </c>
      <c r="J867">
        <v>8.4999999999999995E-4</v>
      </c>
    </row>
    <row r="868" spans="1:10">
      <c r="A868" t="s">
        <v>1656</v>
      </c>
      <c r="B868">
        <v>42</v>
      </c>
      <c r="C868" t="s">
        <v>7</v>
      </c>
      <c r="D868">
        <v>3</v>
      </c>
      <c r="E868">
        <v>44</v>
      </c>
      <c r="F868">
        <v>5.4000000000000001E-4</v>
      </c>
      <c r="G868">
        <v>0</v>
      </c>
      <c r="H868" t="s">
        <v>5090</v>
      </c>
      <c r="I868" t="s">
        <v>5097</v>
      </c>
      <c r="J868">
        <v>5.4000000000000001E-4</v>
      </c>
    </row>
    <row r="869" spans="1:10">
      <c r="A869" t="s">
        <v>1645</v>
      </c>
      <c r="B869">
        <v>38</v>
      </c>
      <c r="C869" t="s">
        <v>7</v>
      </c>
      <c r="D869">
        <v>9</v>
      </c>
      <c r="E869">
        <v>46</v>
      </c>
      <c r="F869">
        <v>1.01E-3</v>
      </c>
      <c r="G869">
        <v>0</v>
      </c>
      <c r="H869" t="s">
        <v>5090</v>
      </c>
      <c r="I869" t="s">
        <v>5097</v>
      </c>
      <c r="J869">
        <v>1.01E-3</v>
      </c>
    </row>
    <row r="870" spans="1:10">
      <c r="A870" t="s">
        <v>1611</v>
      </c>
      <c r="B870">
        <v>44</v>
      </c>
      <c r="C870" t="s">
        <v>7</v>
      </c>
      <c r="D870">
        <v>2</v>
      </c>
      <c r="E870">
        <v>45</v>
      </c>
      <c r="F870">
        <v>4.2000000000000002E-4</v>
      </c>
      <c r="G870">
        <v>0</v>
      </c>
      <c r="H870" t="s">
        <v>5090</v>
      </c>
      <c r="I870" t="s">
        <v>5097</v>
      </c>
      <c r="J870">
        <v>4.2000000000000002E-4</v>
      </c>
    </row>
    <row r="871" spans="1:10">
      <c r="A871" t="s">
        <v>1623</v>
      </c>
      <c r="B871">
        <v>42</v>
      </c>
      <c r="C871" t="s">
        <v>9</v>
      </c>
      <c r="D871">
        <v>2</v>
      </c>
      <c r="E871">
        <v>43</v>
      </c>
      <c r="F871">
        <v>6.7000000000000002E-4</v>
      </c>
      <c r="G871">
        <v>0</v>
      </c>
      <c r="H871" t="s">
        <v>5090</v>
      </c>
      <c r="I871" t="s">
        <v>5097</v>
      </c>
      <c r="J871">
        <v>6.7000000000000002E-4</v>
      </c>
    </row>
    <row r="872" spans="1:10">
      <c r="A872" t="s">
        <v>86</v>
      </c>
      <c r="B872">
        <v>54</v>
      </c>
      <c r="C872" t="s">
        <v>7</v>
      </c>
      <c r="D872">
        <v>3</v>
      </c>
      <c r="E872">
        <v>56</v>
      </c>
      <c r="F872">
        <v>1.75E-3</v>
      </c>
      <c r="G872">
        <v>0</v>
      </c>
      <c r="H872" t="s">
        <v>5091</v>
      </c>
      <c r="I872" t="s">
        <v>5097</v>
      </c>
      <c r="J872">
        <v>1.75E-3</v>
      </c>
    </row>
    <row r="873" spans="1:10">
      <c r="A873" t="s">
        <v>89</v>
      </c>
      <c r="B873">
        <v>46</v>
      </c>
      <c r="C873" t="s">
        <v>9</v>
      </c>
      <c r="D873">
        <v>8</v>
      </c>
      <c r="E873">
        <v>53</v>
      </c>
      <c r="F873">
        <v>2.5600000000000002E-3</v>
      </c>
      <c r="G873">
        <v>0</v>
      </c>
      <c r="H873" t="s">
        <v>5091</v>
      </c>
      <c r="I873" t="s">
        <v>5097</v>
      </c>
      <c r="J873">
        <v>2.5600000000000002E-3</v>
      </c>
    </row>
    <row r="874" spans="1:10">
      <c r="A874" t="s">
        <v>5081</v>
      </c>
      <c r="B874">
        <v>52</v>
      </c>
      <c r="C874" t="s">
        <v>9</v>
      </c>
      <c r="D874">
        <v>5</v>
      </c>
      <c r="E874">
        <v>56</v>
      </c>
      <c r="F874">
        <v>3.2100000000000002E-3</v>
      </c>
      <c r="G874">
        <v>0</v>
      </c>
      <c r="H874" t="s">
        <v>5091</v>
      </c>
      <c r="I874" t="s">
        <v>5097</v>
      </c>
      <c r="J874">
        <v>3.2100000000000002E-3</v>
      </c>
    </row>
    <row r="875" spans="1:10">
      <c r="A875" t="s">
        <v>5042</v>
      </c>
      <c r="B875">
        <v>56</v>
      </c>
      <c r="C875" t="s">
        <v>9</v>
      </c>
      <c r="D875">
        <v>1</v>
      </c>
      <c r="E875">
        <v>56</v>
      </c>
      <c r="F875">
        <v>1.1900000000000001E-3</v>
      </c>
      <c r="G875">
        <v>0</v>
      </c>
      <c r="H875" t="s">
        <v>5091</v>
      </c>
      <c r="I875" t="s">
        <v>5097</v>
      </c>
      <c r="J875">
        <v>1.1900000000000001E-3</v>
      </c>
    </row>
    <row r="876" spans="1:10">
      <c r="A876" t="s">
        <v>105</v>
      </c>
      <c r="B876">
        <v>45</v>
      </c>
      <c r="C876" t="s">
        <v>9</v>
      </c>
      <c r="D876">
        <v>9</v>
      </c>
      <c r="E876">
        <v>53</v>
      </c>
      <c r="F876">
        <v>2.63E-3</v>
      </c>
      <c r="G876">
        <v>0</v>
      </c>
      <c r="H876" t="s">
        <v>5091</v>
      </c>
      <c r="I876" t="s">
        <v>5097</v>
      </c>
      <c r="J876">
        <v>2.63E-3</v>
      </c>
    </row>
    <row r="877" spans="1:10">
      <c r="A877" t="s">
        <v>5040</v>
      </c>
      <c r="B877">
        <v>55</v>
      </c>
      <c r="C877" t="s">
        <v>7</v>
      </c>
      <c r="D877">
        <v>3</v>
      </c>
      <c r="E877">
        <v>57</v>
      </c>
      <c r="F877">
        <v>1.8500000000000001E-3</v>
      </c>
      <c r="G877">
        <v>0</v>
      </c>
      <c r="H877" t="s">
        <v>5091</v>
      </c>
      <c r="I877" t="s">
        <v>5097</v>
      </c>
      <c r="J877">
        <v>1.8500000000000001E-3</v>
      </c>
    </row>
    <row r="878" spans="1:10">
      <c r="A878" t="s">
        <v>5038</v>
      </c>
      <c r="B878">
        <v>49</v>
      </c>
      <c r="C878" t="s">
        <v>7</v>
      </c>
      <c r="D878">
        <v>4</v>
      </c>
      <c r="E878">
        <v>52</v>
      </c>
      <c r="F878">
        <v>1.4E-3</v>
      </c>
      <c r="G878">
        <v>0</v>
      </c>
      <c r="H878" t="s">
        <v>5091</v>
      </c>
      <c r="I878" t="s">
        <v>5097</v>
      </c>
      <c r="J878">
        <v>1.4E-3</v>
      </c>
    </row>
    <row r="879" spans="1:10">
      <c r="A879" t="s">
        <v>5033</v>
      </c>
      <c r="B879">
        <v>57</v>
      </c>
      <c r="C879" t="s">
        <v>7</v>
      </c>
      <c r="D879">
        <v>3</v>
      </c>
      <c r="E879">
        <v>59</v>
      </c>
      <c r="F879">
        <v>2E-3</v>
      </c>
      <c r="G879">
        <v>0</v>
      </c>
      <c r="H879" t="s">
        <v>5091</v>
      </c>
      <c r="I879" t="s">
        <v>5097</v>
      </c>
      <c r="J879">
        <v>2E-3</v>
      </c>
    </row>
    <row r="880" spans="1:10">
      <c r="A880" t="s">
        <v>5030</v>
      </c>
      <c r="B880">
        <v>45</v>
      </c>
      <c r="C880" t="s">
        <v>7</v>
      </c>
      <c r="D880">
        <v>6</v>
      </c>
      <c r="E880">
        <v>50</v>
      </c>
      <c r="F880">
        <v>1.2800000000000001E-3</v>
      </c>
      <c r="G880">
        <v>0</v>
      </c>
      <c r="H880" t="s">
        <v>5091</v>
      </c>
      <c r="I880" t="s">
        <v>5097</v>
      </c>
      <c r="J880">
        <v>1.2800000000000001E-3</v>
      </c>
    </row>
    <row r="881" spans="1:10">
      <c r="A881" t="s">
        <v>5024</v>
      </c>
      <c r="B881">
        <v>45</v>
      </c>
      <c r="C881" t="s">
        <v>9</v>
      </c>
      <c r="D881">
        <v>6</v>
      </c>
      <c r="E881">
        <v>50</v>
      </c>
      <c r="F881">
        <v>1.74E-3</v>
      </c>
      <c r="G881">
        <v>0</v>
      </c>
      <c r="H881" t="s">
        <v>5091</v>
      </c>
      <c r="I881" t="s">
        <v>5097</v>
      </c>
      <c r="J881">
        <v>1.74E-3</v>
      </c>
    </row>
    <row r="882" spans="1:10">
      <c r="A882" t="s">
        <v>5013</v>
      </c>
      <c r="B882">
        <v>52</v>
      </c>
      <c r="C882" t="s">
        <v>9</v>
      </c>
      <c r="D882">
        <v>4</v>
      </c>
      <c r="E882">
        <v>55</v>
      </c>
      <c r="F882">
        <v>2.7299999999999998E-3</v>
      </c>
      <c r="G882">
        <v>0</v>
      </c>
      <c r="H882" t="s">
        <v>5091</v>
      </c>
      <c r="I882" t="s">
        <v>5097</v>
      </c>
      <c r="J882">
        <v>2.7299999999999998E-3</v>
      </c>
    </row>
    <row r="883" spans="1:10">
      <c r="A883" t="s">
        <v>5012</v>
      </c>
      <c r="B883">
        <v>55</v>
      </c>
      <c r="C883" t="s">
        <v>7</v>
      </c>
      <c r="D883">
        <v>2</v>
      </c>
      <c r="E883">
        <v>56</v>
      </c>
      <c r="F883">
        <v>1.2600000000000001E-3</v>
      </c>
      <c r="G883">
        <v>0</v>
      </c>
      <c r="H883" t="s">
        <v>5091</v>
      </c>
      <c r="I883" t="s">
        <v>5097</v>
      </c>
      <c r="J883">
        <v>1.2600000000000001E-3</v>
      </c>
    </row>
    <row r="884" spans="1:10">
      <c r="A884" t="s">
        <v>128</v>
      </c>
      <c r="B884">
        <v>47</v>
      </c>
      <c r="C884" t="s">
        <v>7</v>
      </c>
      <c r="D884">
        <v>7</v>
      </c>
      <c r="E884">
        <v>53</v>
      </c>
      <c r="F884">
        <v>1.75E-3</v>
      </c>
      <c r="G884">
        <v>0</v>
      </c>
      <c r="H884" t="s">
        <v>5091</v>
      </c>
      <c r="I884" t="s">
        <v>5097</v>
      </c>
      <c r="J884">
        <v>1.75E-3</v>
      </c>
    </row>
    <row r="885" spans="1:10">
      <c r="A885" t="s">
        <v>131</v>
      </c>
      <c r="B885">
        <v>48</v>
      </c>
      <c r="C885" t="s">
        <v>9</v>
      </c>
      <c r="D885">
        <v>4</v>
      </c>
      <c r="E885">
        <v>51</v>
      </c>
      <c r="F885">
        <v>1.75E-3</v>
      </c>
      <c r="G885">
        <v>0</v>
      </c>
      <c r="H885" t="s">
        <v>5091</v>
      </c>
      <c r="I885" t="s">
        <v>5097</v>
      </c>
      <c r="J885">
        <v>1.75E-3</v>
      </c>
    </row>
    <row r="886" spans="1:10">
      <c r="A886" t="s">
        <v>4997</v>
      </c>
      <c r="B886">
        <v>51</v>
      </c>
      <c r="C886" t="s">
        <v>9</v>
      </c>
      <c r="D886">
        <v>9</v>
      </c>
      <c r="E886">
        <v>59</v>
      </c>
      <c r="F886">
        <v>5.1599999999999997E-3</v>
      </c>
      <c r="G886">
        <v>0</v>
      </c>
      <c r="H886" t="s">
        <v>5091</v>
      </c>
      <c r="I886" t="s">
        <v>5097</v>
      </c>
      <c r="J886">
        <v>5.1599999999999997E-3</v>
      </c>
    </row>
    <row r="887" spans="1:10">
      <c r="A887" t="s">
        <v>135</v>
      </c>
      <c r="B887">
        <v>52</v>
      </c>
      <c r="C887" t="s">
        <v>9</v>
      </c>
      <c r="D887">
        <v>8</v>
      </c>
      <c r="E887">
        <v>59</v>
      </c>
      <c r="F887">
        <v>4.9300000000000004E-3</v>
      </c>
      <c r="G887">
        <v>0</v>
      </c>
      <c r="H887" t="s">
        <v>5091</v>
      </c>
      <c r="I887" t="s">
        <v>5097</v>
      </c>
      <c r="J887">
        <v>4.9300000000000004E-3</v>
      </c>
    </row>
    <row r="888" spans="1:10">
      <c r="A888" t="s">
        <v>136</v>
      </c>
      <c r="B888">
        <v>54</v>
      </c>
      <c r="C888" t="s">
        <v>7</v>
      </c>
      <c r="D888">
        <v>5</v>
      </c>
      <c r="E888">
        <v>58</v>
      </c>
      <c r="F888">
        <v>2.63E-3</v>
      </c>
      <c r="G888">
        <v>0</v>
      </c>
      <c r="H888" t="s">
        <v>5091</v>
      </c>
      <c r="I888" t="s">
        <v>5097</v>
      </c>
      <c r="J888">
        <v>2.63E-3</v>
      </c>
    </row>
    <row r="889" spans="1:10">
      <c r="A889" t="s">
        <v>138</v>
      </c>
      <c r="B889">
        <v>46</v>
      </c>
      <c r="C889" t="s">
        <v>9</v>
      </c>
      <c r="D889">
        <v>7</v>
      </c>
      <c r="E889">
        <v>52</v>
      </c>
      <c r="F889">
        <v>2.2399999999999998E-3</v>
      </c>
      <c r="G889">
        <v>0</v>
      </c>
      <c r="H889" t="s">
        <v>5091</v>
      </c>
      <c r="I889" t="s">
        <v>5097</v>
      </c>
      <c r="J889">
        <v>2.2399999999999998E-3</v>
      </c>
    </row>
    <row r="890" spans="1:10">
      <c r="A890" t="s">
        <v>4978</v>
      </c>
      <c r="B890">
        <v>54</v>
      </c>
      <c r="C890" t="s">
        <v>7</v>
      </c>
      <c r="D890">
        <v>1</v>
      </c>
      <c r="E890">
        <v>54</v>
      </c>
      <c r="F890">
        <v>5.1000000000000004E-4</v>
      </c>
      <c r="G890">
        <v>0</v>
      </c>
      <c r="H890" t="s">
        <v>5091</v>
      </c>
      <c r="I890" t="s">
        <v>5097</v>
      </c>
      <c r="J890">
        <v>5.1000000000000004E-4</v>
      </c>
    </row>
    <row r="891" spans="1:10">
      <c r="A891" t="s">
        <v>4974</v>
      </c>
      <c r="B891">
        <v>48</v>
      </c>
      <c r="C891" t="s">
        <v>7</v>
      </c>
      <c r="D891">
        <v>5</v>
      </c>
      <c r="E891">
        <v>52</v>
      </c>
      <c r="F891">
        <v>1.47E-3</v>
      </c>
      <c r="G891">
        <v>0</v>
      </c>
      <c r="H891" t="s">
        <v>5091</v>
      </c>
      <c r="I891" t="s">
        <v>5097</v>
      </c>
      <c r="J891">
        <v>1.47E-3</v>
      </c>
    </row>
    <row r="892" spans="1:10">
      <c r="A892" t="s">
        <v>149</v>
      </c>
      <c r="B892">
        <v>44</v>
      </c>
      <c r="C892" t="s">
        <v>7</v>
      </c>
      <c r="D892">
        <v>9</v>
      </c>
      <c r="E892">
        <v>52</v>
      </c>
      <c r="F892">
        <v>1.7899999999999999E-3</v>
      </c>
      <c r="G892">
        <v>0</v>
      </c>
      <c r="H892" t="s">
        <v>5091</v>
      </c>
      <c r="I892" t="s">
        <v>5097</v>
      </c>
      <c r="J892">
        <v>1.7899999999999999E-3</v>
      </c>
    </row>
    <row r="893" spans="1:10">
      <c r="A893" t="s">
        <v>153</v>
      </c>
      <c r="B893">
        <v>54</v>
      </c>
      <c r="C893" t="s">
        <v>7</v>
      </c>
      <c r="D893">
        <v>2</v>
      </c>
      <c r="E893">
        <v>55</v>
      </c>
      <c r="F893">
        <v>1.2199999999999999E-3</v>
      </c>
      <c r="G893">
        <v>0</v>
      </c>
      <c r="H893" t="s">
        <v>5091</v>
      </c>
      <c r="I893" t="s">
        <v>5097</v>
      </c>
      <c r="J893">
        <v>1.2199999999999999E-3</v>
      </c>
    </row>
    <row r="894" spans="1:10">
      <c r="A894" t="s">
        <v>4963</v>
      </c>
      <c r="B894">
        <v>50</v>
      </c>
      <c r="C894" t="s">
        <v>7</v>
      </c>
      <c r="D894">
        <v>9</v>
      </c>
      <c r="E894">
        <v>58</v>
      </c>
      <c r="F894">
        <v>3.0200000000000001E-3</v>
      </c>
      <c r="G894">
        <v>0</v>
      </c>
      <c r="H894" t="s">
        <v>5091</v>
      </c>
      <c r="I894" t="s">
        <v>5097</v>
      </c>
      <c r="J894">
        <v>3.0200000000000001E-3</v>
      </c>
    </row>
    <row r="895" spans="1:10">
      <c r="A895" t="s">
        <v>4958</v>
      </c>
      <c r="B895">
        <v>49</v>
      </c>
      <c r="C895" t="s">
        <v>9</v>
      </c>
      <c r="D895">
        <v>3</v>
      </c>
      <c r="E895">
        <v>51</v>
      </c>
      <c r="F895">
        <v>1.5399999999999999E-3</v>
      </c>
      <c r="G895">
        <v>0</v>
      </c>
      <c r="H895" t="s">
        <v>5091</v>
      </c>
      <c r="I895" t="s">
        <v>5097</v>
      </c>
      <c r="J895">
        <v>1.5399999999999999E-3</v>
      </c>
    </row>
    <row r="896" spans="1:10">
      <c r="A896" t="s">
        <v>171</v>
      </c>
      <c r="B896">
        <v>55</v>
      </c>
      <c r="C896" t="s">
        <v>9</v>
      </c>
      <c r="D896">
        <v>5</v>
      </c>
      <c r="E896">
        <v>59</v>
      </c>
      <c r="F896">
        <v>4.4799999999999996E-3</v>
      </c>
      <c r="G896">
        <v>0</v>
      </c>
      <c r="H896" t="s">
        <v>5091</v>
      </c>
      <c r="I896" t="s">
        <v>5097</v>
      </c>
      <c r="J896">
        <v>4.4799999999999996E-3</v>
      </c>
    </row>
    <row r="897" spans="1:10">
      <c r="A897" t="s">
        <v>4930</v>
      </c>
      <c r="B897">
        <v>55</v>
      </c>
      <c r="C897" t="s">
        <v>9</v>
      </c>
      <c r="D897">
        <v>5</v>
      </c>
      <c r="E897">
        <v>59</v>
      </c>
      <c r="F897">
        <v>4.4799999999999996E-3</v>
      </c>
      <c r="G897">
        <v>0</v>
      </c>
      <c r="H897" t="s">
        <v>5091</v>
      </c>
      <c r="I897" t="s">
        <v>5097</v>
      </c>
      <c r="J897">
        <v>4.4799999999999996E-3</v>
      </c>
    </row>
    <row r="898" spans="1:10">
      <c r="A898" t="s">
        <v>4929</v>
      </c>
      <c r="B898">
        <v>57</v>
      </c>
      <c r="C898" t="s">
        <v>7</v>
      </c>
      <c r="D898">
        <v>3</v>
      </c>
      <c r="E898">
        <v>59</v>
      </c>
      <c r="F898">
        <v>2E-3</v>
      </c>
      <c r="G898">
        <v>0</v>
      </c>
      <c r="H898" t="s">
        <v>5091</v>
      </c>
      <c r="I898" t="s">
        <v>5097</v>
      </c>
      <c r="J898">
        <v>2E-3</v>
      </c>
    </row>
    <row r="899" spans="1:10">
      <c r="A899" t="s">
        <v>4914</v>
      </c>
      <c r="B899">
        <v>49</v>
      </c>
      <c r="C899" t="s">
        <v>7</v>
      </c>
      <c r="D899">
        <v>6</v>
      </c>
      <c r="E899">
        <v>54</v>
      </c>
      <c r="F899">
        <v>1.8600000000000001E-3</v>
      </c>
      <c r="G899">
        <v>0</v>
      </c>
      <c r="H899" t="s">
        <v>5091</v>
      </c>
      <c r="I899" t="s">
        <v>5097</v>
      </c>
      <c r="J899">
        <v>1.8600000000000001E-3</v>
      </c>
    </row>
    <row r="900" spans="1:10">
      <c r="A900" t="s">
        <v>4896</v>
      </c>
      <c r="B900">
        <v>53</v>
      </c>
      <c r="C900" t="s">
        <v>7</v>
      </c>
      <c r="D900">
        <v>7</v>
      </c>
      <c r="E900">
        <v>59</v>
      </c>
      <c r="F900">
        <v>3.13E-3</v>
      </c>
      <c r="G900">
        <v>0</v>
      </c>
      <c r="H900" t="s">
        <v>5091</v>
      </c>
      <c r="I900" t="s">
        <v>5097</v>
      </c>
      <c r="J900">
        <v>3.13E-3</v>
      </c>
    </row>
    <row r="901" spans="1:10">
      <c r="A901" t="s">
        <v>4879</v>
      </c>
      <c r="B901">
        <v>45</v>
      </c>
      <c r="C901" t="s">
        <v>7</v>
      </c>
      <c r="D901">
        <v>6</v>
      </c>
      <c r="E901">
        <v>50</v>
      </c>
      <c r="F901">
        <v>1.2800000000000001E-3</v>
      </c>
      <c r="G901">
        <v>0</v>
      </c>
      <c r="H901" t="s">
        <v>5091</v>
      </c>
      <c r="I901" t="s">
        <v>5097</v>
      </c>
      <c r="J901">
        <v>1.2800000000000001E-3</v>
      </c>
    </row>
    <row r="902" spans="1:10">
      <c r="A902" t="s">
        <v>204</v>
      </c>
      <c r="B902">
        <v>55</v>
      </c>
      <c r="C902" t="s">
        <v>9</v>
      </c>
      <c r="D902">
        <v>5</v>
      </c>
      <c r="E902">
        <v>59</v>
      </c>
      <c r="F902">
        <v>4.4799999999999996E-3</v>
      </c>
      <c r="G902">
        <v>0</v>
      </c>
      <c r="H902" t="s">
        <v>5091</v>
      </c>
      <c r="I902" t="s">
        <v>5097</v>
      </c>
      <c r="J902">
        <v>4.4799999999999996E-3</v>
      </c>
    </row>
    <row r="903" spans="1:10">
      <c r="A903" t="s">
        <v>4877</v>
      </c>
      <c r="B903">
        <v>50</v>
      </c>
      <c r="C903" t="s">
        <v>9</v>
      </c>
      <c r="D903">
        <v>1</v>
      </c>
      <c r="E903">
        <v>50</v>
      </c>
      <c r="F903">
        <v>8.1999999999999998E-4</v>
      </c>
      <c r="G903">
        <v>0</v>
      </c>
      <c r="H903" t="s">
        <v>5091</v>
      </c>
      <c r="I903" t="s">
        <v>5097</v>
      </c>
      <c r="J903">
        <v>8.1999999999999998E-4</v>
      </c>
    </row>
    <row r="904" spans="1:10">
      <c r="A904" t="s">
        <v>4870</v>
      </c>
      <c r="B904">
        <v>53</v>
      </c>
      <c r="C904" t="s">
        <v>9</v>
      </c>
      <c r="D904">
        <v>4</v>
      </c>
      <c r="E904">
        <v>56</v>
      </c>
      <c r="F904">
        <v>3.0899999999999999E-3</v>
      </c>
      <c r="G904">
        <v>0</v>
      </c>
      <c r="H904" t="s">
        <v>5091</v>
      </c>
      <c r="I904" t="s">
        <v>5097</v>
      </c>
      <c r="J904">
        <v>3.0899999999999999E-3</v>
      </c>
    </row>
    <row r="905" spans="1:10">
      <c r="A905" t="s">
        <v>4867</v>
      </c>
      <c r="B905">
        <v>49</v>
      </c>
      <c r="C905" t="s">
        <v>9</v>
      </c>
      <c r="D905">
        <v>4</v>
      </c>
      <c r="E905">
        <v>52</v>
      </c>
      <c r="F905">
        <v>1.9400000000000001E-3</v>
      </c>
      <c r="G905">
        <v>0</v>
      </c>
      <c r="H905" t="s">
        <v>5091</v>
      </c>
      <c r="I905" t="s">
        <v>5097</v>
      </c>
      <c r="J905">
        <v>1.9400000000000001E-3</v>
      </c>
    </row>
    <row r="906" spans="1:10">
      <c r="A906" t="s">
        <v>4862</v>
      </c>
      <c r="B906">
        <v>56</v>
      </c>
      <c r="C906" t="s">
        <v>7</v>
      </c>
      <c r="D906">
        <v>3</v>
      </c>
      <c r="E906">
        <v>58</v>
      </c>
      <c r="F906">
        <v>1.9300000000000001E-3</v>
      </c>
      <c r="G906">
        <v>0</v>
      </c>
      <c r="H906" t="s">
        <v>5091</v>
      </c>
      <c r="I906" t="s">
        <v>5097</v>
      </c>
      <c r="J906">
        <v>1.9300000000000001E-3</v>
      </c>
    </row>
    <row r="907" spans="1:10">
      <c r="A907" t="s">
        <v>4842</v>
      </c>
      <c r="B907">
        <v>43</v>
      </c>
      <c r="C907" t="s">
        <v>9</v>
      </c>
      <c r="D907">
        <v>9</v>
      </c>
      <c r="E907">
        <v>51</v>
      </c>
      <c r="F907">
        <v>2.1900000000000001E-3</v>
      </c>
      <c r="G907">
        <v>0</v>
      </c>
      <c r="H907" t="s">
        <v>5091</v>
      </c>
      <c r="I907" t="s">
        <v>5097</v>
      </c>
      <c r="J907">
        <v>2.1900000000000001E-3</v>
      </c>
    </row>
    <row r="908" spans="1:10">
      <c r="A908" t="s">
        <v>4841</v>
      </c>
      <c r="B908">
        <v>54</v>
      </c>
      <c r="C908" t="s">
        <v>7</v>
      </c>
      <c r="D908">
        <v>6</v>
      </c>
      <c r="E908">
        <v>59</v>
      </c>
      <c r="F908">
        <v>3.0400000000000002E-3</v>
      </c>
      <c r="G908">
        <v>0</v>
      </c>
      <c r="H908" t="s">
        <v>5091</v>
      </c>
      <c r="I908" t="s">
        <v>5097</v>
      </c>
      <c r="J908">
        <v>3.0400000000000002E-3</v>
      </c>
    </row>
    <row r="909" spans="1:10">
      <c r="A909" t="s">
        <v>4835</v>
      </c>
      <c r="B909">
        <v>53</v>
      </c>
      <c r="C909" t="s">
        <v>9</v>
      </c>
      <c r="D909">
        <v>1</v>
      </c>
      <c r="E909">
        <v>53</v>
      </c>
      <c r="F909">
        <v>9.5E-4</v>
      </c>
      <c r="G909">
        <v>0</v>
      </c>
      <c r="H909" t="s">
        <v>5091</v>
      </c>
      <c r="I909" t="s">
        <v>5097</v>
      </c>
      <c r="J909">
        <v>9.5E-4</v>
      </c>
    </row>
    <row r="910" spans="1:10">
      <c r="A910" t="s">
        <v>4803</v>
      </c>
      <c r="B910">
        <v>51</v>
      </c>
      <c r="C910" t="s">
        <v>7</v>
      </c>
      <c r="D910">
        <v>8</v>
      </c>
      <c r="E910">
        <v>58</v>
      </c>
      <c r="F910">
        <v>2.9199999999999999E-3</v>
      </c>
      <c r="G910">
        <v>0</v>
      </c>
      <c r="H910" t="s">
        <v>5091</v>
      </c>
      <c r="I910" t="s">
        <v>5097</v>
      </c>
      <c r="J910">
        <v>2.9199999999999999E-3</v>
      </c>
    </row>
    <row r="911" spans="1:10">
      <c r="A911" t="s">
        <v>4787</v>
      </c>
      <c r="B911">
        <v>48</v>
      </c>
      <c r="C911" t="s">
        <v>7</v>
      </c>
      <c r="D911">
        <v>7</v>
      </c>
      <c r="E911">
        <v>54</v>
      </c>
      <c r="F911">
        <v>1.9400000000000001E-3</v>
      </c>
      <c r="G911">
        <v>0</v>
      </c>
      <c r="H911" t="s">
        <v>5091</v>
      </c>
      <c r="I911" t="s">
        <v>5097</v>
      </c>
      <c r="J911">
        <v>1.9400000000000001E-3</v>
      </c>
    </row>
    <row r="912" spans="1:10">
      <c r="A912" t="s">
        <v>4786</v>
      </c>
      <c r="B912">
        <v>47</v>
      </c>
      <c r="C912" t="s">
        <v>9</v>
      </c>
      <c r="D912">
        <v>9</v>
      </c>
      <c r="E912">
        <v>55</v>
      </c>
      <c r="F912">
        <v>3.1900000000000001E-3</v>
      </c>
      <c r="G912">
        <v>0</v>
      </c>
      <c r="H912" t="s">
        <v>5091</v>
      </c>
      <c r="I912" t="s">
        <v>5097</v>
      </c>
      <c r="J912">
        <v>3.1900000000000001E-3</v>
      </c>
    </row>
    <row r="913" spans="1:10">
      <c r="A913" t="s">
        <v>242</v>
      </c>
      <c r="B913">
        <v>49</v>
      </c>
      <c r="C913" t="s">
        <v>9</v>
      </c>
      <c r="D913">
        <v>6</v>
      </c>
      <c r="E913">
        <v>54</v>
      </c>
      <c r="F913">
        <v>2.7000000000000001E-3</v>
      </c>
      <c r="G913">
        <v>0</v>
      </c>
      <c r="H913" t="s">
        <v>5091</v>
      </c>
      <c r="I913" t="s">
        <v>5097</v>
      </c>
      <c r="J913">
        <v>2.7000000000000001E-3</v>
      </c>
    </row>
    <row r="914" spans="1:10">
      <c r="A914" t="s">
        <v>244</v>
      </c>
      <c r="B914">
        <v>44</v>
      </c>
      <c r="C914" t="s">
        <v>7</v>
      </c>
      <c r="D914">
        <v>9</v>
      </c>
      <c r="E914">
        <v>52</v>
      </c>
      <c r="F914">
        <v>1.7899999999999999E-3</v>
      </c>
      <c r="G914">
        <v>0</v>
      </c>
      <c r="H914" t="s">
        <v>5091</v>
      </c>
      <c r="I914" t="s">
        <v>5097</v>
      </c>
      <c r="J914">
        <v>1.7899999999999999E-3</v>
      </c>
    </row>
    <row r="915" spans="1:10">
      <c r="A915" t="s">
        <v>4762</v>
      </c>
      <c r="B915">
        <v>43</v>
      </c>
      <c r="C915" t="s">
        <v>7</v>
      </c>
      <c r="D915">
        <v>8</v>
      </c>
      <c r="E915">
        <v>50</v>
      </c>
      <c r="F915">
        <v>1.41E-3</v>
      </c>
      <c r="G915">
        <v>0</v>
      </c>
      <c r="H915" t="s">
        <v>5091</v>
      </c>
      <c r="I915" t="s">
        <v>5097</v>
      </c>
      <c r="J915">
        <v>1.41E-3</v>
      </c>
    </row>
    <row r="916" spans="1:10">
      <c r="A916" t="s">
        <v>246</v>
      </c>
      <c r="B916">
        <v>54</v>
      </c>
      <c r="C916" t="s">
        <v>7</v>
      </c>
      <c r="D916">
        <v>2</v>
      </c>
      <c r="E916">
        <v>55</v>
      </c>
      <c r="F916">
        <v>1.2199999999999999E-3</v>
      </c>
      <c r="G916">
        <v>0</v>
      </c>
      <c r="H916" t="s">
        <v>5091</v>
      </c>
      <c r="I916" t="s">
        <v>5097</v>
      </c>
      <c r="J916">
        <v>1.2199999999999999E-3</v>
      </c>
    </row>
    <row r="917" spans="1:10">
      <c r="A917" t="s">
        <v>4720</v>
      </c>
      <c r="B917">
        <v>49</v>
      </c>
      <c r="C917" t="s">
        <v>7</v>
      </c>
      <c r="D917">
        <v>3</v>
      </c>
      <c r="E917">
        <v>51</v>
      </c>
      <c r="F917">
        <v>1.1199999999999999E-3</v>
      </c>
      <c r="G917">
        <v>0</v>
      </c>
      <c r="H917" t="s">
        <v>5091</v>
      </c>
      <c r="I917" t="s">
        <v>5097</v>
      </c>
      <c r="J917">
        <v>1.1199999999999999E-3</v>
      </c>
    </row>
    <row r="918" spans="1:10">
      <c r="A918" t="s">
        <v>4715</v>
      </c>
      <c r="B918">
        <v>48</v>
      </c>
      <c r="C918" t="s">
        <v>7</v>
      </c>
      <c r="D918">
        <v>9</v>
      </c>
      <c r="E918">
        <v>56</v>
      </c>
      <c r="F918">
        <v>2.5100000000000001E-3</v>
      </c>
      <c r="G918">
        <v>0</v>
      </c>
      <c r="H918" t="s">
        <v>5091</v>
      </c>
      <c r="I918" t="s">
        <v>5097</v>
      </c>
      <c r="J918">
        <v>2.5100000000000001E-3</v>
      </c>
    </row>
    <row r="919" spans="1:10">
      <c r="A919" t="s">
        <v>271</v>
      </c>
      <c r="B919">
        <v>53</v>
      </c>
      <c r="C919" t="s">
        <v>9</v>
      </c>
      <c r="D919">
        <v>7</v>
      </c>
      <c r="E919">
        <v>59</v>
      </c>
      <c r="F919">
        <v>4.7400000000000003E-3</v>
      </c>
      <c r="G919">
        <v>0</v>
      </c>
      <c r="H919" t="s">
        <v>5091</v>
      </c>
      <c r="I919" t="s">
        <v>5097</v>
      </c>
      <c r="J919">
        <v>4.7400000000000003E-3</v>
      </c>
    </row>
    <row r="920" spans="1:10">
      <c r="A920" t="s">
        <v>4667</v>
      </c>
      <c r="B920">
        <v>51</v>
      </c>
      <c r="C920" t="s">
        <v>9</v>
      </c>
      <c r="D920">
        <v>7</v>
      </c>
      <c r="E920">
        <v>57</v>
      </c>
      <c r="F920">
        <v>3.6900000000000001E-3</v>
      </c>
      <c r="G920">
        <v>0</v>
      </c>
      <c r="H920" t="s">
        <v>5091</v>
      </c>
      <c r="I920" t="s">
        <v>5097</v>
      </c>
      <c r="J920">
        <v>3.6900000000000001E-3</v>
      </c>
    </row>
    <row r="921" spans="1:10">
      <c r="A921" t="s">
        <v>4635</v>
      </c>
      <c r="B921">
        <v>53</v>
      </c>
      <c r="C921" t="s">
        <v>7</v>
      </c>
      <c r="D921">
        <v>4</v>
      </c>
      <c r="E921">
        <v>56</v>
      </c>
      <c r="F921">
        <v>2.0400000000000001E-3</v>
      </c>
      <c r="G921">
        <v>0</v>
      </c>
      <c r="H921" t="s">
        <v>5091</v>
      </c>
      <c r="I921" t="s">
        <v>5097</v>
      </c>
      <c r="J921">
        <v>2.0400000000000001E-3</v>
      </c>
    </row>
    <row r="922" spans="1:10">
      <c r="A922" t="s">
        <v>300</v>
      </c>
      <c r="B922">
        <v>49</v>
      </c>
      <c r="C922" t="s">
        <v>7</v>
      </c>
      <c r="D922">
        <v>3</v>
      </c>
      <c r="E922">
        <v>51</v>
      </c>
      <c r="F922">
        <v>1.1199999999999999E-3</v>
      </c>
      <c r="G922">
        <v>0</v>
      </c>
      <c r="H922" t="s">
        <v>5091</v>
      </c>
      <c r="I922" t="s">
        <v>5097</v>
      </c>
      <c r="J922">
        <v>1.1199999999999999E-3</v>
      </c>
    </row>
    <row r="923" spans="1:10">
      <c r="A923" t="s">
        <v>4633</v>
      </c>
      <c r="B923">
        <v>53</v>
      </c>
      <c r="C923" t="s">
        <v>9</v>
      </c>
      <c r="D923">
        <v>6</v>
      </c>
      <c r="E923">
        <v>58</v>
      </c>
      <c r="F923">
        <v>4.1399999999999996E-3</v>
      </c>
      <c r="G923">
        <v>0</v>
      </c>
      <c r="H923" t="s">
        <v>5091</v>
      </c>
      <c r="I923" t="s">
        <v>5097</v>
      </c>
      <c r="J923">
        <v>4.1399999999999996E-3</v>
      </c>
    </row>
    <row r="924" spans="1:10">
      <c r="A924" t="s">
        <v>302</v>
      </c>
      <c r="B924">
        <v>47</v>
      </c>
      <c r="C924" t="s">
        <v>7</v>
      </c>
      <c r="D924">
        <v>4</v>
      </c>
      <c r="E924">
        <v>50</v>
      </c>
      <c r="F924">
        <v>1.15E-3</v>
      </c>
      <c r="G924">
        <v>0</v>
      </c>
      <c r="H924" t="s">
        <v>5091</v>
      </c>
      <c r="I924" t="s">
        <v>5097</v>
      </c>
      <c r="J924">
        <v>1.15E-3</v>
      </c>
    </row>
    <row r="925" spans="1:10">
      <c r="A925" t="s">
        <v>4625</v>
      </c>
      <c r="B925">
        <v>53</v>
      </c>
      <c r="C925" t="s">
        <v>9</v>
      </c>
      <c r="D925">
        <v>5</v>
      </c>
      <c r="E925">
        <v>57</v>
      </c>
      <c r="F925">
        <v>3.5699999999999998E-3</v>
      </c>
      <c r="G925">
        <v>0</v>
      </c>
      <c r="H925" t="s">
        <v>5091</v>
      </c>
      <c r="I925" t="s">
        <v>5097</v>
      </c>
      <c r="J925">
        <v>3.5699999999999998E-3</v>
      </c>
    </row>
    <row r="926" spans="1:10">
      <c r="A926" t="s">
        <v>4614</v>
      </c>
      <c r="B926">
        <v>58</v>
      </c>
      <c r="C926" t="s">
        <v>7</v>
      </c>
      <c r="D926">
        <v>1</v>
      </c>
      <c r="E926">
        <v>58</v>
      </c>
      <c r="F926">
        <v>6.2E-4</v>
      </c>
      <c r="G926">
        <v>0</v>
      </c>
      <c r="H926" t="s">
        <v>5091</v>
      </c>
      <c r="I926" t="s">
        <v>5097</v>
      </c>
      <c r="J926">
        <v>6.2E-4</v>
      </c>
    </row>
    <row r="927" spans="1:10">
      <c r="A927" t="s">
        <v>314</v>
      </c>
      <c r="B927">
        <v>51</v>
      </c>
      <c r="C927" t="s">
        <v>9</v>
      </c>
      <c r="D927">
        <v>3</v>
      </c>
      <c r="E927">
        <v>53</v>
      </c>
      <c r="F927">
        <v>1.91E-3</v>
      </c>
      <c r="G927">
        <v>0</v>
      </c>
      <c r="H927" t="s">
        <v>5091</v>
      </c>
      <c r="I927" t="s">
        <v>5097</v>
      </c>
      <c r="J927">
        <v>1.91E-3</v>
      </c>
    </row>
    <row r="928" spans="1:10">
      <c r="A928" t="s">
        <v>4601</v>
      </c>
      <c r="B928">
        <v>55</v>
      </c>
      <c r="C928" t="s">
        <v>9</v>
      </c>
      <c r="D928">
        <v>3</v>
      </c>
      <c r="E928">
        <v>57</v>
      </c>
      <c r="F928">
        <v>3.0699999999999998E-3</v>
      </c>
      <c r="G928">
        <v>0</v>
      </c>
      <c r="H928" t="s">
        <v>5091</v>
      </c>
      <c r="I928" t="s">
        <v>5097</v>
      </c>
      <c r="J928">
        <v>3.0699999999999998E-3</v>
      </c>
    </row>
    <row r="929" spans="1:10">
      <c r="A929" t="s">
        <v>4598</v>
      </c>
      <c r="B929">
        <v>53</v>
      </c>
      <c r="C929" t="s">
        <v>7</v>
      </c>
      <c r="D929">
        <v>6</v>
      </c>
      <c r="E929">
        <v>58</v>
      </c>
      <c r="F929">
        <v>2.7399999999999998E-3</v>
      </c>
      <c r="G929">
        <v>0</v>
      </c>
      <c r="H929" t="s">
        <v>5091</v>
      </c>
      <c r="I929" t="s">
        <v>5097</v>
      </c>
      <c r="J929">
        <v>2.7399999999999998E-3</v>
      </c>
    </row>
    <row r="930" spans="1:10">
      <c r="A930" t="s">
        <v>4591</v>
      </c>
      <c r="B930">
        <v>48</v>
      </c>
      <c r="C930" t="s">
        <v>9</v>
      </c>
      <c r="D930">
        <v>9</v>
      </c>
      <c r="E930">
        <v>56</v>
      </c>
      <c r="F930">
        <v>3.5300000000000002E-3</v>
      </c>
      <c r="G930">
        <v>0</v>
      </c>
      <c r="H930" t="s">
        <v>5091</v>
      </c>
      <c r="I930" t="s">
        <v>5097</v>
      </c>
      <c r="J930">
        <v>3.5300000000000002E-3</v>
      </c>
    </row>
    <row r="931" spans="1:10">
      <c r="A931" t="s">
        <v>4585</v>
      </c>
      <c r="B931">
        <v>47</v>
      </c>
      <c r="C931" t="s">
        <v>7</v>
      </c>
      <c r="D931">
        <v>8</v>
      </c>
      <c r="E931">
        <v>54</v>
      </c>
      <c r="F931">
        <v>2.0300000000000001E-3</v>
      </c>
      <c r="G931">
        <v>0</v>
      </c>
      <c r="H931" t="s">
        <v>5091</v>
      </c>
      <c r="I931" t="s">
        <v>5097</v>
      </c>
      <c r="J931">
        <v>2.0300000000000001E-3</v>
      </c>
    </row>
    <row r="932" spans="1:10">
      <c r="A932" t="s">
        <v>323</v>
      </c>
      <c r="B932">
        <v>55</v>
      </c>
      <c r="C932" t="s">
        <v>7</v>
      </c>
      <c r="D932">
        <v>5</v>
      </c>
      <c r="E932">
        <v>59</v>
      </c>
      <c r="F932">
        <v>2.9099999999999998E-3</v>
      </c>
      <c r="G932">
        <v>0</v>
      </c>
      <c r="H932" t="s">
        <v>5091</v>
      </c>
      <c r="I932" t="s">
        <v>5097</v>
      </c>
      <c r="J932">
        <v>2.9099999999999998E-3</v>
      </c>
    </row>
    <row r="933" spans="1:10">
      <c r="A933" t="s">
        <v>326</v>
      </c>
      <c r="B933">
        <v>55</v>
      </c>
      <c r="C933" t="s">
        <v>7</v>
      </c>
      <c r="D933">
        <v>1</v>
      </c>
      <c r="E933">
        <v>55</v>
      </c>
      <c r="F933">
        <v>5.4000000000000001E-4</v>
      </c>
      <c r="G933">
        <v>0</v>
      </c>
      <c r="H933" t="s">
        <v>5091</v>
      </c>
      <c r="I933" t="s">
        <v>5097</v>
      </c>
      <c r="J933">
        <v>5.4000000000000001E-4</v>
      </c>
    </row>
    <row r="934" spans="1:10">
      <c r="A934" t="s">
        <v>4577</v>
      </c>
      <c r="B934">
        <v>49</v>
      </c>
      <c r="C934" t="s">
        <v>7</v>
      </c>
      <c r="D934">
        <v>2</v>
      </c>
      <c r="E934">
        <v>50</v>
      </c>
      <c r="F934">
        <v>5.9999999999999995E-4</v>
      </c>
      <c r="G934">
        <v>0</v>
      </c>
      <c r="H934" t="s">
        <v>5091</v>
      </c>
      <c r="I934" t="s">
        <v>5097</v>
      </c>
      <c r="J934">
        <v>5.9999999999999995E-4</v>
      </c>
    </row>
    <row r="935" spans="1:10">
      <c r="A935" t="s">
        <v>330</v>
      </c>
      <c r="B935">
        <v>50</v>
      </c>
      <c r="C935" t="s">
        <v>9</v>
      </c>
      <c r="D935">
        <v>8</v>
      </c>
      <c r="E935">
        <v>57</v>
      </c>
      <c r="F935">
        <v>3.7699999999999999E-3</v>
      </c>
      <c r="G935">
        <v>0</v>
      </c>
      <c r="H935" t="s">
        <v>5091</v>
      </c>
      <c r="I935" t="s">
        <v>5097</v>
      </c>
      <c r="J935">
        <v>3.7699999999999999E-3</v>
      </c>
    </row>
    <row r="936" spans="1:10">
      <c r="A936" t="s">
        <v>4557</v>
      </c>
      <c r="B936">
        <v>55</v>
      </c>
      <c r="C936" t="s">
        <v>7</v>
      </c>
      <c r="D936">
        <v>1</v>
      </c>
      <c r="E936">
        <v>55</v>
      </c>
      <c r="F936">
        <v>5.4000000000000001E-4</v>
      </c>
      <c r="G936">
        <v>0</v>
      </c>
      <c r="H936" t="s">
        <v>5091</v>
      </c>
      <c r="I936" t="s">
        <v>5097</v>
      </c>
      <c r="J936">
        <v>5.4000000000000001E-4</v>
      </c>
    </row>
    <row r="937" spans="1:10">
      <c r="A937" t="s">
        <v>4551</v>
      </c>
      <c r="B937">
        <v>47</v>
      </c>
      <c r="C937" t="s">
        <v>7</v>
      </c>
      <c r="D937">
        <v>9</v>
      </c>
      <c r="E937">
        <v>55</v>
      </c>
      <c r="F937">
        <v>2.32E-3</v>
      </c>
      <c r="G937">
        <v>0</v>
      </c>
      <c r="H937" t="s">
        <v>5091</v>
      </c>
      <c r="I937" t="s">
        <v>5097</v>
      </c>
      <c r="J937">
        <v>2.32E-3</v>
      </c>
    </row>
    <row r="938" spans="1:10">
      <c r="A938" t="s">
        <v>343</v>
      </c>
      <c r="B938">
        <v>48</v>
      </c>
      <c r="C938" t="s">
        <v>7</v>
      </c>
      <c r="D938">
        <v>4</v>
      </c>
      <c r="E938">
        <v>51</v>
      </c>
      <c r="F938">
        <v>1.25E-3</v>
      </c>
      <c r="G938">
        <v>0</v>
      </c>
      <c r="H938" t="s">
        <v>5091</v>
      </c>
      <c r="I938" t="s">
        <v>5097</v>
      </c>
      <c r="J938">
        <v>1.25E-3</v>
      </c>
    </row>
    <row r="939" spans="1:10">
      <c r="A939" t="s">
        <v>349</v>
      </c>
      <c r="B939">
        <v>54</v>
      </c>
      <c r="C939" t="s">
        <v>7</v>
      </c>
      <c r="D939">
        <v>2</v>
      </c>
      <c r="E939">
        <v>55</v>
      </c>
      <c r="F939">
        <v>1.2199999999999999E-3</v>
      </c>
      <c r="G939">
        <v>0</v>
      </c>
      <c r="H939" t="s">
        <v>5091</v>
      </c>
      <c r="I939" t="s">
        <v>5097</v>
      </c>
      <c r="J939">
        <v>1.2199999999999999E-3</v>
      </c>
    </row>
    <row r="940" spans="1:10">
      <c r="A940" t="s">
        <v>4535</v>
      </c>
      <c r="B940">
        <v>53</v>
      </c>
      <c r="C940" t="s">
        <v>7</v>
      </c>
      <c r="D940">
        <v>3</v>
      </c>
      <c r="E940">
        <v>55</v>
      </c>
      <c r="F940">
        <v>1.64E-3</v>
      </c>
      <c r="G940">
        <v>0</v>
      </c>
      <c r="H940" t="s">
        <v>5091</v>
      </c>
      <c r="I940" t="s">
        <v>5097</v>
      </c>
      <c r="J940">
        <v>1.64E-3</v>
      </c>
    </row>
    <row r="941" spans="1:10">
      <c r="A941" t="s">
        <v>4530</v>
      </c>
      <c r="B941">
        <v>51</v>
      </c>
      <c r="C941" t="s">
        <v>9</v>
      </c>
      <c r="D941">
        <v>9</v>
      </c>
      <c r="E941">
        <v>59</v>
      </c>
      <c r="F941">
        <v>5.1599999999999997E-3</v>
      </c>
      <c r="G941">
        <v>0</v>
      </c>
      <c r="H941" t="s">
        <v>5091</v>
      </c>
      <c r="I941" t="s">
        <v>5097</v>
      </c>
      <c r="J941">
        <v>5.1599999999999997E-3</v>
      </c>
    </row>
    <row r="942" spans="1:10">
      <c r="A942" t="s">
        <v>359</v>
      </c>
      <c r="B942">
        <v>49</v>
      </c>
      <c r="C942" t="s">
        <v>7</v>
      </c>
      <c r="D942">
        <v>9</v>
      </c>
      <c r="E942">
        <v>57</v>
      </c>
      <c r="F942">
        <v>2.7499999999999998E-3</v>
      </c>
      <c r="G942">
        <v>0</v>
      </c>
      <c r="H942" t="s">
        <v>5091</v>
      </c>
      <c r="I942" t="s">
        <v>5097</v>
      </c>
      <c r="J942">
        <v>2.7499999999999998E-3</v>
      </c>
    </row>
    <row r="943" spans="1:10">
      <c r="A943" t="s">
        <v>364</v>
      </c>
      <c r="B943">
        <v>50</v>
      </c>
      <c r="C943" t="s">
        <v>9</v>
      </c>
      <c r="D943">
        <v>4</v>
      </c>
      <c r="E943">
        <v>53</v>
      </c>
      <c r="F943">
        <v>2.16E-3</v>
      </c>
      <c r="G943">
        <v>0</v>
      </c>
      <c r="H943" t="s">
        <v>5091</v>
      </c>
      <c r="I943" t="s">
        <v>5097</v>
      </c>
      <c r="J943">
        <v>2.16E-3</v>
      </c>
    </row>
    <row r="944" spans="1:10">
      <c r="A944" t="s">
        <v>4516</v>
      </c>
      <c r="B944">
        <v>46</v>
      </c>
      <c r="C944" t="s">
        <v>7</v>
      </c>
      <c r="D944">
        <v>9</v>
      </c>
      <c r="E944">
        <v>54</v>
      </c>
      <c r="F944">
        <v>2.1299999999999999E-3</v>
      </c>
      <c r="G944">
        <v>0</v>
      </c>
      <c r="H944" t="s">
        <v>5091</v>
      </c>
      <c r="I944" t="s">
        <v>5097</v>
      </c>
      <c r="J944">
        <v>2.1299999999999999E-3</v>
      </c>
    </row>
    <row r="945" spans="1:10">
      <c r="A945" t="s">
        <v>4508</v>
      </c>
      <c r="B945">
        <v>50</v>
      </c>
      <c r="C945" t="s">
        <v>7</v>
      </c>
      <c r="D945">
        <v>7</v>
      </c>
      <c r="E945">
        <v>56</v>
      </c>
      <c r="F945">
        <v>2.3500000000000001E-3</v>
      </c>
      <c r="G945">
        <v>0</v>
      </c>
      <c r="H945" t="s">
        <v>5091</v>
      </c>
      <c r="I945" t="s">
        <v>5097</v>
      </c>
      <c r="J945">
        <v>2.3500000000000001E-3</v>
      </c>
    </row>
    <row r="946" spans="1:10">
      <c r="A946" t="s">
        <v>4478</v>
      </c>
      <c r="B946">
        <v>48</v>
      </c>
      <c r="C946" t="s">
        <v>9</v>
      </c>
      <c r="D946">
        <v>7</v>
      </c>
      <c r="E946">
        <v>54</v>
      </c>
      <c r="F946">
        <v>2.7699999999999999E-3</v>
      </c>
      <c r="G946">
        <v>0</v>
      </c>
      <c r="H946" t="s">
        <v>5091</v>
      </c>
      <c r="I946" t="s">
        <v>5097</v>
      </c>
      <c r="J946">
        <v>2.7699999999999999E-3</v>
      </c>
    </row>
    <row r="947" spans="1:10">
      <c r="A947" t="s">
        <v>4473</v>
      </c>
      <c r="B947">
        <v>45</v>
      </c>
      <c r="C947" t="s">
        <v>9</v>
      </c>
      <c r="D947">
        <v>7</v>
      </c>
      <c r="E947">
        <v>51</v>
      </c>
      <c r="F947">
        <v>2.0200000000000001E-3</v>
      </c>
      <c r="G947">
        <v>0</v>
      </c>
      <c r="H947" t="s">
        <v>5091</v>
      </c>
      <c r="I947" t="s">
        <v>5097</v>
      </c>
      <c r="J947">
        <v>2.0200000000000001E-3</v>
      </c>
    </row>
    <row r="948" spans="1:10">
      <c r="A948" t="s">
        <v>4472</v>
      </c>
      <c r="B948">
        <v>47</v>
      </c>
      <c r="C948" t="s">
        <v>7</v>
      </c>
      <c r="D948">
        <v>4</v>
      </c>
      <c r="E948">
        <v>50</v>
      </c>
      <c r="F948">
        <v>1.15E-3</v>
      </c>
      <c r="G948">
        <v>0</v>
      </c>
      <c r="H948" t="s">
        <v>5091</v>
      </c>
      <c r="I948" t="s">
        <v>5097</v>
      </c>
      <c r="J948">
        <v>1.15E-3</v>
      </c>
    </row>
    <row r="949" spans="1:10">
      <c r="A949" t="s">
        <v>4458</v>
      </c>
      <c r="B949">
        <v>46</v>
      </c>
      <c r="C949" t="s">
        <v>7</v>
      </c>
      <c r="D949">
        <v>6</v>
      </c>
      <c r="E949">
        <v>51</v>
      </c>
      <c r="F949">
        <v>1.4E-3</v>
      </c>
      <c r="G949">
        <v>0</v>
      </c>
      <c r="H949" t="s">
        <v>5091</v>
      </c>
      <c r="I949" t="s">
        <v>5097</v>
      </c>
      <c r="J949">
        <v>1.4E-3</v>
      </c>
    </row>
    <row r="950" spans="1:10">
      <c r="A950" t="s">
        <v>4456</v>
      </c>
      <c r="B950">
        <v>50</v>
      </c>
      <c r="C950" t="s">
        <v>9</v>
      </c>
      <c r="D950">
        <v>1</v>
      </c>
      <c r="E950">
        <v>50</v>
      </c>
      <c r="F950">
        <v>8.1999999999999998E-4</v>
      </c>
      <c r="G950">
        <v>0</v>
      </c>
      <c r="H950" t="s">
        <v>5091</v>
      </c>
      <c r="I950" t="s">
        <v>5097</v>
      </c>
      <c r="J950">
        <v>8.1999999999999998E-4</v>
      </c>
    </row>
    <row r="951" spans="1:10">
      <c r="A951" t="s">
        <v>4447</v>
      </c>
      <c r="B951">
        <v>48</v>
      </c>
      <c r="C951" t="s">
        <v>9</v>
      </c>
      <c r="D951">
        <v>8</v>
      </c>
      <c r="E951">
        <v>55</v>
      </c>
      <c r="F951">
        <v>3.1099999999999999E-3</v>
      </c>
      <c r="G951">
        <v>0</v>
      </c>
      <c r="H951" t="s">
        <v>5091</v>
      </c>
      <c r="I951" t="s">
        <v>5097</v>
      </c>
      <c r="J951">
        <v>3.1099999999999999E-3</v>
      </c>
    </row>
    <row r="952" spans="1:10">
      <c r="A952" t="s">
        <v>4434</v>
      </c>
      <c r="B952">
        <v>52</v>
      </c>
      <c r="C952" t="s">
        <v>9</v>
      </c>
      <c r="D952">
        <v>7</v>
      </c>
      <c r="E952">
        <v>58</v>
      </c>
      <c r="F952">
        <v>4.2599999999999999E-3</v>
      </c>
      <c r="G952">
        <v>0</v>
      </c>
      <c r="H952" t="s">
        <v>5091</v>
      </c>
      <c r="I952" t="s">
        <v>5097</v>
      </c>
      <c r="J952">
        <v>4.2599999999999999E-3</v>
      </c>
    </row>
    <row r="953" spans="1:10">
      <c r="A953" t="s">
        <v>394</v>
      </c>
      <c r="B953">
        <v>46</v>
      </c>
      <c r="C953" t="s">
        <v>9</v>
      </c>
      <c r="D953">
        <v>9</v>
      </c>
      <c r="E953">
        <v>54</v>
      </c>
      <c r="F953">
        <v>2.8900000000000002E-3</v>
      </c>
      <c r="G953">
        <v>0</v>
      </c>
      <c r="H953" t="s">
        <v>5091</v>
      </c>
      <c r="I953" t="s">
        <v>5097</v>
      </c>
      <c r="J953">
        <v>2.8900000000000002E-3</v>
      </c>
    </row>
    <row r="954" spans="1:10">
      <c r="A954" t="s">
        <v>4405</v>
      </c>
      <c r="B954">
        <v>53</v>
      </c>
      <c r="C954" t="s">
        <v>7</v>
      </c>
      <c r="D954">
        <v>3</v>
      </c>
      <c r="E954">
        <v>55</v>
      </c>
      <c r="F954">
        <v>1.64E-3</v>
      </c>
      <c r="G954">
        <v>0</v>
      </c>
      <c r="H954" t="s">
        <v>5091</v>
      </c>
      <c r="I954" t="s">
        <v>5097</v>
      </c>
      <c r="J954">
        <v>1.64E-3</v>
      </c>
    </row>
    <row r="955" spans="1:10">
      <c r="A955" t="s">
        <v>4404</v>
      </c>
      <c r="B955">
        <v>51</v>
      </c>
      <c r="C955" t="s">
        <v>9</v>
      </c>
      <c r="D955">
        <v>4</v>
      </c>
      <c r="E955">
        <v>54</v>
      </c>
      <c r="F955">
        <v>2.4199999999999998E-3</v>
      </c>
      <c r="G955">
        <v>0</v>
      </c>
      <c r="H955" t="s">
        <v>5091</v>
      </c>
      <c r="I955" t="s">
        <v>5097</v>
      </c>
      <c r="J955">
        <v>2.4199999999999998E-3</v>
      </c>
    </row>
    <row r="956" spans="1:10">
      <c r="A956" t="s">
        <v>4398</v>
      </c>
      <c r="B956">
        <v>50</v>
      </c>
      <c r="C956" t="s">
        <v>9</v>
      </c>
      <c r="D956">
        <v>6</v>
      </c>
      <c r="E956">
        <v>55</v>
      </c>
      <c r="F956">
        <v>2.99E-3</v>
      </c>
      <c r="G956">
        <v>0</v>
      </c>
      <c r="H956" t="s">
        <v>5091</v>
      </c>
      <c r="I956" t="s">
        <v>5097</v>
      </c>
      <c r="J956">
        <v>2.99E-3</v>
      </c>
    </row>
    <row r="957" spans="1:10">
      <c r="A957" t="s">
        <v>415</v>
      </c>
      <c r="B957">
        <v>48</v>
      </c>
      <c r="C957" t="s">
        <v>7</v>
      </c>
      <c r="D957">
        <v>3</v>
      </c>
      <c r="E957">
        <v>50</v>
      </c>
      <c r="F957">
        <v>9.7999999999999997E-4</v>
      </c>
      <c r="G957">
        <v>0</v>
      </c>
      <c r="H957" t="s">
        <v>5091</v>
      </c>
      <c r="I957" t="s">
        <v>5097</v>
      </c>
      <c r="J957">
        <v>9.7999999999999997E-4</v>
      </c>
    </row>
    <row r="958" spans="1:10">
      <c r="A958" t="s">
        <v>419</v>
      </c>
      <c r="B958">
        <v>47</v>
      </c>
      <c r="C958" t="s">
        <v>7</v>
      </c>
      <c r="D958">
        <v>4</v>
      </c>
      <c r="E958">
        <v>50</v>
      </c>
      <c r="F958">
        <v>1.15E-3</v>
      </c>
      <c r="G958">
        <v>0</v>
      </c>
      <c r="H958" t="s">
        <v>5091</v>
      </c>
      <c r="I958" t="s">
        <v>5097</v>
      </c>
      <c r="J958">
        <v>1.15E-3</v>
      </c>
    </row>
    <row r="959" spans="1:10">
      <c r="A959" t="s">
        <v>4375</v>
      </c>
      <c r="B959">
        <v>50</v>
      </c>
      <c r="C959" t="s">
        <v>7</v>
      </c>
      <c r="D959">
        <v>9</v>
      </c>
      <c r="E959">
        <v>58</v>
      </c>
      <c r="F959">
        <v>3.0200000000000001E-3</v>
      </c>
      <c r="G959">
        <v>0</v>
      </c>
      <c r="H959" t="s">
        <v>5091</v>
      </c>
      <c r="I959" t="s">
        <v>5097</v>
      </c>
      <c r="J959">
        <v>3.0200000000000001E-3</v>
      </c>
    </row>
    <row r="960" spans="1:10">
      <c r="A960" t="s">
        <v>4355</v>
      </c>
      <c r="B960">
        <v>52</v>
      </c>
      <c r="C960" t="s">
        <v>9</v>
      </c>
      <c r="D960">
        <v>6</v>
      </c>
      <c r="E960">
        <v>57</v>
      </c>
      <c r="F960">
        <v>3.62E-3</v>
      </c>
      <c r="G960">
        <v>0</v>
      </c>
      <c r="H960" t="s">
        <v>5091</v>
      </c>
      <c r="I960" t="s">
        <v>5097</v>
      </c>
      <c r="J960">
        <v>3.62E-3</v>
      </c>
    </row>
    <row r="961" spans="1:10">
      <c r="A961" t="s">
        <v>4354</v>
      </c>
      <c r="B961">
        <v>50</v>
      </c>
      <c r="C961" t="s">
        <v>9</v>
      </c>
      <c r="D961">
        <v>3</v>
      </c>
      <c r="E961">
        <v>52</v>
      </c>
      <c r="F961">
        <v>1.7099999999999999E-3</v>
      </c>
      <c r="G961">
        <v>0</v>
      </c>
      <c r="H961" t="s">
        <v>5091</v>
      </c>
      <c r="I961" t="s">
        <v>5097</v>
      </c>
      <c r="J961">
        <v>1.7099999999999999E-3</v>
      </c>
    </row>
    <row r="962" spans="1:10">
      <c r="A962" t="s">
        <v>4353</v>
      </c>
      <c r="B962">
        <v>50</v>
      </c>
      <c r="C962" t="s">
        <v>7</v>
      </c>
      <c r="D962">
        <v>2</v>
      </c>
      <c r="E962">
        <v>51</v>
      </c>
      <c r="F962">
        <v>7.2000000000000005E-4</v>
      </c>
      <c r="G962">
        <v>0</v>
      </c>
      <c r="H962" t="s">
        <v>5091</v>
      </c>
      <c r="I962" t="s">
        <v>5097</v>
      </c>
      <c r="J962">
        <v>7.2000000000000005E-4</v>
      </c>
    </row>
    <row r="963" spans="1:10">
      <c r="A963" t="s">
        <v>4332</v>
      </c>
      <c r="B963">
        <v>49</v>
      </c>
      <c r="C963" t="s">
        <v>7</v>
      </c>
      <c r="D963">
        <v>6</v>
      </c>
      <c r="E963">
        <v>54</v>
      </c>
      <c r="F963">
        <v>1.8600000000000001E-3</v>
      </c>
      <c r="G963">
        <v>0</v>
      </c>
      <c r="H963" t="s">
        <v>5091</v>
      </c>
      <c r="I963" t="s">
        <v>5097</v>
      </c>
      <c r="J963">
        <v>1.8600000000000001E-3</v>
      </c>
    </row>
    <row r="964" spans="1:10">
      <c r="A964" t="s">
        <v>446</v>
      </c>
      <c r="B964">
        <v>47</v>
      </c>
      <c r="C964" t="s">
        <v>9</v>
      </c>
      <c r="D964">
        <v>4</v>
      </c>
      <c r="E964">
        <v>50</v>
      </c>
      <c r="F964">
        <v>1.5900000000000001E-3</v>
      </c>
      <c r="G964">
        <v>0</v>
      </c>
      <c r="H964" t="s">
        <v>5091</v>
      </c>
      <c r="I964" t="s">
        <v>5097</v>
      </c>
      <c r="J964">
        <v>1.5900000000000001E-3</v>
      </c>
    </row>
    <row r="965" spans="1:10">
      <c r="A965" t="s">
        <v>4296</v>
      </c>
      <c r="B965">
        <v>48</v>
      </c>
      <c r="C965" t="s">
        <v>7</v>
      </c>
      <c r="D965">
        <v>5</v>
      </c>
      <c r="E965">
        <v>52</v>
      </c>
      <c r="F965">
        <v>1.47E-3</v>
      </c>
      <c r="G965">
        <v>0</v>
      </c>
      <c r="H965" t="s">
        <v>5091</v>
      </c>
      <c r="I965" t="s">
        <v>5097</v>
      </c>
      <c r="J965">
        <v>1.47E-3</v>
      </c>
    </row>
    <row r="966" spans="1:10">
      <c r="A966" t="s">
        <v>4291</v>
      </c>
      <c r="B966">
        <v>46</v>
      </c>
      <c r="C966" t="s">
        <v>9</v>
      </c>
      <c r="D966">
        <v>8</v>
      </c>
      <c r="E966">
        <v>53</v>
      </c>
      <c r="F966">
        <v>2.5600000000000002E-3</v>
      </c>
      <c r="G966">
        <v>0</v>
      </c>
      <c r="H966" t="s">
        <v>5091</v>
      </c>
      <c r="I966" t="s">
        <v>5097</v>
      </c>
      <c r="J966">
        <v>2.5600000000000002E-3</v>
      </c>
    </row>
    <row r="967" spans="1:10">
      <c r="A967" t="s">
        <v>4282</v>
      </c>
      <c r="B967">
        <v>56</v>
      </c>
      <c r="C967" t="s">
        <v>9</v>
      </c>
      <c r="D967">
        <v>2</v>
      </c>
      <c r="E967">
        <v>57</v>
      </c>
      <c r="F967">
        <v>2.15E-3</v>
      </c>
      <c r="G967">
        <v>0</v>
      </c>
      <c r="H967" t="s">
        <v>5091</v>
      </c>
      <c r="I967" t="s">
        <v>5097</v>
      </c>
      <c r="J967">
        <v>2.15E-3</v>
      </c>
    </row>
    <row r="968" spans="1:10">
      <c r="A968" t="s">
        <v>472</v>
      </c>
      <c r="B968">
        <v>52</v>
      </c>
      <c r="C968" t="s">
        <v>9</v>
      </c>
      <c r="D968">
        <v>3</v>
      </c>
      <c r="E968">
        <v>54</v>
      </c>
      <c r="F968">
        <v>2.15E-3</v>
      </c>
      <c r="G968">
        <v>0</v>
      </c>
      <c r="H968" t="s">
        <v>5091</v>
      </c>
      <c r="I968" t="s">
        <v>5097</v>
      </c>
      <c r="J968">
        <v>2.15E-3</v>
      </c>
    </row>
    <row r="969" spans="1:10">
      <c r="A969" t="s">
        <v>4259</v>
      </c>
      <c r="B969">
        <v>52</v>
      </c>
      <c r="C969" t="s">
        <v>9</v>
      </c>
      <c r="D969">
        <v>8</v>
      </c>
      <c r="E969">
        <v>59</v>
      </c>
      <c r="F969">
        <v>4.9300000000000004E-3</v>
      </c>
      <c r="G969">
        <v>0</v>
      </c>
      <c r="H969" t="s">
        <v>5091</v>
      </c>
      <c r="I969" t="s">
        <v>5097</v>
      </c>
      <c r="J969">
        <v>4.9300000000000004E-3</v>
      </c>
    </row>
    <row r="970" spans="1:10">
      <c r="A970" t="s">
        <v>4250</v>
      </c>
      <c r="B970">
        <v>45</v>
      </c>
      <c r="C970" t="s">
        <v>9</v>
      </c>
      <c r="D970">
        <v>9</v>
      </c>
      <c r="E970">
        <v>53</v>
      </c>
      <c r="F970">
        <v>2.63E-3</v>
      </c>
      <c r="G970">
        <v>0</v>
      </c>
      <c r="H970" t="s">
        <v>5091</v>
      </c>
      <c r="I970" t="s">
        <v>5097</v>
      </c>
      <c r="J970">
        <v>2.63E-3</v>
      </c>
    </row>
    <row r="971" spans="1:10">
      <c r="A971" t="s">
        <v>483</v>
      </c>
      <c r="B971">
        <v>58</v>
      </c>
      <c r="C971" t="s">
        <v>7</v>
      </c>
      <c r="D971">
        <v>2</v>
      </c>
      <c r="E971">
        <v>59</v>
      </c>
      <c r="F971">
        <v>1.42E-3</v>
      </c>
      <c r="G971">
        <v>0</v>
      </c>
      <c r="H971" t="s">
        <v>5091</v>
      </c>
      <c r="I971" t="s">
        <v>5097</v>
      </c>
      <c r="J971">
        <v>1.42E-3</v>
      </c>
    </row>
    <row r="972" spans="1:10">
      <c r="A972" t="s">
        <v>4232</v>
      </c>
      <c r="B972">
        <v>53</v>
      </c>
      <c r="C972" t="s">
        <v>9</v>
      </c>
      <c r="D972">
        <v>1</v>
      </c>
      <c r="E972">
        <v>53</v>
      </c>
      <c r="F972">
        <v>9.5E-4</v>
      </c>
      <c r="G972">
        <v>0</v>
      </c>
      <c r="H972" t="s">
        <v>5091</v>
      </c>
      <c r="I972" t="s">
        <v>5097</v>
      </c>
      <c r="J972">
        <v>9.5E-4</v>
      </c>
    </row>
    <row r="973" spans="1:10">
      <c r="A973" t="s">
        <v>4209</v>
      </c>
      <c r="B973">
        <v>51</v>
      </c>
      <c r="C973" t="s">
        <v>7</v>
      </c>
      <c r="D973">
        <v>6</v>
      </c>
      <c r="E973">
        <v>56</v>
      </c>
      <c r="F973">
        <v>2.2699999999999999E-3</v>
      </c>
      <c r="G973">
        <v>0</v>
      </c>
      <c r="H973" t="s">
        <v>5091</v>
      </c>
      <c r="I973" t="s">
        <v>5097</v>
      </c>
      <c r="J973">
        <v>2.2699999999999999E-3</v>
      </c>
    </row>
    <row r="974" spans="1:10">
      <c r="A974" t="s">
        <v>502</v>
      </c>
      <c r="B974">
        <v>48</v>
      </c>
      <c r="C974" t="s">
        <v>7</v>
      </c>
      <c r="D974">
        <v>8</v>
      </c>
      <c r="E974">
        <v>55</v>
      </c>
      <c r="F974">
        <v>2.2300000000000002E-3</v>
      </c>
      <c r="G974">
        <v>0</v>
      </c>
      <c r="H974" t="s">
        <v>5091</v>
      </c>
      <c r="I974" t="s">
        <v>5097</v>
      </c>
      <c r="J974">
        <v>2.2300000000000002E-3</v>
      </c>
    </row>
    <row r="975" spans="1:10">
      <c r="A975" t="s">
        <v>4198</v>
      </c>
      <c r="B975">
        <v>51</v>
      </c>
      <c r="C975" t="s">
        <v>9</v>
      </c>
      <c r="D975">
        <v>1</v>
      </c>
      <c r="E975">
        <v>51</v>
      </c>
      <c r="F975">
        <v>8.5999999999999998E-4</v>
      </c>
      <c r="G975">
        <v>0</v>
      </c>
      <c r="H975" t="s">
        <v>5091</v>
      </c>
      <c r="I975" t="s">
        <v>5097</v>
      </c>
      <c r="J975">
        <v>8.5999999999999998E-4</v>
      </c>
    </row>
    <row r="976" spans="1:10">
      <c r="A976" t="s">
        <v>4194</v>
      </c>
      <c r="B976">
        <v>51</v>
      </c>
      <c r="C976" t="s">
        <v>9</v>
      </c>
      <c r="D976">
        <v>2</v>
      </c>
      <c r="E976">
        <v>52</v>
      </c>
      <c r="F976">
        <v>1.34E-3</v>
      </c>
      <c r="G976">
        <v>0</v>
      </c>
      <c r="H976" t="s">
        <v>5091</v>
      </c>
      <c r="I976" t="s">
        <v>5097</v>
      </c>
      <c r="J976">
        <v>1.34E-3</v>
      </c>
    </row>
    <row r="977" spans="1:10">
      <c r="A977" t="s">
        <v>510</v>
      </c>
      <c r="B977">
        <v>52</v>
      </c>
      <c r="C977" t="s">
        <v>7</v>
      </c>
      <c r="D977">
        <v>5</v>
      </c>
      <c r="E977">
        <v>56</v>
      </c>
      <c r="F977">
        <v>2.1800000000000001E-3</v>
      </c>
      <c r="G977">
        <v>0</v>
      </c>
      <c r="H977" t="s">
        <v>5091</v>
      </c>
      <c r="I977" t="s">
        <v>5097</v>
      </c>
      <c r="J977">
        <v>2.1800000000000001E-3</v>
      </c>
    </row>
    <row r="978" spans="1:10">
      <c r="A978" t="s">
        <v>4152</v>
      </c>
      <c r="B978">
        <v>50</v>
      </c>
      <c r="C978" t="s">
        <v>7</v>
      </c>
      <c r="D978">
        <v>3</v>
      </c>
      <c r="E978">
        <v>52</v>
      </c>
      <c r="F978">
        <v>1.2800000000000001E-3</v>
      </c>
      <c r="G978">
        <v>0</v>
      </c>
      <c r="H978" t="s">
        <v>5091</v>
      </c>
      <c r="I978" t="s">
        <v>5097</v>
      </c>
      <c r="J978">
        <v>1.2800000000000001E-3</v>
      </c>
    </row>
    <row r="979" spans="1:10">
      <c r="A979" t="s">
        <v>520</v>
      </c>
      <c r="B979">
        <v>47</v>
      </c>
      <c r="C979" t="s">
        <v>7</v>
      </c>
      <c r="D979">
        <v>4</v>
      </c>
      <c r="E979">
        <v>50</v>
      </c>
      <c r="F979">
        <v>1.15E-3</v>
      </c>
      <c r="G979">
        <v>0</v>
      </c>
      <c r="H979" t="s">
        <v>5091</v>
      </c>
      <c r="I979" t="s">
        <v>5097</v>
      </c>
      <c r="J979">
        <v>1.15E-3</v>
      </c>
    </row>
    <row r="980" spans="1:10">
      <c r="A980" t="s">
        <v>4149</v>
      </c>
      <c r="B980">
        <v>50</v>
      </c>
      <c r="C980" t="s">
        <v>9</v>
      </c>
      <c r="D980">
        <v>6</v>
      </c>
      <c r="E980">
        <v>55</v>
      </c>
      <c r="F980">
        <v>2.99E-3</v>
      </c>
      <c r="G980">
        <v>0</v>
      </c>
      <c r="H980" t="s">
        <v>5091</v>
      </c>
      <c r="I980" t="s">
        <v>5097</v>
      </c>
      <c r="J980">
        <v>2.99E-3</v>
      </c>
    </row>
    <row r="981" spans="1:10">
      <c r="A981" t="s">
        <v>4134</v>
      </c>
      <c r="B981">
        <v>52</v>
      </c>
      <c r="C981" t="s">
        <v>9</v>
      </c>
      <c r="D981">
        <v>1</v>
      </c>
      <c r="E981">
        <v>52</v>
      </c>
      <c r="F981">
        <v>8.9999999999999998E-4</v>
      </c>
      <c r="G981">
        <v>0</v>
      </c>
      <c r="H981" t="s">
        <v>5091</v>
      </c>
      <c r="I981" t="s">
        <v>5097</v>
      </c>
      <c r="J981">
        <v>8.9999999999999998E-4</v>
      </c>
    </row>
    <row r="982" spans="1:10">
      <c r="A982" t="s">
        <v>4128</v>
      </c>
      <c r="B982">
        <v>45</v>
      </c>
      <c r="C982" t="s">
        <v>9</v>
      </c>
      <c r="D982">
        <v>7</v>
      </c>
      <c r="E982">
        <v>51</v>
      </c>
      <c r="F982">
        <v>2.0200000000000001E-3</v>
      </c>
      <c r="G982">
        <v>0</v>
      </c>
      <c r="H982" t="s">
        <v>5091</v>
      </c>
      <c r="I982" t="s">
        <v>5097</v>
      </c>
      <c r="J982">
        <v>2.0200000000000001E-3</v>
      </c>
    </row>
    <row r="983" spans="1:10">
      <c r="A983" t="s">
        <v>4120</v>
      </c>
      <c r="B983">
        <v>51</v>
      </c>
      <c r="C983" t="s">
        <v>9</v>
      </c>
      <c r="D983">
        <v>1</v>
      </c>
      <c r="E983">
        <v>51</v>
      </c>
      <c r="F983">
        <v>8.5999999999999998E-4</v>
      </c>
      <c r="G983">
        <v>0</v>
      </c>
      <c r="H983" t="s">
        <v>5091</v>
      </c>
      <c r="I983" t="s">
        <v>5097</v>
      </c>
      <c r="J983">
        <v>8.5999999999999998E-4</v>
      </c>
    </row>
    <row r="984" spans="1:10">
      <c r="A984" t="s">
        <v>4114</v>
      </c>
      <c r="B984">
        <v>50</v>
      </c>
      <c r="C984" t="s">
        <v>9</v>
      </c>
      <c r="D984">
        <v>2</v>
      </c>
      <c r="E984">
        <v>51</v>
      </c>
      <c r="F984">
        <v>1.1999999999999999E-3</v>
      </c>
      <c r="G984">
        <v>0</v>
      </c>
      <c r="H984" t="s">
        <v>5091</v>
      </c>
      <c r="I984" t="s">
        <v>5097</v>
      </c>
      <c r="J984">
        <v>1.1999999999999999E-3</v>
      </c>
    </row>
    <row r="985" spans="1:10">
      <c r="A985" t="s">
        <v>4103</v>
      </c>
      <c r="B985">
        <v>56</v>
      </c>
      <c r="C985" t="s">
        <v>7</v>
      </c>
      <c r="D985">
        <v>2</v>
      </c>
      <c r="E985">
        <v>57</v>
      </c>
      <c r="F985">
        <v>1.31E-3</v>
      </c>
      <c r="G985">
        <v>0</v>
      </c>
      <c r="H985" t="s">
        <v>5091</v>
      </c>
      <c r="I985" t="s">
        <v>5097</v>
      </c>
      <c r="J985">
        <v>1.31E-3</v>
      </c>
    </row>
    <row r="986" spans="1:10">
      <c r="A986" t="s">
        <v>4096</v>
      </c>
      <c r="B986">
        <v>49</v>
      </c>
      <c r="C986" t="s">
        <v>9</v>
      </c>
      <c r="D986">
        <v>9</v>
      </c>
      <c r="E986">
        <v>57</v>
      </c>
      <c r="F986">
        <v>3.9300000000000003E-3</v>
      </c>
      <c r="G986">
        <v>0</v>
      </c>
      <c r="H986" t="s">
        <v>5091</v>
      </c>
      <c r="I986" t="s">
        <v>5097</v>
      </c>
      <c r="J986">
        <v>3.9300000000000003E-3</v>
      </c>
    </row>
    <row r="987" spans="1:10">
      <c r="A987" t="s">
        <v>562</v>
      </c>
      <c r="B987">
        <v>51</v>
      </c>
      <c r="C987" t="s">
        <v>9</v>
      </c>
      <c r="D987">
        <v>7</v>
      </c>
      <c r="E987">
        <v>57</v>
      </c>
      <c r="F987">
        <v>3.6900000000000001E-3</v>
      </c>
      <c r="G987">
        <v>0</v>
      </c>
      <c r="H987" t="s">
        <v>5091</v>
      </c>
      <c r="I987" t="s">
        <v>5097</v>
      </c>
      <c r="J987">
        <v>3.6900000000000001E-3</v>
      </c>
    </row>
    <row r="988" spans="1:10">
      <c r="A988" t="s">
        <v>563</v>
      </c>
      <c r="B988">
        <v>48</v>
      </c>
      <c r="C988" t="s">
        <v>7</v>
      </c>
      <c r="D988">
        <v>6</v>
      </c>
      <c r="E988">
        <v>53</v>
      </c>
      <c r="F988">
        <v>1.6900000000000001E-3</v>
      </c>
      <c r="G988">
        <v>0</v>
      </c>
      <c r="H988" t="s">
        <v>5091</v>
      </c>
      <c r="I988" t="s">
        <v>5097</v>
      </c>
      <c r="J988">
        <v>1.6900000000000001E-3</v>
      </c>
    </row>
    <row r="989" spans="1:10">
      <c r="A989" t="s">
        <v>4070</v>
      </c>
      <c r="B989">
        <v>50</v>
      </c>
      <c r="C989" t="s">
        <v>9</v>
      </c>
      <c r="D989">
        <v>3</v>
      </c>
      <c r="E989">
        <v>52</v>
      </c>
      <c r="F989">
        <v>1.7099999999999999E-3</v>
      </c>
      <c r="G989">
        <v>0</v>
      </c>
      <c r="H989" t="s">
        <v>5091</v>
      </c>
      <c r="I989" t="s">
        <v>5097</v>
      </c>
      <c r="J989">
        <v>1.7099999999999999E-3</v>
      </c>
    </row>
    <row r="990" spans="1:10">
      <c r="A990" t="s">
        <v>4059</v>
      </c>
      <c r="B990">
        <v>45</v>
      </c>
      <c r="C990" t="s">
        <v>9</v>
      </c>
      <c r="D990">
        <v>6</v>
      </c>
      <c r="E990">
        <v>50</v>
      </c>
      <c r="F990">
        <v>1.74E-3</v>
      </c>
      <c r="G990">
        <v>0</v>
      </c>
      <c r="H990" t="s">
        <v>5091</v>
      </c>
      <c r="I990" t="s">
        <v>5097</v>
      </c>
      <c r="J990">
        <v>1.74E-3</v>
      </c>
    </row>
    <row r="991" spans="1:10">
      <c r="A991" t="s">
        <v>571</v>
      </c>
      <c r="B991">
        <v>55</v>
      </c>
      <c r="C991" t="s">
        <v>7</v>
      </c>
      <c r="D991">
        <v>5</v>
      </c>
      <c r="E991">
        <v>59</v>
      </c>
      <c r="F991">
        <v>2.9099999999999998E-3</v>
      </c>
      <c r="G991">
        <v>0</v>
      </c>
      <c r="H991" t="s">
        <v>5091</v>
      </c>
      <c r="I991" t="s">
        <v>5097</v>
      </c>
      <c r="J991">
        <v>2.9099999999999998E-3</v>
      </c>
    </row>
    <row r="992" spans="1:10">
      <c r="A992" t="s">
        <v>4030</v>
      </c>
      <c r="B992">
        <v>53</v>
      </c>
      <c r="C992" t="s">
        <v>9</v>
      </c>
      <c r="D992">
        <v>7</v>
      </c>
      <c r="E992">
        <v>59</v>
      </c>
      <c r="F992">
        <v>4.7400000000000003E-3</v>
      </c>
      <c r="G992">
        <v>0</v>
      </c>
      <c r="H992" t="s">
        <v>5091</v>
      </c>
      <c r="I992" t="s">
        <v>5097</v>
      </c>
      <c r="J992">
        <v>4.7400000000000003E-3</v>
      </c>
    </row>
    <row r="993" spans="1:10">
      <c r="A993" t="s">
        <v>590</v>
      </c>
      <c r="B993">
        <v>50</v>
      </c>
      <c r="C993" t="s">
        <v>7</v>
      </c>
      <c r="D993">
        <v>8</v>
      </c>
      <c r="E993">
        <v>57</v>
      </c>
      <c r="F993">
        <v>2.65E-3</v>
      </c>
      <c r="G993">
        <v>0</v>
      </c>
      <c r="H993" t="s">
        <v>5091</v>
      </c>
      <c r="I993" t="s">
        <v>5097</v>
      </c>
      <c r="J993">
        <v>2.65E-3</v>
      </c>
    </row>
    <row r="994" spans="1:10">
      <c r="A994" t="s">
        <v>595</v>
      </c>
      <c r="B994">
        <v>55</v>
      </c>
      <c r="C994" t="s">
        <v>9</v>
      </c>
      <c r="D994">
        <v>4</v>
      </c>
      <c r="E994">
        <v>58</v>
      </c>
      <c r="F994">
        <v>3.9100000000000003E-3</v>
      </c>
      <c r="G994">
        <v>0</v>
      </c>
      <c r="H994" t="s">
        <v>5091</v>
      </c>
      <c r="I994" t="s">
        <v>5097</v>
      </c>
      <c r="J994">
        <v>3.9100000000000003E-3</v>
      </c>
    </row>
    <row r="995" spans="1:10">
      <c r="A995" t="s">
        <v>3993</v>
      </c>
      <c r="B995">
        <v>48</v>
      </c>
      <c r="C995" t="s">
        <v>7</v>
      </c>
      <c r="D995">
        <v>4</v>
      </c>
      <c r="E995">
        <v>51</v>
      </c>
      <c r="F995">
        <v>1.25E-3</v>
      </c>
      <c r="G995">
        <v>0</v>
      </c>
      <c r="H995" t="s">
        <v>5091</v>
      </c>
      <c r="I995" t="s">
        <v>5097</v>
      </c>
      <c r="J995">
        <v>1.25E-3</v>
      </c>
    </row>
    <row r="996" spans="1:10">
      <c r="A996" t="s">
        <v>3967</v>
      </c>
      <c r="B996">
        <v>53</v>
      </c>
      <c r="C996" t="s">
        <v>9</v>
      </c>
      <c r="D996">
        <v>7</v>
      </c>
      <c r="E996">
        <v>59</v>
      </c>
      <c r="F996">
        <v>4.7400000000000003E-3</v>
      </c>
      <c r="G996">
        <v>0</v>
      </c>
      <c r="H996" t="s">
        <v>5091</v>
      </c>
      <c r="I996" t="s">
        <v>5097</v>
      </c>
      <c r="J996">
        <v>4.7400000000000003E-3</v>
      </c>
    </row>
    <row r="997" spans="1:10">
      <c r="A997" t="s">
        <v>3960</v>
      </c>
      <c r="B997">
        <v>44</v>
      </c>
      <c r="C997" t="s">
        <v>7</v>
      </c>
      <c r="D997">
        <v>9</v>
      </c>
      <c r="E997">
        <v>52</v>
      </c>
      <c r="F997">
        <v>1.7899999999999999E-3</v>
      </c>
      <c r="G997">
        <v>0</v>
      </c>
      <c r="H997" t="s">
        <v>5091</v>
      </c>
      <c r="I997" t="s">
        <v>5097</v>
      </c>
      <c r="J997">
        <v>1.7899999999999999E-3</v>
      </c>
    </row>
    <row r="998" spans="1:10">
      <c r="A998" t="s">
        <v>3948</v>
      </c>
      <c r="B998">
        <v>54</v>
      </c>
      <c r="C998" t="s">
        <v>7</v>
      </c>
      <c r="D998">
        <v>1</v>
      </c>
      <c r="E998">
        <v>54</v>
      </c>
      <c r="F998">
        <v>5.1000000000000004E-4</v>
      </c>
      <c r="G998">
        <v>0</v>
      </c>
      <c r="H998" t="s">
        <v>5091</v>
      </c>
      <c r="I998" t="s">
        <v>5097</v>
      </c>
      <c r="J998">
        <v>5.1000000000000004E-4</v>
      </c>
    </row>
    <row r="999" spans="1:10">
      <c r="A999" t="s">
        <v>3924</v>
      </c>
      <c r="B999">
        <v>51</v>
      </c>
      <c r="C999" t="s">
        <v>7</v>
      </c>
      <c r="D999">
        <v>9</v>
      </c>
      <c r="E999">
        <v>59</v>
      </c>
      <c r="F999">
        <v>3.3300000000000001E-3</v>
      </c>
      <c r="G999">
        <v>0</v>
      </c>
      <c r="H999" t="s">
        <v>5091</v>
      </c>
      <c r="I999" t="s">
        <v>5097</v>
      </c>
      <c r="J999">
        <v>3.3300000000000001E-3</v>
      </c>
    </row>
    <row r="1000" spans="1:10">
      <c r="A1000" t="s">
        <v>3913</v>
      </c>
      <c r="B1000">
        <v>51</v>
      </c>
      <c r="C1000" t="s">
        <v>7</v>
      </c>
      <c r="D1000">
        <v>7</v>
      </c>
      <c r="E1000">
        <v>57</v>
      </c>
      <c r="F1000">
        <v>2.5799999999999998E-3</v>
      </c>
      <c r="G1000">
        <v>0</v>
      </c>
      <c r="H1000" t="s">
        <v>5091</v>
      </c>
      <c r="I1000" t="s">
        <v>5097</v>
      </c>
      <c r="J1000">
        <v>2.5799999999999998E-3</v>
      </c>
    </row>
    <row r="1001" spans="1:10">
      <c r="A1001" t="s">
        <v>3908</v>
      </c>
      <c r="B1001">
        <v>44</v>
      </c>
      <c r="C1001" t="s">
        <v>9</v>
      </c>
      <c r="D1001">
        <v>7</v>
      </c>
      <c r="E1001">
        <v>50</v>
      </c>
      <c r="F1001">
        <v>1.83E-3</v>
      </c>
      <c r="G1001">
        <v>0</v>
      </c>
      <c r="H1001" t="s">
        <v>5091</v>
      </c>
      <c r="I1001" t="s">
        <v>5097</v>
      </c>
      <c r="J1001">
        <v>1.83E-3</v>
      </c>
    </row>
    <row r="1002" spans="1:10">
      <c r="A1002" t="s">
        <v>641</v>
      </c>
      <c r="B1002">
        <v>50</v>
      </c>
      <c r="C1002" t="s">
        <v>9</v>
      </c>
      <c r="D1002">
        <v>7</v>
      </c>
      <c r="E1002">
        <v>56</v>
      </c>
      <c r="F1002">
        <v>3.3400000000000001E-3</v>
      </c>
      <c r="G1002">
        <v>0</v>
      </c>
      <c r="H1002" t="s">
        <v>5091</v>
      </c>
      <c r="I1002" t="s">
        <v>5097</v>
      </c>
      <c r="J1002">
        <v>3.3400000000000001E-3</v>
      </c>
    </row>
    <row r="1003" spans="1:10">
      <c r="A1003" t="s">
        <v>3801</v>
      </c>
      <c r="B1003">
        <v>51</v>
      </c>
      <c r="C1003" t="s">
        <v>7</v>
      </c>
      <c r="D1003">
        <v>8</v>
      </c>
      <c r="E1003">
        <v>58</v>
      </c>
      <c r="F1003">
        <v>2.9199999999999999E-3</v>
      </c>
      <c r="G1003">
        <v>0</v>
      </c>
      <c r="H1003" t="s">
        <v>5091</v>
      </c>
      <c r="I1003" t="s">
        <v>5097</v>
      </c>
      <c r="J1003">
        <v>2.9199999999999999E-3</v>
      </c>
    </row>
    <row r="1004" spans="1:10">
      <c r="A1004" t="s">
        <v>3768</v>
      </c>
      <c r="B1004">
        <v>53</v>
      </c>
      <c r="C1004" t="s">
        <v>7</v>
      </c>
      <c r="D1004">
        <v>2</v>
      </c>
      <c r="E1004">
        <v>54</v>
      </c>
      <c r="F1004">
        <v>1.16E-3</v>
      </c>
      <c r="G1004">
        <v>0</v>
      </c>
      <c r="H1004" t="s">
        <v>5091</v>
      </c>
      <c r="I1004" t="s">
        <v>5097</v>
      </c>
      <c r="J1004">
        <v>1.16E-3</v>
      </c>
    </row>
    <row r="1005" spans="1:10">
      <c r="A1005" t="s">
        <v>3765</v>
      </c>
      <c r="B1005">
        <v>52</v>
      </c>
      <c r="C1005" t="s">
        <v>9</v>
      </c>
      <c r="D1005">
        <v>7</v>
      </c>
      <c r="E1005">
        <v>58</v>
      </c>
      <c r="F1005">
        <v>4.2599999999999999E-3</v>
      </c>
      <c r="G1005">
        <v>0</v>
      </c>
      <c r="H1005" t="s">
        <v>5091</v>
      </c>
      <c r="I1005" t="s">
        <v>5097</v>
      </c>
      <c r="J1005">
        <v>4.2599999999999999E-3</v>
      </c>
    </row>
    <row r="1006" spans="1:10">
      <c r="A1006" t="s">
        <v>681</v>
      </c>
      <c r="B1006">
        <v>49</v>
      </c>
      <c r="C1006" t="s">
        <v>7</v>
      </c>
      <c r="D1006">
        <v>5</v>
      </c>
      <c r="E1006">
        <v>53</v>
      </c>
      <c r="F1006">
        <v>1.6199999999999999E-3</v>
      </c>
      <c r="G1006">
        <v>0</v>
      </c>
      <c r="H1006" t="s">
        <v>5091</v>
      </c>
      <c r="I1006" t="s">
        <v>5097</v>
      </c>
      <c r="J1006">
        <v>1.6199999999999999E-3</v>
      </c>
    </row>
    <row r="1007" spans="1:10">
      <c r="A1007" t="s">
        <v>3761</v>
      </c>
      <c r="B1007">
        <v>54</v>
      </c>
      <c r="C1007" t="s">
        <v>9</v>
      </c>
      <c r="D1007">
        <v>5</v>
      </c>
      <c r="E1007">
        <v>58</v>
      </c>
      <c r="F1007">
        <v>4.0400000000000002E-3</v>
      </c>
      <c r="G1007">
        <v>0</v>
      </c>
      <c r="H1007" t="s">
        <v>5091</v>
      </c>
      <c r="I1007" t="s">
        <v>5097</v>
      </c>
      <c r="J1007">
        <v>4.0400000000000002E-3</v>
      </c>
    </row>
    <row r="1008" spans="1:10">
      <c r="A1008" t="s">
        <v>3734</v>
      </c>
      <c r="B1008">
        <v>53</v>
      </c>
      <c r="C1008" t="s">
        <v>9</v>
      </c>
      <c r="D1008">
        <v>6</v>
      </c>
      <c r="E1008">
        <v>58</v>
      </c>
      <c r="F1008">
        <v>4.1399999999999996E-3</v>
      </c>
      <c r="G1008">
        <v>0</v>
      </c>
      <c r="H1008" t="s">
        <v>5091</v>
      </c>
      <c r="I1008" t="s">
        <v>5097</v>
      </c>
      <c r="J1008">
        <v>4.1399999999999996E-3</v>
      </c>
    </row>
    <row r="1009" spans="1:10">
      <c r="A1009" t="s">
        <v>3732</v>
      </c>
      <c r="B1009">
        <v>50</v>
      </c>
      <c r="C1009" t="s">
        <v>7</v>
      </c>
      <c r="D1009">
        <v>2</v>
      </c>
      <c r="E1009">
        <v>51</v>
      </c>
      <c r="F1009">
        <v>7.2000000000000005E-4</v>
      </c>
      <c r="G1009">
        <v>0</v>
      </c>
      <c r="H1009" t="s">
        <v>5091</v>
      </c>
      <c r="I1009" t="s">
        <v>5097</v>
      </c>
      <c r="J1009">
        <v>7.2000000000000005E-4</v>
      </c>
    </row>
    <row r="1010" spans="1:10">
      <c r="A1010" t="s">
        <v>3712</v>
      </c>
      <c r="B1010">
        <v>53</v>
      </c>
      <c r="C1010" t="s">
        <v>9</v>
      </c>
      <c r="D1010">
        <v>4</v>
      </c>
      <c r="E1010">
        <v>56</v>
      </c>
      <c r="F1010">
        <v>3.0899999999999999E-3</v>
      </c>
      <c r="G1010">
        <v>0</v>
      </c>
      <c r="H1010" t="s">
        <v>5091</v>
      </c>
      <c r="I1010" t="s">
        <v>5097</v>
      </c>
      <c r="J1010">
        <v>3.0899999999999999E-3</v>
      </c>
    </row>
    <row r="1011" spans="1:10">
      <c r="A1011" t="s">
        <v>3707</v>
      </c>
      <c r="B1011">
        <v>48</v>
      </c>
      <c r="C1011" t="s">
        <v>7</v>
      </c>
      <c r="D1011">
        <v>4</v>
      </c>
      <c r="E1011">
        <v>51</v>
      </c>
      <c r="F1011">
        <v>1.25E-3</v>
      </c>
      <c r="G1011">
        <v>0</v>
      </c>
      <c r="H1011" t="s">
        <v>5091</v>
      </c>
      <c r="I1011" t="s">
        <v>5097</v>
      </c>
      <c r="J1011">
        <v>1.25E-3</v>
      </c>
    </row>
    <row r="1012" spans="1:10">
      <c r="A1012" t="s">
        <v>717</v>
      </c>
      <c r="B1012">
        <v>58</v>
      </c>
      <c r="C1012" t="s">
        <v>7</v>
      </c>
      <c r="D1012">
        <v>2</v>
      </c>
      <c r="E1012">
        <v>59</v>
      </c>
      <c r="F1012">
        <v>1.42E-3</v>
      </c>
      <c r="G1012">
        <v>0</v>
      </c>
      <c r="H1012" t="s">
        <v>5091</v>
      </c>
      <c r="I1012" t="s">
        <v>5097</v>
      </c>
      <c r="J1012">
        <v>1.42E-3</v>
      </c>
    </row>
    <row r="1013" spans="1:10">
      <c r="A1013" t="s">
        <v>3632</v>
      </c>
      <c r="B1013">
        <v>50</v>
      </c>
      <c r="C1013" t="s">
        <v>9</v>
      </c>
      <c r="D1013">
        <v>4</v>
      </c>
      <c r="E1013">
        <v>53</v>
      </c>
      <c r="F1013">
        <v>2.16E-3</v>
      </c>
      <c r="G1013">
        <v>0</v>
      </c>
      <c r="H1013" t="s">
        <v>5091</v>
      </c>
      <c r="I1013" t="s">
        <v>5097</v>
      </c>
      <c r="J1013">
        <v>2.16E-3</v>
      </c>
    </row>
    <row r="1014" spans="1:10">
      <c r="A1014" t="s">
        <v>3626</v>
      </c>
      <c r="B1014">
        <v>49</v>
      </c>
      <c r="C1014" t="s">
        <v>9</v>
      </c>
      <c r="D1014">
        <v>6</v>
      </c>
      <c r="E1014">
        <v>54</v>
      </c>
      <c r="F1014">
        <v>2.7000000000000001E-3</v>
      </c>
      <c r="G1014">
        <v>0</v>
      </c>
      <c r="H1014" t="s">
        <v>5091</v>
      </c>
      <c r="I1014" t="s">
        <v>5097</v>
      </c>
      <c r="J1014">
        <v>2.7000000000000001E-3</v>
      </c>
    </row>
    <row r="1015" spans="1:10">
      <c r="A1015" t="s">
        <v>3607</v>
      </c>
      <c r="B1015">
        <v>44</v>
      </c>
      <c r="C1015" t="s">
        <v>7</v>
      </c>
      <c r="D1015">
        <v>9</v>
      </c>
      <c r="E1015">
        <v>52</v>
      </c>
      <c r="F1015">
        <v>1.7899999999999999E-3</v>
      </c>
      <c r="G1015">
        <v>0</v>
      </c>
      <c r="H1015" t="s">
        <v>5091</v>
      </c>
      <c r="I1015" t="s">
        <v>5097</v>
      </c>
      <c r="J1015">
        <v>1.7899999999999999E-3</v>
      </c>
    </row>
    <row r="1016" spans="1:10">
      <c r="A1016" t="s">
        <v>3560</v>
      </c>
      <c r="B1016">
        <v>45</v>
      </c>
      <c r="C1016" t="s">
        <v>9</v>
      </c>
      <c r="D1016">
        <v>7</v>
      </c>
      <c r="E1016">
        <v>51</v>
      </c>
      <c r="F1016">
        <v>2.0200000000000001E-3</v>
      </c>
      <c r="G1016">
        <v>0</v>
      </c>
      <c r="H1016" t="s">
        <v>5091</v>
      </c>
      <c r="I1016" t="s">
        <v>5097</v>
      </c>
      <c r="J1016">
        <v>2.0200000000000001E-3</v>
      </c>
    </row>
    <row r="1017" spans="1:10">
      <c r="A1017" t="s">
        <v>756</v>
      </c>
      <c r="B1017">
        <v>50</v>
      </c>
      <c r="C1017" t="s">
        <v>9</v>
      </c>
      <c r="D1017">
        <v>9</v>
      </c>
      <c r="E1017">
        <v>58</v>
      </c>
      <c r="F1017">
        <v>4.5999999999999999E-3</v>
      </c>
      <c r="G1017">
        <v>0</v>
      </c>
      <c r="H1017" t="s">
        <v>5091</v>
      </c>
      <c r="I1017" t="s">
        <v>5097</v>
      </c>
      <c r="J1017">
        <v>4.5999999999999999E-3</v>
      </c>
    </row>
    <row r="1018" spans="1:10">
      <c r="A1018" t="s">
        <v>3558</v>
      </c>
      <c r="B1018">
        <v>51</v>
      </c>
      <c r="C1018" t="s">
        <v>9</v>
      </c>
      <c r="D1018">
        <v>8</v>
      </c>
      <c r="E1018">
        <v>58</v>
      </c>
      <c r="F1018">
        <v>4.4299999999999999E-3</v>
      </c>
      <c r="G1018">
        <v>0</v>
      </c>
      <c r="H1018" t="s">
        <v>5091</v>
      </c>
      <c r="I1018" t="s">
        <v>5097</v>
      </c>
      <c r="J1018">
        <v>4.4299999999999999E-3</v>
      </c>
    </row>
    <row r="1019" spans="1:10">
      <c r="A1019" t="s">
        <v>3538</v>
      </c>
      <c r="B1019">
        <v>50</v>
      </c>
      <c r="C1019" t="s">
        <v>7</v>
      </c>
      <c r="D1019">
        <v>7</v>
      </c>
      <c r="E1019">
        <v>56</v>
      </c>
      <c r="F1019">
        <v>2.3500000000000001E-3</v>
      </c>
      <c r="G1019">
        <v>0</v>
      </c>
      <c r="H1019" t="s">
        <v>5091</v>
      </c>
      <c r="I1019" t="s">
        <v>5097</v>
      </c>
      <c r="J1019">
        <v>2.3500000000000001E-3</v>
      </c>
    </row>
    <row r="1020" spans="1:10">
      <c r="A1020" t="s">
        <v>3535</v>
      </c>
      <c r="B1020">
        <v>47</v>
      </c>
      <c r="C1020" t="s">
        <v>7</v>
      </c>
      <c r="D1020">
        <v>4</v>
      </c>
      <c r="E1020">
        <v>50</v>
      </c>
      <c r="F1020">
        <v>1.15E-3</v>
      </c>
      <c r="G1020">
        <v>0</v>
      </c>
      <c r="H1020" t="s">
        <v>5091</v>
      </c>
      <c r="I1020" t="s">
        <v>5097</v>
      </c>
      <c r="J1020">
        <v>1.15E-3</v>
      </c>
    </row>
    <row r="1021" spans="1:10">
      <c r="A1021" t="s">
        <v>3526</v>
      </c>
      <c r="B1021">
        <v>54</v>
      </c>
      <c r="C1021" t="s">
        <v>9</v>
      </c>
      <c r="D1021">
        <v>4</v>
      </c>
      <c r="E1021">
        <v>57</v>
      </c>
      <c r="F1021">
        <v>3.5100000000000001E-3</v>
      </c>
      <c r="G1021">
        <v>0</v>
      </c>
      <c r="H1021" t="s">
        <v>5091</v>
      </c>
      <c r="I1021" t="s">
        <v>5097</v>
      </c>
      <c r="J1021">
        <v>3.5100000000000001E-3</v>
      </c>
    </row>
    <row r="1022" spans="1:10">
      <c r="A1022" t="s">
        <v>3521</v>
      </c>
      <c r="B1022">
        <v>43</v>
      </c>
      <c r="C1022" t="s">
        <v>9</v>
      </c>
      <c r="D1022">
        <v>9</v>
      </c>
      <c r="E1022">
        <v>51</v>
      </c>
      <c r="F1022">
        <v>2.1900000000000001E-3</v>
      </c>
      <c r="G1022">
        <v>0</v>
      </c>
      <c r="H1022" t="s">
        <v>5091</v>
      </c>
      <c r="I1022" t="s">
        <v>5097</v>
      </c>
      <c r="J1022">
        <v>2.1900000000000001E-3</v>
      </c>
    </row>
    <row r="1023" spans="1:10">
      <c r="A1023" t="s">
        <v>3498</v>
      </c>
      <c r="B1023">
        <v>57</v>
      </c>
      <c r="C1023" t="s">
        <v>9</v>
      </c>
      <c r="D1023">
        <v>1</v>
      </c>
      <c r="E1023">
        <v>57</v>
      </c>
      <c r="F1023">
        <v>1.3600000000000001E-3</v>
      </c>
      <c r="G1023">
        <v>0</v>
      </c>
      <c r="H1023" t="s">
        <v>5091</v>
      </c>
      <c r="I1023" t="s">
        <v>5097</v>
      </c>
      <c r="J1023">
        <v>1.3600000000000001E-3</v>
      </c>
    </row>
    <row r="1024" spans="1:10">
      <c r="A1024" t="s">
        <v>3497</v>
      </c>
      <c r="B1024">
        <v>54</v>
      </c>
      <c r="C1024" t="s">
        <v>9</v>
      </c>
      <c r="D1024">
        <v>3</v>
      </c>
      <c r="E1024">
        <v>56</v>
      </c>
      <c r="F1024">
        <v>2.7200000000000002E-3</v>
      </c>
      <c r="G1024">
        <v>0</v>
      </c>
      <c r="H1024" t="s">
        <v>5091</v>
      </c>
      <c r="I1024" t="s">
        <v>5097</v>
      </c>
      <c r="J1024">
        <v>2.7200000000000002E-3</v>
      </c>
    </row>
    <row r="1025" spans="1:10">
      <c r="A1025" t="s">
        <v>3447</v>
      </c>
      <c r="B1025">
        <v>46</v>
      </c>
      <c r="C1025" t="s">
        <v>7</v>
      </c>
      <c r="D1025">
        <v>6</v>
      </c>
      <c r="E1025">
        <v>51</v>
      </c>
      <c r="F1025">
        <v>1.4E-3</v>
      </c>
      <c r="G1025">
        <v>0</v>
      </c>
      <c r="H1025" t="s">
        <v>5091</v>
      </c>
      <c r="I1025" t="s">
        <v>5097</v>
      </c>
      <c r="J1025">
        <v>1.4E-3</v>
      </c>
    </row>
    <row r="1026" spans="1:10">
      <c r="A1026" t="s">
        <v>3370</v>
      </c>
      <c r="B1026">
        <v>48</v>
      </c>
      <c r="C1026" t="s">
        <v>7</v>
      </c>
      <c r="D1026">
        <v>8</v>
      </c>
      <c r="E1026">
        <v>55</v>
      </c>
      <c r="F1026">
        <v>2.2300000000000002E-3</v>
      </c>
      <c r="G1026">
        <v>0</v>
      </c>
      <c r="H1026" t="s">
        <v>5091</v>
      </c>
      <c r="I1026" t="s">
        <v>5097</v>
      </c>
      <c r="J1026">
        <v>2.2300000000000002E-3</v>
      </c>
    </row>
    <row r="1027" spans="1:10">
      <c r="A1027" t="s">
        <v>3368</v>
      </c>
      <c r="B1027">
        <v>52</v>
      </c>
      <c r="C1027" t="s">
        <v>9</v>
      </c>
      <c r="D1027">
        <v>8</v>
      </c>
      <c r="E1027">
        <v>59</v>
      </c>
      <c r="F1027">
        <v>4.9300000000000004E-3</v>
      </c>
      <c r="G1027">
        <v>0</v>
      </c>
      <c r="H1027" t="s">
        <v>5091</v>
      </c>
      <c r="I1027" t="s">
        <v>5097</v>
      </c>
      <c r="J1027">
        <v>4.9300000000000004E-3</v>
      </c>
    </row>
    <row r="1028" spans="1:10">
      <c r="A1028" t="s">
        <v>3349</v>
      </c>
      <c r="B1028">
        <v>55</v>
      </c>
      <c r="C1028" t="s">
        <v>7</v>
      </c>
      <c r="D1028">
        <v>3</v>
      </c>
      <c r="E1028">
        <v>57</v>
      </c>
      <c r="F1028">
        <v>1.8500000000000001E-3</v>
      </c>
      <c r="G1028">
        <v>0</v>
      </c>
      <c r="H1028" t="s">
        <v>5091</v>
      </c>
      <c r="I1028" t="s">
        <v>5097</v>
      </c>
      <c r="J1028">
        <v>1.8500000000000001E-3</v>
      </c>
    </row>
    <row r="1029" spans="1:10">
      <c r="A1029" t="s">
        <v>3342</v>
      </c>
      <c r="B1029">
        <v>45</v>
      </c>
      <c r="C1029" t="s">
        <v>7</v>
      </c>
      <c r="D1029">
        <v>9</v>
      </c>
      <c r="E1029">
        <v>53</v>
      </c>
      <c r="F1029">
        <v>1.9499999999999999E-3</v>
      </c>
      <c r="G1029">
        <v>0</v>
      </c>
      <c r="H1029" t="s">
        <v>5091</v>
      </c>
      <c r="I1029" t="s">
        <v>5097</v>
      </c>
      <c r="J1029">
        <v>1.9499999999999999E-3</v>
      </c>
    </row>
    <row r="1030" spans="1:10">
      <c r="A1030" t="s">
        <v>3339</v>
      </c>
      <c r="B1030">
        <v>52</v>
      </c>
      <c r="C1030" t="s">
        <v>7</v>
      </c>
      <c r="D1030">
        <v>7</v>
      </c>
      <c r="E1030">
        <v>58</v>
      </c>
      <c r="F1030">
        <v>2.8400000000000001E-3</v>
      </c>
      <c r="G1030">
        <v>0</v>
      </c>
      <c r="H1030" t="s">
        <v>5091</v>
      </c>
      <c r="I1030" t="s">
        <v>5097</v>
      </c>
      <c r="J1030">
        <v>2.8400000000000001E-3</v>
      </c>
    </row>
    <row r="1031" spans="1:10">
      <c r="A1031" t="s">
        <v>3292</v>
      </c>
      <c r="B1031">
        <v>52</v>
      </c>
      <c r="C1031" t="s">
        <v>9</v>
      </c>
      <c r="D1031">
        <v>3</v>
      </c>
      <c r="E1031">
        <v>54</v>
      </c>
      <c r="F1031">
        <v>2.15E-3</v>
      </c>
      <c r="G1031">
        <v>0</v>
      </c>
      <c r="H1031" t="s">
        <v>5091</v>
      </c>
      <c r="I1031" t="s">
        <v>5097</v>
      </c>
      <c r="J1031">
        <v>2.15E-3</v>
      </c>
    </row>
    <row r="1032" spans="1:10">
      <c r="A1032" t="s">
        <v>3281</v>
      </c>
      <c r="B1032">
        <v>46</v>
      </c>
      <c r="C1032" t="s">
        <v>7</v>
      </c>
      <c r="D1032">
        <v>9</v>
      </c>
      <c r="E1032">
        <v>54</v>
      </c>
      <c r="F1032">
        <v>2.1299999999999999E-3</v>
      </c>
      <c r="G1032">
        <v>0</v>
      </c>
      <c r="H1032" t="s">
        <v>5091</v>
      </c>
      <c r="I1032" t="s">
        <v>5097</v>
      </c>
      <c r="J1032">
        <v>2.1299999999999999E-3</v>
      </c>
    </row>
    <row r="1033" spans="1:10">
      <c r="A1033" t="s">
        <v>3270</v>
      </c>
      <c r="B1033">
        <v>43</v>
      </c>
      <c r="C1033" t="s">
        <v>9</v>
      </c>
      <c r="D1033">
        <v>8</v>
      </c>
      <c r="E1033">
        <v>50</v>
      </c>
      <c r="F1033">
        <v>1.91E-3</v>
      </c>
      <c r="G1033">
        <v>0</v>
      </c>
      <c r="H1033" t="s">
        <v>5091</v>
      </c>
      <c r="I1033" t="s">
        <v>5097</v>
      </c>
      <c r="J1033">
        <v>1.91E-3</v>
      </c>
    </row>
    <row r="1034" spans="1:10">
      <c r="A1034" t="s">
        <v>3263</v>
      </c>
      <c r="B1034">
        <v>57</v>
      </c>
      <c r="C1034" t="s">
        <v>7</v>
      </c>
      <c r="D1034">
        <v>2</v>
      </c>
      <c r="E1034">
        <v>58</v>
      </c>
      <c r="F1034">
        <v>1.3699999999999999E-3</v>
      </c>
      <c r="G1034">
        <v>0</v>
      </c>
      <c r="H1034" t="s">
        <v>5091</v>
      </c>
      <c r="I1034" t="s">
        <v>5097</v>
      </c>
      <c r="J1034">
        <v>1.3699999999999999E-3</v>
      </c>
    </row>
    <row r="1035" spans="1:10">
      <c r="A1035" t="s">
        <v>3253</v>
      </c>
      <c r="B1035">
        <v>52</v>
      </c>
      <c r="C1035" t="s">
        <v>9</v>
      </c>
      <c r="D1035">
        <v>3</v>
      </c>
      <c r="E1035">
        <v>54</v>
      </c>
      <c r="F1035">
        <v>2.15E-3</v>
      </c>
      <c r="G1035">
        <v>0</v>
      </c>
      <c r="H1035" t="s">
        <v>5091</v>
      </c>
      <c r="I1035" t="s">
        <v>5097</v>
      </c>
      <c r="J1035">
        <v>2.15E-3</v>
      </c>
    </row>
    <row r="1036" spans="1:10">
      <c r="A1036" t="s">
        <v>3241</v>
      </c>
      <c r="B1036">
        <v>49</v>
      </c>
      <c r="C1036" t="s">
        <v>7</v>
      </c>
      <c r="D1036">
        <v>2</v>
      </c>
      <c r="E1036">
        <v>50</v>
      </c>
      <c r="F1036">
        <v>5.9999999999999995E-4</v>
      </c>
      <c r="G1036">
        <v>0</v>
      </c>
      <c r="H1036" t="s">
        <v>5091</v>
      </c>
      <c r="I1036" t="s">
        <v>5097</v>
      </c>
      <c r="J1036">
        <v>5.9999999999999995E-4</v>
      </c>
    </row>
    <row r="1037" spans="1:10">
      <c r="A1037" t="s">
        <v>3206</v>
      </c>
      <c r="B1037">
        <v>48</v>
      </c>
      <c r="C1037" t="s">
        <v>9</v>
      </c>
      <c r="D1037">
        <v>6</v>
      </c>
      <c r="E1037">
        <v>53</v>
      </c>
      <c r="F1037">
        <v>2.4199999999999998E-3</v>
      </c>
      <c r="G1037">
        <v>0</v>
      </c>
      <c r="H1037" t="s">
        <v>5091</v>
      </c>
      <c r="I1037" t="s">
        <v>5097</v>
      </c>
      <c r="J1037">
        <v>2.4199999999999998E-3</v>
      </c>
    </row>
    <row r="1038" spans="1:10">
      <c r="A1038" t="s">
        <v>3193</v>
      </c>
      <c r="B1038">
        <v>52</v>
      </c>
      <c r="C1038" t="s">
        <v>7</v>
      </c>
      <c r="D1038">
        <v>8</v>
      </c>
      <c r="E1038">
        <v>59</v>
      </c>
      <c r="F1038">
        <v>3.2200000000000002E-3</v>
      </c>
      <c r="G1038">
        <v>0</v>
      </c>
      <c r="H1038" t="s">
        <v>5091</v>
      </c>
      <c r="I1038" t="s">
        <v>5097</v>
      </c>
      <c r="J1038">
        <v>3.2200000000000002E-3</v>
      </c>
    </row>
    <row r="1039" spans="1:10">
      <c r="A1039" t="s">
        <v>897</v>
      </c>
      <c r="B1039">
        <v>52</v>
      </c>
      <c r="C1039" t="s">
        <v>7</v>
      </c>
      <c r="D1039">
        <v>7</v>
      </c>
      <c r="E1039">
        <v>58</v>
      </c>
      <c r="F1039">
        <v>2.8400000000000001E-3</v>
      </c>
      <c r="G1039">
        <v>0</v>
      </c>
      <c r="H1039" t="s">
        <v>5091</v>
      </c>
      <c r="I1039" t="s">
        <v>5097</v>
      </c>
      <c r="J1039">
        <v>2.8400000000000001E-3</v>
      </c>
    </row>
    <row r="1040" spans="1:10">
      <c r="A1040" t="s">
        <v>3146</v>
      </c>
      <c r="B1040">
        <v>52</v>
      </c>
      <c r="C1040" t="s">
        <v>9</v>
      </c>
      <c r="D1040">
        <v>7</v>
      </c>
      <c r="E1040">
        <v>58</v>
      </c>
      <c r="F1040">
        <v>4.2599999999999999E-3</v>
      </c>
      <c r="G1040">
        <v>0</v>
      </c>
      <c r="H1040" t="s">
        <v>5091</v>
      </c>
      <c r="I1040" t="s">
        <v>5097</v>
      </c>
      <c r="J1040">
        <v>4.2599999999999999E-3</v>
      </c>
    </row>
    <row r="1041" spans="1:10">
      <c r="A1041" t="s">
        <v>3141</v>
      </c>
      <c r="B1041">
        <v>49</v>
      </c>
      <c r="C1041" t="s">
        <v>7</v>
      </c>
      <c r="D1041">
        <v>4</v>
      </c>
      <c r="E1041">
        <v>52</v>
      </c>
      <c r="F1041">
        <v>1.4E-3</v>
      </c>
      <c r="G1041">
        <v>0</v>
      </c>
      <c r="H1041" t="s">
        <v>5091</v>
      </c>
      <c r="I1041" t="s">
        <v>5097</v>
      </c>
      <c r="J1041">
        <v>1.4E-3</v>
      </c>
    </row>
    <row r="1042" spans="1:10">
      <c r="A1042" t="s">
        <v>3130</v>
      </c>
      <c r="B1042">
        <v>50</v>
      </c>
      <c r="C1042" t="s">
        <v>7</v>
      </c>
      <c r="D1042">
        <v>1</v>
      </c>
      <c r="E1042">
        <v>50</v>
      </c>
      <c r="F1042">
        <v>4.2000000000000002E-4</v>
      </c>
      <c r="G1042">
        <v>0</v>
      </c>
      <c r="H1042" t="s">
        <v>5091</v>
      </c>
      <c r="I1042" t="s">
        <v>5097</v>
      </c>
      <c r="J1042">
        <v>4.2000000000000002E-4</v>
      </c>
    </row>
    <row r="1043" spans="1:10">
      <c r="A1043" t="s">
        <v>3125</v>
      </c>
      <c r="B1043">
        <v>51</v>
      </c>
      <c r="C1043" t="s">
        <v>9</v>
      </c>
      <c r="D1043">
        <v>5</v>
      </c>
      <c r="E1043">
        <v>55</v>
      </c>
      <c r="F1043">
        <v>2.8900000000000002E-3</v>
      </c>
      <c r="G1043">
        <v>0</v>
      </c>
      <c r="H1043" t="s">
        <v>5091</v>
      </c>
      <c r="I1043" t="s">
        <v>5097</v>
      </c>
      <c r="J1043">
        <v>2.8900000000000002E-3</v>
      </c>
    </row>
    <row r="1044" spans="1:10">
      <c r="A1044" t="s">
        <v>3110</v>
      </c>
      <c r="B1044">
        <v>47</v>
      </c>
      <c r="C1044" t="s">
        <v>9</v>
      </c>
      <c r="D1044">
        <v>4</v>
      </c>
      <c r="E1044">
        <v>50</v>
      </c>
      <c r="F1044">
        <v>1.5900000000000001E-3</v>
      </c>
      <c r="G1044">
        <v>0</v>
      </c>
      <c r="H1044" t="s">
        <v>5091</v>
      </c>
      <c r="I1044" t="s">
        <v>5097</v>
      </c>
      <c r="J1044">
        <v>1.5900000000000001E-3</v>
      </c>
    </row>
    <row r="1045" spans="1:10">
      <c r="A1045" t="s">
        <v>928</v>
      </c>
      <c r="B1045">
        <v>46</v>
      </c>
      <c r="C1045" t="s">
        <v>9</v>
      </c>
      <c r="D1045">
        <v>8</v>
      </c>
      <c r="E1045">
        <v>53</v>
      </c>
      <c r="F1045">
        <v>2.5600000000000002E-3</v>
      </c>
      <c r="G1045">
        <v>0</v>
      </c>
      <c r="H1045" t="s">
        <v>5091</v>
      </c>
      <c r="I1045" t="s">
        <v>5097</v>
      </c>
      <c r="J1045">
        <v>2.5600000000000002E-3</v>
      </c>
    </row>
    <row r="1046" spans="1:10">
      <c r="A1046" t="s">
        <v>3095</v>
      </c>
      <c r="B1046">
        <v>49</v>
      </c>
      <c r="C1046" t="s">
        <v>9</v>
      </c>
      <c r="D1046">
        <v>2</v>
      </c>
      <c r="E1046">
        <v>50</v>
      </c>
      <c r="F1046">
        <v>1.09E-3</v>
      </c>
      <c r="G1046">
        <v>0</v>
      </c>
      <c r="H1046" t="s">
        <v>5091</v>
      </c>
      <c r="I1046" t="s">
        <v>5097</v>
      </c>
      <c r="J1046">
        <v>1.09E-3</v>
      </c>
    </row>
    <row r="1047" spans="1:10">
      <c r="A1047" t="s">
        <v>3086</v>
      </c>
      <c r="B1047">
        <v>53</v>
      </c>
      <c r="C1047" t="s">
        <v>9</v>
      </c>
      <c r="D1047">
        <v>6</v>
      </c>
      <c r="E1047">
        <v>58</v>
      </c>
      <c r="F1047">
        <v>4.1399999999999996E-3</v>
      </c>
      <c r="G1047">
        <v>0</v>
      </c>
      <c r="H1047" t="s">
        <v>5091</v>
      </c>
      <c r="I1047" t="s">
        <v>5097</v>
      </c>
      <c r="J1047">
        <v>4.1399999999999996E-3</v>
      </c>
    </row>
    <row r="1048" spans="1:10">
      <c r="A1048" t="s">
        <v>942</v>
      </c>
      <c r="B1048">
        <v>51</v>
      </c>
      <c r="C1048" t="s">
        <v>7</v>
      </c>
      <c r="D1048">
        <v>2</v>
      </c>
      <c r="E1048">
        <v>52</v>
      </c>
      <c r="F1048">
        <v>8.8000000000000003E-4</v>
      </c>
      <c r="G1048">
        <v>0</v>
      </c>
      <c r="H1048" t="s">
        <v>5091</v>
      </c>
      <c r="I1048" t="s">
        <v>5097</v>
      </c>
      <c r="J1048">
        <v>8.8000000000000003E-4</v>
      </c>
    </row>
    <row r="1049" spans="1:10">
      <c r="A1049" t="s">
        <v>3053</v>
      </c>
      <c r="B1049">
        <v>48</v>
      </c>
      <c r="C1049" t="s">
        <v>9</v>
      </c>
      <c r="D1049">
        <v>9</v>
      </c>
      <c r="E1049">
        <v>56</v>
      </c>
      <c r="F1049">
        <v>3.5300000000000002E-3</v>
      </c>
      <c r="G1049">
        <v>0</v>
      </c>
      <c r="H1049" t="s">
        <v>5091</v>
      </c>
      <c r="I1049" t="s">
        <v>5097</v>
      </c>
      <c r="J1049">
        <v>3.5300000000000002E-3</v>
      </c>
    </row>
    <row r="1050" spans="1:10">
      <c r="A1050" t="s">
        <v>3051</v>
      </c>
      <c r="B1050">
        <v>55</v>
      </c>
      <c r="C1050" t="s">
        <v>9</v>
      </c>
      <c r="D1050">
        <v>3</v>
      </c>
      <c r="E1050">
        <v>57</v>
      </c>
      <c r="F1050">
        <v>3.0699999999999998E-3</v>
      </c>
      <c r="G1050">
        <v>0</v>
      </c>
      <c r="H1050" t="s">
        <v>5091</v>
      </c>
      <c r="I1050" t="s">
        <v>5097</v>
      </c>
      <c r="J1050">
        <v>3.0699999999999998E-3</v>
      </c>
    </row>
    <row r="1051" spans="1:10">
      <c r="A1051" t="s">
        <v>3049</v>
      </c>
      <c r="B1051">
        <v>49</v>
      </c>
      <c r="C1051" t="s">
        <v>9</v>
      </c>
      <c r="D1051">
        <v>6</v>
      </c>
      <c r="E1051">
        <v>54</v>
      </c>
      <c r="F1051">
        <v>2.7000000000000001E-3</v>
      </c>
      <c r="G1051">
        <v>0</v>
      </c>
      <c r="H1051" t="s">
        <v>5091</v>
      </c>
      <c r="I1051" t="s">
        <v>5097</v>
      </c>
      <c r="J1051">
        <v>2.7000000000000001E-3</v>
      </c>
    </row>
    <row r="1052" spans="1:10">
      <c r="A1052" t="s">
        <v>3045</v>
      </c>
      <c r="B1052">
        <v>52</v>
      </c>
      <c r="C1052" t="s">
        <v>7</v>
      </c>
      <c r="D1052">
        <v>7</v>
      </c>
      <c r="E1052">
        <v>58</v>
      </c>
      <c r="F1052">
        <v>2.8400000000000001E-3</v>
      </c>
      <c r="G1052">
        <v>0</v>
      </c>
      <c r="H1052" t="s">
        <v>5091</v>
      </c>
      <c r="I1052" t="s">
        <v>5097</v>
      </c>
      <c r="J1052">
        <v>2.8400000000000001E-3</v>
      </c>
    </row>
    <row r="1053" spans="1:10">
      <c r="A1053" t="s">
        <v>3043</v>
      </c>
      <c r="B1053">
        <v>52</v>
      </c>
      <c r="C1053" t="s">
        <v>7</v>
      </c>
      <c r="D1053">
        <v>4</v>
      </c>
      <c r="E1053">
        <v>55</v>
      </c>
      <c r="F1053">
        <v>1.8699999999999999E-3</v>
      </c>
      <c r="G1053">
        <v>0</v>
      </c>
      <c r="H1053" t="s">
        <v>5091</v>
      </c>
      <c r="I1053" t="s">
        <v>5097</v>
      </c>
      <c r="J1053">
        <v>1.8699999999999999E-3</v>
      </c>
    </row>
    <row r="1054" spans="1:10">
      <c r="A1054" t="s">
        <v>3029</v>
      </c>
      <c r="B1054">
        <v>44</v>
      </c>
      <c r="C1054" t="s">
        <v>7</v>
      </c>
      <c r="D1054">
        <v>9</v>
      </c>
      <c r="E1054">
        <v>52</v>
      </c>
      <c r="F1054">
        <v>1.7899999999999999E-3</v>
      </c>
      <c r="G1054">
        <v>0</v>
      </c>
      <c r="H1054" t="s">
        <v>5091</v>
      </c>
      <c r="I1054" t="s">
        <v>5097</v>
      </c>
      <c r="J1054">
        <v>1.7899999999999999E-3</v>
      </c>
    </row>
    <row r="1055" spans="1:10">
      <c r="A1055" t="s">
        <v>3026</v>
      </c>
      <c r="B1055">
        <v>54</v>
      </c>
      <c r="C1055" t="s">
        <v>7</v>
      </c>
      <c r="D1055">
        <v>1</v>
      </c>
      <c r="E1055">
        <v>54</v>
      </c>
      <c r="F1055">
        <v>5.1000000000000004E-4</v>
      </c>
      <c r="G1055">
        <v>0</v>
      </c>
      <c r="H1055" t="s">
        <v>5091</v>
      </c>
      <c r="I1055" t="s">
        <v>5097</v>
      </c>
      <c r="J1055">
        <v>5.1000000000000004E-4</v>
      </c>
    </row>
    <row r="1056" spans="1:10">
      <c r="A1056" t="s">
        <v>3014</v>
      </c>
      <c r="B1056">
        <v>56</v>
      </c>
      <c r="C1056" t="s">
        <v>7</v>
      </c>
      <c r="D1056">
        <v>1</v>
      </c>
      <c r="E1056">
        <v>56</v>
      </c>
      <c r="F1056">
        <v>5.5999999999999995E-4</v>
      </c>
      <c r="G1056">
        <v>0</v>
      </c>
      <c r="H1056" t="s">
        <v>5091</v>
      </c>
      <c r="I1056" t="s">
        <v>5097</v>
      </c>
      <c r="J1056">
        <v>5.5999999999999995E-4</v>
      </c>
    </row>
    <row r="1057" spans="1:10">
      <c r="A1057" t="s">
        <v>3013</v>
      </c>
      <c r="B1057">
        <v>56</v>
      </c>
      <c r="C1057" t="s">
        <v>9</v>
      </c>
      <c r="D1057">
        <v>1</v>
      </c>
      <c r="E1057">
        <v>56</v>
      </c>
      <c r="F1057">
        <v>1.1900000000000001E-3</v>
      </c>
      <c r="G1057">
        <v>0</v>
      </c>
      <c r="H1057" t="s">
        <v>5091</v>
      </c>
      <c r="I1057" t="s">
        <v>5097</v>
      </c>
      <c r="J1057">
        <v>1.1900000000000001E-3</v>
      </c>
    </row>
    <row r="1058" spans="1:10">
      <c r="A1058" t="s">
        <v>1005</v>
      </c>
      <c r="B1058">
        <v>56</v>
      </c>
      <c r="C1058" t="s">
        <v>9</v>
      </c>
      <c r="D1058">
        <v>2</v>
      </c>
      <c r="E1058">
        <v>57</v>
      </c>
      <c r="F1058">
        <v>2.15E-3</v>
      </c>
      <c r="G1058">
        <v>0</v>
      </c>
      <c r="H1058" t="s">
        <v>5091</v>
      </c>
      <c r="I1058" t="s">
        <v>5097</v>
      </c>
      <c r="J1058">
        <v>2.15E-3</v>
      </c>
    </row>
    <row r="1059" spans="1:10">
      <c r="A1059" t="s">
        <v>1007</v>
      </c>
      <c r="B1059">
        <v>51</v>
      </c>
      <c r="C1059" t="s">
        <v>9</v>
      </c>
      <c r="D1059">
        <v>5</v>
      </c>
      <c r="E1059">
        <v>55</v>
      </c>
      <c r="F1059">
        <v>2.8900000000000002E-3</v>
      </c>
      <c r="G1059">
        <v>0</v>
      </c>
      <c r="H1059" t="s">
        <v>5091</v>
      </c>
      <c r="I1059" t="s">
        <v>5097</v>
      </c>
      <c r="J1059">
        <v>2.8900000000000002E-3</v>
      </c>
    </row>
    <row r="1060" spans="1:10">
      <c r="A1060" t="s">
        <v>2982</v>
      </c>
      <c r="B1060">
        <v>54</v>
      </c>
      <c r="C1060" t="s">
        <v>9</v>
      </c>
      <c r="D1060">
        <v>1</v>
      </c>
      <c r="E1060">
        <v>54</v>
      </c>
      <c r="F1060">
        <v>1.01E-3</v>
      </c>
      <c r="G1060">
        <v>0</v>
      </c>
      <c r="H1060" t="s">
        <v>5091</v>
      </c>
      <c r="I1060" t="s">
        <v>5097</v>
      </c>
      <c r="J1060">
        <v>1.01E-3</v>
      </c>
    </row>
    <row r="1061" spans="1:10">
      <c r="A1061" t="s">
        <v>1016</v>
      </c>
      <c r="B1061">
        <v>48</v>
      </c>
      <c r="C1061" t="s">
        <v>7</v>
      </c>
      <c r="D1061">
        <v>3</v>
      </c>
      <c r="E1061">
        <v>50</v>
      </c>
      <c r="F1061">
        <v>9.7999999999999997E-4</v>
      </c>
      <c r="G1061">
        <v>0</v>
      </c>
      <c r="H1061" t="s">
        <v>5091</v>
      </c>
      <c r="I1061" t="s">
        <v>5097</v>
      </c>
      <c r="J1061">
        <v>9.7999999999999997E-4</v>
      </c>
    </row>
    <row r="1062" spans="1:10">
      <c r="A1062" t="s">
        <v>2956</v>
      </c>
      <c r="B1062">
        <v>45</v>
      </c>
      <c r="C1062" t="s">
        <v>7</v>
      </c>
      <c r="D1062">
        <v>7</v>
      </c>
      <c r="E1062">
        <v>51</v>
      </c>
      <c r="F1062">
        <v>1.4499999999999999E-3</v>
      </c>
      <c r="G1062">
        <v>0</v>
      </c>
      <c r="H1062" t="s">
        <v>5091</v>
      </c>
      <c r="I1062" t="s">
        <v>5097</v>
      </c>
      <c r="J1062">
        <v>1.4499999999999999E-3</v>
      </c>
    </row>
    <row r="1063" spans="1:10">
      <c r="A1063" t="s">
        <v>1035</v>
      </c>
      <c r="B1063">
        <v>56</v>
      </c>
      <c r="C1063" t="s">
        <v>9</v>
      </c>
      <c r="D1063">
        <v>2</v>
      </c>
      <c r="E1063">
        <v>57</v>
      </c>
      <c r="F1063">
        <v>2.15E-3</v>
      </c>
      <c r="G1063">
        <v>0</v>
      </c>
      <c r="H1063" t="s">
        <v>5091</v>
      </c>
      <c r="I1063" t="s">
        <v>5097</v>
      </c>
      <c r="J1063">
        <v>2.15E-3</v>
      </c>
    </row>
    <row r="1064" spans="1:10">
      <c r="A1064" t="s">
        <v>2917</v>
      </c>
      <c r="B1064">
        <v>53</v>
      </c>
      <c r="C1064" t="s">
        <v>7</v>
      </c>
      <c r="D1064">
        <v>7</v>
      </c>
      <c r="E1064">
        <v>59</v>
      </c>
      <c r="F1064">
        <v>3.13E-3</v>
      </c>
      <c r="G1064">
        <v>0</v>
      </c>
      <c r="H1064" t="s">
        <v>5091</v>
      </c>
      <c r="I1064" t="s">
        <v>5097</v>
      </c>
      <c r="J1064">
        <v>3.13E-3</v>
      </c>
    </row>
    <row r="1065" spans="1:10">
      <c r="A1065" t="s">
        <v>2909</v>
      </c>
      <c r="B1065">
        <v>49</v>
      </c>
      <c r="C1065" t="s">
        <v>7</v>
      </c>
      <c r="D1065">
        <v>2</v>
      </c>
      <c r="E1065">
        <v>50</v>
      </c>
      <c r="F1065">
        <v>5.9999999999999995E-4</v>
      </c>
      <c r="G1065">
        <v>0</v>
      </c>
      <c r="H1065" t="s">
        <v>5091</v>
      </c>
      <c r="I1065" t="s">
        <v>5097</v>
      </c>
      <c r="J1065">
        <v>5.9999999999999995E-4</v>
      </c>
    </row>
    <row r="1066" spans="1:10">
      <c r="A1066" t="s">
        <v>1043</v>
      </c>
      <c r="B1066">
        <v>48</v>
      </c>
      <c r="C1066" t="s">
        <v>7</v>
      </c>
      <c r="D1066">
        <v>6</v>
      </c>
      <c r="E1066">
        <v>53</v>
      </c>
      <c r="F1066">
        <v>1.6900000000000001E-3</v>
      </c>
      <c r="G1066">
        <v>0</v>
      </c>
      <c r="H1066" t="s">
        <v>5091</v>
      </c>
      <c r="I1066" t="s">
        <v>5097</v>
      </c>
      <c r="J1066">
        <v>1.6900000000000001E-3</v>
      </c>
    </row>
    <row r="1067" spans="1:10">
      <c r="A1067" t="s">
        <v>2905</v>
      </c>
      <c r="B1067">
        <v>49</v>
      </c>
      <c r="C1067" t="s">
        <v>9</v>
      </c>
      <c r="D1067">
        <v>4</v>
      </c>
      <c r="E1067">
        <v>52</v>
      </c>
      <c r="F1067">
        <v>1.9400000000000001E-3</v>
      </c>
      <c r="G1067">
        <v>0</v>
      </c>
      <c r="H1067" t="s">
        <v>5091</v>
      </c>
      <c r="I1067" t="s">
        <v>5097</v>
      </c>
      <c r="J1067">
        <v>1.9400000000000001E-3</v>
      </c>
    </row>
    <row r="1068" spans="1:10">
      <c r="A1068" t="s">
        <v>2899</v>
      </c>
      <c r="B1068">
        <v>48</v>
      </c>
      <c r="C1068" t="s">
        <v>7</v>
      </c>
      <c r="D1068">
        <v>9</v>
      </c>
      <c r="E1068">
        <v>56</v>
      </c>
      <c r="F1068">
        <v>2.5100000000000001E-3</v>
      </c>
      <c r="G1068">
        <v>0</v>
      </c>
      <c r="H1068" t="s">
        <v>5091</v>
      </c>
      <c r="I1068" t="s">
        <v>5097</v>
      </c>
      <c r="J1068">
        <v>2.5100000000000001E-3</v>
      </c>
    </row>
    <row r="1069" spans="1:10">
      <c r="A1069" t="s">
        <v>2893</v>
      </c>
      <c r="B1069">
        <v>49</v>
      </c>
      <c r="C1069" t="s">
        <v>7</v>
      </c>
      <c r="D1069">
        <v>9</v>
      </c>
      <c r="E1069">
        <v>57</v>
      </c>
      <c r="F1069">
        <v>2.7499999999999998E-3</v>
      </c>
      <c r="G1069">
        <v>0</v>
      </c>
      <c r="H1069" t="s">
        <v>5091</v>
      </c>
      <c r="I1069" t="s">
        <v>5097</v>
      </c>
      <c r="J1069">
        <v>2.7499999999999998E-3</v>
      </c>
    </row>
    <row r="1070" spans="1:10">
      <c r="A1070" t="s">
        <v>2886</v>
      </c>
      <c r="B1070">
        <v>44</v>
      </c>
      <c r="C1070" t="s">
        <v>9</v>
      </c>
      <c r="D1070">
        <v>8</v>
      </c>
      <c r="E1070">
        <v>51</v>
      </c>
      <c r="F1070">
        <v>2.1099999999999999E-3</v>
      </c>
      <c r="G1070">
        <v>0</v>
      </c>
      <c r="H1070" t="s">
        <v>5091</v>
      </c>
      <c r="I1070" t="s">
        <v>5097</v>
      </c>
      <c r="J1070">
        <v>2.1099999999999999E-3</v>
      </c>
    </row>
    <row r="1071" spans="1:10">
      <c r="A1071" t="s">
        <v>2876</v>
      </c>
      <c r="B1071">
        <v>52</v>
      </c>
      <c r="C1071" t="s">
        <v>7</v>
      </c>
      <c r="D1071">
        <v>4</v>
      </c>
      <c r="E1071">
        <v>55</v>
      </c>
      <c r="F1071">
        <v>1.8699999999999999E-3</v>
      </c>
      <c r="G1071">
        <v>0</v>
      </c>
      <c r="H1071" t="s">
        <v>5091</v>
      </c>
      <c r="I1071" t="s">
        <v>5097</v>
      </c>
      <c r="J1071">
        <v>1.8699999999999999E-3</v>
      </c>
    </row>
    <row r="1072" spans="1:10">
      <c r="A1072" t="s">
        <v>2865</v>
      </c>
      <c r="B1072">
        <v>47</v>
      </c>
      <c r="C1072" t="s">
        <v>9</v>
      </c>
      <c r="D1072">
        <v>7</v>
      </c>
      <c r="E1072">
        <v>53</v>
      </c>
      <c r="F1072">
        <v>2.5000000000000001E-3</v>
      </c>
      <c r="G1072">
        <v>0</v>
      </c>
      <c r="H1072" t="s">
        <v>5091</v>
      </c>
      <c r="I1072" t="s">
        <v>5097</v>
      </c>
      <c r="J1072">
        <v>2.5000000000000001E-3</v>
      </c>
    </row>
    <row r="1073" spans="1:10">
      <c r="A1073" t="s">
        <v>2850</v>
      </c>
      <c r="B1073">
        <v>46</v>
      </c>
      <c r="C1073" t="s">
        <v>7</v>
      </c>
      <c r="D1073">
        <v>5</v>
      </c>
      <c r="E1073">
        <v>50</v>
      </c>
      <c r="F1073">
        <v>1.2199999999999999E-3</v>
      </c>
      <c r="G1073">
        <v>0</v>
      </c>
      <c r="H1073" t="s">
        <v>5091</v>
      </c>
      <c r="I1073" t="s">
        <v>5097</v>
      </c>
      <c r="J1073">
        <v>1.2199999999999999E-3</v>
      </c>
    </row>
    <row r="1074" spans="1:10">
      <c r="A1074" t="s">
        <v>2824</v>
      </c>
      <c r="B1074">
        <v>47</v>
      </c>
      <c r="C1074" t="s">
        <v>7</v>
      </c>
      <c r="D1074">
        <v>5</v>
      </c>
      <c r="E1074">
        <v>51</v>
      </c>
      <c r="F1074">
        <v>1.33E-3</v>
      </c>
      <c r="G1074">
        <v>0</v>
      </c>
      <c r="H1074" t="s">
        <v>5091</v>
      </c>
      <c r="I1074" t="s">
        <v>5097</v>
      </c>
      <c r="J1074">
        <v>1.33E-3</v>
      </c>
    </row>
    <row r="1075" spans="1:10">
      <c r="A1075" t="s">
        <v>2799</v>
      </c>
      <c r="B1075">
        <v>51</v>
      </c>
      <c r="C1075" t="s">
        <v>9</v>
      </c>
      <c r="D1075">
        <v>6</v>
      </c>
      <c r="E1075">
        <v>56</v>
      </c>
      <c r="F1075">
        <v>3.2699999999999999E-3</v>
      </c>
      <c r="G1075">
        <v>0</v>
      </c>
      <c r="H1075" t="s">
        <v>5091</v>
      </c>
      <c r="I1075" t="s">
        <v>5097</v>
      </c>
      <c r="J1075">
        <v>3.2699999999999999E-3</v>
      </c>
    </row>
    <row r="1076" spans="1:10">
      <c r="A1076" t="s">
        <v>1109</v>
      </c>
      <c r="B1076">
        <v>49</v>
      </c>
      <c r="C1076" t="s">
        <v>9</v>
      </c>
      <c r="D1076">
        <v>5</v>
      </c>
      <c r="E1076">
        <v>53</v>
      </c>
      <c r="F1076">
        <v>2.31E-3</v>
      </c>
      <c r="G1076">
        <v>0</v>
      </c>
      <c r="H1076" t="s">
        <v>5091</v>
      </c>
      <c r="I1076" t="s">
        <v>5097</v>
      </c>
      <c r="J1076">
        <v>2.31E-3</v>
      </c>
    </row>
    <row r="1077" spans="1:10">
      <c r="A1077" t="s">
        <v>2723</v>
      </c>
      <c r="B1077">
        <v>51</v>
      </c>
      <c r="C1077" t="s">
        <v>9</v>
      </c>
      <c r="D1077">
        <v>7</v>
      </c>
      <c r="E1077">
        <v>57</v>
      </c>
      <c r="F1077">
        <v>3.6900000000000001E-3</v>
      </c>
      <c r="G1077">
        <v>0</v>
      </c>
      <c r="H1077" t="s">
        <v>5091</v>
      </c>
      <c r="I1077" t="s">
        <v>5097</v>
      </c>
      <c r="J1077">
        <v>3.6900000000000001E-3</v>
      </c>
    </row>
    <row r="1078" spans="1:10">
      <c r="A1078" t="s">
        <v>1143</v>
      </c>
      <c r="B1078">
        <v>51</v>
      </c>
      <c r="C1078" t="s">
        <v>7</v>
      </c>
      <c r="D1078">
        <v>5</v>
      </c>
      <c r="E1078">
        <v>55</v>
      </c>
      <c r="F1078">
        <v>1.99E-3</v>
      </c>
      <c r="G1078">
        <v>0</v>
      </c>
      <c r="H1078" t="s">
        <v>5091</v>
      </c>
      <c r="I1078" t="s">
        <v>5097</v>
      </c>
      <c r="J1078">
        <v>1.99E-3</v>
      </c>
    </row>
    <row r="1079" spans="1:10">
      <c r="A1079" t="s">
        <v>2671</v>
      </c>
      <c r="B1079">
        <v>42</v>
      </c>
      <c r="C1079" t="s">
        <v>9</v>
      </c>
      <c r="D1079">
        <v>9</v>
      </c>
      <c r="E1079">
        <v>50</v>
      </c>
      <c r="F1079">
        <v>2E-3</v>
      </c>
      <c r="G1079">
        <v>0</v>
      </c>
      <c r="H1079" t="s">
        <v>5091</v>
      </c>
      <c r="I1079" t="s">
        <v>5097</v>
      </c>
      <c r="J1079">
        <v>2E-3</v>
      </c>
    </row>
    <row r="1080" spans="1:10">
      <c r="A1080" t="s">
        <v>1153</v>
      </c>
      <c r="B1080">
        <v>49</v>
      </c>
      <c r="C1080" t="s">
        <v>7</v>
      </c>
      <c r="D1080">
        <v>9</v>
      </c>
      <c r="E1080">
        <v>57</v>
      </c>
      <c r="F1080">
        <v>2.7499999999999998E-3</v>
      </c>
      <c r="G1080">
        <v>0</v>
      </c>
      <c r="H1080" t="s">
        <v>5091</v>
      </c>
      <c r="I1080" t="s">
        <v>5097</v>
      </c>
      <c r="J1080">
        <v>2.7499999999999998E-3</v>
      </c>
    </row>
    <row r="1081" spans="1:10">
      <c r="A1081" t="s">
        <v>2666</v>
      </c>
      <c r="B1081">
        <v>48</v>
      </c>
      <c r="C1081" t="s">
        <v>7</v>
      </c>
      <c r="D1081">
        <v>5</v>
      </c>
      <c r="E1081">
        <v>52</v>
      </c>
      <c r="F1081">
        <v>1.47E-3</v>
      </c>
      <c r="G1081">
        <v>0</v>
      </c>
      <c r="H1081" t="s">
        <v>5091</v>
      </c>
      <c r="I1081" t="s">
        <v>5097</v>
      </c>
      <c r="J1081">
        <v>1.47E-3</v>
      </c>
    </row>
    <row r="1082" spans="1:10">
      <c r="A1082" t="s">
        <v>2656</v>
      </c>
      <c r="B1082">
        <v>51</v>
      </c>
      <c r="C1082" t="s">
        <v>7</v>
      </c>
      <c r="D1082">
        <v>3</v>
      </c>
      <c r="E1082">
        <v>53</v>
      </c>
      <c r="F1082">
        <v>1.4300000000000001E-3</v>
      </c>
      <c r="G1082">
        <v>0</v>
      </c>
      <c r="H1082" t="s">
        <v>5091</v>
      </c>
      <c r="I1082" t="s">
        <v>5097</v>
      </c>
      <c r="J1082">
        <v>1.4300000000000001E-3</v>
      </c>
    </row>
    <row r="1083" spans="1:10">
      <c r="A1083" t="s">
        <v>2642</v>
      </c>
      <c r="B1083">
        <v>45</v>
      </c>
      <c r="C1083" t="s">
        <v>9</v>
      </c>
      <c r="D1083">
        <v>8</v>
      </c>
      <c r="E1083">
        <v>52</v>
      </c>
      <c r="F1083">
        <v>2.32E-3</v>
      </c>
      <c r="G1083">
        <v>0</v>
      </c>
      <c r="H1083" t="s">
        <v>5091</v>
      </c>
      <c r="I1083" t="s">
        <v>5097</v>
      </c>
      <c r="J1083">
        <v>2.32E-3</v>
      </c>
    </row>
    <row r="1084" spans="1:10">
      <c r="A1084" t="s">
        <v>2604</v>
      </c>
      <c r="B1084">
        <v>51</v>
      </c>
      <c r="C1084" t="s">
        <v>7</v>
      </c>
      <c r="D1084">
        <v>3</v>
      </c>
      <c r="E1084">
        <v>53</v>
      </c>
      <c r="F1084">
        <v>1.4300000000000001E-3</v>
      </c>
      <c r="G1084">
        <v>0</v>
      </c>
      <c r="H1084" t="s">
        <v>5091</v>
      </c>
      <c r="I1084" t="s">
        <v>5097</v>
      </c>
      <c r="J1084">
        <v>1.4300000000000001E-3</v>
      </c>
    </row>
    <row r="1085" spans="1:10">
      <c r="A1085" t="s">
        <v>2597</v>
      </c>
      <c r="B1085">
        <v>49</v>
      </c>
      <c r="C1085" t="s">
        <v>7</v>
      </c>
      <c r="D1085">
        <v>6</v>
      </c>
      <c r="E1085">
        <v>54</v>
      </c>
      <c r="F1085">
        <v>1.8600000000000001E-3</v>
      </c>
      <c r="G1085">
        <v>0</v>
      </c>
      <c r="H1085" t="s">
        <v>5091</v>
      </c>
      <c r="I1085" t="s">
        <v>5097</v>
      </c>
      <c r="J1085">
        <v>1.8600000000000001E-3</v>
      </c>
    </row>
    <row r="1086" spans="1:10">
      <c r="A1086" t="s">
        <v>2595</v>
      </c>
      <c r="B1086">
        <v>52</v>
      </c>
      <c r="C1086" t="s">
        <v>9</v>
      </c>
      <c r="D1086">
        <v>2</v>
      </c>
      <c r="E1086">
        <v>53</v>
      </c>
      <c r="F1086">
        <v>1.5E-3</v>
      </c>
      <c r="G1086">
        <v>0</v>
      </c>
      <c r="H1086" t="s">
        <v>5091</v>
      </c>
      <c r="I1086" t="s">
        <v>5097</v>
      </c>
      <c r="J1086">
        <v>1.5E-3</v>
      </c>
    </row>
    <row r="1087" spans="1:10">
      <c r="A1087" t="s">
        <v>1187</v>
      </c>
      <c r="B1087">
        <v>45</v>
      </c>
      <c r="C1087" t="s">
        <v>9</v>
      </c>
      <c r="D1087">
        <v>7</v>
      </c>
      <c r="E1087">
        <v>51</v>
      </c>
      <c r="F1087">
        <v>2.0200000000000001E-3</v>
      </c>
      <c r="G1087">
        <v>0</v>
      </c>
      <c r="H1087" t="s">
        <v>5091</v>
      </c>
      <c r="I1087" t="s">
        <v>5097</v>
      </c>
      <c r="J1087">
        <v>2.0200000000000001E-3</v>
      </c>
    </row>
    <row r="1088" spans="1:10">
      <c r="A1088" t="s">
        <v>2566</v>
      </c>
      <c r="B1088">
        <v>47</v>
      </c>
      <c r="C1088" t="s">
        <v>9</v>
      </c>
      <c r="D1088">
        <v>6</v>
      </c>
      <c r="E1088">
        <v>52</v>
      </c>
      <c r="F1088">
        <v>2.16E-3</v>
      </c>
      <c r="G1088">
        <v>0</v>
      </c>
      <c r="H1088" t="s">
        <v>5091</v>
      </c>
      <c r="I1088" t="s">
        <v>5097</v>
      </c>
      <c r="J1088">
        <v>2.16E-3</v>
      </c>
    </row>
    <row r="1089" spans="1:10">
      <c r="A1089" t="s">
        <v>2564</v>
      </c>
      <c r="B1089">
        <v>51</v>
      </c>
      <c r="C1089" t="s">
        <v>9</v>
      </c>
      <c r="D1089">
        <v>1</v>
      </c>
      <c r="E1089">
        <v>51</v>
      </c>
      <c r="F1089">
        <v>8.5999999999999998E-4</v>
      </c>
      <c r="G1089">
        <v>0</v>
      </c>
      <c r="H1089" t="s">
        <v>5091</v>
      </c>
      <c r="I1089" t="s">
        <v>5097</v>
      </c>
      <c r="J1089">
        <v>8.5999999999999998E-4</v>
      </c>
    </row>
    <row r="1090" spans="1:10">
      <c r="A1090" t="s">
        <v>2547</v>
      </c>
      <c r="B1090">
        <v>47</v>
      </c>
      <c r="C1090" t="s">
        <v>7</v>
      </c>
      <c r="D1090">
        <v>9</v>
      </c>
      <c r="E1090">
        <v>55</v>
      </c>
      <c r="F1090">
        <v>2.32E-3</v>
      </c>
      <c r="G1090">
        <v>0</v>
      </c>
      <c r="H1090" t="s">
        <v>5091</v>
      </c>
      <c r="I1090" t="s">
        <v>5097</v>
      </c>
      <c r="J1090">
        <v>2.32E-3</v>
      </c>
    </row>
    <row r="1091" spans="1:10">
      <c r="A1091" t="s">
        <v>2538</v>
      </c>
      <c r="B1091">
        <v>54</v>
      </c>
      <c r="C1091" t="s">
        <v>7</v>
      </c>
      <c r="D1091">
        <v>5</v>
      </c>
      <c r="E1091">
        <v>58</v>
      </c>
      <c r="F1091">
        <v>2.63E-3</v>
      </c>
      <c r="G1091">
        <v>0</v>
      </c>
      <c r="H1091" t="s">
        <v>5091</v>
      </c>
      <c r="I1091" t="s">
        <v>5097</v>
      </c>
      <c r="J1091">
        <v>2.63E-3</v>
      </c>
    </row>
    <row r="1092" spans="1:10">
      <c r="A1092" t="s">
        <v>2536</v>
      </c>
      <c r="B1092">
        <v>50</v>
      </c>
      <c r="C1092" t="s">
        <v>7</v>
      </c>
      <c r="D1092">
        <v>1</v>
      </c>
      <c r="E1092">
        <v>50</v>
      </c>
      <c r="F1092">
        <v>4.2000000000000002E-4</v>
      </c>
      <c r="G1092">
        <v>0</v>
      </c>
      <c r="H1092" t="s">
        <v>5091</v>
      </c>
      <c r="I1092" t="s">
        <v>5097</v>
      </c>
      <c r="J1092">
        <v>4.2000000000000002E-4</v>
      </c>
    </row>
    <row r="1093" spans="1:10">
      <c r="A1093" t="s">
        <v>2533</v>
      </c>
      <c r="B1093">
        <v>50</v>
      </c>
      <c r="C1093" t="s">
        <v>7</v>
      </c>
      <c r="D1093">
        <v>3</v>
      </c>
      <c r="E1093">
        <v>52</v>
      </c>
      <c r="F1093">
        <v>1.2800000000000001E-3</v>
      </c>
      <c r="G1093">
        <v>0</v>
      </c>
      <c r="H1093" t="s">
        <v>5091</v>
      </c>
      <c r="I1093" t="s">
        <v>5097</v>
      </c>
      <c r="J1093">
        <v>1.2800000000000001E-3</v>
      </c>
    </row>
    <row r="1094" spans="1:10">
      <c r="A1094" t="s">
        <v>2531</v>
      </c>
      <c r="B1094">
        <v>47</v>
      </c>
      <c r="C1094" t="s">
        <v>7</v>
      </c>
      <c r="D1094">
        <v>6</v>
      </c>
      <c r="E1094">
        <v>52</v>
      </c>
      <c r="F1094">
        <v>1.5399999999999999E-3</v>
      </c>
      <c r="G1094">
        <v>0</v>
      </c>
      <c r="H1094" t="s">
        <v>5091</v>
      </c>
      <c r="I1094" t="s">
        <v>5097</v>
      </c>
      <c r="J1094">
        <v>1.5399999999999999E-3</v>
      </c>
    </row>
    <row r="1095" spans="1:10">
      <c r="A1095" t="s">
        <v>1209</v>
      </c>
      <c r="B1095">
        <v>53</v>
      </c>
      <c r="C1095" t="s">
        <v>9</v>
      </c>
      <c r="D1095">
        <v>4</v>
      </c>
      <c r="E1095">
        <v>56</v>
      </c>
      <c r="F1095">
        <v>3.0899999999999999E-3</v>
      </c>
      <c r="G1095">
        <v>0</v>
      </c>
      <c r="H1095" t="s">
        <v>5091</v>
      </c>
      <c r="I1095" t="s">
        <v>5097</v>
      </c>
      <c r="J1095">
        <v>3.0899999999999999E-3</v>
      </c>
    </row>
    <row r="1096" spans="1:10">
      <c r="A1096" t="s">
        <v>1213</v>
      </c>
      <c r="B1096">
        <v>54</v>
      </c>
      <c r="C1096" t="s">
        <v>9</v>
      </c>
      <c r="D1096">
        <v>2</v>
      </c>
      <c r="E1096">
        <v>55</v>
      </c>
      <c r="F1096">
        <v>1.8500000000000001E-3</v>
      </c>
      <c r="G1096">
        <v>0</v>
      </c>
      <c r="H1096" t="s">
        <v>5091</v>
      </c>
      <c r="I1096" t="s">
        <v>5097</v>
      </c>
      <c r="J1096">
        <v>1.8500000000000001E-3</v>
      </c>
    </row>
    <row r="1097" spans="1:10">
      <c r="A1097" t="s">
        <v>1219</v>
      </c>
      <c r="B1097">
        <v>55</v>
      </c>
      <c r="C1097" t="s">
        <v>9</v>
      </c>
      <c r="D1097">
        <v>2</v>
      </c>
      <c r="E1097">
        <v>56</v>
      </c>
      <c r="F1097">
        <v>2.0100000000000001E-3</v>
      </c>
      <c r="G1097">
        <v>0</v>
      </c>
      <c r="H1097" t="s">
        <v>5091</v>
      </c>
      <c r="I1097" t="s">
        <v>5097</v>
      </c>
      <c r="J1097">
        <v>2.0100000000000001E-3</v>
      </c>
    </row>
    <row r="1098" spans="1:10">
      <c r="A1098" t="s">
        <v>2498</v>
      </c>
      <c r="B1098">
        <v>52</v>
      </c>
      <c r="C1098" t="s">
        <v>7</v>
      </c>
      <c r="D1098">
        <v>4</v>
      </c>
      <c r="E1098">
        <v>55</v>
      </c>
      <c r="F1098">
        <v>1.8699999999999999E-3</v>
      </c>
      <c r="G1098">
        <v>0</v>
      </c>
      <c r="H1098" t="s">
        <v>5091</v>
      </c>
      <c r="I1098" t="s">
        <v>5097</v>
      </c>
      <c r="J1098">
        <v>1.8699999999999999E-3</v>
      </c>
    </row>
    <row r="1099" spans="1:10">
      <c r="A1099" t="s">
        <v>1224</v>
      </c>
      <c r="B1099">
        <v>48</v>
      </c>
      <c r="C1099" t="s">
        <v>7</v>
      </c>
      <c r="D1099">
        <v>6</v>
      </c>
      <c r="E1099">
        <v>53</v>
      </c>
      <c r="F1099">
        <v>1.6900000000000001E-3</v>
      </c>
      <c r="G1099">
        <v>0</v>
      </c>
      <c r="H1099" t="s">
        <v>5091</v>
      </c>
      <c r="I1099" t="s">
        <v>5097</v>
      </c>
      <c r="J1099">
        <v>1.6900000000000001E-3</v>
      </c>
    </row>
    <row r="1100" spans="1:10">
      <c r="A1100" t="s">
        <v>1226</v>
      </c>
      <c r="B1100">
        <v>47</v>
      </c>
      <c r="C1100" t="s">
        <v>7</v>
      </c>
      <c r="D1100">
        <v>9</v>
      </c>
      <c r="E1100">
        <v>55</v>
      </c>
      <c r="F1100">
        <v>2.32E-3</v>
      </c>
      <c r="G1100">
        <v>0</v>
      </c>
      <c r="H1100" t="s">
        <v>5091</v>
      </c>
      <c r="I1100" t="s">
        <v>5097</v>
      </c>
      <c r="J1100">
        <v>2.32E-3</v>
      </c>
    </row>
    <row r="1101" spans="1:10">
      <c r="A1101" t="s">
        <v>2492</v>
      </c>
      <c r="B1101">
        <v>58</v>
      </c>
      <c r="C1101" t="s">
        <v>9</v>
      </c>
      <c r="D1101">
        <v>1</v>
      </c>
      <c r="E1101">
        <v>58</v>
      </c>
      <c r="F1101">
        <v>1.56E-3</v>
      </c>
      <c r="G1101">
        <v>0</v>
      </c>
      <c r="H1101" t="s">
        <v>5091</v>
      </c>
      <c r="I1101" t="s">
        <v>5097</v>
      </c>
      <c r="J1101">
        <v>1.56E-3</v>
      </c>
    </row>
    <row r="1102" spans="1:10">
      <c r="A1102" t="s">
        <v>2483</v>
      </c>
      <c r="B1102">
        <v>48</v>
      </c>
      <c r="C1102" t="s">
        <v>9</v>
      </c>
      <c r="D1102">
        <v>5</v>
      </c>
      <c r="E1102">
        <v>52</v>
      </c>
      <c r="F1102">
        <v>2.0600000000000002E-3</v>
      </c>
      <c r="G1102">
        <v>0</v>
      </c>
      <c r="H1102" t="s">
        <v>5091</v>
      </c>
      <c r="I1102" t="s">
        <v>5097</v>
      </c>
      <c r="J1102">
        <v>2.0600000000000002E-3</v>
      </c>
    </row>
    <row r="1103" spans="1:10">
      <c r="A1103" t="s">
        <v>2477</v>
      </c>
      <c r="B1103">
        <v>52</v>
      </c>
      <c r="C1103" t="s">
        <v>9</v>
      </c>
      <c r="D1103">
        <v>2</v>
      </c>
      <c r="E1103">
        <v>53</v>
      </c>
      <c r="F1103">
        <v>1.5E-3</v>
      </c>
      <c r="G1103">
        <v>0</v>
      </c>
      <c r="H1103" t="s">
        <v>5091</v>
      </c>
      <c r="I1103" t="s">
        <v>5097</v>
      </c>
      <c r="J1103">
        <v>1.5E-3</v>
      </c>
    </row>
    <row r="1104" spans="1:10">
      <c r="A1104" t="s">
        <v>2468</v>
      </c>
      <c r="B1104">
        <v>46</v>
      </c>
      <c r="C1104" t="s">
        <v>9</v>
      </c>
      <c r="D1104">
        <v>8</v>
      </c>
      <c r="E1104">
        <v>53</v>
      </c>
      <c r="F1104">
        <v>2.5600000000000002E-3</v>
      </c>
      <c r="G1104">
        <v>0</v>
      </c>
      <c r="H1104" t="s">
        <v>5091</v>
      </c>
      <c r="I1104" t="s">
        <v>5097</v>
      </c>
      <c r="J1104">
        <v>2.5600000000000002E-3</v>
      </c>
    </row>
    <row r="1105" spans="1:10">
      <c r="A1105" t="s">
        <v>2462</v>
      </c>
      <c r="B1105">
        <v>48</v>
      </c>
      <c r="C1105" t="s">
        <v>7</v>
      </c>
      <c r="D1105">
        <v>3</v>
      </c>
      <c r="E1105">
        <v>50</v>
      </c>
      <c r="F1105">
        <v>9.7999999999999997E-4</v>
      </c>
      <c r="G1105">
        <v>0</v>
      </c>
      <c r="H1105" t="s">
        <v>5091</v>
      </c>
      <c r="I1105" t="s">
        <v>5097</v>
      </c>
      <c r="J1105">
        <v>9.7999999999999997E-4</v>
      </c>
    </row>
    <row r="1106" spans="1:10">
      <c r="A1106" t="s">
        <v>2461</v>
      </c>
      <c r="B1106">
        <v>49</v>
      </c>
      <c r="C1106" t="s">
        <v>9</v>
      </c>
      <c r="D1106">
        <v>9</v>
      </c>
      <c r="E1106">
        <v>57</v>
      </c>
      <c r="F1106">
        <v>3.9300000000000003E-3</v>
      </c>
      <c r="G1106">
        <v>0</v>
      </c>
      <c r="H1106" t="s">
        <v>5091</v>
      </c>
      <c r="I1106" t="s">
        <v>5097</v>
      </c>
      <c r="J1106">
        <v>3.9300000000000003E-3</v>
      </c>
    </row>
    <row r="1107" spans="1:10">
      <c r="A1107" t="s">
        <v>2456</v>
      </c>
      <c r="B1107">
        <v>45</v>
      </c>
      <c r="C1107" t="s">
        <v>7</v>
      </c>
      <c r="D1107">
        <v>6</v>
      </c>
      <c r="E1107">
        <v>50</v>
      </c>
      <c r="F1107">
        <v>1.2800000000000001E-3</v>
      </c>
      <c r="G1107">
        <v>0</v>
      </c>
      <c r="H1107" t="s">
        <v>5091</v>
      </c>
      <c r="I1107" t="s">
        <v>5097</v>
      </c>
      <c r="J1107">
        <v>1.2800000000000001E-3</v>
      </c>
    </row>
    <row r="1108" spans="1:10">
      <c r="A1108" t="s">
        <v>2454</v>
      </c>
      <c r="B1108">
        <v>53</v>
      </c>
      <c r="C1108" t="s">
        <v>9</v>
      </c>
      <c r="D1108">
        <v>3</v>
      </c>
      <c r="E1108">
        <v>55</v>
      </c>
      <c r="F1108">
        <v>2.4099999999999998E-3</v>
      </c>
      <c r="G1108">
        <v>0</v>
      </c>
      <c r="H1108" t="s">
        <v>5091</v>
      </c>
      <c r="I1108" t="s">
        <v>5097</v>
      </c>
      <c r="J1108">
        <v>2.4099999999999998E-3</v>
      </c>
    </row>
    <row r="1109" spans="1:10">
      <c r="A1109" t="s">
        <v>1253</v>
      </c>
      <c r="B1109">
        <v>55</v>
      </c>
      <c r="C1109" t="s">
        <v>7</v>
      </c>
      <c r="D1109">
        <v>3</v>
      </c>
      <c r="E1109">
        <v>57</v>
      </c>
      <c r="F1109">
        <v>1.8500000000000001E-3</v>
      </c>
      <c r="G1109">
        <v>0</v>
      </c>
      <c r="H1109" t="s">
        <v>5091</v>
      </c>
      <c r="I1109" t="s">
        <v>5097</v>
      </c>
      <c r="J1109">
        <v>1.8500000000000001E-3</v>
      </c>
    </row>
    <row r="1110" spans="1:10">
      <c r="A1110" t="s">
        <v>1256</v>
      </c>
      <c r="B1110">
        <v>54</v>
      </c>
      <c r="C1110" t="s">
        <v>7</v>
      </c>
      <c r="D1110">
        <v>1</v>
      </c>
      <c r="E1110">
        <v>54</v>
      </c>
      <c r="F1110">
        <v>5.1000000000000004E-4</v>
      </c>
      <c r="G1110">
        <v>0</v>
      </c>
      <c r="H1110" t="s">
        <v>5091</v>
      </c>
      <c r="I1110" t="s">
        <v>5097</v>
      </c>
      <c r="J1110">
        <v>5.1000000000000004E-4</v>
      </c>
    </row>
    <row r="1111" spans="1:10">
      <c r="A1111" t="s">
        <v>1257</v>
      </c>
      <c r="B1111">
        <v>57</v>
      </c>
      <c r="C1111" t="s">
        <v>7</v>
      </c>
      <c r="D1111">
        <v>2</v>
      </c>
      <c r="E1111">
        <v>58</v>
      </c>
      <c r="F1111">
        <v>1.3699999999999999E-3</v>
      </c>
      <c r="G1111">
        <v>0</v>
      </c>
      <c r="H1111" t="s">
        <v>5091</v>
      </c>
      <c r="I1111" t="s">
        <v>5097</v>
      </c>
      <c r="J1111">
        <v>1.3699999999999999E-3</v>
      </c>
    </row>
    <row r="1112" spans="1:10">
      <c r="A1112" t="s">
        <v>1258</v>
      </c>
      <c r="B1112">
        <v>52</v>
      </c>
      <c r="C1112" t="s">
        <v>9</v>
      </c>
      <c r="D1112">
        <v>4</v>
      </c>
      <c r="E1112">
        <v>55</v>
      </c>
      <c r="F1112">
        <v>2.7299999999999998E-3</v>
      </c>
      <c r="G1112">
        <v>0</v>
      </c>
      <c r="H1112" t="s">
        <v>5091</v>
      </c>
      <c r="I1112" t="s">
        <v>5097</v>
      </c>
      <c r="J1112">
        <v>2.7299999999999998E-3</v>
      </c>
    </row>
    <row r="1113" spans="1:10">
      <c r="A1113" t="s">
        <v>2423</v>
      </c>
      <c r="B1113">
        <v>48</v>
      </c>
      <c r="C1113" t="s">
        <v>9</v>
      </c>
      <c r="D1113">
        <v>8</v>
      </c>
      <c r="E1113">
        <v>55</v>
      </c>
      <c r="F1113">
        <v>3.1099999999999999E-3</v>
      </c>
      <c r="G1113">
        <v>0</v>
      </c>
      <c r="H1113" t="s">
        <v>5091</v>
      </c>
      <c r="I1113" t="s">
        <v>5097</v>
      </c>
      <c r="J1113">
        <v>3.1099999999999999E-3</v>
      </c>
    </row>
    <row r="1114" spans="1:10">
      <c r="A1114" t="s">
        <v>2420</v>
      </c>
      <c r="B1114">
        <v>57</v>
      </c>
      <c r="C1114" t="s">
        <v>9</v>
      </c>
      <c r="D1114">
        <v>2</v>
      </c>
      <c r="E1114">
        <v>58</v>
      </c>
      <c r="F1114">
        <v>2.2799999999999999E-3</v>
      </c>
      <c r="G1114">
        <v>0</v>
      </c>
      <c r="H1114" t="s">
        <v>5091</v>
      </c>
      <c r="I1114" t="s">
        <v>5097</v>
      </c>
      <c r="J1114">
        <v>2.2799999999999999E-3</v>
      </c>
    </row>
    <row r="1115" spans="1:10">
      <c r="A1115" t="s">
        <v>2418</v>
      </c>
      <c r="B1115">
        <v>43</v>
      </c>
      <c r="C1115" t="s">
        <v>7</v>
      </c>
      <c r="D1115">
        <v>9</v>
      </c>
      <c r="E1115">
        <v>51</v>
      </c>
      <c r="F1115">
        <v>1.64E-3</v>
      </c>
      <c r="G1115">
        <v>0</v>
      </c>
      <c r="H1115" t="s">
        <v>5091</v>
      </c>
      <c r="I1115" t="s">
        <v>5097</v>
      </c>
      <c r="J1115">
        <v>1.64E-3</v>
      </c>
    </row>
    <row r="1116" spans="1:10">
      <c r="A1116" t="s">
        <v>1265</v>
      </c>
      <c r="B1116">
        <v>55</v>
      </c>
      <c r="C1116" t="s">
        <v>9</v>
      </c>
      <c r="D1116">
        <v>5</v>
      </c>
      <c r="E1116">
        <v>59</v>
      </c>
      <c r="F1116">
        <v>4.4799999999999996E-3</v>
      </c>
      <c r="G1116">
        <v>0</v>
      </c>
      <c r="H1116" t="s">
        <v>5091</v>
      </c>
      <c r="I1116" t="s">
        <v>5097</v>
      </c>
      <c r="J1116">
        <v>4.4799999999999996E-3</v>
      </c>
    </row>
    <row r="1117" spans="1:10">
      <c r="A1117" t="s">
        <v>2412</v>
      </c>
      <c r="B1117">
        <v>49</v>
      </c>
      <c r="C1117" t="s">
        <v>9</v>
      </c>
      <c r="D1117">
        <v>6</v>
      </c>
      <c r="E1117">
        <v>54</v>
      </c>
      <c r="F1117">
        <v>2.7000000000000001E-3</v>
      </c>
      <c r="G1117">
        <v>0</v>
      </c>
      <c r="H1117" t="s">
        <v>5091</v>
      </c>
      <c r="I1117" t="s">
        <v>5097</v>
      </c>
      <c r="J1117">
        <v>2.7000000000000001E-3</v>
      </c>
    </row>
    <row r="1118" spans="1:10">
      <c r="A1118" t="s">
        <v>1269</v>
      </c>
      <c r="B1118">
        <v>52</v>
      </c>
      <c r="C1118" t="s">
        <v>9</v>
      </c>
      <c r="D1118">
        <v>5</v>
      </c>
      <c r="E1118">
        <v>56</v>
      </c>
      <c r="F1118">
        <v>3.2100000000000002E-3</v>
      </c>
      <c r="G1118">
        <v>0</v>
      </c>
      <c r="H1118" t="s">
        <v>5091</v>
      </c>
      <c r="I1118" t="s">
        <v>5097</v>
      </c>
      <c r="J1118">
        <v>3.2100000000000002E-3</v>
      </c>
    </row>
    <row r="1119" spans="1:10">
      <c r="A1119" t="s">
        <v>1279</v>
      </c>
      <c r="B1119">
        <v>47</v>
      </c>
      <c r="C1119" t="s">
        <v>9</v>
      </c>
      <c r="D1119">
        <v>6</v>
      </c>
      <c r="E1119">
        <v>52</v>
      </c>
      <c r="F1119">
        <v>2.16E-3</v>
      </c>
      <c r="G1119">
        <v>0</v>
      </c>
      <c r="H1119" t="s">
        <v>5091</v>
      </c>
      <c r="I1119" t="s">
        <v>5097</v>
      </c>
      <c r="J1119">
        <v>2.16E-3</v>
      </c>
    </row>
    <row r="1120" spans="1:10">
      <c r="A1120" t="s">
        <v>2373</v>
      </c>
      <c r="B1120">
        <v>48</v>
      </c>
      <c r="C1120" t="s">
        <v>9</v>
      </c>
      <c r="D1120">
        <v>6</v>
      </c>
      <c r="E1120">
        <v>53</v>
      </c>
      <c r="F1120">
        <v>2.4199999999999998E-3</v>
      </c>
      <c r="G1120">
        <v>0</v>
      </c>
      <c r="H1120" t="s">
        <v>5091</v>
      </c>
      <c r="I1120" t="s">
        <v>5097</v>
      </c>
      <c r="J1120">
        <v>2.4199999999999998E-3</v>
      </c>
    </row>
    <row r="1121" spans="1:10">
      <c r="A1121" t="s">
        <v>2366</v>
      </c>
      <c r="B1121">
        <v>59</v>
      </c>
      <c r="C1121" t="s">
        <v>9</v>
      </c>
      <c r="D1121">
        <v>1</v>
      </c>
      <c r="E1121">
        <v>59</v>
      </c>
      <c r="F1121">
        <v>1.81E-3</v>
      </c>
      <c r="G1121">
        <v>0</v>
      </c>
      <c r="H1121" t="s">
        <v>5091</v>
      </c>
      <c r="I1121" t="s">
        <v>5097</v>
      </c>
      <c r="J1121">
        <v>1.81E-3</v>
      </c>
    </row>
    <row r="1122" spans="1:10">
      <c r="A1122" t="s">
        <v>2365</v>
      </c>
      <c r="B1122">
        <v>46</v>
      </c>
      <c r="C1122" t="s">
        <v>7</v>
      </c>
      <c r="D1122">
        <v>8</v>
      </c>
      <c r="E1122">
        <v>53</v>
      </c>
      <c r="F1122">
        <v>1.8500000000000001E-3</v>
      </c>
      <c r="G1122">
        <v>0</v>
      </c>
      <c r="H1122" t="s">
        <v>5091</v>
      </c>
      <c r="I1122" t="s">
        <v>5097</v>
      </c>
      <c r="J1122">
        <v>1.8500000000000001E-3</v>
      </c>
    </row>
    <row r="1123" spans="1:10">
      <c r="A1123" t="s">
        <v>1295</v>
      </c>
      <c r="B1123">
        <v>48</v>
      </c>
      <c r="C1123" t="s">
        <v>9</v>
      </c>
      <c r="D1123">
        <v>6</v>
      </c>
      <c r="E1123">
        <v>53</v>
      </c>
      <c r="F1123">
        <v>2.4199999999999998E-3</v>
      </c>
      <c r="G1123">
        <v>0</v>
      </c>
      <c r="H1123" t="s">
        <v>5091</v>
      </c>
      <c r="I1123" t="s">
        <v>5097</v>
      </c>
      <c r="J1123">
        <v>2.4199999999999998E-3</v>
      </c>
    </row>
    <row r="1124" spans="1:10">
      <c r="A1124" t="s">
        <v>2347</v>
      </c>
      <c r="B1124">
        <v>46</v>
      </c>
      <c r="C1124" t="s">
        <v>9</v>
      </c>
      <c r="D1124">
        <v>9</v>
      </c>
      <c r="E1124">
        <v>54</v>
      </c>
      <c r="F1124">
        <v>2.8900000000000002E-3</v>
      </c>
      <c r="G1124">
        <v>0</v>
      </c>
      <c r="H1124" t="s">
        <v>5091</v>
      </c>
      <c r="I1124" t="s">
        <v>5097</v>
      </c>
      <c r="J1124">
        <v>2.8900000000000002E-3</v>
      </c>
    </row>
    <row r="1125" spans="1:10">
      <c r="A1125" t="s">
        <v>2327</v>
      </c>
      <c r="B1125">
        <v>54</v>
      </c>
      <c r="C1125" t="s">
        <v>7</v>
      </c>
      <c r="D1125">
        <v>1</v>
      </c>
      <c r="E1125">
        <v>54</v>
      </c>
      <c r="F1125">
        <v>5.1000000000000004E-4</v>
      </c>
      <c r="G1125">
        <v>0</v>
      </c>
      <c r="H1125" t="s">
        <v>5091</v>
      </c>
      <c r="I1125" t="s">
        <v>5097</v>
      </c>
      <c r="J1125">
        <v>5.1000000000000004E-4</v>
      </c>
    </row>
    <row r="1126" spans="1:10">
      <c r="A1126" t="s">
        <v>2318</v>
      </c>
      <c r="B1126">
        <v>47</v>
      </c>
      <c r="C1126" t="s">
        <v>7</v>
      </c>
      <c r="D1126">
        <v>7</v>
      </c>
      <c r="E1126">
        <v>53</v>
      </c>
      <c r="F1126">
        <v>1.75E-3</v>
      </c>
      <c r="G1126">
        <v>0</v>
      </c>
      <c r="H1126" t="s">
        <v>5091</v>
      </c>
      <c r="I1126" t="s">
        <v>5097</v>
      </c>
      <c r="J1126">
        <v>1.75E-3</v>
      </c>
    </row>
    <row r="1127" spans="1:10">
      <c r="A1127" t="s">
        <v>2288</v>
      </c>
      <c r="B1127">
        <v>54</v>
      </c>
      <c r="C1127" t="s">
        <v>7</v>
      </c>
      <c r="D1127">
        <v>6</v>
      </c>
      <c r="E1127">
        <v>59</v>
      </c>
      <c r="F1127">
        <v>3.0400000000000002E-3</v>
      </c>
      <c r="G1127">
        <v>0</v>
      </c>
      <c r="H1127" t="s">
        <v>5091</v>
      </c>
      <c r="I1127" t="s">
        <v>5097</v>
      </c>
      <c r="J1127">
        <v>3.0400000000000002E-3</v>
      </c>
    </row>
    <row r="1128" spans="1:10">
      <c r="A1128" t="s">
        <v>2281</v>
      </c>
      <c r="B1128">
        <v>54</v>
      </c>
      <c r="C1128" t="s">
        <v>7</v>
      </c>
      <c r="D1128">
        <v>2</v>
      </c>
      <c r="E1128">
        <v>55</v>
      </c>
      <c r="F1128">
        <v>1.2199999999999999E-3</v>
      </c>
      <c r="G1128">
        <v>0</v>
      </c>
      <c r="H1128" t="s">
        <v>5091</v>
      </c>
      <c r="I1128" t="s">
        <v>5097</v>
      </c>
      <c r="J1128">
        <v>1.2199999999999999E-3</v>
      </c>
    </row>
    <row r="1129" spans="1:10">
      <c r="A1129" t="s">
        <v>2274</v>
      </c>
      <c r="B1129">
        <v>51</v>
      </c>
      <c r="C1129" t="s">
        <v>9</v>
      </c>
      <c r="D1129">
        <v>1</v>
      </c>
      <c r="E1129">
        <v>51</v>
      </c>
      <c r="F1129">
        <v>8.5999999999999998E-4</v>
      </c>
      <c r="G1129">
        <v>0</v>
      </c>
      <c r="H1129" t="s">
        <v>5091</v>
      </c>
      <c r="I1129" t="s">
        <v>5097</v>
      </c>
      <c r="J1129">
        <v>8.5999999999999998E-4</v>
      </c>
    </row>
    <row r="1130" spans="1:10">
      <c r="A1130" t="s">
        <v>1355</v>
      </c>
      <c r="B1130">
        <v>58</v>
      </c>
      <c r="C1130" t="s">
        <v>7</v>
      </c>
      <c r="D1130">
        <v>2</v>
      </c>
      <c r="E1130">
        <v>59</v>
      </c>
      <c r="F1130">
        <v>1.42E-3</v>
      </c>
      <c r="G1130">
        <v>0</v>
      </c>
      <c r="H1130" t="s">
        <v>5091</v>
      </c>
      <c r="I1130" t="s">
        <v>5097</v>
      </c>
      <c r="J1130">
        <v>1.42E-3</v>
      </c>
    </row>
    <row r="1131" spans="1:10">
      <c r="A1131" t="s">
        <v>2195</v>
      </c>
      <c r="B1131">
        <v>51</v>
      </c>
      <c r="C1131" t="s">
        <v>7</v>
      </c>
      <c r="D1131">
        <v>8</v>
      </c>
      <c r="E1131">
        <v>58</v>
      </c>
      <c r="F1131">
        <v>2.9199999999999999E-3</v>
      </c>
      <c r="G1131">
        <v>0</v>
      </c>
      <c r="H1131" t="s">
        <v>5091</v>
      </c>
      <c r="I1131" t="s">
        <v>5097</v>
      </c>
      <c r="J1131">
        <v>2.9199999999999999E-3</v>
      </c>
    </row>
    <row r="1132" spans="1:10">
      <c r="A1132" t="s">
        <v>2188</v>
      </c>
      <c r="B1132">
        <v>50</v>
      </c>
      <c r="C1132" t="s">
        <v>7</v>
      </c>
      <c r="D1132">
        <v>1</v>
      </c>
      <c r="E1132">
        <v>50</v>
      </c>
      <c r="F1132">
        <v>4.2000000000000002E-4</v>
      </c>
      <c r="G1132">
        <v>0</v>
      </c>
      <c r="H1132" t="s">
        <v>5091</v>
      </c>
      <c r="I1132" t="s">
        <v>5097</v>
      </c>
      <c r="J1132">
        <v>4.2000000000000002E-4</v>
      </c>
    </row>
    <row r="1133" spans="1:10">
      <c r="A1133" t="s">
        <v>2176</v>
      </c>
      <c r="B1133">
        <v>54</v>
      </c>
      <c r="C1133" t="s">
        <v>9</v>
      </c>
      <c r="D1133">
        <v>1</v>
      </c>
      <c r="E1133">
        <v>54</v>
      </c>
      <c r="F1133">
        <v>1.01E-3</v>
      </c>
      <c r="G1133">
        <v>0</v>
      </c>
      <c r="H1133" t="s">
        <v>5091</v>
      </c>
      <c r="I1133" t="s">
        <v>5097</v>
      </c>
      <c r="J1133">
        <v>1.01E-3</v>
      </c>
    </row>
    <row r="1134" spans="1:10">
      <c r="A1134" t="s">
        <v>1367</v>
      </c>
      <c r="B1134">
        <v>52</v>
      </c>
      <c r="C1134" t="s">
        <v>7</v>
      </c>
      <c r="D1134">
        <v>4</v>
      </c>
      <c r="E1134">
        <v>55</v>
      </c>
      <c r="F1134">
        <v>1.8699999999999999E-3</v>
      </c>
      <c r="G1134">
        <v>0</v>
      </c>
      <c r="H1134" t="s">
        <v>5091</v>
      </c>
      <c r="I1134" t="s">
        <v>5097</v>
      </c>
      <c r="J1134">
        <v>1.8699999999999999E-3</v>
      </c>
    </row>
    <row r="1135" spans="1:10">
      <c r="A1135" t="s">
        <v>2169</v>
      </c>
      <c r="B1135">
        <v>42</v>
      </c>
      <c r="C1135" t="s">
        <v>7</v>
      </c>
      <c r="D1135">
        <v>9</v>
      </c>
      <c r="E1135">
        <v>50</v>
      </c>
      <c r="F1135">
        <v>1.49E-3</v>
      </c>
      <c r="G1135">
        <v>0</v>
      </c>
      <c r="H1135" t="s">
        <v>5091</v>
      </c>
      <c r="I1135" t="s">
        <v>5097</v>
      </c>
      <c r="J1135">
        <v>1.49E-3</v>
      </c>
    </row>
    <row r="1136" spans="1:10">
      <c r="A1136" t="s">
        <v>2167</v>
      </c>
      <c r="B1136">
        <v>52</v>
      </c>
      <c r="C1136" t="s">
        <v>7</v>
      </c>
      <c r="D1136">
        <v>4</v>
      </c>
      <c r="E1136">
        <v>55</v>
      </c>
      <c r="F1136">
        <v>1.8699999999999999E-3</v>
      </c>
      <c r="G1136">
        <v>0</v>
      </c>
      <c r="H1136" t="s">
        <v>5091</v>
      </c>
      <c r="I1136" t="s">
        <v>5097</v>
      </c>
      <c r="J1136">
        <v>1.8699999999999999E-3</v>
      </c>
    </row>
    <row r="1137" spans="1:10">
      <c r="A1137" t="s">
        <v>2166</v>
      </c>
      <c r="B1137">
        <v>56</v>
      </c>
      <c r="C1137" t="s">
        <v>7</v>
      </c>
      <c r="D1137">
        <v>2</v>
      </c>
      <c r="E1137">
        <v>57</v>
      </c>
      <c r="F1137">
        <v>1.31E-3</v>
      </c>
      <c r="G1137">
        <v>0</v>
      </c>
      <c r="H1137" t="s">
        <v>5091</v>
      </c>
      <c r="I1137" t="s">
        <v>5097</v>
      </c>
      <c r="J1137">
        <v>1.31E-3</v>
      </c>
    </row>
    <row r="1138" spans="1:10">
      <c r="A1138" t="s">
        <v>2150</v>
      </c>
      <c r="B1138">
        <v>45</v>
      </c>
      <c r="C1138" t="s">
        <v>9</v>
      </c>
      <c r="D1138">
        <v>9</v>
      </c>
      <c r="E1138">
        <v>53</v>
      </c>
      <c r="F1138">
        <v>2.63E-3</v>
      </c>
      <c r="G1138">
        <v>0</v>
      </c>
      <c r="H1138" t="s">
        <v>5091</v>
      </c>
      <c r="I1138" t="s">
        <v>5097</v>
      </c>
      <c r="J1138">
        <v>2.63E-3</v>
      </c>
    </row>
    <row r="1139" spans="1:10">
      <c r="A1139" t="s">
        <v>2139</v>
      </c>
      <c r="B1139">
        <v>57</v>
      </c>
      <c r="C1139" t="s">
        <v>7</v>
      </c>
      <c r="D1139">
        <v>1</v>
      </c>
      <c r="E1139">
        <v>57</v>
      </c>
      <c r="F1139">
        <v>5.9000000000000003E-4</v>
      </c>
      <c r="G1139">
        <v>0</v>
      </c>
      <c r="H1139" t="s">
        <v>5091</v>
      </c>
      <c r="I1139" t="s">
        <v>5097</v>
      </c>
      <c r="J1139">
        <v>5.9000000000000003E-4</v>
      </c>
    </row>
    <row r="1140" spans="1:10">
      <c r="A1140" t="s">
        <v>2134</v>
      </c>
      <c r="B1140">
        <v>51</v>
      </c>
      <c r="C1140" t="s">
        <v>9</v>
      </c>
      <c r="D1140">
        <v>2</v>
      </c>
      <c r="E1140">
        <v>52</v>
      </c>
      <c r="F1140">
        <v>1.34E-3</v>
      </c>
      <c r="G1140">
        <v>0</v>
      </c>
      <c r="H1140" t="s">
        <v>5091</v>
      </c>
      <c r="I1140" t="s">
        <v>5097</v>
      </c>
      <c r="J1140">
        <v>1.34E-3</v>
      </c>
    </row>
    <row r="1141" spans="1:10">
      <c r="A1141" t="s">
        <v>1389</v>
      </c>
      <c r="B1141">
        <v>54</v>
      </c>
      <c r="C1141" t="s">
        <v>7</v>
      </c>
      <c r="D1141">
        <v>2</v>
      </c>
      <c r="E1141">
        <v>55</v>
      </c>
      <c r="F1141">
        <v>1.2199999999999999E-3</v>
      </c>
      <c r="G1141">
        <v>0</v>
      </c>
      <c r="H1141" t="s">
        <v>5091</v>
      </c>
      <c r="I1141" t="s">
        <v>5097</v>
      </c>
      <c r="J1141">
        <v>1.2199999999999999E-3</v>
      </c>
    </row>
    <row r="1142" spans="1:10">
      <c r="A1142" t="s">
        <v>2122</v>
      </c>
      <c r="B1142">
        <v>55</v>
      </c>
      <c r="C1142" t="s">
        <v>7</v>
      </c>
      <c r="D1142">
        <v>2</v>
      </c>
      <c r="E1142">
        <v>56</v>
      </c>
      <c r="F1142">
        <v>1.2600000000000001E-3</v>
      </c>
      <c r="G1142">
        <v>0</v>
      </c>
      <c r="H1142" t="s">
        <v>5091</v>
      </c>
      <c r="I1142" t="s">
        <v>5097</v>
      </c>
      <c r="J1142">
        <v>1.2600000000000001E-3</v>
      </c>
    </row>
    <row r="1143" spans="1:10">
      <c r="A1143" t="s">
        <v>1397</v>
      </c>
      <c r="B1143">
        <v>45</v>
      </c>
      <c r="C1143" t="s">
        <v>9</v>
      </c>
      <c r="D1143">
        <v>9</v>
      </c>
      <c r="E1143">
        <v>53</v>
      </c>
      <c r="F1143">
        <v>2.63E-3</v>
      </c>
      <c r="G1143">
        <v>0</v>
      </c>
      <c r="H1143" t="s">
        <v>5091</v>
      </c>
      <c r="I1143" t="s">
        <v>5097</v>
      </c>
      <c r="J1143">
        <v>2.63E-3</v>
      </c>
    </row>
    <row r="1144" spans="1:10">
      <c r="A1144" t="s">
        <v>2105</v>
      </c>
      <c r="B1144">
        <v>56</v>
      </c>
      <c r="C1144" t="s">
        <v>9</v>
      </c>
      <c r="D1144">
        <v>4</v>
      </c>
      <c r="E1144">
        <v>59</v>
      </c>
      <c r="F1144">
        <v>4.2900000000000004E-3</v>
      </c>
      <c r="G1144">
        <v>0</v>
      </c>
      <c r="H1144" t="s">
        <v>5091</v>
      </c>
      <c r="I1144" t="s">
        <v>5097</v>
      </c>
      <c r="J1144">
        <v>4.2900000000000004E-3</v>
      </c>
    </row>
    <row r="1145" spans="1:10">
      <c r="A1145" t="s">
        <v>1400</v>
      </c>
      <c r="B1145">
        <v>44</v>
      </c>
      <c r="C1145" t="s">
        <v>9</v>
      </c>
      <c r="D1145">
        <v>7</v>
      </c>
      <c r="E1145">
        <v>50</v>
      </c>
      <c r="F1145">
        <v>1.83E-3</v>
      </c>
      <c r="G1145">
        <v>0</v>
      </c>
      <c r="H1145" t="s">
        <v>5091</v>
      </c>
      <c r="I1145" t="s">
        <v>5097</v>
      </c>
      <c r="J1145">
        <v>1.83E-3</v>
      </c>
    </row>
    <row r="1146" spans="1:10">
      <c r="A1146" t="s">
        <v>1402</v>
      </c>
      <c r="B1146">
        <v>51</v>
      </c>
      <c r="C1146" t="s">
        <v>7</v>
      </c>
      <c r="D1146">
        <v>5</v>
      </c>
      <c r="E1146">
        <v>55</v>
      </c>
      <c r="F1146">
        <v>1.99E-3</v>
      </c>
      <c r="G1146">
        <v>0</v>
      </c>
      <c r="H1146" t="s">
        <v>5091</v>
      </c>
      <c r="I1146" t="s">
        <v>5097</v>
      </c>
      <c r="J1146">
        <v>1.99E-3</v>
      </c>
    </row>
    <row r="1147" spans="1:10">
      <c r="A1147" t="s">
        <v>1418</v>
      </c>
      <c r="B1147">
        <v>45</v>
      </c>
      <c r="C1147" t="s">
        <v>7</v>
      </c>
      <c r="D1147">
        <v>9</v>
      </c>
      <c r="E1147">
        <v>53</v>
      </c>
      <c r="F1147">
        <v>1.9499999999999999E-3</v>
      </c>
      <c r="G1147">
        <v>0</v>
      </c>
      <c r="H1147" t="s">
        <v>5091</v>
      </c>
      <c r="I1147" t="s">
        <v>5097</v>
      </c>
      <c r="J1147">
        <v>1.9499999999999999E-3</v>
      </c>
    </row>
    <row r="1148" spans="1:10">
      <c r="A1148" t="s">
        <v>2055</v>
      </c>
      <c r="B1148">
        <v>45</v>
      </c>
      <c r="C1148" t="s">
        <v>9</v>
      </c>
      <c r="D1148">
        <v>8</v>
      </c>
      <c r="E1148">
        <v>52</v>
      </c>
      <c r="F1148">
        <v>2.32E-3</v>
      </c>
      <c r="G1148">
        <v>0</v>
      </c>
      <c r="H1148" t="s">
        <v>5091</v>
      </c>
      <c r="I1148" t="s">
        <v>5097</v>
      </c>
      <c r="J1148">
        <v>2.32E-3</v>
      </c>
    </row>
    <row r="1149" spans="1:10">
      <c r="A1149" t="s">
        <v>1420</v>
      </c>
      <c r="B1149">
        <v>46</v>
      </c>
      <c r="C1149" t="s">
        <v>9</v>
      </c>
      <c r="D1149">
        <v>6</v>
      </c>
      <c r="E1149">
        <v>51</v>
      </c>
      <c r="F1149">
        <v>1.9300000000000001E-3</v>
      </c>
      <c r="G1149">
        <v>0</v>
      </c>
      <c r="H1149" t="s">
        <v>5091</v>
      </c>
      <c r="I1149" t="s">
        <v>5097</v>
      </c>
      <c r="J1149">
        <v>1.9300000000000001E-3</v>
      </c>
    </row>
    <row r="1150" spans="1:10">
      <c r="A1150" t="s">
        <v>2047</v>
      </c>
      <c r="B1150">
        <v>49</v>
      </c>
      <c r="C1150" t="s">
        <v>7</v>
      </c>
      <c r="D1150">
        <v>9</v>
      </c>
      <c r="E1150">
        <v>57</v>
      </c>
      <c r="F1150">
        <v>2.7499999999999998E-3</v>
      </c>
      <c r="G1150">
        <v>0</v>
      </c>
      <c r="H1150" t="s">
        <v>5091</v>
      </c>
      <c r="I1150" t="s">
        <v>5097</v>
      </c>
      <c r="J1150">
        <v>2.7499999999999998E-3</v>
      </c>
    </row>
    <row r="1151" spans="1:10">
      <c r="A1151" t="s">
        <v>2035</v>
      </c>
      <c r="B1151">
        <v>47</v>
      </c>
      <c r="C1151" t="s">
        <v>9</v>
      </c>
      <c r="D1151">
        <v>7</v>
      </c>
      <c r="E1151">
        <v>53</v>
      </c>
      <c r="F1151">
        <v>2.5000000000000001E-3</v>
      </c>
      <c r="G1151">
        <v>0</v>
      </c>
      <c r="H1151" t="s">
        <v>5091</v>
      </c>
      <c r="I1151" t="s">
        <v>5097</v>
      </c>
      <c r="J1151">
        <v>2.5000000000000001E-3</v>
      </c>
    </row>
    <row r="1152" spans="1:10">
      <c r="A1152" t="s">
        <v>2032</v>
      </c>
      <c r="B1152">
        <v>56</v>
      </c>
      <c r="C1152" t="s">
        <v>7</v>
      </c>
      <c r="D1152">
        <v>4</v>
      </c>
      <c r="E1152">
        <v>59</v>
      </c>
      <c r="F1152">
        <v>2.5100000000000001E-3</v>
      </c>
      <c r="G1152">
        <v>0</v>
      </c>
      <c r="H1152" t="s">
        <v>5091</v>
      </c>
      <c r="I1152" t="s">
        <v>5097</v>
      </c>
      <c r="J1152">
        <v>2.5100000000000001E-3</v>
      </c>
    </row>
    <row r="1153" spans="1:10">
      <c r="A1153" t="s">
        <v>2030</v>
      </c>
      <c r="B1153">
        <v>46</v>
      </c>
      <c r="C1153" t="s">
        <v>9</v>
      </c>
      <c r="D1153">
        <v>9</v>
      </c>
      <c r="E1153">
        <v>54</v>
      </c>
      <c r="F1153">
        <v>2.8900000000000002E-3</v>
      </c>
      <c r="G1153">
        <v>0</v>
      </c>
      <c r="H1153" t="s">
        <v>5091</v>
      </c>
      <c r="I1153" t="s">
        <v>5097</v>
      </c>
      <c r="J1153">
        <v>2.8900000000000002E-3</v>
      </c>
    </row>
    <row r="1154" spans="1:10">
      <c r="A1154" t="s">
        <v>2023</v>
      </c>
      <c r="B1154">
        <v>57</v>
      </c>
      <c r="C1154" t="s">
        <v>7</v>
      </c>
      <c r="D1154">
        <v>1</v>
      </c>
      <c r="E1154">
        <v>57</v>
      </c>
      <c r="F1154">
        <v>5.9000000000000003E-4</v>
      </c>
      <c r="G1154">
        <v>0</v>
      </c>
      <c r="H1154" t="s">
        <v>5091</v>
      </c>
      <c r="I1154" t="s">
        <v>5097</v>
      </c>
      <c r="J1154">
        <v>5.9000000000000003E-4</v>
      </c>
    </row>
    <row r="1155" spans="1:10">
      <c r="A1155" t="s">
        <v>2009</v>
      </c>
      <c r="B1155">
        <v>49</v>
      </c>
      <c r="C1155" t="s">
        <v>9</v>
      </c>
      <c r="D1155">
        <v>7</v>
      </c>
      <c r="E1155">
        <v>55</v>
      </c>
      <c r="F1155">
        <v>3.0500000000000002E-3</v>
      </c>
      <c r="G1155">
        <v>0</v>
      </c>
      <c r="H1155" t="s">
        <v>5091</v>
      </c>
      <c r="I1155" t="s">
        <v>5097</v>
      </c>
      <c r="J1155">
        <v>3.0500000000000002E-3</v>
      </c>
    </row>
    <row r="1156" spans="1:10">
      <c r="A1156" t="s">
        <v>2003</v>
      </c>
      <c r="B1156">
        <v>49</v>
      </c>
      <c r="C1156" t="s">
        <v>9</v>
      </c>
      <c r="D1156">
        <v>4</v>
      </c>
      <c r="E1156">
        <v>52</v>
      </c>
      <c r="F1156">
        <v>1.9400000000000001E-3</v>
      </c>
      <c r="G1156">
        <v>0</v>
      </c>
      <c r="H1156" t="s">
        <v>5091</v>
      </c>
      <c r="I1156" t="s">
        <v>5097</v>
      </c>
      <c r="J1156">
        <v>1.9400000000000001E-3</v>
      </c>
    </row>
    <row r="1157" spans="1:10">
      <c r="A1157" t="s">
        <v>1444</v>
      </c>
      <c r="B1157">
        <v>44</v>
      </c>
      <c r="C1157" t="s">
        <v>9</v>
      </c>
      <c r="D1157">
        <v>8</v>
      </c>
      <c r="E1157">
        <v>51</v>
      </c>
      <c r="F1157">
        <v>2.1099999999999999E-3</v>
      </c>
      <c r="G1157">
        <v>0</v>
      </c>
      <c r="H1157" t="s">
        <v>5091</v>
      </c>
      <c r="I1157" t="s">
        <v>5097</v>
      </c>
      <c r="J1157">
        <v>2.1099999999999999E-3</v>
      </c>
    </row>
    <row r="1158" spans="1:10">
      <c r="A1158" t="s">
        <v>1992</v>
      </c>
      <c r="B1158">
        <v>47</v>
      </c>
      <c r="C1158" t="s">
        <v>7</v>
      </c>
      <c r="D1158">
        <v>7</v>
      </c>
      <c r="E1158">
        <v>53</v>
      </c>
      <c r="F1158">
        <v>1.75E-3</v>
      </c>
      <c r="G1158">
        <v>0</v>
      </c>
      <c r="H1158" t="s">
        <v>5091</v>
      </c>
      <c r="I1158" t="s">
        <v>5097</v>
      </c>
      <c r="J1158">
        <v>1.75E-3</v>
      </c>
    </row>
    <row r="1159" spans="1:10">
      <c r="A1159" t="s">
        <v>1991</v>
      </c>
      <c r="B1159">
        <v>48</v>
      </c>
      <c r="C1159" t="s">
        <v>7</v>
      </c>
      <c r="D1159">
        <v>8</v>
      </c>
      <c r="E1159">
        <v>55</v>
      </c>
      <c r="F1159">
        <v>2.2300000000000002E-3</v>
      </c>
      <c r="G1159">
        <v>0</v>
      </c>
      <c r="H1159" t="s">
        <v>5091</v>
      </c>
      <c r="I1159" t="s">
        <v>5097</v>
      </c>
      <c r="J1159">
        <v>2.2300000000000002E-3</v>
      </c>
    </row>
    <row r="1160" spans="1:10">
      <c r="A1160" t="s">
        <v>1987</v>
      </c>
      <c r="B1160">
        <v>49</v>
      </c>
      <c r="C1160" t="s">
        <v>7</v>
      </c>
      <c r="D1160">
        <v>4</v>
      </c>
      <c r="E1160">
        <v>52</v>
      </c>
      <c r="F1160">
        <v>1.4E-3</v>
      </c>
      <c r="G1160">
        <v>0</v>
      </c>
      <c r="H1160" t="s">
        <v>5091</v>
      </c>
      <c r="I1160" t="s">
        <v>5097</v>
      </c>
      <c r="J1160">
        <v>1.4E-3</v>
      </c>
    </row>
    <row r="1161" spans="1:10">
      <c r="A1161" t="s">
        <v>1450</v>
      </c>
      <c r="B1161">
        <v>51</v>
      </c>
      <c r="C1161" t="s">
        <v>9</v>
      </c>
      <c r="D1161">
        <v>7</v>
      </c>
      <c r="E1161">
        <v>57</v>
      </c>
      <c r="F1161">
        <v>3.6900000000000001E-3</v>
      </c>
      <c r="G1161">
        <v>0</v>
      </c>
      <c r="H1161" t="s">
        <v>5091</v>
      </c>
      <c r="I1161" t="s">
        <v>5097</v>
      </c>
      <c r="J1161">
        <v>3.6900000000000001E-3</v>
      </c>
    </row>
    <row r="1162" spans="1:10">
      <c r="A1162" t="s">
        <v>1451</v>
      </c>
      <c r="B1162">
        <v>54</v>
      </c>
      <c r="C1162" t="s">
        <v>9</v>
      </c>
      <c r="D1162">
        <v>1</v>
      </c>
      <c r="E1162">
        <v>54</v>
      </c>
      <c r="F1162">
        <v>1.01E-3</v>
      </c>
      <c r="G1162">
        <v>0</v>
      </c>
      <c r="H1162" t="s">
        <v>5091</v>
      </c>
      <c r="I1162" t="s">
        <v>5097</v>
      </c>
      <c r="J1162">
        <v>1.01E-3</v>
      </c>
    </row>
    <row r="1163" spans="1:10">
      <c r="A1163" t="s">
        <v>1979</v>
      </c>
      <c r="B1163">
        <v>56</v>
      </c>
      <c r="C1163" t="s">
        <v>9</v>
      </c>
      <c r="D1163">
        <v>3</v>
      </c>
      <c r="E1163">
        <v>58</v>
      </c>
      <c r="F1163">
        <v>3.4099999999999998E-3</v>
      </c>
      <c r="G1163">
        <v>0</v>
      </c>
      <c r="H1163" t="s">
        <v>5091</v>
      </c>
      <c r="I1163" t="s">
        <v>5097</v>
      </c>
      <c r="J1163">
        <v>3.4099999999999998E-3</v>
      </c>
    </row>
    <row r="1164" spans="1:10">
      <c r="A1164" t="s">
        <v>1952</v>
      </c>
      <c r="B1164">
        <v>52</v>
      </c>
      <c r="C1164" t="s">
        <v>7</v>
      </c>
      <c r="D1164">
        <v>7</v>
      </c>
      <c r="E1164">
        <v>58</v>
      </c>
      <c r="F1164">
        <v>2.8400000000000001E-3</v>
      </c>
      <c r="G1164">
        <v>0</v>
      </c>
      <c r="H1164" t="s">
        <v>5091</v>
      </c>
      <c r="I1164" t="s">
        <v>5097</v>
      </c>
      <c r="J1164">
        <v>2.8400000000000001E-3</v>
      </c>
    </row>
    <row r="1165" spans="1:10">
      <c r="A1165" t="s">
        <v>1947</v>
      </c>
      <c r="B1165">
        <v>56</v>
      </c>
      <c r="C1165" t="s">
        <v>7</v>
      </c>
      <c r="D1165">
        <v>1</v>
      </c>
      <c r="E1165">
        <v>56</v>
      </c>
      <c r="F1165">
        <v>5.5999999999999995E-4</v>
      </c>
      <c r="G1165">
        <v>0</v>
      </c>
      <c r="H1165" t="s">
        <v>5091</v>
      </c>
      <c r="I1165" t="s">
        <v>5097</v>
      </c>
      <c r="J1165">
        <v>5.5999999999999995E-4</v>
      </c>
    </row>
    <row r="1166" spans="1:10">
      <c r="A1166" t="s">
        <v>1937</v>
      </c>
      <c r="B1166">
        <v>51</v>
      </c>
      <c r="C1166" t="s">
        <v>7</v>
      </c>
      <c r="D1166">
        <v>2</v>
      </c>
      <c r="E1166">
        <v>52</v>
      </c>
      <c r="F1166">
        <v>8.8000000000000003E-4</v>
      </c>
      <c r="G1166">
        <v>0</v>
      </c>
      <c r="H1166" t="s">
        <v>5091</v>
      </c>
      <c r="I1166" t="s">
        <v>5097</v>
      </c>
      <c r="J1166">
        <v>8.8000000000000003E-4</v>
      </c>
    </row>
    <row r="1167" spans="1:10">
      <c r="A1167" t="s">
        <v>1481</v>
      </c>
      <c r="B1167">
        <v>49</v>
      </c>
      <c r="C1167" t="s">
        <v>7</v>
      </c>
      <c r="D1167">
        <v>9</v>
      </c>
      <c r="E1167">
        <v>57</v>
      </c>
      <c r="F1167">
        <v>2.7499999999999998E-3</v>
      </c>
      <c r="G1167">
        <v>0</v>
      </c>
      <c r="H1167" t="s">
        <v>5091</v>
      </c>
      <c r="I1167" t="s">
        <v>5097</v>
      </c>
      <c r="J1167">
        <v>2.7499999999999998E-3</v>
      </c>
    </row>
    <row r="1168" spans="1:10">
      <c r="A1168" t="s">
        <v>1884</v>
      </c>
      <c r="B1168">
        <v>47</v>
      </c>
      <c r="C1168" t="s">
        <v>9</v>
      </c>
      <c r="D1168">
        <v>9</v>
      </c>
      <c r="E1168">
        <v>55</v>
      </c>
      <c r="F1168">
        <v>3.1900000000000001E-3</v>
      </c>
      <c r="G1168">
        <v>0</v>
      </c>
      <c r="H1168" t="s">
        <v>5091</v>
      </c>
      <c r="I1168" t="s">
        <v>5097</v>
      </c>
      <c r="J1168">
        <v>3.1900000000000001E-3</v>
      </c>
    </row>
    <row r="1169" spans="1:10">
      <c r="A1169" t="s">
        <v>1492</v>
      </c>
      <c r="B1169">
        <v>51</v>
      </c>
      <c r="C1169" t="s">
        <v>9</v>
      </c>
      <c r="D1169">
        <v>7</v>
      </c>
      <c r="E1169">
        <v>57</v>
      </c>
      <c r="F1169">
        <v>3.6900000000000001E-3</v>
      </c>
      <c r="G1169">
        <v>0</v>
      </c>
      <c r="H1169" t="s">
        <v>5091</v>
      </c>
      <c r="I1169" t="s">
        <v>5097</v>
      </c>
      <c r="J1169">
        <v>3.6900000000000001E-3</v>
      </c>
    </row>
    <row r="1170" spans="1:10">
      <c r="A1170" t="s">
        <v>1873</v>
      </c>
      <c r="B1170">
        <v>53</v>
      </c>
      <c r="C1170" t="s">
        <v>9</v>
      </c>
      <c r="D1170">
        <v>2</v>
      </c>
      <c r="E1170">
        <v>54</v>
      </c>
      <c r="F1170">
        <v>1.67E-3</v>
      </c>
      <c r="G1170">
        <v>0</v>
      </c>
      <c r="H1170" t="s">
        <v>5091</v>
      </c>
      <c r="I1170" t="s">
        <v>5097</v>
      </c>
      <c r="J1170">
        <v>1.67E-3</v>
      </c>
    </row>
    <row r="1171" spans="1:10">
      <c r="A1171" t="s">
        <v>1869</v>
      </c>
      <c r="B1171">
        <v>57</v>
      </c>
      <c r="C1171" t="s">
        <v>7</v>
      </c>
      <c r="D1171">
        <v>1</v>
      </c>
      <c r="E1171">
        <v>57</v>
      </c>
      <c r="F1171">
        <v>5.9000000000000003E-4</v>
      </c>
      <c r="G1171">
        <v>0</v>
      </c>
      <c r="H1171" t="s">
        <v>5091</v>
      </c>
      <c r="I1171" t="s">
        <v>5097</v>
      </c>
      <c r="J1171">
        <v>5.9000000000000003E-4</v>
      </c>
    </row>
    <row r="1172" spans="1:10">
      <c r="A1172" t="s">
        <v>1866</v>
      </c>
      <c r="B1172">
        <v>46</v>
      </c>
      <c r="C1172" t="s">
        <v>9</v>
      </c>
      <c r="D1172">
        <v>7</v>
      </c>
      <c r="E1172">
        <v>52</v>
      </c>
      <c r="F1172">
        <v>2.2399999999999998E-3</v>
      </c>
      <c r="G1172">
        <v>0</v>
      </c>
      <c r="H1172" t="s">
        <v>5091</v>
      </c>
      <c r="I1172" t="s">
        <v>5097</v>
      </c>
      <c r="J1172">
        <v>2.2399999999999998E-3</v>
      </c>
    </row>
    <row r="1173" spans="1:10">
      <c r="A1173" t="s">
        <v>1863</v>
      </c>
      <c r="B1173">
        <v>52</v>
      </c>
      <c r="C1173" t="s">
        <v>9</v>
      </c>
      <c r="D1173">
        <v>2</v>
      </c>
      <c r="E1173">
        <v>53</v>
      </c>
      <c r="F1173">
        <v>1.5E-3</v>
      </c>
      <c r="G1173">
        <v>0</v>
      </c>
      <c r="H1173" t="s">
        <v>5091</v>
      </c>
      <c r="I1173" t="s">
        <v>5097</v>
      </c>
      <c r="J1173">
        <v>1.5E-3</v>
      </c>
    </row>
    <row r="1174" spans="1:10">
      <c r="A1174" t="s">
        <v>1851</v>
      </c>
      <c r="B1174">
        <v>42</v>
      </c>
      <c r="C1174" t="s">
        <v>9</v>
      </c>
      <c r="D1174">
        <v>9</v>
      </c>
      <c r="E1174">
        <v>50</v>
      </c>
      <c r="F1174">
        <v>2E-3</v>
      </c>
      <c r="G1174">
        <v>0</v>
      </c>
      <c r="H1174" t="s">
        <v>5091</v>
      </c>
      <c r="I1174" t="s">
        <v>5097</v>
      </c>
      <c r="J1174">
        <v>2E-3</v>
      </c>
    </row>
    <row r="1175" spans="1:10">
      <c r="A1175" t="s">
        <v>1514</v>
      </c>
      <c r="B1175">
        <v>58</v>
      </c>
      <c r="C1175" t="s">
        <v>7</v>
      </c>
      <c r="D1175">
        <v>1</v>
      </c>
      <c r="E1175">
        <v>58</v>
      </c>
      <c r="F1175">
        <v>6.2E-4</v>
      </c>
      <c r="G1175">
        <v>0</v>
      </c>
      <c r="H1175" t="s">
        <v>5091</v>
      </c>
      <c r="I1175" t="s">
        <v>5097</v>
      </c>
      <c r="J1175">
        <v>6.2E-4</v>
      </c>
    </row>
    <row r="1176" spans="1:10">
      <c r="A1176" t="s">
        <v>1843</v>
      </c>
      <c r="B1176">
        <v>52</v>
      </c>
      <c r="C1176" t="s">
        <v>9</v>
      </c>
      <c r="D1176">
        <v>4</v>
      </c>
      <c r="E1176">
        <v>55</v>
      </c>
      <c r="F1176">
        <v>2.7299999999999998E-3</v>
      </c>
      <c r="G1176">
        <v>0</v>
      </c>
      <c r="H1176" t="s">
        <v>5091</v>
      </c>
      <c r="I1176" t="s">
        <v>5097</v>
      </c>
      <c r="J1176">
        <v>2.7299999999999998E-3</v>
      </c>
    </row>
    <row r="1177" spans="1:10">
      <c r="A1177" t="s">
        <v>1842</v>
      </c>
      <c r="B1177">
        <v>54</v>
      </c>
      <c r="C1177" t="s">
        <v>9</v>
      </c>
      <c r="D1177">
        <v>6</v>
      </c>
      <c r="E1177">
        <v>59</v>
      </c>
      <c r="F1177">
        <v>4.6100000000000004E-3</v>
      </c>
      <c r="G1177">
        <v>0</v>
      </c>
      <c r="H1177" t="s">
        <v>5091</v>
      </c>
      <c r="I1177" t="s">
        <v>5097</v>
      </c>
      <c r="J1177">
        <v>4.6100000000000004E-3</v>
      </c>
    </row>
    <row r="1178" spans="1:10">
      <c r="A1178" t="s">
        <v>1841</v>
      </c>
      <c r="B1178">
        <v>49</v>
      </c>
      <c r="C1178" t="s">
        <v>9</v>
      </c>
      <c r="D1178">
        <v>2</v>
      </c>
      <c r="E1178">
        <v>50</v>
      </c>
      <c r="F1178">
        <v>1.09E-3</v>
      </c>
      <c r="G1178">
        <v>0</v>
      </c>
      <c r="H1178" t="s">
        <v>5091</v>
      </c>
      <c r="I1178" t="s">
        <v>5097</v>
      </c>
      <c r="J1178">
        <v>1.09E-3</v>
      </c>
    </row>
    <row r="1179" spans="1:10">
      <c r="A1179" t="s">
        <v>1838</v>
      </c>
      <c r="B1179">
        <v>51</v>
      </c>
      <c r="C1179" t="s">
        <v>9</v>
      </c>
      <c r="D1179">
        <v>6</v>
      </c>
      <c r="E1179">
        <v>56</v>
      </c>
      <c r="F1179">
        <v>3.2699999999999999E-3</v>
      </c>
      <c r="G1179">
        <v>0</v>
      </c>
      <c r="H1179" t="s">
        <v>5091</v>
      </c>
      <c r="I1179" t="s">
        <v>5097</v>
      </c>
      <c r="J1179">
        <v>3.2699999999999999E-3</v>
      </c>
    </row>
    <row r="1180" spans="1:10">
      <c r="A1180" t="s">
        <v>1835</v>
      </c>
      <c r="B1180">
        <v>52</v>
      </c>
      <c r="C1180" t="s">
        <v>9</v>
      </c>
      <c r="D1180">
        <v>8</v>
      </c>
      <c r="E1180">
        <v>59</v>
      </c>
      <c r="F1180">
        <v>4.9300000000000004E-3</v>
      </c>
      <c r="G1180">
        <v>0</v>
      </c>
      <c r="H1180" t="s">
        <v>5091</v>
      </c>
      <c r="I1180" t="s">
        <v>5097</v>
      </c>
      <c r="J1180">
        <v>4.9300000000000004E-3</v>
      </c>
    </row>
    <row r="1181" spans="1:10">
      <c r="A1181" t="s">
        <v>1825</v>
      </c>
      <c r="B1181">
        <v>51</v>
      </c>
      <c r="C1181" t="s">
        <v>9</v>
      </c>
      <c r="D1181">
        <v>3</v>
      </c>
      <c r="E1181">
        <v>53</v>
      </c>
      <c r="F1181">
        <v>1.91E-3</v>
      </c>
      <c r="G1181">
        <v>0</v>
      </c>
      <c r="H1181" t="s">
        <v>5091</v>
      </c>
      <c r="I1181" t="s">
        <v>5097</v>
      </c>
      <c r="J1181">
        <v>1.91E-3</v>
      </c>
    </row>
    <row r="1182" spans="1:10">
      <c r="A1182" t="s">
        <v>1809</v>
      </c>
      <c r="B1182">
        <v>54</v>
      </c>
      <c r="C1182" t="s">
        <v>7</v>
      </c>
      <c r="D1182">
        <v>5</v>
      </c>
      <c r="E1182">
        <v>58</v>
      </c>
      <c r="F1182">
        <v>2.63E-3</v>
      </c>
      <c r="G1182">
        <v>0</v>
      </c>
      <c r="H1182" t="s">
        <v>5091</v>
      </c>
      <c r="I1182" t="s">
        <v>5097</v>
      </c>
      <c r="J1182">
        <v>2.63E-3</v>
      </c>
    </row>
    <row r="1183" spans="1:10">
      <c r="A1183" t="s">
        <v>1785</v>
      </c>
      <c r="B1183">
        <v>47</v>
      </c>
      <c r="C1183" t="s">
        <v>7</v>
      </c>
      <c r="D1183">
        <v>7</v>
      </c>
      <c r="E1183">
        <v>53</v>
      </c>
      <c r="F1183">
        <v>1.75E-3</v>
      </c>
      <c r="G1183">
        <v>0</v>
      </c>
      <c r="H1183" t="s">
        <v>5091</v>
      </c>
      <c r="I1183" t="s">
        <v>5097</v>
      </c>
      <c r="J1183">
        <v>1.75E-3</v>
      </c>
    </row>
    <row r="1184" spans="1:10">
      <c r="A1184" t="s">
        <v>1760</v>
      </c>
      <c r="B1184">
        <v>50</v>
      </c>
      <c r="C1184" t="s">
        <v>9</v>
      </c>
      <c r="D1184">
        <v>9</v>
      </c>
      <c r="E1184">
        <v>58</v>
      </c>
      <c r="F1184">
        <v>4.5999999999999999E-3</v>
      </c>
      <c r="G1184">
        <v>0</v>
      </c>
      <c r="H1184" t="s">
        <v>5091</v>
      </c>
      <c r="I1184" t="s">
        <v>5097</v>
      </c>
      <c r="J1184">
        <v>4.5999999999999999E-3</v>
      </c>
    </row>
    <row r="1185" spans="1:10">
      <c r="A1185" t="s">
        <v>1747</v>
      </c>
      <c r="B1185">
        <v>52</v>
      </c>
      <c r="C1185" t="s">
        <v>7</v>
      </c>
      <c r="D1185">
        <v>3</v>
      </c>
      <c r="E1185">
        <v>54</v>
      </c>
      <c r="F1185">
        <v>1.5499999999999999E-3</v>
      </c>
      <c r="G1185">
        <v>0</v>
      </c>
      <c r="H1185" t="s">
        <v>5091</v>
      </c>
      <c r="I1185" t="s">
        <v>5097</v>
      </c>
      <c r="J1185">
        <v>1.5499999999999999E-3</v>
      </c>
    </row>
    <row r="1186" spans="1:10">
      <c r="A1186" t="s">
        <v>1746</v>
      </c>
      <c r="B1186">
        <v>59</v>
      </c>
      <c r="C1186" t="s">
        <v>9</v>
      </c>
      <c r="D1186">
        <v>1</v>
      </c>
      <c r="E1186">
        <v>59</v>
      </c>
      <c r="F1186">
        <v>1.81E-3</v>
      </c>
      <c r="G1186">
        <v>0</v>
      </c>
      <c r="H1186" t="s">
        <v>5091</v>
      </c>
      <c r="I1186" t="s">
        <v>5097</v>
      </c>
      <c r="J1186">
        <v>1.81E-3</v>
      </c>
    </row>
    <row r="1187" spans="1:10">
      <c r="A1187" t="s">
        <v>1745</v>
      </c>
      <c r="B1187">
        <v>56</v>
      </c>
      <c r="C1187" t="s">
        <v>7</v>
      </c>
      <c r="D1187">
        <v>2</v>
      </c>
      <c r="E1187">
        <v>57</v>
      </c>
      <c r="F1187">
        <v>1.31E-3</v>
      </c>
      <c r="G1187">
        <v>0</v>
      </c>
      <c r="H1187" t="s">
        <v>5091</v>
      </c>
      <c r="I1187" t="s">
        <v>5097</v>
      </c>
      <c r="J1187">
        <v>1.31E-3</v>
      </c>
    </row>
    <row r="1188" spans="1:10">
      <c r="A1188" t="s">
        <v>1726</v>
      </c>
      <c r="B1188">
        <v>47</v>
      </c>
      <c r="C1188" t="s">
        <v>9</v>
      </c>
      <c r="D1188">
        <v>5</v>
      </c>
      <c r="E1188">
        <v>51</v>
      </c>
      <c r="F1188">
        <v>1.8500000000000001E-3</v>
      </c>
      <c r="G1188">
        <v>0</v>
      </c>
      <c r="H1188" t="s">
        <v>5091</v>
      </c>
      <c r="I1188" t="s">
        <v>5097</v>
      </c>
      <c r="J1188">
        <v>1.8500000000000001E-3</v>
      </c>
    </row>
    <row r="1189" spans="1:10">
      <c r="A1189" t="s">
        <v>1705</v>
      </c>
      <c r="B1189">
        <v>55</v>
      </c>
      <c r="C1189" t="s">
        <v>7</v>
      </c>
      <c r="D1189">
        <v>4</v>
      </c>
      <c r="E1189">
        <v>58</v>
      </c>
      <c r="F1189">
        <v>2.3400000000000001E-3</v>
      </c>
      <c r="G1189">
        <v>0</v>
      </c>
      <c r="H1189" t="s">
        <v>5091</v>
      </c>
      <c r="I1189" t="s">
        <v>5097</v>
      </c>
      <c r="J1189">
        <v>2.3400000000000001E-3</v>
      </c>
    </row>
    <row r="1190" spans="1:10">
      <c r="A1190" t="s">
        <v>1704</v>
      </c>
      <c r="B1190">
        <v>51</v>
      </c>
      <c r="C1190" t="s">
        <v>7</v>
      </c>
      <c r="D1190">
        <v>4</v>
      </c>
      <c r="E1190">
        <v>54</v>
      </c>
      <c r="F1190">
        <v>1.72E-3</v>
      </c>
      <c r="G1190">
        <v>0</v>
      </c>
      <c r="H1190" t="s">
        <v>5091</v>
      </c>
      <c r="I1190" t="s">
        <v>5097</v>
      </c>
      <c r="J1190">
        <v>1.72E-3</v>
      </c>
    </row>
    <row r="1191" spans="1:10">
      <c r="A1191" t="s">
        <v>1693</v>
      </c>
      <c r="B1191">
        <v>51</v>
      </c>
      <c r="C1191" t="s">
        <v>9</v>
      </c>
      <c r="D1191">
        <v>1</v>
      </c>
      <c r="E1191">
        <v>51</v>
      </c>
      <c r="F1191">
        <v>8.5999999999999998E-4</v>
      </c>
      <c r="G1191">
        <v>0</v>
      </c>
      <c r="H1191" t="s">
        <v>5091</v>
      </c>
      <c r="I1191" t="s">
        <v>5097</v>
      </c>
      <c r="J1191">
        <v>8.5999999999999998E-4</v>
      </c>
    </row>
    <row r="1192" spans="1:10">
      <c r="A1192" t="s">
        <v>1686</v>
      </c>
      <c r="B1192">
        <v>54</v>
      </c>
      <c r="C1192" t="s">
        <v>7</v>
      </c>
      <c r="D1192">
        <v>3</v>
      </c>
      <c r="E1192">
        <v>56</v>
      </c>
      <c r="F1192">
        <v>1.75E-3</v>
      </c>
      <c r="G1192">
        <v>0</v>
      </c>
      <c r="H1192" t="s">
        <v>5091</v>
      </c>
      <c r="I1192" t="s">
        <v>5097</v>
      </c>
      <c r="J1192">
        <v>1.75E-3</v>
      </c>
    </row>
    <row r="1193" spans="1:10">
      <c r="A1193" t="s">
        <v>1677</v>
      </c>
      <c r="B1193">
        <v>52</v>
      </c>
      <c r="C1193" t="s">
        <v>9</v>
      </c>
      <c r="D1193">
        <v>4</v>
      </c>
      <c r="E1193">
        <v>55</v>
      </c>
      <c r="F1193">
        <v>2.7299999999999998E-3</v>
      </c>
      <c r="G1193">
        <v>0</v>
      </c>
      <c r="H1193" t="s">
        <v>5091</v>
      </c>
      <c r="I1193" t="s">
        <v>5097</v>
      </c>
      <c r="J1193">
        <v>2.7299999999999998E-3</v>
      </c>
    </row>
    <row r="1194" spans="1:10">
      <c r="A1194" t="s">
        <v>1665</v>
      </c>
      <c r="B1194">
        <v>52</v>
      </c>
      <c r="C1194" t="s">
        <v>9</v>
      </c>
      <c r="D1194">
        <v>5</v>
      </c>
      <c r="E1194">
        <v>56</v>
      </c>
      <c r="F1194">
        <v>3.2100000000000002E-3</v>
      </c>
      <c r="G1194">
        <v>0</v>
      </c>
      <c r="H1194" t="s">
        <v>5091</v>
      </c>
      <c r="I1194" t="s">
        <v>5097</v>
      </c>
      <c r="J1194">
        <v>3.2100000000000002E-3</v>
      </c>
    </row>
    <row r="1195" spans="1:10">
      <c r="A1195" t="s">
        <v>1648</v>
      </c>
      <c r="B1195">
        <v>59</v>
      </c>
      <c r="C1195" t="s">
        <v>7</v>
      </c>
      <c r="D1195">
        <v>1</v>
      </c>
      <c r="E1195">
        <v>59</v>
      </c>
      <c r="F1195">
        <v>6.4999999999999997E-4</v>
      </c>
      <c r="G1195">
        <v>0</v>
      </c>
      <c r="H1195" t="s">
        <v>5091</v>
      </c>
      <c r="I1195" t="s">
        <v>5097</v>
      </c>
      <c r="J1195">
        <v>6.4999999999999997E-4</v>
      </c>
    </row>
    <row r="1196" spans="1:10">
      <c r="A1196" t="s">
        <v>1602</v>
      </c>
      <c r="B1196">
        <v>48</v>
      </c>
      <c r="C1196" t="s">
        <v>7</v>
      </c>
      <c r="D1196">
        <v>3</v>
      </c>
      <c r="E1196">
        <v>50</v>
      </c>
      <c r="F1196">
        <v>9.7999999999999997E-4</v>
      </c>
      <c r="G1196">
        <v>0</v>
      </c>
      <c r="H1196" t="s">
        <v>5091</v>
      </c>
      <c r="I1196" t="s">
        <v>5097</v>
      </c>
      <c r="J1196">
        <v>9.7999999999999997E-4</v>
      </c>
    </row>
    <row r="1197" spans="1:10">
      <c r="A1197" t="s">
        <v>1606</v>
      </c>
      <c r="B1197">
        <v>49</v>
      </c>
      <c r="C1197" t="s">
        <v>9</v>
      </c>
      <c r="D1197">
        <v>3</v>
      </c>
      <c r="E1197">
        <v>51</v>
      </c>
      <c r="F1197">
        <v>1.5399999999999999E-3</v>
      </c>
      <c r="G1197">
        <v>0</v>
      </c>
      <c r="H1197" t="s">
        <v>5091</v>
      </c>
      <c r="I1197" t="s">
        <v>5097</v>
      </c>
      <c r="J1197">
        <v>1.5399999999999999E-3</v>
      </c>
    </row>
    <row r="1198" spans="1:10">
      <c r="A1198" t="s">
        <v>1633</v>
      </c>
      <c r="B1198">
        <v>53</v>
      </c>
      <c r="C1198" t="s">
        <v>7</v>
      </c>
      <c r="D1198">
        <v>7</v>
      </c>
      <c r="E1198">
        <v>59</v>
      </c>
      <c r="F1198">
        <v>3.13E-3</v>
      </c>
      <c r="G1198">
        <v>0</v>
      </c>
      <c r="H1198" t="s">
        <v>5091</v>
      </c>
      <c r="I1198" t="s">
        <v>5097</v>
      </c>
      <c r="J1198">
        <v>3.13E-3</v>
      </c>
    </row>
    <row r="1199" spans="1:10">
      <c r="A1199" t="s">
        <v>1631</v>
      </c>
      <c r="B1199">
        <v>55</v>
      </c>
      <c r="C1199" t="s">
        <v>9</v>
      </c>
      <c r="D1199">
        <v>3</v>
      </c>
      <c r="E1199">
        <v>57</v>
      </c>
      <c r="F1199">
        <v>3.0699999999999998E-3</v>
      </c>
      <c r="G1199">
        <v>0</v>
      </c>
      <c r="H1199" t="s">
        <v>5091</v>
      </c>
      <c r="I1199" t="s">
        <v>5097</v>
      </c>
      <c r="J1199">
        <v>3.0699999999999998E-3</v>
      </c>
    </row>
    <row r="1200" spans="1:10">
      <c r="A1200" t="s">
        <v>84</v>
      </c>
      <c r="B1200">
        <v>60</v>
      </c>
      <c r="C1200" t="s">
        <v>9</v>
      </c>
      <c r="D1200">
        <v>4</v>
      </c>
      <c r="E1200">
        <v>63</v>
      </c>
      <c r="F1200">
        <v>5.8700000000000002E-3</v>
      </c>
      <c r="G1200">
        <v>0</v>
      </c>
      <c r="H1200" t="s">
        <v>5092</v>
      </c>
      <c r="I1200" t="s">
        <v>5097</v>
      </c>
      <c r="J1200">
        <v>5.8700000000000002E-3</v>
      </c>
    </row>
    <row r="1201" spans="1:10">
      <c r="A1201" t="s">
        <v>88</v>
      </c>
      <c r="B1201">
        <v>55</v>
      </c>
      <c r="C1201" t="s">
        <v>7</v>
      </c>
      <c r="D1201">
        <v>7</v>
      </c>
      <c r="E1201">
        <v>61</v>
      </c>
      <c r="F1201">
        <v>3.8899999999999998E-3</v>
      </c>
      <c r="G1201">
        <v>0</v>
      </c>
      <c r="H1201" t="s">
        <v>5092</v>
      </c>
      <c r="I1201" t="s">
        <v>5097</v>
      </c>
      <c r="J1201">
        <v>3.8899999999999998E-3</v>
      </c>
    </row>
    <row r="1202" spans="1:10">
      <c r="A1202" t="s">
        <v>5083</v>
      </c>
      <c r="B1202">
        <v>60</v>
      </c>
      <c r="C1202" t="s">
        <v>9</v>
      </c>
      <c r="D1202">
        <v>2</v>
      </c>
      <c r="E1202">
        <v>61</v>
      </c>
      <c r="F1202">
        <v>2.8600000000000001E-3</v>
      </c>
      <c r="G1202">
        <v>0</v>
      </c>
      <c r="H1202" t="s">
        <v>5092</v>
      </c>
      <c r="I1202" t="s">
        <v>5097</v>
      </c>
      <c r="J1202">
        <v>2.8600000000000001E-3</v>
      </c>
    </row>
    <row r="1203" spans="1:10">
      <c r="A1203" t="s">
        <v>5078</v>
      </c>
      <c r="B1203">
        <v>62</v>
      </c>
      <c r="C1203" t="s">
        <v>7</v>
      </c>
      <c r="D1203">
        <v>3</v>
      </c>
      <c r="E1203">
        <v>64</v>
      </c>
      <c r="F1203">
        <v>3.3300000000000001E-3</v>
      </c>
      <c r="G1203">
        <v>0</v>
      </c>
      <c r="H1203" t="s">
        <v>5092</v>
      </c>
      <c r="I1203" t="s">
        <v>5097</v>
      </c>
      <c r="J1203">
        <v>3.3300000000000001E-3</v>
      </c>
    </row>
    <row r="1204" spans="1:10">
      <c r="A1204" t="s">
        <v>5058</v>
      </c>
      <c r="B1204">
        <v>62</v>
      </c>
      <c r="C1204" t="s">
        <v>9</v>
      </c>
      <c r="D1204">
        <v>5</v>
      </c>
      <c r="E1204">
        <v>66</v>
      </c>
      <c r="F1204">
        <v>7.9399999999999991E-3</v>
      </c>
      <c r="G1204">
        <v>0</v>
      </c>
      <c r="H1204" t="s">
        <v>5092</v>
      </c>
      <c r="I1204" t="s">
        <v>5097</v>
      </c>
      <c r="J1204">
        <v>7.9399999999999991E-3</v>
      </c>
    </row>
    <row r="1205" spans="1:10">
      <c r="A1205" t="s">
        <v>97</v>
      </c>
      <c r="B1205">
        <v>62</v>
      </c>
      <c r="C1205" t="s">
        <v>7</v>
      </c>
      <c r="D1205">
        <v>8</v>
      </c>
      <c r="E1205">
        <v>69</v>
      </c>
      <c r="F1205">
        <v>7.7299999999999999E-3</v>
      </c>
      <c r="G1205">
        <v>0</v>
      </c>
      <c r="H1205" t="s">
        <v>5092</v>
      </c>
      <c r="I1205" t="s">
        <v>5097</v>
      </c>
      <c r="J1205">
        <v>7.7299999999999999E-3</v>
      </c>
    </row>
    <row r="1206" spans="1:10">
      <c r="A1206" t="s">
        <v>5043</v>
      </c>
      <c r="B1206">
        <v>65</v>
      </c>
      <c r="C1206" t="s">
        <v>9</v>
      </c>
      <c r="D1206">
        <v>3</v>
      </c>
      <c r="E1206">
        <v>67</v>
      </c>
      <c r="F1206">
        <v>6.3400000000000001E-3</v>
      </c>
      <c r="G1206">
        <v>0</v>
      </c>
      <c r="H1206" t="s">
        <v>5092</v>
      </c>
      <c r="I1206" t="s">
        <v>5097</v>
      </c>
      <c r="J1206">
        <v>6.3400000000000001E-3</v>
      </c>
    </row>
    <row r="1207" spans="1:10">
      <c r="A1207" t="s">
        <v>101</v>
      </c>
      <c r="B1207">
        <v>61</v>
      </c>
      <c r="C1207" t="s">
        <v>7</v>
      </c>
      <c r="D1207">
        <v>3</v>
      </c>
      <c r="E1207">
        <v>63</v>
      </c>
      <c r="F1207">
        <v>2.8900000000000002E-3</v>
      </c>
      <c r="G1207">
        <v>0</v>
      </c>
      <c r="H1207" t="s">
        <v>5092</v>
      </c>
      <c r="I1207" t="s">
        <v>5097</v>
      </c>
      <c r="J1207">
        <v>2.8900000000000002E-3</v>
      </c>
    </row>
    <row r="1208" spans="1:10">
      <c r="A1208" t="s">
        <v>5039</v>
      </c>
      <c r="B1208">
        <v>61</v>
      </c>
      <c r="C1208" t="s">
        <v>7</v>
      </c>
      <c r="D1208">
        <v>9</v>
      </c>
      <c r="E1208">
        <v>69</v>
      </c>
      <c r="F1208">
        <v>8.0199999999999994E-3</v>
      </c>
      <c r="G1208">
        <v>0</v>
      </c>
      <c r="H1208" t="s">
        <v>5092</v>
      </c>
      <c r="I1208" t="s">
        <v>5097</v>
      </c>
      <c r="J1208">
        <v>8.0199999999999994E-3</v>
      </c>
    </row>
    <row r="1209" spans="1:10">
      <c r="A1209" t="s">
        <v>109</v>
      </c>
      <c r="B1209">
        <v>54</v>
      </c>
      <c r="C1209" t="s">
        <v>7</v>
      </c>
      <c r="D1209">
        <v>9</v>
      </c>
      <c r="E1209">
        <v>62</v>
      </c>
      <c r="F1209">
        <v>4.5900000000000003E-3</v>
      </c>
      <c r="G1209">
        <v>0</v>
      </c>
      <c r="H1209" t="s">
        <v>5092</v>
      </c>
      <c r="I1209" t="s">
        <v>5097</v>
      </c>
      <c r="J1209">
        <v>4.5900000000000003E-3</v>
      </c>
    </row>
    <row r="1210" spans="1:10">
      <c r="A1210" t="s">
        <v>5023</v>
      </c>
      <c r="B1210">
        <v>53</v>
      </c>
      <c r="C1210" t="s">
        <v>9</v>
      </c>
      <c r="D1210">
        <v>9</v>
      </c>
      <c r="E1210">
        <v>61</v>
      </c>
      <c r="F1210">
        <v>6.4200000000000004E-3</v>
      </c>
      <c r="G1210">
        <v>0</v>
      </c>
      <c r="H1210" t="s">
        <v>5092</v>
      </c>
      <c r="I1210" t="s">
        <v>5097</v>
      </c>
      <c r="J1210">
        <v>6.4200000000000004E-3</v>
      </c>
    </row>
    <row r="1211" spans="1:10">
      <c r="A1211" t="s">
        <v>127</v>
      </c>
      <c r="B1211">
        <v>55</v>
      </c>
      <c r="C1211" t="s">
        <v>9</v>
      </c>
      <c r="D1211">
        <v>6</v>
      </c>
      <c r="E1211">
        <v>60</v>
      </c>
      <c r="F1211">
        <v>5.0899999999999999E-3</v>
      </c>
      <c r="G1211">
        <v>0</v>
      </c>
      <c r="H1211" t="s">
        <v>5092</v>
      </c>
      <c r="I1211" t="s">
        <v>5097</v>
      </c>
      <c r="J1211">
        <v>5.0899999999999999E-3</v>
      </c>
    </row>
    <row r="1212" spans="1:10">
      <c r="A1212" t="s">
        <v>4987</v>
      </c>
      <c r="B1212">
        <v>61</v>
      </c>
      <c r="C1212" t="s">
        <v>7</v>
      </c>
      <c r="D1212">
        <v>1</v>
      </c>
      <c r="E1212">
        <v>61</v>
      </c>
      <c r="F1212">
        <v>8.3000000000000001E-4</v>
      </c>
      <c r="G1212">
        <v>0</v>
      </c>
      <c r="H1212" t="s">
        <v>5092</v>
      </c>
      <c r="I1212" t="s">
        <v>5097</v>
      </c>
      <c r="J1212">
        <v>8.3000000000000001E-4</v>
      </c>
    </row>
    <row r="1213" spans="1:10">
      <c r="A1213" t="s">
        <v>4985</v>
      </c>
      <c r="B1213">
        <v>57</v>
      </c>
      <c r="C1213" t="s">
        <v>7</v>
      </c>
      <c r="D1213">
        <v>7</v>
      </c>
      <c r="E1213">
        <v>63</v>
      </c>
      <c r="F1213">
        <v>4.81E-3</v>
      </c>
      <c r="G1213">
        <v>0</v>
      </c>
      <c r="H1213" t="s">
        <v>5092</v>
      </c>
      <c r="I1213" t="s">
        <v>5097</v>
      </c>
      <c r="J1213">
        <v>4.81E-3</v>
      </c>
    </row>
    <row r="1214" spans="1:10">
      <c r="A1214" t="s">
        <v>4977</v>
      </c>
      <c r="B1214">
        <v>56</v>
      </c>
      <c r="C1214" t="s">
        <v>9</v>
      </c>
      <c r="D1214">
        <v>7</v>
      </c>
      <c r="E1214">
        <v>62</v>
      </c>
      <c r="F1214">
        <v>6.5399999999999998E-3</v>
      </c>
      <c r="G1214">
        <v>0</v>
      </c>
      <c r="H1214" t="s">
        <v>5092</v>
      </c>
      <c r="I1214" t="s">
        <v>5097</v>
      </c>
      <c r="J1214">
        <v>6.5399999999999998E-3</v>
      </c>
    </row>
    <row r="1215" spans="1:10">
      <c r="A1215" t="s">
        <v>4945</v>
      </c>
      <c r="B1215">
        <v>53</v>
      </c>
      <c r="C1215" t="s">
        <v>9</v>
      </c>
      <c r="D1215">
        <v>8</v>
      </c>
      <c r="E1215">
        <v>60</v>
      </c>
      <c r="F1215">
        <v>5.5100000000000001E-3</v>
      </c>
      <c r="G1215">
        <v>0</v>
      </c>
      <c r="H1215" t="s">
        <v>5092</v>
      </c>
      <c r="I1215" t="s">
        <v>5097</v>
      </c>
      <c r="J1215">
        <v>5.5100000000000001E-3</v>
      </c>
    </row>
    <row r="1216" spans="1:10">
      <c r="A1216" t="s">
        <v>4927</v>
      </c>
      <c r="B1216">
        <v>59</v>
      </c>
      <c r="C1216" t="s">
        <v>7</v>
      </c>
      <c r="D1216">
        <v>7</v>
      </c>
      <c r="E1216">
        <v>65</v>
      </c>
      <c r="F1216">
        <v>5.79E-3</v>
      </c>
      <c r="G1216">
        <v>0</v>
      </c>
      <c r="H1216" t="s">
        <v>5092</v>
      </c>
      <c r="I1216" t="s">
        <v>5097</v>
      </c>
      <c r="J1216">
        <v>5.79E-3</v>
      </c>
    </row>
    <row r="1217" spans="1:10">
      <c r="A1217" t="s">
        <v>4923</v>
      </c>
      <c r="B1217">
        <v>63</v>
      </c>
      <c r="C1217" t="s">
        <v>9</v>
      </c>
      <c r="D1217">
        <v>7</v>
      </c>
      <c r="E1217">
        <v>69</v>
      </c>
      <c r="F1217">
        <v>1.0999999999999999E-2</v>
      </c>
      <c r="G1217">
        <v>0</v>
      </c>
      <c r="H1217" t="s">
        <v>5092</v>
      </c>
      <c r="I1217" t="s">
        <v>5097</v>
      </c>
      <c r="J1217">
        <v>1.0999999999999999E-2</v>
      </c>
    </row>
    <row r="1218" spans="1:10">
      <c r="A1218" t="s">
        <v>4920</v>
      </c>
      <c r="B1218">
        <v>55</v>
      </c>
      <c r="C1218" t="s">
        <v>7</v>
      </c>
      <c r="D1218">
        <v>8</v>
      </c>
      <c r="E1218">
        <v>62</v>
      </c>
      <c r="F1218">
        <v>4.4600000000000004E-3</v>
      </c>
      <c r="G1218">
        <v>0</v>
      </c>
      <c r="H1218" t="s">
        <v>5092</v>
      </c>
      <c r="I1218" t="s">
        <v>5097</v>
      </c>
      <c r="J1218">
        <v>4.4600000000000004E-3</v>
      </c>
    </row>
    <row r="1219" spans="1:10">
      <c r="A1219" t="s">
        <v>182</v>
      </c>
      <c r="B1219">
        <v>62</v>
      </c>
      <c r="C1219" t="s">
        <v>9</v>
      </c>
      <c r="D1219">
        <v>4</v>
      </c>
      <c r="E1219">
        <v>65</v>
      </c>
      <c r="F1219">
        <v>6.5799999999999999E-3</v>
      </c>
      <c r="G1219">
        <v>0</v>
      </c>
      <c r="H1219" t="s">
        <v>5092</v>
      </c>
      <c r="I1219" t="s">
        <v>5097</v>
      </c>
      <c r="J1219">
        <v>6.5799999999999999E-3</v>
      </c>
    </row>
    <row r="1220" spans="1:10">
      <c r="A1220" t="s">
        <v>4908</v>
      </c>
      <c r="B1220">
        <v>58</v>
      </c>
      <c r="C1220" t="s">
        <v>7</v>
      </c>
      <c r="D1220">
        <v>5</v>
      </c>
      <c r="E1220">
        <v>62</v>
      </c>
      <c r="F1220">
        <v>4.0299999999999997E-3</v>
      </c>
      <c r="G1220">
        <v>0</v>
      </c>
      <c r="H1220" t="s">
        <v>5092</v>
      </c>
      <c r="I1220" t="s">
        <v>5097</v>
      </c>
      <c r="J1220">
        <v>4.0299999999999997E-3</v>
      </c>
    </row>
    <row r="1221" spans="1:10">
      <c r="A1221" t="s">
        <v>4892</v>
      </c>
      <c r="B1221">
        <v>60</v>
      </c>
      <c r="C1221" t="s">
        <v>7</v>
      </c>
      <c r="D1221">
        <v>8</v>
      </c>
      <c r="E1221">
        <v>67</v>
      </c>
      <c r="F1221">
        <v>6.8100000000000001E-3</v>
      </c>
      <c r="G1221">
        <v>0</v>
      </c>
      <c r="H1221" t="s">
        <v>5092</v>
      </c>
      <c r="I1221" t="s">
        <v>5097</v>
      </c>
      <c r="J1221">
        <v>6.8100000000000001E-3</v>
      </c>
    </row>
    <row r="1222" spans="1:10">
      <c r="A1222" t="s">
        <v>200</v>
      </c>
      <c r="B1222">
        <v>62</v>
      </c>
      <c r="C1222" t="s">
        <v>9</v>
      </c>
      <c r="D1222">
        <v>7</v>
      </c>
      <c r="E1222">
        <v>68</v>
      </c>
      <c r="F1222">
        <v>1.0489999999999999E-2</v>
      </c>
      <c r="G1222">
        <v>0</v>
      </c>
      <c r="H1222" t="s">
        <v>5092</v>
      </c>
      <c r="I1222" t="s">
        <v>5097</v>
      </c>
      <c r="J1222">
        <v>1.0489999999999999E-2</v>
      </c>
    </row>
    <row r="1223" spans="1:10">
      <c r="A1223" t="s">
        <v>209</v>
      </c>
      <c r="B1223">
        <v>63</v>
      </c>
      <c r="C1223" t="s">
        <v>7</v>
      </c>
      <c r="D1223">
        <v>7</v>
      </c>
      <c r="E1223">
        <v>69</v>
      </c>
      <c r="F1223">
        <v>7.5300000000000002E-3</v>
      </c>
      <c r="G1223">
        <v>0</v>
      </c>
      <c r="H1223" t="s">
        <v>5092</v>
      </c>
      <c r="I1223" t="s">
        <v>5097</v>
      </c>
      <c r="J1223">
        <v>7.5300000000000002E-3</v>
      </c>
    </row>
    <row r="1224" spans="1:10">
      <c r="A1224" t="s">
        <v>4861</v>
      </c>
      <c r="B1224">
        <v>59</v>
      </c>
      <c r="C1224" t="s">
        <v>7</v>
      </c>
      <c r="D1224">
        <v>4</v>
      </c>
      <c r="E1224">
        <v>62</v>
      </c>
      <c r="F1224">
        <v>3.4499999999999999E-3</v>
      </c>
      <c r="G1224">
        <v>0</v>
      </c>
      <c r="H1224" t="s">
        <v>5092</v>
      </c>
      <c r="I1224" t="s">
        <v>5097</v>
      </c>
      <c r="J1224">
        <v>3.4499999999999999E-3</v>
      </c>
    </row>
    <row r="1225" spans="1:10">
      <c r="A1225" t="s">
        <v>4845</v>
      </c>
      <c r="B1225">
        <v>60</v>
      </c>
      <c r="C1225" t="s">
        <v>7</v>
      </c>
      <c r="D1225">
        <v>8</v>
      </c>
      <c r="E1225">
        <v>67</v>
      </c>
      <c r="F1225">
        <v>6.8100000000000001E-3</v>
      </c>
      <c r="G1225">
        <v>0</v>
      </c>
      <c r="H1225" t="s">
        <v>5092</v>
      </c>
      <c r="I1225" t="s">
        <v>5097</v>
      </c>
      <c r="J1225">
        <v>6.8100000000000001E-3</v>
      </c>
    </row>
    <row r="1226" spans="1:10">
      <c r="A1226" t="s">
        <v>4827</v>
      </c>
      <c r="B1226">
        <v>62</v>
      </c>
      <c r="C1226" t="s">
        <v>9</v>
      </c>
      <c r="D1226">
        <v>6</v>
      </c>
      <c r="E1226">
        <v>67</v>
      </c>
      <c r="F1226">
        <v>9.2800000000000001E-3</v>
      </c>
      <c r="G1226">
        <v>0</v>
      </c>
      <c r="H1226" t="s">
        <v>5092</v>
      </c>
      <c r="I1226" t="s">
        <v>5097</v>
      </c>
      <c r="J1226">
        <v>9.2800000000000001E-3</v>
      </c>
    </row>
    <row r="1227" spans="1:10">
      <c r="A1227" t="s">
        <v>4822</v>
      </c>
      <c r="B1227">
        <v>60</v>
      </c>
      <c r="C1227" t="s">
        <v>7</v>
      </c>
      <c r="D1227">
        <v>3</v>
      </c>
      <c r="E1227">
        <v>62</v>
      </c>
      <c r="F1227">
        <v>2.5300000000000001E-3</v>
      </c>
      <c r="G1227">
        <v>0</v>
      </c>
      <c r="H1227" t="s">
        <v>5092</v>
      </c>
      <c r="I1227" t="s">
        <v>5097</v>
      </c>
      <c r="J1227">
        <v>2.5300000000000001E-3</v>
      </c>
    </row>
    <row r="1228" spans="1:10">
      <c r="A1228" t="s">
        <v>4810</v>
      </c>
      <c r="B1228">
        <v>56</v>
      </c>
      <c r="C1228" t="s">
        <v>7</v>
      </c>
      <c r="D1228">
        <v>5</v>
      </c>
      <c r="E1228">
        <v>60</v>
      </c>
      <c r="F1228">
        <v>3.2299999999999998E-3</v>
      </c>
      <c r="G1228">
        <v>0</v>
      </c>
      <c r="H1228" t="s">
        <v>5092</v>
      </c>
      <c r="I1228" t="s">
        <v>5097</v>
      </c>
      <c r="J1228">
        <v>3.2299999999999998E-3</v>
      </c>
    </row>
    <row r="1229" spans="1:10">
      <c r="A1229" t="s">
        <v>4807</v>
      </c>
      <c r="B1229">
        <v>63</v>
      </c>
      <c r="C1229" t="s">
        <v>9</v>
      </c>
      <c r="D1229">
        <v>6</v>
      </c>
      <c r="E1229">
        <v>68</v>
      </c>
      <c r="F1229">
        <v>9.8899999999999995E-3</v>
      </c>
      <c r="G1229">
        <v>0</v>
      </c>
      <c r="H1229" t="s">
        <v>5092</v>
      </c>
      <c r="I1229" t="s">
        <v>5097</v>
      </c>
      <c r="J1229">
        <v>9.8899999999999995E-3</v>
      </c>
    </row>
    <row r="1230" spans="1:10">
      <c r="A1230" t="s">
        <v>4797</v>
      </c>
      <c r="B1230">
        <v>54</v>
      </c>
      <c r="C1230" t="s">
        <v>7</v>
      </c>
      <c r="D1230">
        <v>8</v>
      </c>
      <c r="E1230">
        <v>61</v>
      </c>
      <c r="F1230">
        <v>3.9899999999999996E-3</v>
      </c>
      <c r="G1230">
        <v>0</v>
      </c>
      <c r="H1230" t="s">
        <v>5092</v>
      </c>
      <c r="I1230" t="s">
        <v>5097</v>
      </c>
      <c r="J1230">
        <v>3.9899999999999996E-3</v>
      </c>
    </row>
    <row r="1231" spans="1:10">
      <c r="A1231" t="s">
        <v>4766</v>
      </c>
      <c r="B1231">
        <v>62</v>
      </c>
      <c r="C1231" t="s">
        <v>7</v>
      </c>
      <c r="D1231">
        <v>5</v>
      </c>
      <c r="E1231">
        <v>66</v>
      </c>
      <c r="F1231">
        <v>5.8500000000000002E-3</v>
      </c>
      <c r="G1231">
        <v>0</v>
      </c>
      <c r="H1231" t="s">
        <v>5092</v>
      </c>
      <c r="I1231" t="s">
        <v>5097</v>
      </c>
      <c r="J1231">
        <v>5.8500000000000002E-3</v>
      </c>
    </row>
    <row r="1232" spans="1:10">
      <c r="A1232" t="s">
        <v>247</v>
      </c>
      <c r="B1232">
        <v>61</v>
      </c>
      <c r="C1232" t="s">
        <v>7</v>
      </c>
      <c r="D1232">
        <v>3</v>
      </c>
      <c r="E1232">
        <v>63</v>
      </c>
      <c r="F1232">
        <v>2.8900000000000002E-3</v>
      </c>
      <c r="G1232">
        <v>0</v>
      </c>
      <c r="H1232" t="s">
        <v>5092</v>
      </c>
      <c r="I1232" t="s">
        <v>5097</v>
      </c>
      <c r="J1232">
        <v>2.8900000000000002E-3</v>
      </c>
    </row>
    <row r="1233" spans="1:10">
      <c r="A1233" t="s">
        <v>250</v>
      </c>
      <c r="B1233">
        <v>56</v>
      </c>
      <c r="C1233" t="s">
        <v>9</v>
      </c>
      <c r="D1233">
        <v>7</v>
      </c>
      <c r="E1233">
        <v>62</v>
      </c>
      <c r="F1233">
        <v>6.5399999999999998E-3</v>
      </c>
      <c r="G1233">
        <v>0</v>
      </c>
      <c r="H1233" t="s">
        <v>5092</v>
      </c>
      <c r="I1233" t="s">
        <v>5097</v>
      </c>
      <c r="J1233">
        <v>6.5399999999999998E-3</v>
      </c>
    </row>
    <row r="1234" spans="1:10">
      <c r="A1234" t="s">
        <v>252</v>
      </c>
      <c r="B1234">
        <v>65</v>
      </c>
      <c r="C1234" t="s">
        <v>7</v>
      </c>
      <c r="D1234">
        <v>4</v>
      </c>
      <c r="E1234">
        <v>68</v>
      </c>
      <c r="F1234">
        <v>5.7999999999999996E-3</v>
      </c>
      <c r="G1234">
        <v>0</v>
      </c>
      <c r="H1234" t="s">
        <v>5092</v>
      </c>
      <c r="I1234" t="s">
        <v>5097</v>
      </c>
      <c r="J1234">
        <v>5.7999999999999996E-3</v>
      </c>
    </row>
    <row r="1235" spans="1:10">
      <c r="A1235" t="s">
        <v>256</v>
      </c>
      <c r="B1235">
        <v>60</v>
      </c>
      <c r="C1235" t="s">
        <v>9</v>
      </c>
      <c r="D1235">
        <v>8</v>
      </c>
      <c r="E1235">
        <v>67</v>
      </c>
      <c r="F1235">
        <v>1.074E-2</v>
      </c>
      <c r="G1235">
        <v>0</v>
      </c>
      <c r="H1235" t="s">
        <v>5092</v>
      </c>
      <c r="I1235" t="s">
        <v>5097</v>
      </c>
      <c r="J1235">
        <v>1.074E-2</v>
      </c>
    </row>
    <row r="1236" spans="1:10">
      <c r="A1236" t="s">
        <v>4734</v>
      </c>
      <c r="B1236">
        <v>61</v>
      </c>
      <c r="C1236" t="s">
        <v>7</v>
      </c>
      <c r="D1236">
        <v>8</v>
      </c>
      <c r="E1236">
        <v>68</v>
      </c>
      <c r="F1236">
        <v>7.2500000000000004E-3</v>
      </c>
      <c r="G1236">
        <v>0</v>
      </c>
      <c r="H1236" t="s">
        <v>5092</v>
      </c>
      <c r="I1236" t="s">
        <v>5097</v>
      </c>
      <c r="J1236">
        <v>7.2500000000000004E-3</v>
      </c>
    </row>
    <row r="1237" spans="1:10">
      <c r="A1237" t="s">
        <v>4722</v>
      </c>
      <c r="B1237">
        <v>56</v>
      </c>
      <c r="C1237" t="s">
        <v>9</v>
      </c>
      <c r="D1237">
        <v>8</v>
      </c>
      <c r="E1237">
        <v>63</v>
      </c>
      <c r="F1237">
        <v>7.6899999999999998E-3</v>
      </c>
      <c r="G1237">
        <v>0</v>
      </c>
      <c r="H1237" t="s">
        <v>5092</v>
      </c>
      <c r="I1237" t="s">
        <v>5097</v>
      </c>
      <c r="J1237">
        <v>7.6899999999999998E-3</v>
      </c>
    </row>
    <row r="1238" spans="1:10">
      <c r="A1238" t="s">
        <v>262</v>
      </c>
      <c r="B1238">
        <v>65</v>
      </c>
      <c r="C1238" t="s">
        <v>9</v>
      </c>
      <c r="D1238">
        <v>5</v>
      </c>
      <c r="E1238">
        <v>69</v>
      </c>
      <c r="F1238">
        <v>9.7999999999999997E-3</v>
      </c>
      <c r="G1238">
        <v>0</v>
      </c>
      <c r="H1238" t="s">
        <v>5092</v>
      </c>
      <c r="I1238" t="s">
        <v>5097</v>
      </c>
      <c r="J1238">
        <v>9.7999999999999997E-3</v>
      </c>
    </row>
    <row r="1239" spans="1:10">
      <c r="A1239" t="s">
        <v>263</v>
      </c>
      <c r="B1239">
        <v>61</v>
      </c>
      <c r="C1239" t="s">
        <v>7</v>
      </c>
      <c r="D1239">
        <v>9</v>
      </c>
      <c r="E1239">
        <v>69</v>
      </c>
      <c r="F1239">
        <v>8.0199999999999994E-3</v>
      </c>
      <c r="G1239">
        <v>0</v>
      </c>
      <c r="H1239" t="s">
        <v>5092</v>
      </c>
      <c r="I1239" t="s">
        <v>5097</v>
      </c>
      <c r="J1239">
        <v>8.0199999999999994E-3</v>
      </c>
    </row>
    <row r="1240" spans="1:10">
      <c r="A1240" t="s">
        <v>285</v>
      </c>
      <c r="B1240">
        <v>64</v>
      </c>
      <c r="C1240" t="s">
        <v>7</v>
      </c>
      <c r="D1240">
        <v>5</v>
      </c>
      <c r="E1240">
        <v>68</v>
      </c>
      <c r="F1240">
        <v>6.5100000000000002E-3</v>
      </c>
      <c r="G1240">
        <v>0</v>
      </c>
      <c r="H1240" t="s">
        <v>5092</v>
      </c>
      <c r="I1240" t="s">
        <v>5097</v>
      </c>
      <c r="J1240">
        <v>6.5100000000000002E-3</v>
      </c>
    </row>
    <row r="1241" spans="1:10">
      <c r="A1241" t="s">
        <v>4651</v>
      </c>
      <c r="B1241">
        <v>63</v>
      </c>
      <c r="C1241" t="s">
        <v>9</v>
      </c>
      <c r="D1241">
        <v>6</v>
      </c>
      <c r="E1241">
        <v>68</v>
      </c>
      <c r="F1241">
        <v>9.8899999999999995E-3</v>
      </c>
      <c r="G1241">
        <v>0</v>
      </c>
      <c r="H1241" t="s">
        <v>5092</v>
      </c>
      <c r="I1241" t="s">
        <v>5097</v>
      </c>
      <c r="J1241">
        <v>9.8899999999999995E-3</v>
      </c>
    </row>
    <row r="1242" spans="1:10">
      <c r="A1242" t="s">
        <v>4637</v>
      </c>
      <c r="B1242">
        <v>61</v>
      </c>
      <c r="C1242" t="s">
        <v>7</v>
      </c>
      <c r="D1242">
        <v>6</v>
      </c>
      <c r="E1242">
        <v>66</v>
      </c>
      <c r="F1242">
        <v>6.0499999999999998E-3</v>
      </c>
      <c r="G1242">
        <v>0</v>
      </c>
      <c r="H1242" t="s">
        <v>5092</v>
      </c>
      <c r="I1242" t="s">
        <v>5097</v>
      </c>
      <c r="J1242">
        <v>6.0499999999999998E-3</v>
      </c>
    </row>
    <row r="1243" spans="1:10">
      <c r="A1243" t="s">
        <v>296</v>
      </c>
      <c r="B1243">
        <v>60</v>
      </c>
      <c r="C1243" t="s">
        <v>9</v>
      </c>
      <c r="D1243">
        <v>7</v>
      </c>
      <c r="E1243">
        <v>66</v>
      </c>
      <c r="F1243">
        <v>9.4599999999999997E-3</v>
      </c>
      <c r="G1243">
        <v>0</v>
      </c>
      <c r="H1243" t="s">
        <v>5092</v>
      </c>
      <c r="I1243" t="s">
        <v>5097</v>
      </c>
      <c r="J1243">
        <v>9.4599999999999997E-3</v>
      </c>
    </row>
    <row r="1244" spans="1:10">
      <c r="A1244" t="s">
        <v>4605</v>
      </c>
      <c r="B1244">
        <v>60</v>
      </c>
      <c r="C1244" t="s">
        <v>7</v>
      </c>
      <c r="D1244">
        <v>3</v>
      </c>
      <c r="E1244">
        <v>62</v>
      </c>
      <c r="F1244">
        <v>2.5300000000000001E-3</v>
      </c>
      <c r="G1244">
        <v>0</v>
      </c>
      <c r="H1244" t="s">
        <v>5092</v>
      </c>
      <c r="I1244" t="s">
        <v>5097</v>
      </c>
      <c r="J1244">
        <v>2.5300000000000001E-3</v>
      </c>
    </row>
    <row r="1245" spans="1:10">
      <c r="A1245" t="s">
        <v>4571</v>
      </c>
      <c r="B1245">
        <v>56</v>
      </c>
      <c r="C1245" t="s">
        <v>9</v>
      </c>
      <c r="D1245">
        <v>9</v>
      </c>
      <c r="E1245">
        <v>64</v>
      </c>
      <c r="F1245">
        <v>8.7399999999999995E-3</v>
      </c>
      <c r="G1245">
        <v>0</v>
      </c>
      <c r="H1245" t="s">
        <v>5092</v>
      </c>
      <c r="I1245" t="s">
        <v>5097</v>
      </c>
      <c r="J1245">
        <v>8.7399999999999995E-3</v>
      </c>
    </row>
    <row r="1246" spans="1:10">
      <c r="A1246" t="s">
        <v>4561</v>
      </c>
      <c r="B1246">
        <v>65</v>
      </c>
      <c r="C1246" t="s">
        <v>9</v>
      </c>
      <c r="D1246">
        <v>5</v>
      </c>
      <c r="E1246">
        <v>69</v>
      </c>
      <c r="F1246">
        <v>9.7999999999999997E-3</v>
      </c>
      <c r="G1246">
        <v>0</v>
      </c>
      <c r="H1246" t="s">
        <v>5092</v>
      </c>
      <c r="I1246" t="s">
        <v>5097</v>
      </c>
      <c r="J1246">
        <v>9.7999999999999997E-3</v>
      </c>
    </row>
    <row r="1247" spans="1:10">
      <c r="A1247" t="s">
        <v>341</v>
      </c>
      <c r="B1247">
        <v>61</v>
      </c>
      <c r="C1247" t="s">
        <v>9</v>
      </c>
      <c r="D1247">
        <v>5</v>
      </c>
      <c r="E1247">
        <v>65</v>
      </c>
      <c r="F1247">
        <v>7.3899999999999999E-3</v>
      </c>
      <c r="G1247">
        <v>0</v>
      </c>
      <c r="H1247" t="s">
        <v>5092</v>
      </c>
      <c r="I1247" t="s">
        <v>5097</v>
      </c>
      <c r="J1247">
        <v>7.3899999999999999E-3</v>
      </c>
    </row>
    <row r="1248" spans="1:10">
      <c r="A1248" t="s">
        <v>4542</v>
      </c>
      <c r="B1248">
        <v>64</v>
      </c>
      <c r="C1248" t="s">
        <v>9</v>
      </c>
      <c r="D1248">
        <v>4</v>
      </c>
      <c r="E1248">
        <v>67</v>
      </c>
      <c r="F1248">
        <v>7.5599999999999999E-3</v>
      </c>
      <c r="G1248">
        <v>0</v>
      </c>
      <c r="H1248" t="s">
        <v>5092</v>
      </c>
      <c r="I1248" t="s">
        <v>5097</v>
      </c>
      <c r="J1248">
        <v>7.5599999999999999E-3</v>
      </c>
    </row>
    <row r="1249" spans="1:10">
      <c r="A1249" t="s">
        <v>4536</v>
      </c>
      <c r="B1249">
        <v>61</v>
      </c>
      <c r="C1249" t="s">
        <v>9</v>
      </c>
      <c r="D1249">
        <v>8</v>
      </c>
      <c r="E1249">
        <v>68</v>
      </c>
      <c r="F1249">
        <v>1.136E-2</v>
      </c>
      <c r="G1249">
        <v>0</v>
      </c>
      <c r="H1249" t="s">
        <v>5092</v>
      </c>
      <c r="I1249" t="s">
        <v>5097</v>
      </c>
      <c r="J1249">
        <v>1.136E-2</v>
      </c>
    </row>
    <row r="1250" spans="1:10">
      <c r="A1250" t="s">
        <v>4528</v>
      </c>
      <c r="B1250">
        <v>60</v>
      </c>
      <c r="C1250" t="s">
        <v>9</v>
      </c>
      <c r="D1250">
        <v>5</v>
      </c>
      <c r="E1250">
        <v>64</v>
      </c>
      <c r="F1250">
        <v>6.8500000000000002E-3</v>
      </c>
      <c r="G1250">
        <v>0</v>
      </c>
      <c r="H1250" t="s">
        <v>5092</v>
      </c>
      <c r="I1250" t="s">
        <v>5097</v>
      </c>
      <c r="J1250">
        <v>6.8500000000000002E-3</v>
      </c>
    </row>
    <row r="1251" spans="1:10">
      <c r="A1251" t="s">
        <v>4523</v>
      </c>
      <c r="B1251">
        <v>61</v>
      </c>
      <c r="C1251" t="s">
        <v>7</v>
      </c>
      <c r="D1251">
        <v>7</v>
      </c>
      <c r="E1251">
        <v>67</v>
      </c>
      <c r="F1251">
        <v>6.62E-3</v>
      </c>
      <c r="G1251">
        <v>0</v>
      </c>
      <c r="H1251" t="s">
        <v>5092</v>
      </c>
      <c r="I1251" t="s">
        <v>5097</v>
      </c>
      <c r="J1251">
        <v>6.62E-3</v>
      </c>
    </row>
    <row r="1252" spans="1:10">
      <c r="A1252" t="s">
        <v>358</v>
      </c>
      <c r="B1252">
        <v>57</v>
      </c>
      <c r="C1252" t="s">
        <v>9</v>
      </c>
      <c r="D1252">
        <v>5</v>
      </c>
      <c r="E1252">
        <v>61</v>
      </c>
      <c r="F1252">
        <v>5.3600000000000002E-3</v>
      </c>
      <c r="G1252">
        <v>0</v>
      </c>
      <c r="H1252" t="s">
        <v>5092</v>
      </c>
      <c r="I1252" t="s">
        <v>5097</v>
      </c>
      <c r="J1252">
        <v>5.3600000000000002E-3</v>
      </c>
    </row>
    <row r="1253" spans="1:10">
      <c r="A1253" t="s">
        <v>4520</v>
      </c>
      <c r="B1253">
        <v>65</v>
      </c>
      <c r="C1253" t="s">
        <v>9</v>
      </c>
      <c r="D1253">
        <v>2</v>
      </c>
      <c r="E1253">
        <v>66</v>
      </c>
      <c r="F1253">
        <v>4.6800000000000001E-3</v>
      </c>
      <c r="G1253">
        <v>0</v>
      </c>
      <c r="H1253" t="s">
        <v>5092</v>
      </c>
      <c r="I1253" t="s">
        <v>5097</v>
      </c>
      <c r="J1253">
        <v>4.6800000000000001E-3</v>
      </c>
    </row>
    <row r="1254" spans="1:10">
      <c r="A1254" t="s">
        <v>4519</v>
      </c>
      <c r="B1254">
        <v>57</v>
      </c>
      <c r="C1254" t="s">
        <v>7</v>
      </c>
      <c r="D1254">
        <v>4</v>
      </c>
      <c r="E1254">
        <v>60</v>
      </c>
      <c r="F1254">
        <v>2.7399999999999998E-3</v>
      </c>
      <c r="G1254">
        <v>0</v>
      </c>
      <c r="H1254" t="s">
        <v>5092</v>
      </c>
      <c r="I1254" t="s">
        <v>5097</v>
      </c>
      <c r="J1254">
        <v>2.7399999999999998E-3</v>
      </c>
    </row>
    <row r="1255" spans="1:10">
      <c r="A1255" t="s">
        <v>4518</v>
      </c>
      <c r="B1255">
        <v>64</v>
      </c>
      <c r="C1255" t="s">
        <v>7</v>
      </c>
      <c r="D1255">
        <v>5</v>
      </c>
      <c r="E1255">
        <v>68</v>
      </c>
      <c r="F1255">
        <v>6.5100000000000002E-3</v>
      </c>
      <c r="G1255">
        <v>0</v>
      </c>
      <c r="H1255" t="s">
        <v>5092</v>
      </c>
      <c r="I1255" t="s">
        <v>5097</v>
      </c>
      <c r="J1255">
        <v>6.5100000000000002E-3</v>
      </c>
    </row>
    <row r="1256" spans="1:10">
      <c r="A1256" t="s">
        <v>4482</v>
      </c>
      <c r="B1256">
        <v>57</v>
      </c>
      <c r="C1256" t="s">
        <v>9</v>
      </c>
      <c r="D1256">
        <v>5</v>
      </c>
      <c r="E1256">
        <v>61</v>
      </c>
      <c r="F1256">
        <v>5.3600000000000002E-3</v>
      </c>
      <c r="G1256">
        <v>0</v>
      </c>
      <c r="H1256" t="s">
        <v>5092</v>
      </c>
      <c r="I1256" t="s">
        <v>5097</v>
      </c>
      <c r="J1256">
        <v>5.3600000000000002E-3</v>
      </c>
    </row>
    <row r="1257" spans="1:10">
      <c r="A1257" t="s">
        <v>401</v>
      </c>
      <c r="B1257">
        <v>56</v>
      </c>
      <c r="C1257" t="s">
        <v>9</v>
      </c>
      <c r="D1257">
        <v>7</v>
      </c>
      <c r="E1257">
        <v>62</v>
      </c>
      <c r="F1257">
        <v>6.5399999999999998E-3</v>
      </c>
      <c r="G1257">
        <v>0</v>
      </c>
      <c r="H1257" t="s">
        <v>5092</v>
      </c>
      <c r="I1257" t="s">
        <v>5097</v>
      </c>
      <c r="J1257">
        <v>6.5399999999999998E-3</v>
      </c>
    </row>
    <row r="1258" spans="1:10">
      <c r="A1258" t="s">
        <v>4408</v>
      </c>
      <c r="B1258">
        <v>58</v>
      </c>
      <c r="C1258" t="s">
        <v>7</v>
      </c>
      <c r="D1258">
        <v>8</v>
      </c>
      <c r="E1258">
        <v>65</v>
      </c>
      <c r="F1258">
        <v>5.9300000000000004E-3</v>
      </c>
      <c r="G1258">
        <v>0</v>
      </c>
      <c r="H1258" t="s">
        <v>5092</v>
      </c>
      <c r="I1258" t="s">
        <v>5097</v>
      </c>
      <c r="J1258">
        <v>5.9300000000000004E-3</v>
      </c>
    </row>
    <row r="1259" spans="1:10">
      <c r="A1259" t="s">
        <v>410</v>
      </c>
      <c r="B1259">
        <v>57</v>
      </c>
      <c r="C1259" t="s">
        <v>9</v>
      </c>
      <c r="D1259">
        <v>4</v>
      </c>
      <c r="E1259">
        <v>60</v>
      </c>
      <c r="F1259">
        <v>4.6899999999999997E-3</v>
      </c>
      <c r="G1259">
        <v>0</v>
      </c>
      <c r="H1259" t="s">
        <v>5092</v>
      </c>
      <c r="I1259" t="s">
        <v>5097</v>
      </c>
      <c r="J1259">
        <v>4.6899999999999997E-3</v>
      </c>
    </row>
    <row r="1260" spans="1:10">
      <c r="A1260" t="s">
        <v>411</v>
      </c>
      <c r="B1260">
        <v>59</v>
      </c>
      <c r="C1260" t="s">
        <v>7</v>
      </c>
      <c r="D1260">
        <v>2</v>
      </c>
      <c r="E1260">
        <v>60</v>
      </c>
      <c r="F1260">
        <v>1.5E-3</v>
      </c>
      <c r="G1260">
        <v>0</v>
      </c>
      <c r="H1260" t="s">
        <v>5092</v>
      </c>
      <c r="I1260" t="s">
        <v>5097</v>
      </c>
      <c r="J1260">
        <v>1.5E-3</v>
      </c>
    </row>
    <row r="1261" spans="1:10">
      <c r="A1261" t="s">
        <v>439</v>
      </c>
      <c r="B1261">
        <v>60</v>
      </c>
      <c r="C1261" t="s">
        <v>9</v>
      </c>
      <c r="D1261">
        <v>1</v>
      </c>
      <c r="E1261">
        <v>60</v>
      </c>
      <c r="F1261">
        <v>2.0500000000000002E-3</v>
      </c>
      <c r="G1261">
        <v>0</v>
      </c>
      <c r="H1261" t="s">
        <v>5092</v>
      </c>
      <c r="I1261" t="s">
        <v>5097</v>
      </c>
      <c r="J1261">
        <v>2.0500000000000002E-3</v>
      </c>
    </row>
    <row r="1262" spans="1:10">
      <c r="A1262" t="s">
        <v>442</v>
      </c>
      <c r="B1262">
        <v>58</v>
      </c>
      <c r="C1262" t="s">
        <v>7</v>
      </c>
      <c r="D1262">
        <v>3</v>
      </c>
      <c r="E1262">
        <v>60</v>
      </c>
      <c r="F1262">
        <v>2.1099999999999999E-3</v>
      </c>
      <c r="G1262">
        <v>0</v>
      </c>
      <c r="H1262" t="s">
        <v>5092</v>
      </c>
      <c r="I1262" t="s">
        <v>5097</v>
      </c>
      <c r="J1262">
        <v>2.1099999999999999E-3</v>
      </c>
    </row>
    <row r="1263" spans="1:10">
      <c r="A1263" t="s">
        <v>443</v>
      </c>
      <c r="B1263">
        <v>59</v>
      </c>
      <c r="C1263" t="s">
        <v>7</v>
      </c>
      <c r="D1263">
        <v>2</v>
      </c>
      <c r="E1263">
        <v>60</v>
      </c>
      <c r="F1263">
        <v>1.5E-3</v>
      </c>
      <c r="G1263">
        <v>0</v>
      </c>
      <c r="H1263" t="s">
        <v>5092</v>
      </c>
      <c r="I1263" t="s">
        <v>5097</v>
      </c>
      <c r="J1263">
        <v>1.5E-3</v>
      </c>
    </row>
    <row r="1264" spans="1:10">
      <c r="A1264" t="s">
        <v>4306</v>
      </c>
      <c r="B1264">
        <v>56</v>
      </c>
      <c r="C1264" t="s">
        <v>7</v>
      </c>
      <c r="D1264">
        <v>8</v>
      </c>
      <c r="E1264">
        <v>63</v>
      </c>
      <c r="F1264">
        <v>4.9399999999999999E-3</v>
      </c>
      <c r="G1264">
        <v>0</v>
      </c>
      <c r="H1264" t="s">
        <v>5092</v>
      </c>
      <c r="I1264" t="s">
        <v>5097</v>
      </c>
      <c r="J1264">
        <v>4.9399999999999999E-3</v>
      </c>
    </row>
    <row r="1265" spans="1:10">
      <c r="A1265" t="s">
        <v>462</v>
      </c>
      <c r="B1265">
        <v>60</v>
      </c>
      <c r="C1265" t="s">
        <v>7</v>
      </c>
      <c r="D1265">
        <v>4</v>
      </c>
      <c r="E1265">
        <v>63</v>
      </c>
      <c r="F1265">
        <v>3.8700000000000002E-3</v>
      </c>
      <c r="G1265">
        <v>0</v>
      </c>
      <c r="H1265" t="s">
        <v>5092</v>
      </c>
      <c r="I1265" t="s">
        <v>5097</v>
      </c>
      <c r="J1265">
        <v>3.8700000000000002E-3</v>
      </c>
    </row>
    <row r="1266" spans="1:10">
      <c r="A1266" t="s">
        <v>4246</v>
      </c>
      <c r="B1266">
        <v>60</v>
      </c>
      <c r="C1266" t="s">
        <v>9</v>
      </c>
      <c r="D1266">
        <v>6</v>
      </c>
      <c r="E1266">
        <v>65</v>
      </c>
      <c r="F1266">
        <v>8.1399999999999997E-3</v>
      </c>
      <c r="G1266">
        <v>0</v>
      </c>
      <c r="H1266" t="s">
        <v>5092</v>
      </c>
      <c r="I1266" t="s">
        <v>5097</v>
      </c>
      <c r="J1266">
        <v>8.1399999999999997E-3</v>
      </c>
    </row>
    <row r="1267" spans="1:10">
      <c r="A1267" t="s">
        <v>4239</v>
      </c>
      <c r="B1267">
        <v>56</v>
      </c>
      <c r="C1267" t="s">
        <v>9</v>
      </c>
      <c r="D1267">
        <v>6</v>
      </c>
      <c r="E1267">
        <v>61</v>
      </c>
      <c r="F1267">
        <v>5.5900000000000004E-3</v>
      </c>
      <c r="G1267">
        <v>0</v>
      </c>
      <c r="H1267" t="s">
        <v>5092</v>
      </c>
      <c r="I1267" t="s">
        <v>5097</v>
      </c>
      <c r="J1267">
        <v>5.5900000000000004E-3</v>
      </c>
    </row>
    <row r="1268" spans="1:10">
      <c r="A1268" t="s">
        <v>4237</v>
      </c>
      <c r="B1268">
        <v>62</v>
      </c>
      <c r="C1268" t="s">
        <v>7</v>
      </c>
      <c r="D1268">
        <v>5</v>
      </c>
      <c r="E1268">
        <v>66</v>
      </c>
      <c r="F1268">
        <v>5.8500000000000002E-3</v>
      </c>
      <c r="G1268">
        <v>0</v>
      </c>
      <c r="H1268" t="s">
        <v>5092</v>
      </c>
      <c r="I1268" t="s">
        <v>5097</v>
      </c>
      <c r="J1268">
        <v>5.8500000000000002E-3</v>
      </c>
    </row>
    <row r="1269" spans="1:10">
      <c r="A1269" t="s">
        <v>487</v>
      </c>
      <c r="B1269">
        <v>62</v>
      </c>
      <c r="C1269" t="s">
        <v>7</v>
      </c>
      <c r="D1269">
        <v>5</v>
      </c>
      <c r="E1269">
        <v>66</v>
      </c>
      <c r="F1269">
        <v>5.8500000000000002E-3</v>
      </c>
      <c r="G1269">
        <v>0</v>
      </c>
      <c r="H1269" t="s">
        <v>5092</v>
      </c>
      <c r="I1269" t="s">
        <v>5097</v>
      </c>
      <c r="J1269">
        <v>5.8500000000000002E-3</v>
      </c>
    </row>
    <row r="1270" spans="1:10">
      <c r="A1270" t="s">
        <v>489</v>
      </c>
      <c r="B1270">
        <v>65</v>
      </c>
      <c r="C1270" t="s">
        <v>9</v>
      </c>
      <c r="D1270">
        <v>3</v>
      </c>
      <c r="E1270">
        <v>67</v>
      </c>
      <c r="F1270">
        <v>6.3400000000000001E-3</v>
      </c>
      <c r="G1270">
        <v>0</v>
      </c>
      <c r="H1270" t="s">
        <v>5092</v>
      </c>
      <c r="I1270" t="s">
        <v>5097</v>
      </c>
      <c r="J1270">
        <v>6.3400000000000001E-3</v>
      </c>
    </row>
    <row r="1271" spans="1:10">
      <c r="A1271" t="s">
        <v>4228</v>
      </c>
      <c r="B1271">
        <v>62</v>
      </c>
      <c r="C1271" t="s">
        <v>7</v>
      </c>
      <c r="D1271">
        <v>6</v>
      </c>
      <c r="E1271">
        <v>67</v>
      </c>
      <c r="F1271">
        <v>6.43E-3</v>
      </c>
      <c r="G1271">
        <v>0</v>
      </c>
      <c r="H1271" t="s">
        <v>5092</v>
      </c>
      <c r="I1271" t="s">
        <v>5097</v>
      </c>
      <c r="J1271">
        <v>6.43E-3</v>
      </c>
    </row>
    <row r="1272" spans="1:10">
      <c r="A1272" t="s">
        <v>4227</v>
      </c>
      <c r="B1272">
        <v>55</v>
      </c>
      <c r="C1272" t="s">
        <v>9</v>
      </c>
      <c r="D1272">
        <v>9</v>
      </c>
      <c r="E1272">
        <v>63</v>
      </c>
      <c r="F1272">
        <v>7.9900000000000006E-3</v>
      </c>
      <c r="G1272">
        <v>0</v>
      </c>
      <c r="H1272" t="s">
        <v>5092</v>
      </c>
      <c r="I1272" t="s">
        <v>5097</v>
      </c>
      <c r="J1272">
        <v>7.9900000000000006E-3</v>
      </c>
    </row>
    <row r="1273" spans="1:10">
      <c r="A1273" t="s">
        <v>4189</v>
      </c>
      <c r="B1273">
        <v>63</v>
      </c>
      <c r="C1273" t="s">
        <v>9</v>
      </c>
      <c r="D1273">
        <v>3</v>
      </c>
      <c r="E1273">
        <v>65</v>
      </c>
      <c r="F1273">
        <v>5.5100000000000001E-3</v>
      </c>
      <c r="G1273">
        <v>0</v>
      </c>
      <c r="H1273" t="s">
        <v>5092</v>
      </c>
      <c r="I1273" t="s">
        <v>5097</v>
      </c>
      <c r="J1273">
        <v>5.5100000000000001E-3</v>
      </c>
    </row>
    <row r="1274" spans="1:10">
      <c r="A1274" t="s">
        <v>4172</v>
      </c>
      <c r="B1274">
        <v>60</v>
      </c>
      <c r="C1274" t="s">
        <v>7</v>
      </c>
      <c r="D1274">
        <v>5</v>
      </c>
      <c r="E1274">
        <v>64</v>
      </c>
      <c r="F1274">
        <v>4.9800000000000001E-3</v>
      </c>
      <c r="G1274">
        <v>0</v>
      </c>
      <c r="H1274" t="s">
        <v>5092</v>
      </c>
      <c r="I1274" t="s">
        <v>5097</v>
      </c>
      <c r="J1274">
        <v>4.9800000000000001E-3</v>
      </c>
    </row>
    <row r="1275" spans="1:10">
      <c r="A1275" t="s">
        <v>4171</v>
      </c>
      <c r="B1275">
        <v>63</v>
      </c>
      <c r="C1275" t="s">
        <v>7</v>
      </c>
      <c r="D1275">
        <v>6</v>
      </c>
      <c r="E1275">
        <v>68</v>
      </c>
      <c r="F1275">
        <v>6.8399999999999997E-3</v>
      </c>
      <c r="G1275">
        <v>0</v>
      </c>
      <c r="H1275" t="s">
        <v>5092</v>
      </c>
      <c r="I1275" t="s">
        <v>5097</v>
      </c>
      <c r="J1275">
        <v>6.8399999999999997E-3</v>
      </c>
    </row>
    <row r="1276" spans="1:10">
      <c r="A1276" t="s">
        <v>4159</v>
      </c>
      <c r="B1276">
        <v>61</v>
      </c>
      <c r="C1276" t="s">
        <v>7</v>
      </c>
      <c r="D1276">
        <v>2</v>
      </c>
      <c r="E1276">
        <v>62</v>
      </c>
      <c r="F1276">
        <v>1.6800000000000001E-3</v>
      </c>
      <c r="G1276">
        <v>0</v>
      </c>
      <c r="H1276" t="s">
        <v>5092</v>
      </c>
      <c r="I1276" t="s">
        <v>5097</v>
      </c>
      <c r="J1276">
        <v>1.6800000000000001E-3</v>
      </c>
    </row>
    <row r="1277" spans="1:10">
      <c r="A1277" t="s">
        <v>4151</v>
      </c>
      <c r="B1277">
        <v>55</v>
      </c>
      <c r="C1277" t="s">
        <v>9</v>
      </c>
      <c r="D1277">
        <v>9</v>
      </c>
      <c r="E1277">
        <v>63</v>
      </c>
      <c r="F1277">
        <v>7.9900000000000006E-3</v>
      </c>
      <c r="G1277">
        <v>0</v>
      </c>
      <c r="H1277" t="s">
        <v>5092</v>
      </c>
      <c r="I1277" t="s">
        <v>5097</v>
      </c>
      <c r="J1277">
        <v>7.9900000000000006E-3</v>
      </c>
    </row>
    <row r="1278" spans="1:10">
      <c r="A1278" t="s">
        <v>524</v>
      </c>
      <c r="B1278">
        <v>56</v>
      </c>
      <c r="C1278" t="s">
        <v>7</v>
      </c>
      <c r="D1278">
        <v>8</v>
      </c>
      <c r="E1278">
        <v>63</v>
      </c>
      <c r="F1278">
        <v>4.9399999999999999E-3</v>
      </c>
      <c r="G1278">
        <v>0</v>
      </c>
      <c r="H1278" t="s">
        <v>5092</v>
      </c>
      <c r="I1278" t="s">
        <v>5097</v>
      </c>
      <c r="J1278">
        <v>4.9399999999999999E-3</v>
      </c>
    </row>
    <row r="1279" spans="1:10">
      <c r="A1279" t="s">
        <v>4143</v>
      </c>
      <c r="B1279">
        <v>61</v>
      </c>
      <c r="C1279" t="s">
        <v>7</v>
      </c>
      <c r="D1279">
        <v>7</v>
      </c>
      <c r="E1279">
        <v>67</v>
      </c>
      <c r="F1279">
        <v>6.62E-3</v>
      </c>
      <c r="G1279">
        <v>0</v>
      </c>
      <c r="H1279" t="s">
        <v>5092</v>
      </c>
      <c r="I1279" t="s">
        <v>5097</v>
      </c>
      <c r="J1279">
        <v>6.62E-3</v>
      </c>
    </row>
    <row r="1280" spans="1:10">
      <c r="A1280" t="s">
        <v>4142</v>
      </c>
      <c r="B1280">
        <v>56</v>
      </c>
      <c r="C1280" t="s">
        <v>9</v>
      </c>
      <c r="D1280">
        <v>6</v>
      </c>
      <c r="E1280">
        <v>61</v>
      </c>
      <c r="F1280">
        <v>5.5900000000000004E-3</v>
      </c>
      <c r="G1280">
        <v>0</v>
      </c>
      <c r="H1280" t="s">
        <v>5092</v>
      </c>
      <c r="I1280" t="s">
        <v>5097</v>
      </c>
      <c r="J1280">
        <v>5.5900000000000004E-3</v>
      </c>
    </row>
    <row r="1281" spans="1:10">
      <c r="A1281" t="s">
        <v>533</v>
      </c>
      <c r="B1281">
        <v>61</v>
      </c>
      <c r="C1281" t="s">
        <v>7</v>
      </c>
      <c r="D1281">
        <v>6</v>
      </c>
      <c r="E1281">
        <v>66</v>
      </c>
      <c r="F1281">
        <v>6.0499999999999998E-3</v>
      </c>
      <c r="G1281">
        <v>0</v>
      </c>
      <c r="H1281" t="s">
        <v>5092</v>
      </c>
      <c r="I1281" t="s">
        <v>5097</v>
      </c>
      <c r="J1281">
        <v>6.0499999999999998E-3</v>
      </c>
    </row>
    <row r="1282" spans="1:10">
      <c r="A1282" t="s">
        <v>4131</v>
      </c>
      <c r="B1282">
        <v>63</v>
      </c>
      <c r="C1282" t="s">
        <v>7</v>
      </c>
      <c r="D1282">
        <v>7</v>
      </c>
      <c r="E1282">
        <v>69</v>
      </c>
      <c r="F1282">
        <v>7.5300000000000002E-3</v>
      </c>
      <c r="G1282">
        <v>0</v>
      </c>
      <c r="H1282" t="s">
        <v>5092</v>
      </c>
      <c r="I1282" t="s">
        <v>5097</v>
      </c>
      <c r="J1282">
        <v>7.5300000000000002E-3</v>
      </c>
    </row>
    <row r="1283" spans="1:10">
      <c r="A1283" t="s">
        <v>4087</v>
      </c>
      <c r="B1283">
        <v>61</v>
      </c>
      <c r="C1283" t="s">
        <v>7</v>
      </c>
      <c r="D1283">
        <v>7</v>
      </c>
      <c r="E1283">
        <v>67</v>
      </c>
      <c r="F1283">
        <v>6.62E-3</v>
      </c>
      <c r="G1283">
        <v>0</v>
      </c>
      <c r="H1283" t="s">
        <v>5092</v>
      </c>
      <c r="I1283" t="s">
        <v>5097</v>
      </c>
      <c r="J1283">
        <v>6.62E-3</v>
      </c>
    </row>
    <row r="1284" spans="1:10">
      <c r="A1284" t="s">
        <v>4066</v>
      </c>
      <c r="B1284">
        <v>60</v>
      </c>
      <c r="C1284" t="s">
        <v>9</v>
      </c>
      <c r="D1284">
        <v>6</v>
      </c>
      <c r="E1284">
        <v>65</v>
      </c>
      <c r="F1284">
        <v>8.1399999999999997E-3</v>
      </c>
      <c r="G1284">
        <v>0</v>
      </c>
      <c r="H1284" t="s">
        <v>5092</v>
      </c>
      <c r="I1284" t="s">
        <v>5097</v>
      </c>
      <c r="J1284">
        <v>8.1399999999999997E-3</v>
      </c>
    </row>
    <row r="1285" spans="1:10">
      <c r="A1285" t="s">
        <v>4060</v>
      </c>
      <c r="B1285">
        <v>55</v>
      </c>
      <c r="C1285" t="s">
        <v>9</v>
      </c>
      <c r="D1285">
        <v>9</v>
      </c>
      <c r="E1285">
        <v>63</v>
      </c>
      <c r="F1285">
        <v>7.9900000000000006E-3</v>
      </c>
      <c r="G1285">
        <v>0</v>
      </c>
      <c r="H1285" t="s">
        <v>5092</v>
      </c>
      <c r="I1285" t="s">
        <v>5097</v>
      </c>
      <c r="J1285">
        <v>7.9900000000000006E-3</v>
      </c>
    </row>
    <row r="1286" spans="1:10">
      <c r="A1286" t="s">
        <v>4055</v>
      </c>
      <c r="B1286">
        <v>60</v>
      </c>
      <c r="C1286" t="s">
        <v>9</v>
      </c>
      <c r="D1286">
        <v>5</v>
      </c>
      <c r="E1286">
        <v>64</v>
      </c>
      <c r="F1286">
        <v>6.8500000000000002E-3</v>
      </c>
      <c r="G1286">
        <v>0</v>
      </c>
      <c r="H1286" t="s">
        <v>5092</v>
      </c>
      <c r="I1286" t="s">
        <v>5097</v>
      </c>
      <c r="J1286">
        <v>6.8500000000000002E-3</v>
      </c>
    </row>
    <row r="1287" spans="1:10">
      <c r="A1287" t="s">
        <v>4045</v>
      </c>
      <c r="B1287">
        <v>63</v>
      </c>
      <c r="C1287" t="s">
        <v>9</v>
      </c>
      <c r="D1287">
        <v>3</v>
      </c>
      <c r="E1287">
        <v>65</v>
      </c>
      <c r="F1287">
        <v>5.5100000000000001E-3</v>
      </c>
      <c r="G1287">
        <v>0</v>
      </c>
      <c r="H1287" t="s">
        <v>5092</v>
      </c>
      <c r="I1287" t="s">
        <v>5097</v>
      </c>
      <c r="J1287">
        <v>5.5100000000000001E-3</v>
      </c>
    </row>
    <row r="1288" spans="1:10">
      <c r="A1288" t="s">
        <v>583</v>
      </c>
      <c r="B1288">
        <v>61</v>
      </c>
      <c r="C1288" t="s">
        <v>7</v>
      </c>
      <c r="D1288">
        <v>6</v>
      </c>
      <c r="E1288">
        <v>66</v>
      </c>
      <c r="F1288">
        <v>6.0499999999999998E-3</v>
      </c>
      <c r="G1288">
        <v>0</v>
      </c>
      <c r="H1288" t="s">
        <v>5092</v>
      </c>
      <c r="I1288" t="s">
        <v>5097</v>
      </c>
      <c r="J1288">
        <v>6.0499999999999998E-3</v>
      </c>
    </row>
    <row r="1289" spans="1:10">
      <c r="A1289" t="s">
        <v>587</v>
      </c>
      <c r="B1289">
        <v>56</v>
      </c>
      <c r="C1289" t="s">
        <v>7</v>
      </c>
      <c r="D1289">
        <v>9</v>
      </c>
      <c r="E1289">
        <v>64</v>
      </c>
      <c r="F1289">
        <v>5.62E-3</v>
      </c>
      <c r="G1289">
        <v>0</v>
      </c>
      <c r="H1289" t="s">
        <v>5092</v>
      </c>
      <c r="I1289" t="s">
        <v>5097</v>
      </c>
      <c r="J1289">
        <v>5.62E-3</v>
      </c>
    </row>
    <row r="1290" spans="1:10">
      <c r="A1290" t="s">
        <v>4026</v>
      </c>
      <c r="B1290">
        <v>59</v>
      </c>
      <c r="C1290" t="s">
        <v>9</v>
      </c>
      <c r="D1290">
        <v>4</v>
      </c>
      <c r="E1290">
        <v>62</v>
      </c>
      <c r="F1290">
        <v>5.5500000000000002E-3</v>
      </c>
      <c r="G1290">
        <v>0</v>
      </c>
      <c r="H1290" t="s">
        <v>5092</v>
      </c>
      <c r="I1290" t="s">
        <v>5097</v>
      </c>
      <c r="J1290">
        <v>5.5500000000000002E-3</v>
      </c>
    </row>
    <row r="1291" spans="1:10">
      <c r="A1291" t="s">
        <v>593</v>
      </c>
      <c r="B1291">
        <v>58</v>
      </c>
      <c r="C1291" t="s">
        <v>9</v>
      </c>
      <c r="D1291">
        <v>5</v>
      </c>
      <c r="E1291">
        <v>62</v>
      </c>
      <c r="F1291">
        <v>5.8500000000000002E-3</v>
      </c>
      <c r="G1291">
        <v>0</v>
      </c>
      <c r="H1291" t="s">
        <v>5092</v>
      </c>
      <c r="I1291" t="s">
        <v>5097</v>
      </c>
      <c r="J1291">
        <v>5.8500000000000002E-3</v>
      </c>
    </row>
    <row r="1292" spans="1:10">
      <c r="A1292" t="s">
        <v>4018</v>
      </c>
      <c r="B1292">
        <v>62</v>
      </c>
      <c r="C1292" t="s">
        <v>7</v>
      </c>
      <c r="D1292">
        <v>3</v>
      </c>
      <c r="E1292">
        <v>64</v>
      </c>
      <c r="F1292">
        <v>3.3300000000000001E-3</v>
      </c>
      <c r="G1292">
        <v>0</v>
      </c>
      <c r="H1292" t="s">
        <v>5092</v>
      </c>
      <c r="I1292" t="s">
        <v>5097</v>
      </c>
      <c r="J1292">
        <v>3.3300000000000001E-3</v>
      </c>
    </row>
    <row r="1293" spans="1:10">
      <c r="A1293" t="s">
        <v>4007</v>
      </c>
      <c r="B1293">
        <v>61</v>
      </c>
      <c r="C1293" t="s">
        <v>7</v>
      </c>
      <c r="D1293">
        <v>8</v>
      </c>
      <c r="E1293">
        <v>68</v>
      </c>
      <c r="F1293">
        <v>7.2500000000000004E-3</v>
      </c>
      <c r="G1293">
        <v>0</v>
      </c>
      <c r="H1293" t="s">
        <v>5092</v>
      </c>
      <c r="I1293" t="s">
        <v>5097</v>
      </c>
      <c r="J1293">
        <v>7.2500000000000004E-3</v>
      </c>
    </row>
    <row r="1294" spans="1:10">
      <c r="A1294" t="s">
        <v>4001</v>
      </c>
      <c r="B1294">
        <v>62</v>
      </c>
      <c r="C1294" t="s">
        <v>7</v>
      </c>
      <c r="D1294">
        <v>7</v>
      </c>
      <c r="E1294">
        <v>68</v>
      </c>
      <c r="F1294">
        <v>7.0200000000000002E-3</v>
      </c>
      <c r="G1294">
        <v>0</v>
      </c>
      <c r="H1294" t="s">
        <v>5092</v>
      </c>
      <c r="I1294" t="s">
        <v>5097</v>
      </c>
      <c r="J1294">
        <v>7.0200000000000002E-3</v>
      </c>
    </row>
    <row r="1295" spans="1:10">
      <c r="A1295" t="s">
        <v>609</v>
      </c>
      <c r="B1295">
        <v>55</v>
      </c>
      <c r="C1295" t="s">
        <v>7</v>
      </c>
      <c r="D1295">
        <v>9</v>
      </c>
      <c r="E1295">
        <v>63</v>
      </c>
      <c r="F1295">
        <v>5.11E-3</v>
      </c>
      <c r="G1295">
        <v>0</v>
      </c>
      <c r="H1295" t="s">
        <v>5092</v>
      </c>
      <c r="I1295" t="s">
        <v>5097</v>
      </c>
      <c r="J1295">
        <v>5.11E-3</v>
      </c>
    </row>
    <row r="1296" spans="1:10">
      <c r="A1296" t="s">
        <v>610</v>
      </c>
      <c r="B1296">
        <v>59</v>
      </c>
      <c r="C1296" t="s">
        <v>9</v>
      </c>
      <c r="D1296">
        <v>4</v>
      </c>
      <c r="E1296">
        <v>62</v>
      </c>
      <c r="F1296">
        <v>5.5500000000000002E-3</v>
      </c>
      <c r="G1296">
        <v>0</v>
      </c>
      <c r="H1296" t="s">
        <v>5092</v>
      </c>
      <c r="I1296" t="s">
        <v>5097</v>
      </c>
      <c r="J1296">
        <v>5.5500000000000002E-3</v>
      </c>
    </row>
    <row r="1297" spans="1:10">
      <c r="A1297" t="s">
        <v>3982</v>
      </c>
      <c r="B1297">
        <v>63</v>
      </c>
      <c r="C1297" t="s">
        <v>7</v>
      </c>
      <c r="D1297">
        <v>4</v>
      </c>
      <c r="E1297">
        <v>66</v>
      </c>
      <c r="F1297">
        <v>5.0800000000000003E-3</v>
      </c>
      <c r="G1297">
        <v>0</v>
      </c>
      <c r="H1297" t="s">
        <v>5092</v>
      </c>
      <c r="I1297" t="s">
        <v>5097</v>
      </c>
      <c r="J1297">
        <v>5.0800000000000003E-3</v>
      </c>
    </row>
    <row r="1298" spans="1:10">
      <c r="A1298" t="s">
        <v>3968</v>
      </c>
      <c r="B1298">
        <v>56</v>
      </c>
      <c r="C1298" t="s">
        <v>7</v>
      </c>
      <c r="D1298">
        <v>7</v>
      </c>
      <c r="E1298">
        <v>62</v>
      </c>
      <c r="F1298">
        <v>4.3299999999999996E-3</v>
      </c>
      <c r="G1298">
        <v>0</v>
      </c>
      <c r="H1298" t="s">
        <v>5092</v>
      </c>
      <c r="I1298" t="s">
        <v>5097</v>
      </c>
      <c r="J1298">
        <v>4.3299999999999996E-3</v>
      </c>
    </row>
    <row r="1299" spans="1:10">
      <c r="A1299" t="s">
        <v>3946</v>
      </c>
      <c r="B1299">
        <v>55</v>
      </c>
      <c r="C1299" t="s">
        <v>9</v>
      </c>
      <c r="D1299">
        <v>6</v>
      </c>
      <c r="E1299">
        <v>60</v>
      </c>
      <c r="F1299">
        <v>5.0899999999999999E-3</v>
      </c>
      <c r="G1299">
        <v>0</v>
      </c>
      <c r="H1299" t="s">
        <v>5092</v>
      </c>
      <c r="I1299" t="s">
        <v>5097</v>
      </c>
      <c r="J1299">
        <v>5.0899999999999999E-3</v>
      </c>
    </row>
    <row r="1300" spans="1:10">
      <c r="A1300" t="s">
        <v>3899</v>
      </c>
      <c r="B1300">
        <v>61</v>
      </c>
      <c r="C1300" t="s">
        <v>9</v>
      </c>
      <c r="D1300">
        <v>7</v>
      </c>
      <c r="E1300">
        <v>67</v>
      </c>
      <c r="F1300">
        <v>1.0019999999999999E-2</v>
      </c>
      <c r="G1300">
        <v>0</v>
      </c>
      <c r="H1300" t="s">
        <v>5092</v>
      </c>
      <c r="I1300" t="s">
        <v>5097</v>
      </c>
      <c r="J1300">
        <v>1.0019999999999999E-2</v>
      </c>
    </row>
    <row r="1301" spans="1:10">
      <c r="A1301" t="s">
        <v>643</v>
      </c>
      <c r="B1301">
        <v>57</v>
      </c>
      <c r="C1301" t="s">
        <v>9</v>
      </c>
      <c r="D1301">
        <v>8</v>
      </c>
      <c r="E1301">
        <v>64</v>
      </c>
      <c r="F1301">
        <v>8.4600000000000005E-3</v>
      </c>
      <c r="G1301">
        <v>0</v>
      </c>
      <c r="H1301" t="s">
        <v>5092</v>
      </c>
      <c r="I1301" t="s">
        <v>5097</v>
      </c>
      <c r="J1301">
        <v>8.4600000000000005E-3</v>
      </c>
    </row>
    <row r="1302" spans="1:10">
      <c r="A1302" t="s">
        <v>644</v>
      </c>
      <c r="B1302">
        <v>53</v>
      </c>
      <c r="C1302" t="s">
        <v>7</v>
      </c>
      <c r="D1302">
        <v>8</v>
      </c>
      <c r="E1302">
        <v>60</v>
      </c>
      <c r="F1302">
        <v>3.5699999999999998E-3</v>
      </c>
      <c r="G1302">
        <v>0</v>
      </c>
      <c r="H1302" t="s">
        <v>5092</v>
      </c>
      <c r="I1302" t="s">
        <v>5097</v>
      </c>
      <c r="J1302">
        <v>3.5699999999999998E-3</v>
      </c>
    </row>
    <row r="1303" spans="1:10">
      <c r="A1303" t="s">
        <v>3896</v>
      </c>
      <c r="B1303">
        <v>57</v>
      </c>
      <c r="C1303" t="s">
        <v>7</v>
      </c>
      <c r="D1303">
        <v>4</v>
      </c>
      <c r="E1303">
        <v>60</v>
      </c>
      <c r="F1303">
        <v>2.7399999999999998E-3</v>
      </c>
      <c r="G1303">
        <v>0</v>
      </c>
      <c r="H1303" t="s">
        <v>5092</v>
      </c>
      <c r="I1303" t="s">
        <v>5097</v>
      </c>
      <c r="J1303">
        <v>2.7399999999999998E-3</v>
      </c>
    </row>
    <row r="1304" spans="1:10">
      <c r="A1304" t="s">
        <v>3882</v>
      </c>
      <c r="B1304">
        <v>54</v>
      </c>
      <c r="C1304" t="s">
        <v>7</v>
      </c>
      <c r="D1304">
        <v>7</v>
      </c>
      <c r="E1304">
        <v>60</v>
      </c>
      <c r="F1304">
        <v>3.48E-3</v>
      </c>
      <c r="G1304">
        <v>0</v>
      </c>
      <c r="H1304" t="s">
        <v>5092</v>
      </c>
      <c r="I1304" t="s">
        <v>5097</v>
      </c>
      <c r="J1304">
        <v>3.48E-3</v>
      </c>
    </row>
    <row r="1305" spans="1:10">
      <c r="A1305" t="s">
        <v>655</v>
      </c>
      <c r="B1305">
        <v>58</v>
      </c>
      <c r="C1305" t="s">
        <v>7</v>
      </c>
      <c r="D1305">
        <v>4</v>
      </c>
      <c r="E1305">
        <v>61</v>
      </c>
      <c r="F1305">
        <v>3.0599999999999998E-3</v>
      </c>
      <c r="G1305">
        <v>0</v>
      </c>
      <c r="H1305" t="s">
        <v>5092</v>
      </c>
      <c r="I1305" t="s">
        <v>5097</v>
      </c>
      <c r="J1305">
        <v>3.0599999999999998E-3</v>
      </c>
    </row>
    <row r="1306" spans="1:10">
      <c r="A1306" t="s">
        <v>3851</v>
      </c>
      <c r="B1306">
        <v>58</v>
      </c>
      <c r="C1306" t="s">
        <v>7</v>
      </c>
      <c r="D1306">
        <v>8</v>
      </c>
      <c r="E1306">
        <v>65</v>
      </c>
      <c r="F1306">
        <v>5.9300000000000004E-3</v>
      </c>
      <c r="G1306">
        <v>0</v>
      </c>
      <c r="H1306" t="s">
        <v>5092</v>
      </c>
      <c r="I1306" t="s">
        <v>5097</v>
      </c>
      <c r="J1306">
        <v>5.9300000000000004E-3</v>
      </c>
    </row>
    <row r="1307" spans="1:10">
      <c r="A1307" t="s">
        <v>3825</v>
      </c>
      <c r="B1307">
        <v>60</v>
      </c>
      <c r="C1307" t="s">
        <v>7</v>
      </c>
      <c r="D1307">
        <v>6</v>
      </c>
      <c r="E1307">
        <v>65</v>
      </c>
      <c r="F1307">
        <v>5.6299999999999996E-3</v>
      </c>
      <c r="G1307">
        <v>0</v>
      </c>
      <c r="H1307" t="s">
        <v>5092</v>
      </c>
      <c r="I1307" t="s">
        <v>5097</v>
      </c>
      <c r="J1307">
        <v>5.6299999999999996E-3</v>
      </c>
    </row>
    <row r="1308" spans="1:10">
      <c r="A1308" t="s">
        <v>3806</v>
      </c>
      <c r="B1308">
        <v>61</v>
      </c>
      <c r="C1308" t="s">
        <v>7</v>
      </c>
      <c r="D1308">
        <v>4</v>
      </c>
      <c r="E1308">
        <v>64</v>
      </c>
      <c r="F1308">
        <v>4.2700000000000004E-3</v>
      </c>
      <c r="G1308">
        <v>0</v>
      </c>
      <c r="H1308" t="s">
        <v>5092</v>
      </c>
      <c r="I1308" t="s">
        <v>5097</v>
      </c>
      <c r="J1308">
        <v>4.2700000000000004E-3</v>
      </c>
    </row>
    <row r="1309" spans="1:10">
      <c r="A1309" t="s">
        <v>3784</v>
      </c>
      <c r="B1309">
        <v>63</v>
      </c>
      <c r="C1309" t="s">
        <v>9</v>
      </c>
      <c r="D1309">
        <v>5</v>
      </c>
      <c r="E1309">
        <v>67</v>
      </c>
      <c r="F1309">
        <v>8.5199999999999998E-3</v>
      </c>
      <c r="G1309">
        <v>0</v>
      </c>
      <c r="H1309" t="s">
        <v>5092</v>
      </c>
      <c r="I1309" t="s">
        <v>5097</v>
      </c>
      <c r="J1309">
        <v>8.5199999999999998E-3</v>
      </c>
    </row>
    <row r="1310" spans="1:10">
      <c r="A1310" t="s">
        <v>3778</v>
      </c>
      <c r="B1310">
        <v>58</v>
      </c>
      <c r="C1310" t="s">
        <v>9</v>
      </c>
      <c r="D1310">
        <v>3</v>
      </c>
      <c r="E1310">
        <v>60</v>
      </c>
      <c r="F1310">
        <v>4.0800000000000003E-3</v>
      </c>
      <c r="G1310">
        <v>0</v>
      </c>
      <c r="H1310" t="s">
        <v>5092</v>
      </c>
      <c r="I1310" t="s">
        <v>5097</v>
      </c>
      <c r="J1310">
        <v>4.0800000000000003E-3</v>
      </c>
    </row>
    <row r="1311" spans="1:10">
      <c r="A1311" t="s">
        <v>3772</v>
      </c>
      <c r="B1311">
        <v>65</v>
      </c>
      <c r="C1311" t="s">
        <v>7</v>
      </c>
      <c r="D1311">
        <v>5</v>
      </c>
      <c r="E1311">
        <v>69</v>
      </c>
      <c r="F1311">
        <v>6.9199999999999999E-3</v>
      </c>
      <c r="G1311">
        <v>0</v>
      </c>
      <c r="H1311" t="s">
        <v>5092</v>
      </c>
      <c r="I1311" t="s">
        <v>5097</v>
      </c>
      <c r="J1311">
        <v>6.9199999999999999E-3</v>
      </c>
    </row>
    <row r="1312" spans="1:10">
      <c r="A1312" t="s">
        <v>3755</v>
      </c>
      <c r="B1312">
        <v>59</v>
      </c>
      <c r="C1312" t="s">
        <v>7</v>
      </c>
      <c r="D1312">
        <v>9</v>
      </c>
      <c r="E1312">
        <v>67</v>
      </c>
      <c r="F1312">
        <v>7.0400000000000003E-3</v>
      </c>
      <c r="G1312">
        <v>0</v>
      </c>
      <c r="H1312" t="s">
        <v>5092</v>
      </c>
      <c r="I1312" t="s">
        <v>5097</v>
      </c>
      <c r="J1312">
        <v>7.0400000000000003E-3</v>
      </c>
    </row>
    <row r="1313" spans="1:10">
      <c r="A1313" t="s">
        <v>685</v>
      </c>
      <c r="B1313">
        <v>64</v>
      </c>
      <c r="C1313" t="s">
        <v>7</v>
      </c>
      <c r="D1313">
        <v>3</v>
      </c>
      <c r="E1313">
        <v>66</v>
      </c>
      <c r="F1313">
        <v>4.2300000000000003E-3</v>
      </c>
      <c r="G1313">
        <v>0</v>
      </c>
      <c r="H1313" t="s">
        <v>5092</v>
      </c>
      <c r="I1313" t="s">
        <v>5097</v>
      </c>
      <c r="J1313">
        <v>4.2300000000000003E-3</v>
      </c>
    </row>
    <row r="1314" spans="1:10">
      <c r="A1314" t="s">
        <v>3741</v>
      </c>
      <c r="B1314">
        <v>56</v>
      </c>
      <c r="C1314" t="s">
        <v>9</v>
      </c>
      <c r="D1314">
        <v>7</v>
      </c>
      <c r="E1314">
        <v>62</v>
      </c>
      <c r="F1314">
        <v>6.5399999999999998E-3</v>
      </c>
      <c r="G1314">
        <v>0</v>
      </c>
      <c r="H1314" t="s">
        <v>5092</v>
      </c>
      <c r="I1314" t="s">
        <v>5097</v>
      </c>
      <c r="J1314">
        <v>6.5399999999999998E-3</v>
      </c>
    </row>
    <row r="1315" spans="1:10">
      <c r="A1315" t="s">
        <v>3738</v>
      </c>
      <c r="B1315">
        <v>60</v>
      </c>
      <c r="C1315" t="s">
        <v>9</v>
      </c>
      <c r="D1315">
        <v>1</v>
      </c>
      <c r="E1315">
        <v>60</v>
      </c>
      <c r="F1315">
        <v>2.0500000000000002E-3</v>
      </c>
      <c r="G1315">
        <v>0</v>
      </c>
      <c r="H1315" t="s">
        <v>5092</v>
      </c>
      <c r="I1315" t="s">
        <v>5097</v>
      </c>
      <c r="J1315">
        <v>2.0500000000000002E-3</v>
      </c>
    </row>
    <row r="1316" spans="1:10">
      <c r="A1316" t="s">
        <v>3728</v>
      </c>
      <c r="B1316">
        <v>62</v>
      </c>
      <c r="C1316" t="s">
        <v>9</v>
      </c>
      <c r="D1316">
        <v>6</v>
      </c>
      <c r="E1316">
        <v>67</v>
      </c>
      <c r="F1316">
        <v>9.2800000000000001E-3</v>
      </c>
      <c r="G1316">
        <v>0</v>
      </c>
      <c r="H1316" t="s">
        <v>5092</v>
      </c>
      <c r="I1316" t="s">
        <v>5097</v>
      </c>
      <c r="J1316">
        <v>9.2800000000000001E-3</v>
      </c>
    </row>
    <row r="1317" spans="1:10">
      <c r="A1317" t="s">
        <v>3704</v>
      </c>
      <c r="B1317">
        <v>62</v>
      </c>
      <c r="C1317" t="s">
        <v>9</v>
      </c>
      <c r="D1317">
        <v>7</v>
      </c>
      <c r="E1317">
        <v>68</v>
      </c>
      <c r="F1317">
        <v>1.0489999999999999E-2</v>
      </c>
      <c r="G1317">
        <v>0</v>
      </c>
      <c r="H1317" t="s">
        <v>5092</v>
      </c>
      <c r="I1317" t="s">
        <v>5097</v>
      </c>
      <c r="J1317">
        <v>1.0489999999999999E-2</v>
      </c>
    </row>
    <row r="1318" spans="1:10">
      <c r="A1318" t="s">
        <v>3700</v>
      </c>
      <c r="B1318">
        <v>56</v>
      </c>
      <c r="C1318" t="s">
        <v>9</v>
      </c>
      <c r="D1318">
        <v>5</v>
      </c>
      <c r="E1318">
        <v>60</v>
      </c>
      <c r="F1318">
        <v>4.8900000000000002E-3</v>
      </c>
      <c r="G1318">
        <v>0</v>
      </c>
      <c r="H1318" t="s">
        <v>5092</v>
      </c>
      <c r="I1318" t="s">
        <v>5097</v>
      </c>
      <c r="J1318">
        <v>4.8900000000000002E-3</v>
      </c>
    </row>
    <row r="1319" spans="1:10">
      <c r="A1319" t="s">
        <v>3652</v>
      </c>
      <c r="B1319">
        <v>62</v>
      </c>
      <c r="C1319" t="s">
        <v>9</v>
      </c>
      <c r="D1319">
        <v>6</v>
      </c>
      <c r="E1319">
        <v>67</v>
      </c>
      <c r="F1319">
        <v>9.2800000000000001E-3</v>
      </c>
      <c r="G1319">
        <v>0</v>
      </c>
      <c r="H1319" t="s">
        <v>5092</v>
      </c>
      <c r="I1319" t="s">
        <v>5097</v>
      </c>
      <c r="J1319">
        <v>9.2800000000000001E-3</v>
      </c>
    </row>
    <row r="1320" spans="1:10">
      <c r="A1320" t="s">
        <v>3650</v>
      </c>
      <c r="B1320">
        <v>63</v>
      </c>
      <c r="C1320" t="s">
        <v>9</v>
      </c>
      <c r="D1320">
        <v>5</v>
      </c>
      <c r="E1320">
        <v>67</v>
      </c>
      <c r="F1320">
        <v>8.5199999999999998E-3</v>
      </c>
      <c r="G1320">
        <v>0</v>
      </c>
      <c r="H1320" t="s">
        <v>5092</v>
      </c>
      <c r="I1320" t="s">
        <v>5097</v>
      </c>
      <c r="J1320">
        <v>8.5199999999999998E-3</v>
      </c>
    </row>
    <row r="1321" spans="1:10">
      <c r="A1321" t="s">
        <v>737</v>
      </c>
      <c r="B1321">
        <v>62</v>
      </c>
      <c r="C1321" t="s">
        <v>7</v>
      </c>
      <c r="D1321">
        <v>2</v>
      </c>
      <c r="E1321">
        <v>63</v>
      </c>
      <c r="F1321">
        <v>1.8500000000000001E-3</v>
      </c>
      <c r="G1321">
        <v>0</v>
      </c>
      <c r="H1321" t="s">
        <v>5092</v>
      </c>
      <c r="I1321" t="s">
        <v>5097</v>
      </c>
      <c r="J1321">
        <v>1.8500000000000001E-3</v>
      </c>
    </row>
    <row r="1322" spans="1:10">
      <c r="A1322" t="s">
        <v>738</v>
      </c>
      <c r="B1322">
        <v>60</v>
      </c>
      <c r="C1322" t="s">
        <v>9</v>
      </c>
      <c r="D1322">
        <v>8</v>
      </c>
      <c r="E1322">
        <v>67</v>
      </c>
      <c r="F1322">
        <v>1.074E-2</v>
      </c>
      <c r="G1322">
        <v>0</v>
      </c>
      <c r="H1322" t="s">
        <v>5092</v>
      </c>
      <c r="I1322" t="s">
        <v>5097</v>
      </c>
      <c r="J1322">
        <v>1.074E-2</v>
      </c>
    </row>
    <row r="1323" spans="1:10">
      <c r="A1323" t="s">
        <v>3627</v>
      </c>
      <c r="B1323">
        <v>55</v>
      </c>
      <c r="C1323" t="s">
        <v>9</v>
      </c>
      <c r="D1323">
        <v>9</v>
      </c>
      <c r="E1323">
        <v>63</v>
      </c>
      <c r="F1323">
        <v>7.9900000000000006E-3</v>
      </c>
      <c r="G1323">
        <v>0</v>
      </c>
      <c r="H1323" t="s">
        <v>5092</v>
      </c>
      <c r="I1323" t="s">
        <v>5097</v>
      </c>
      <c r="J1323">
        <v>7.9900000000000006E-3</v>
      </c>
    </row>
    <row r="1324" spans="1:10">
      <c r="A1324" t="s">
        <v>3620</v>
      </c>
      <c r="B1324">
        <v>62</v>
      </c>
      <c r="C1324" t="s">
        <v>9</v>
      </c>
      <c r="D1324">
        <v>2</v>
      </c>
      <c r="E1324">
        <v>63</v>
      </c>
      <c r="F1324">
        <v>3.5100000000000001E-3</v>
      </c>
      <c r="G1324">
        <v>0</v>
      </c>
      <c r="H1324" t="s">
        <v>5092</v>
      </c>
      <c r="I1324" t="s">
        <v>5097</v>
      </c>
      <c r="J1324">
        <v>3.5100000000000001E-3</v>
      </c>
    </row>
    <row r="1325" spans="1:10">
      <c r="A1325" t="s">
        <v>3606</v>
      </c>
      <c r="B1325">
        <v>64</v>
      </c>
      <c r="C1325" t="s">
        <v>9</v>
      </c>
      <c r="D1325">
        <v>5</v>
      </c>
      <c r="E1325">
        <v>68</v>
      </c>
      <c r="F1325">
        <v>9.1599999999999997E-3</v>
      </c>
      <c r="G1325">
        <v>0</v>
      </c>
      <c r="H1325" t="s">
        <v>5092</v>
      </c>
      <c r="I1325" t="s">
        <v>5097</v>
      </c>
      <c r="J1325">
        <v>9.1599999999999997E-3</v>
      </c>
    </row>
    <row r="1326" spans="1:10">
      <c r="A1326" t="s">
        <v>3601</v>
      </c>
      <c r="B1326">
        <v>56</v>
      </c>
      <c r="C1326" t="s">
        <v>7</v>
      </c>
      <c r="D1326">
        <v>9</v>
      </c>
      <c r="E1326">
        <v>64</v>
      </c>
      <c r="F1326">
        <v>5.62E-3</v>
      </c>
      <c r="G1326">
        <v>0</v>
      </c>
      <c r="H1326" t="s">
        <v>5092</v>
      </c>
      <c r="I1326" t="s">
        <v>5097</v>
      </c>
      <c r="J1326">
        <v>5.62E-3</v>
      </c>
    </row>
    <row r="1327" spans="1:10">
      <c r="A1327" t="s">
        <v>752</v>
      </c>
      <c r="B1327">
        <v>60</v>
      </c>
      <c r="C1327" t="s">
        <v>7</v>
      </c>
      <c r="D1327">
        <v>1</v>
      </c>
      <c r="E1327">
        <v>60</v>
      </c>
      <c r="F1327">
        <v>7.2999999999999996E-4</v>
      </c>
      <c r="G1327">
        <v>0</v>
      </c>
      <c r="H1327" t="s">
        <v>5092</v>
      </c>
      <c r="I1327" t="s">
        <v>5097</v>
      </c>
      <c r="J1327">
        <v>7.2999999999999996E-4</v>
      </c>
    </row>
    <row r="1328" spans="1:10">
      <c r="A1328" t="s">
        <v>767</v>
      </c>
      <c r="B1328">
        <v>60</v>
      </c>
      <c r="C1328" t="s">
        <v>7</v>
      </c>
      <c r="D1328">
        <v>9</v>
      </c>
      <c r="E1328">
        <v>68</v>
      </c>
      <c r="F1328">
        <v>7.4900000000000001E-3</v>
      </c>
      <c r="G1328">
        <v>0</v>
      </c>
      <c r="H1328" t="s">
        <v>5092</v>
      </c>
      <c r="I1328" t="s">
        <v>5097</v>
      </c>
      <c r="J1328">
        <v>7.4900000000000001E-3</v>
      </c>
    </row>
    <row r="1329" spans="1:10">
      <c r="A1329" t="s">
        <v>772</v>
      </c>
      <c r="B1329">
        <v>60</v>
      </c>
      <c r="C1329" t="s">
        <v>7</v>
      </c>
      <c r="D1329">
        <v>5</v>
      </c>
      <c r="E1329">
        <v>64</v>
      </c>
      <c r="F1329">
        <v>4.9800000000000001E-3</v>
      </c>
      <c r="G1329">
        <v>0</v>
      </c>
      <c r="H1329" t="s">
        <v>5092</v>
      </c>
      <c r="I1329" t="s">
        <v>5097</v>
      </c>
      <c r="J1329">
        <v>4.9800000000000001E-3</v>
      </c>
    </row>
    <row r="1330" spans="1:10">
      <c r="A1330" t="s">
        <v>3516</v>
      </c>
      <c r="B1330">
        <v>63</v>
      </c>
      <c r="C1330" t="s">
        <v>9</v>
      </c>
      <c r="D1330">
        <v>3</v>
      </c>
      <c r="E1330">
        <v>65</v>
      </c>
      <c r="F1330">
        <v>5.5100000000000001E-3</v>
      </c>
      <c r="G1330">
        <v>0</v>
      </c>
      <c r="H1330" t="s">
        <v>5092</v>
      </c>
      <c r="I1330" t="s">
        <v>5097</v>
      </c>
      <c r="J1330">
        <v>5.5100000000000001E-3</v>
      </c>
    </row>
    <row r="1331" spans="1:10">
      <c r="A1331" t="s">
        <v>3512</v>
      </c>
      <c r="B1331">
        <v>60</v>
      </c>
      <c r="C1331" t="s">
        <v>7</v>
      </c>
      <c r="D1331">
        <v>4</v>
      </c>
      <c r="E1331">
        <v>63</v>
      </c>
      <c r="F1331">
        <v>3.8700000000000002E-3</v>
      </c>
      <c r="G1331">
        <v>0</v>
      </c>
      <c r="H1331" t="s">
        <v>5092</v>
      </c>
      <c r="I1331" t="s">
        <v>5097</v>
      </c>
      <c r="J1331">
        <v>3.8700000000000002E-3</v>
      </c>
    </row>
    <row r="1332" spans="1:10">
      <c r="A1332" t="s">
        <v>3487</v>
      </c>
      <c r="B1332">
        <v>62</v>
      </c>
      <c r="C1332" t="s">
        <v>9</v>
      </c>
      <c r="D1332">
        <v>5</v>
      </c>
      <c r="E1332">
        <v>66</v>
      </c>
      <c r="F1332">
        <v>7.9399999999999991E-3</v>
      </c>
      <c r="G1332">
        <v>0</v>
      </c>
      <c r="H1332" t="s">
        <v>5092</v>
      </c>
      <c r="I1332" t="s">
        <v>5097</v>
      </c>
      <c r="J1332">
        <v>7.9399999999999991E-3</v>
      </c>
    </row>
    <row r="1333" spans="1:10">
      <c r="A1333" t="s">
        <v>3469</v>
      </c>
      <c r="B1333">
        <v>60</v>
      </c>
      <c r="C1333" t="s">
        <v>9</v>
      </c>
      <c r="D1333">
        <v>6</v>
      </c>
      <c r="E1333">
        <v>65</v>
      </c>
      <c r="F1333">
        <v>8.1399999999999997E-3</v>
      </c>
      <c r="G1333">
        <v>0</v>
      </c>
      <c r="H1333" t="s">
        <v>5092</v>
      </c>
      <c r="I1333" t="s">
        <v>5097</v>
      </c>
      <c r="J1333">
        <v>8.1399999999999997E-3</v>
      </c>
    </row>
    <row r="1334" spans="1:10">
      <c r="A1334" t="s">
        <v>793</v>
      </c>
      <c r="B1334">
        <v>56</v>
      </c>
      <c r="C1334" t="s">
        <v>7</v>
      </c>
      <c r="D1334">
        <v>7</v>
      </c>
      <c r="E1334">
        <v>62</v>
      </c>
      <c r="F1334">
        <v>4.3299999999999996E-3</v>
      </c>
      <c r="G1334">
        <v>0</v>
      </c>
      <c r="H1334" t="s">
        <v>5092</v>
      </c>
      <c r="I1334" t="s">
        <v>5097</v>
      </c>
      <c r="J1334">
        <v>4.3299999999999996E-3</v>
      </c>
    </row>
    <row r="1335" spans="1:10">
      <c r="A1335" t="s">
        <v>796</v>
      </c>
      <c r="B1335">
        <v>64</v>
      </c>
      <c r="C1335" t="s">
        <v>7</v>
      </c>
      <c r="D1335">
        <v>3</v>
      </c>
      <c r="E1335">
        <v>66</v>
      </c>
      <c r="F1335">
        <v>4.2300000000000003E-3</v>
      </c>
      <c r="G1335">
        <v>0</v>
      </c>
      <c r="H1335" t="s">
        <v>5092</v>
      </c>
      <c r="I1335" t="s">
        <v>5097</v>
      </c>
      <c r="J1335">
        <v>4.2300000000000003E-3</v>
      </c>
    </row>
    <row r="1336" spans="1:10">
      <c r="A1336" t="s">
        <v>3439</v>
      </c>
      <c r="B1336">
        <v>54</v>
      </c>
      <c r="C1336" t="s">
        <v>7</v>
      </c>
      <c r="D1336">
        <v>9</v>
      </c>
      <c r="E1336">
        <v>62</v>
      </c>
      <c r="F1336">
        <v>4.5900000000000003E-3</v>
      </c>
      <c r="G1336">
        <v>0</v>
      </c>
      <c r="H1336" t="s">
        <v>5092</v>
      </c>
      <c r="I1336" t="s">
        <v>5097</v>
      </c>
      <c r="J1336">
        <v>4.5900000000000003E-3</v>
      </c>
    </row>
    <row r="1337" spans="1:10">
      <c r="A1337" t="s">
        <v>3429</v>
      </c>
      <c r="B1337">
        <v>58</v>
      </c>
      <c r="C1337" t="s">
        <v>9</v>
      </c>
      <c r="D1337">
        <v>9</v>
      </c>
      <c r="E1337">
        <v>66</v>
      </c>
      <c r="F1337">
        <v>1.0449999999999999E-2</v>
      </c>
      <c r="G1337">
        <v>0</v>
      </c>
      <c r="H1337" t="s">
        <v>5092</v>
      </c>
      <c r="I1337" t="s">
        <v>5097</v>
      </c>
      <c r="J1337">
        <v>1.0449999999999999E-2</v>
      </c>
    </row>
    <row r="1338" spans="1:10">
      <c r="A1338" t="s">
        <v>3419</v>
      </c>
      <c r="B1338">
        <v>65</v>
      </c>
      <c r="C1338" t="s">
        <v>7</v>
      </c>
      <c r="D1338">
        <v>5</v>
      </c>
      <c r="E1338">
        <v>69</v>
      </c>
      <c r="F1338">
        <v>6.9199999999999999E-3</v>
      </c>
      <c r="G1338">
        <v>0</v>
      </c>
      <c r="H1338" t="s">
        <v>5092</v>
      </c>
      <c r="I1338" t="s">
        <v>5097</v>
      </c>
      <c r="J1338">
        <v>6.9199999999999999E-3</v>
      </c>
    </row>
    <row r="1339" spans="1:10">
      <c r="A1339" t="s">
        <v>816</v>
      </c>
      <c r="B1339">
        <v>65</v>
      </c>
      <c r="C1339" t="s">
        <v>9</v>
      </c>
      <c r="D1339">
        <v>4</v>
      </c>
      <c r="E1339">
        <v>68</v>
      </c>
      <c r="F1339">
        <v>8.1499999999999993E-3</v>
      </c>
      <c r="G1339">
        <v>0</v>
      </c>
      <c r="H1339" t="s">
        <v>5092</v>
      </c>
      <c r="I1339" t="s">
        <v>5097</v>
      </c>
      <c r="J1339">
        <v>8.1499999999999993E-3</v>
      </c>
    </row>
    <row r="1340" spans="1:10">
      <c r="A1340" t="s">
        <v>3411</v>
      </c>
      <c r="B1340">
        <v>59</v>
      </c>
      <c r="C1340" t="s">
        <v>9</v>
      </c>
      <c r="D1340">
        <v>5</v>
      </c>
      <c r="E1340">
        <v>63</v>
      </c>
      <c r="F1340">
        <v>6.3200000000000001E-3</v>
      </c>
      <c r="G1340">
        <v>0</v>
      </c>
      <c r="H1340" t="s">
        <v>5092</v>
      </c>
      <c r="I1340" t="s">
        <v>5097</v>
      </c>
      <c r="J1340">
        <v>6.3200000000000001E-3</v>
      </c>
    </row>
    <row r="1341" spans="1:10">
      <c r="A1341" t="s">
        <v>3408</v>
      </c>
      <c r="B1341">
        <v>58</v>
      </c>
      <c r="C1341" t="s">
        <v>7</v>
      </c>
      <c r="D1341">
        <v>9</v>
      </c>
      <c r="E1341">
        <v>66</v>
      </c>
      <c r="F1341">
        <v>6.5799999999999999E-3</v>
      </c>
      <c r="G1341">
        <v>0</v>
      </c>
      <c r="H1341" t="s">
        <v>5092</v>
      </c>
      <c r="I1341" t="s">
        <v>5097</v>
      </c>
      <c r="J1341">
        <v>6.5799999999999999E-3</v>
      </c>
    </row>
    <row r="1342" spans="1:10">
      <c r="A1342" t="s">
        <v>3404</v>
      </c>
      <c r="B1342">
        <v>62</v>
      </c>
      <c r="C1342" t="s">
        <v>9</v>
      </c>
      <c r="D1342">
        <v>7</v>
      </c>
      <c r="E1342">
        <v>68</v>
      </c>
      <c r="F1342">
        <v>1.0489999999999999E-2</v>
      </c>
      <c r="G1342">
        <v>0</v>
      </c>
      <c r="H1342" t="s">
        <v>5092</v>
      </c>
      <c r="I1342" t="s">
        <v>5097</v>
      </c>
      <c r="J1342">
        <v>1.0489999999999999E-2</v>
      </c>
    </row>
    <row r="1343" spans="1:10">
      <c r="A1343" t="s">
        <v>3401</v>
      </c>
      <c r="B1343">
        <v>60</v>
      </c>
      <c r="C1343" t="s">
        <v>7</v>
      </c>
      <c r="D1343">
        <v>1</v>
      </c>
      <c r="E1343">
        <v>60</v>
      </c>
      <c r="F1343">
        <v>7.2999999999999996E-4</v>
      </c>
      <c r="G1343">
        <v>0</v>
      </c>
      <c r="H1343" t="s">
        <v>5092</v>
      </c>
      <c r="I1343" t="s">
        <v>5097</v>
      </c>
      <c r="J1343">
        <v>7.2999999999999996E-4</v>
      </c>
    </row>
    <row r="1344" spans="1:10">
      <c r="A1344" t="s">
        <v>3398</v>
      </c>
      <c r="B1344">
        <v>64</v>
      </c>
      <c r="C1344" t="s">
        <v>7</v>
      </c>
      <c r="D1344">
        <v>4</v>
      </c>
      <c r="E1344">
        <v>67</v>
      </c>
      <c r="F1344">
        <v>5.47E-3</v>
      </c>
      <c r="G1344">
        <v>0</v>
      </c>
      <c r="H1344" t="s">
        <v>5092</v>
      </c>
      <c r="I1344" t="s">
        <v>5097</v>
      </c>
      <c r="J1344">
        <v>5.47E-3</v>
      </c>
    </row>
    <row r="1345" spans="1:10">
      <c r="A1345" t="s">
        <v>3392</v>
      </c>
      <c r="B1345">
        <v>63</v>
      </c>
      <c r="C1345" t="s">
        <v>7</v>
      </c>
      <c r="D1345">
        <v>7</v>
      </c>
      <c r="E1345">
        <v>69</v>
      </c>
      <c r="F1345">
        <v>7.5300000000000002E-3</v>
      </c>
      <c r="G1345">
        <v>0</v>
      </c>
      <c r="H1345" t="s">
        <v>5092</v>
      </c>
      <c r="I1345" t="s">
        <v>5097</v>
      </c>
      <c r="J1345">
        <v>7.5300000000000002E-3</v>
      </c>
    </row>
    <row r="1346" spans="1:10">
      <c r="A1346" t="s">
        <v>828</v>
      </c>
      <c r="B1346">
        <v>57</v>
      </c>
      <c r="C1346" t="s">
        <v>9</v>
      </c>
      <c r="D1346">
        <v>4</v>
      </c>
      <c r="E1346">
        <v>60</v>
      </c>
      <c r="F1346">
        <v>4.6899999999999997E-3</v>
      </c>
      <c r="G1346">
        <v>0</v>
      </c>
      <c r="H1346" t="s">
        <v>5092</v>
      </c>
      <c r="I1346" t="s">
        <v>5097</v>
      </c>
      <c r="J1346">
        <v>4.6899999999999997E-3</v>
      </c>
    </row>
    <row r="1347" spans="1:10">
      <c r="A1347" t="s">
        <v>829</v>
      </c>
      <c r="B1347">
        <v>59</v>
      </c>
      <c r="C1347" t="s">
        <v>7</v>
      </c>
      <c r="D1347">
        <v>6</v>
      </c>
      <c r="E1347">
        <v>64</v>
      </c>
      <c r="F1347">
        <v>5.1599999999999997E-3</v>
      </c>
      <c r="G1347">
        <v>0</v>
      </c>
      <c r="H1347" t="s">
        <v>5092</v>
      </c>
      <c r="I1347" t="s">
        <v>5097</v>
      </c>
      <c r="J1347">
        <v>5.1599999999999997E-3</v>
      </c>
    </row>
    <row r="1348" spans="1:10">
      <c r="A1348" t="s">
        <v>3381</v>
      </c>
      <c r="B1348">
        <v>61</v>
      </c>
      <c r="C1348" t="s">
        <v>9</v>
      </c>
      <c r="D1348">
        <v>8</v>
      </c>
      <c r="E1348">
        <v>68</v>
      </c>
      <c r="F1348">
        <v>1.136E-2</v>
      </c>
      <c r="G1348">
        <v>0</v>
      </c>
      <c r="H1348" t="s">
        <v>5092</v>
      </c>
      <c r="I1348" t="s">
        <v>5097</v>
      </c>
      <c r="J1348">
        <v>1.136E-2</v>
      </c>
    </row>
    <row r="1349" spans="1:10">
      <c r="A1349" t="s">
        <v>3345</v>
      </c>
      <c r="B1349">
        <v>54</v>
      </c>
      <c r="C1349" t="s">
        <v>7</v>
      </c>
      <c r="D1349">
        <v>7</v>
      </c>
      <c r="E1349">
        <v>60</v>
      </c>
      <c r="F1349">
        <v>3.48E-3</v>
      </c>
      <c r="G1349">
        <v>0</v>
      </c>
      <c r="H1349" t="s">
        <v>5092</v>
      </c>
      <c r="I1349" t="s">
        <v>5097</v>
      </c>
      <c r="J1349">
        <v>3.48E-3</v>
      </c>
    </row>
    <row r="1350" spans="1:10">
      <c r="A1350" t="s">
        <v>3320</v>
      </c>
      <c r="B1350">
        <v>60</v>
      </c>
      <c r="C1350" t="s">
        <v>7</v>
      </c>
      <c r="D1350">
        <v>2</v>
      </c>
      <c r="E1350">
        <v>61</v>
      </c>
      <c r="F1350">
        <v>1.58E-3</v>
      </c>
      <c r="G1350">
        <v>0</v>
      </c>
      <c r="H1350" t="s">
        <v>5092</v>
      </c>
      <c r="I1350" t="s">
        <v>5097</v>
      </c>
      <c r="J1350">
        <v>1.58E-3</v>
      </c>
    </row>
    <row r="1351" spans="1:10">
      <c r="A1351" t="s">
        <v>859</v>
      </c>
      <c r="B1351">
        <v>61</v>
      </c>
      <c r="C1351" t="s">
        <v>7</v>
      </c>
      <c r="D1351">
        <v>5</v>
      </c>
      <c r="E1351">
        <v>65</v>
      </c>
      <c r="F1351">
        <v>5.4400000000000004E-3</v>
      </c>
      <c r="G1351">
        <v>0</v>
      </c>
      <c r="H1351" t="s">
        <v>5092</v>
      </c>
      <c r="I1351" t="s">
        <v>5097</v>
      </c>
      <c r="J1351">
        <v>5.4400000000000004E-3</v>
      </c>
    </row>
    <row r="1352" spans="1:10">
      <c r="A1352" t="s">
        <v>3264</v>
      </c>
      <c r="B1352">
        <v>61</v>
      </c>
      <c r="C1352" t="s">
        <v>7</v>
      </c>
      <c r="D1352">
        <v>3</v>
      </c>
      <c r="E1352">
        <v>63</v>
      </c>
      <c r="F1352">
        <v>2.8900000000000002E-3</v>
      </c>
      <c r="G1352">
        <v>0</v>
      </c>
      <c r="H1352" t="s">
        <v>5092</v>
      </c>
      <c r="I1352" t="s">
        <v>5097</v>
      </c>
      <c r="J1352">
        <v>2.8900000000000002E-3</v>
      </c>
    </row>
    <row r="1353" spans="1:10">
      <c r="A1353" t="s">
        <v>3246</v>
      </c>
      <c r="B1353">
        <v>60</v>
      </c>
      <c r="C1353" t="s">
        <v>9</v>
      </c>
      <c r="D1353">
        <v>6</v>
      </c>
      <c r="E1353">
        <v>65</v>
      </c>
      <c r="F1353">
        <v>8.1399999999999997E-3</v>
      </c>
      <c r="G1353">
        <v>0</v>
      </c>
      <c r="H1353" t="s">
        <v>5092</v>
      </c>
      <c r="I1353" t="s">
        <v>5097</v>
      </c>
      <c r="J1353">
        <v>8.1399999999999997E-3</v>
      </c>
    </row>
    <row r="1354" spans="1:10">
      <c r="A1354" t="s">
        <v>3242</v>
      </c>
      <c r="B1354">
        <v>55</v>
      </c>
      <c r="C1354" t="s">
        <v>9</v>
      </c>
      <c r="D1354">
        <v>7</v>
      </c>
      <c r="E1354">
        <v>61</v>
      </c>
      <c r="F1354">
        <v>5.8900000000000003E-3</v>
      </c>
      <c r="G1354">
        <v>0</v>
      </c>
      <c r="H1354" t="s">
        <v>5092</v>
      </c>
      <c r="I1354" t="s">
        <v>5097</v>
      </c>
      <c r="J1354">
        <v>5.8900000000000003E-3</v>
      </c>
    </row>
    <row r="1355" spans="1:10">
      <c r="A1355" t="s">
        <v>3237</v>
      </c>
      <c r="B1355">
        <v>59</v>
      </c>
      <c r="C1355" t="s">
        <v>9</v>
      </c>
      <c r="D1355">
        <v>9</v>
      </c>
      <c r="E1355">
        <v>67</v>
      </c>
      <c r="F1355">
        <v>1.128E-2</v>
      </c>
      <c r="G1355">
        <v>0</v>
      </c>
      <c r="H1355" t="s">
        <v>5092</v>
      </c>
      <c r="I1355" t="s">
        <v>5097</v>
      </c>
      <c r="J1355">
        <v>1.128E-2</v>
      </c>
    </row>
    <row r="1356" spans="1:10">
      <c r="A1356" t="s">
        <v>3233</v>
      </c>
      <c r="B1356">
        <v>53</v>
      </c>
      <c r="C1356" t="s">
        <v>9</v>
      </c>
      <c r="D1356">
        <v>9</v>
      </c>
      <c r="E1356">
        <v>61</v>
      </c>
      <c r="F1356">
        <v>6.4200000000000004E-3</v>
      </c>
      <c r="G1356">
        <v>0</v>
      </c>
      <c r="H1356" t="s">
        <v>5092</v>
      </c>
      <c r="I1356" t="s">
        <v>5097</v>
      </c>
      <c r="J1356">
        <v>6.4200000000000004E-3</v>
      </c>
    </row>
    <row r="1357" spans="1:10">
      <c r="A1357" t="s">
        <v>3217</v>
      </c>
      <c r="B1357">
        <v>55</v>
      </c>
      <c r="C1357" t="s">
        <v>9</v>
      </c>
      <c r="D1357">
        <v>7</v>
      </c>
      <c r="E1357">
        <v>61</v>
      </c>
      <c r="F1357">
        <v>5.8900000000000003E-3</v>
      </c>
      <c r="G1357">
        <v>0</v>
      </c>
      <c r="H1357" t="s">
        <v>5092</v>
      </c>
      <c r="I1357" t="s">
        <v>5097</v>
      </c>
      <c r="J1357">
        <v>5.8900000000000003E-3</v>
      </c>
    </row>
    <row r="1358" spans="1:10">
      <c r="A1358" t="s">
        <v>884</v>
      </c>
      <c r="B1358">
        <v>64</v>
      </c>
      <c r="C1358" t="s">
        <v>9</v>
      </c>
      <c r="D1358">
        <v>5</v>
      </c>
      <c r="E1358">
        <v>68</v>
      </c>
      <c r="F1358">
        <v>9.1599999999999997E-3</v>
      </c>
      <c r="G1358">
        <v>0</v>
      </c>
      <c r="H1358" t="s">
        <v>5092</v>
      </c>
      <c r="I1358" t="s">
        <v>5097</v>
      </c>
      <c r="J1358">
        <v>9.1599999999999997E-3</v>
      </c>
    </row>
    <row r="1359" spans="1:10">
      <c r="A1359" t="s">
        <v>3209</v>
      </c>
      <c r="B1359">
        <v>62</v>
      </c>
      <c r="C1359" t="s">
        <v>9</v>
      </c>
      <c r="D1359">
        <v>3</v>
      </c>
      <c r="E1359">
        <v>64</v>
      </c>
      <c r="F1359">
        <v>5.1900000000000002E-3</v>
      </c>
      <c r="G1359">
        <v>0</v>
      </c>
      <c r="H1359" t="s">
        <v>5092</v>
      </c>
      <c r="I1359" t="s">
        <v>5097</v>
      </c>
      <c r="J1359">
        <v>5.1900000000000002E-3</v>
      </c>
    </row>
    <row r="1360" spans="1:10">
      <c r="A1360" t="s">
        <v>3184</v>
      </c>
      <c r="B1360">
        <v>61</v>
      </c>
      <c r="C1360" t="s">
        <v>9</v>
      </c>
      <c r="D1360">
        <v>1</v>
      </c>
      <c r="E1360">
        <v>61</v>
      </c>
      <c r="F1360">
        <v>2.2599999999999999E-3</v>
      </c>
      <c r="G1360">
        <v>0</v>
      </c>
      <c r="H1360" t="s">
        <v>5092</v>
      </c>
      <c r="I1360" t="s">
        <v>5097</v>
      </c>
      <c r="J1360">
        <v>2.2599999999999999E-3</v>
      </c>
    </row>
    <row r="1361" spans="1:10">
      <c r="A1361" t="s">
        <v>3182</v>
      </c>
      <c r="B1361">
        <v>59</v>
      </c>
      <c r="C1361" t="s">
        <v>7</v>
      </c>
      <c r="D1361">
        <v>2</v>
      </c>
      <c r="E1361">
        <v>60</v>
      </c>
      <c r="F1361">
        <v>1.5E-3</v>
      </c>
      <c r="G1361">
        <v>0</v>
      </c>
      <c r="H1361" t="s">
        <v>5092</v>
      </c>
      <c r="I1361" t="s">
        <v>5097</v>
      </c>
      <c r="J1361">
        <v>1.5E-3</v>
      </c>
    </row>
    <row r="1362" spans="1:10">
      <c r="A1362" t="s">
        <v>894</v>
      </c>
      <c r="B1362">
        <v>61</v>
      </c>
      <c r="C1362" t="s">
        <v>9</v>
      </c>
      <c r="D1362">
        <v>3</v>
      </c>
      <c r="E1362">
        <v>63</v>
      </c>
      <c r="F1362">
        <v>4.9100000000000003E-3</v>
      </c>
      <c r="G1362">
        <v>0</v>
      </c>
      <c r="H1362" t="s">
        <v>5092</v>
      </c>
      <c r="I1362" t="s">
        <v>5097</v>
      </c>
      <c r="J1362">
        <v>4.9100000000000003E-3</v>
      </c>
    </row>
    <row r="1363" spans="1:10">
      <c r="A1363" t="s">
        <v>3164</v>
      </c>
      <c r="B1363">
        <v>55</v>
      </c>
      <c r="C1363" t="s">
        <v>9</v>
      </c>
      <c r="D1363">
        <v>7</v>
      </c>
      <c r="E1363">
        <v>61</v>
      </c>
      <c r="F1363">
        <v>5.8900000000000003E-3</v>
      </c>
      <c r="G1363">
        <v>0</v>
      </c>
      <c r="H1363" t="s">
        <v>5092</v>
      </c>
      <c r="I1363" t="s">
        <v>5097</v>
      </c>
      <c r="J1363">
        <v>5.8900000000000003E-3</v>
      </c>
    </row>
    <row r="1364" spans="1:10">
      <c r="A1364" t="s">
        <v>900</v>
      </c>
      <c r="B1364">
        <v>58</v>
      </c>
      <c r="C1364" t="s">
        <v>7</v>
      </c>
      <c r="D1364">
        <v>3</v>
      </c>
      <c r="E1364">
        <v>60</v>
      </c>
      <c r="F1364">
        <v>2.1099999999999999E-3</v>
      </c>
      <c r="G1364">
        <v>0</v>
      </c>
      <c r="H1364" t="s">
        <v>5092</v>
      </c>
      <c r="I1364" t="s">
        <v>5097</v>
      </c>
      <c r="J1364">
        <v>2.1099999999999999E-3</v>
      </c>
    </row>
    <row r="1365" spans="1:10">
      <c r="A1365" t="s">
        <v>3152</v>
      </c>
      <c r="B1365">
        <v>62</v>
      </c>
      <c r="C1365" t="s">
        <v>7</v>
      </c>
      <c r="D1365">
        <v>6</v>
      </c>
      <c r="E1365">
        <v>67</v>
      </c>
      <c r="F1365">
        <v>6.43E-3</v>
      </c>
      <c r="G1365">
        <v>0</v>
      </c>
      <c r="H1365" t="s">
        <v>5092</v>
      </c>
      <c r="I1365" t="s">
        <v>5097</v>
      </c>
      <c r="J1365">
        <v>6.43E-3</v>
      </c>
    </row>
    <row r="1366" spans="1:10">
      <c r="A1366" t="s">
        <v>3121</v>
      </c>
      <c r="B1366">
        <v>58</v>
      </c>
      <c r="C1366" t="s">
        <v>7</v>
      </c>
      <c r="D1366">
        <v>4</v>
      </c>
      <c r="E1366">
        <v>61</v>
      </c>
      <c r="F1366">
        <v>3.0599999999999998E-3</v>
      </c>
      <c r="G1366">
        <v>0</v>
      </c>
      <c r="H1366" t="s">
        <v>5092</v>
      </c>
      <c r="I1366" t="s">
        <v>5097</v>
      </c>
      <c r="J1366">
        <v>3.0599999999999998E-3</v>
      </c>
    </row>
    <row r="1367" spans="1:10">
      <c r="A1367" t="s">
        <v>935</v>
      </c>
      <c r="B1367">
        <v>59</v>
      </c>
      <c r="C1367" t="s">
        <v>9</v>
      </c>
      <c r="D1367">
        <v>8</v>
      </c>
      <c r="E1367">
        <v>66</v>
      </c>
      <c r="F1367">
        <v>0.01</v>
      </c>
      <c r="G1367">
        <v>0</v>
      </c>
      <c r="H1367" t="s">
        <v>5092</v>
      </c>
      <c r="I1367" t="s">
        <v>5097</v>
      </c>
      <c r="J1367">
        <v>0.01</v>
      </c>
    </row>
    <row r="1368" spans="1:10">
      <c r="A1368" t="s">
        <v>3092</v>
      </c>
      <c r="B1368">
        <v>63</v>
      </c>
      <c r="C1368" t="s">
        <v>9</v>
      </c>
      <c r="D1368">
        <v>5</v>
      </c>
      <c r="E1368">
        <v>67</v>
      </c>
      <c r="F1368">
        <v>8.5199999999999998E-3</v>
      </c>
      <c r="G1368">
        <v>0</v>
      </c>
      <c r="H1368" t="s">
        <v>5092</v>
      </c>
      <c r="I1368" t="s">
        <v>5097</v>
      </c>
      <c r="J1368">
        <v>8.5199999999999998E-3</v>
      </c>
    </row>
    <row r="1369" spans="1:10">
      <c r="A1369" t="s">
        <v>3080</v>
      </c>
      <c r="B1369">
        <v>60</v>
      </c>
      <c r="C1369" t="s">
        <v>9</v>
      </c>
      <c r="D1369">
        <v>1</v>
      </c>
      <c r="E1369">
        <v>60</v>
      </c>
      <c r="F1369">
        <v>2.0500000000000002E-3</v>
      </c>
      <c r="G1369">
        <v>0</v>
      </c>
      <c r="H1369" t="s">
        <v>5092</v>
      </c>
      <c r="I1369" t="s">
        <v>5097</v>
      </c>
      <c r="J1369">
        <v>2.0500000000000002E-3</v>
      </c>
    </row>
    <row r="1370" spans="1:10">
      <c r="A1370" t="s">
        <v>947</v>
      </c>
      <c r="B1370">
        <v>62</v>
      </c>
      <c r="C1370" t="s">
        <v>9</v>
      </c>
      <c r="D1370">
        <v>5</v>
      </c>
      <c r="E1370">
        <v>66</v>
      </c>
      <c r="F1370">
        <v>7.9399999999999991E-3</v>
      </c>
      <c r="G1370">
        <v>0</v>
      </c>
      <c r="H1370" t="s">
        <v>5092</v>
      </c>
      <c r="I1370" t="s">
        <v>5097</v>
      </c>
      <c r="J1370">
        <v>7.9399999999999991E-3</v>
      </c>
    </row>
    <row r="1371" spans="1:10">
      <c r="A1371" t="s">
        <v>3076</v>
      </c>
      <c r="B1371">
        <v>54</v>
      </c>
      <c r="C1371" t="s">
        <v>7</v>
      </c>
      <c r="D1371">
        <v>9</v>
      </c>
      <c r="E1371">
        <v>62</v>
      </c>
      <c r="F1371">
        <v>4.5900000000000003E-3</v>
      </c>
      <c r="G1371">
        <v>0</v>
      </c>
      <c r="H1371" t="s">
        <v>5092</v>
      </c>
      <c r="I1371" t="s">
        <v>5097</v>
      </c>
      <c r="J1371">
        <v>4.5900000000000003E-3</v>
      </c>
    </row>
    <row r="1372" spans="1:10">
      <c r="A1372" t="s">
        <v>964</v>
      </c>
      <c r="B1372">
        <v>57</v>
      </c>
      <c r="C1372" t="s">
        <v>7</v>
      </c>
      <c r="D1372">
        <v>9</v>
      </c>
      <c r="E1372">
        <v>65</v>
      </c>
      <c r="F1372">
        <v>6.13E-3</v>
      </c>
      <c r="G1372">
        <v>0</v>
      </c>
      <c r="H1372" t="s">
        <v>5092</v>
      </c>
      <c r="I1372" t="s">
        <v>5097</v>
      </c>
      <c r="J1372">
        <v>6.13E-3</v>
      </c>
    </row>
    <row r="1373" spans="1:10">
      <c r="A1373" t="s">
        <v>975</v>
      </c>
      <c r="B1373">
        <v>53</v>
      </c>
      <c r="C1373" t="s">
        <v>7</v>
      </c>
      <c r="D1373">
        <v>8</v>
      </c>
      <c r="E1373">
        <v>60</v>
      </c>
      <c r="F1373">
        <v>3.5699999999999998E-3</v>
      </c>
      <c r="G1373">
        <v>0</v>
      </c>
      <c r="H1373" t="s">
        <v>5092</v>
      </c>
      <c r="I1373" t="s">
        <v>5097</v>
      </c>
      <c r="J1373">
        <v>3.5699999999999998E-3</v>
      </c>
    </row>
    <row r="1374" spans="1:10">
      <c r="A1374" t="s">
        <v>3033</v>
      </c>
      <c r="B1374">
        <v>53</v>
      </c>
      <c r="C1374" t="s">
        <v>7</v>
      </c>
      <c r="D1374">
        <v>8</v>
      </c>
      <c r="E1374">
        <v>60</v>
      </c>
      <c r="F1374">
        <v>3.5699999999999998E-3</v>
      </c>
      <c r="G1374">
        <v>0</v>
      </c>
      <c r="H1374" t="s">
        <v>5092</v>
      </c>
      <c r="I1374" t="s">
        <v>5097</v>
      </c>
      <c r="J1374">
        <v>3.5699999999999998E-3</v>
      </c>
    </row>
    <row r="1375" spans="1:10">
      <c r="A1375" t="s">
        <v>3022</v>
      </c>
      <c r="B1375">
        <v>59</v>
      </c>
      <c r="C1375" t="s">
        <v>9</v>
      </c>
      <c r="D1375">
        <v>4</v>
      </c>
      <c r="E1375">
        <v>62</v>
      </c>
      <c r="F1375">
        <v>5.5500000000000002E-3</v>
      </c>
      <c r="G1375">
        <v>0</v>
      </c>
      <c r="H1375" t="s">
        <v>5092</v>
      </c>
      <c r="I1375" t="s">
        <v>5097</v>
      </c>
      <c r="J1375">
        <v>5.5500000000000002E-3</v>
      </c>
    </row>
    <row r="1376" spans="1:10">
      <c r="A1376" t="s">
        <v>989</v>
      </c>
      <c r="B1376">
        <v>56</v>
      </c>
      <c r="C1376" t="s">
        <v>7</v>
      </c>
      <c r="D1376">
        <v>7</v>
      </c>
      <c r="E1376">
        <v>62</v>
      </c>
      <c r="F1376">
        <v>4.3299999999999996E-3</v>
      </c>
      <c r="G1376">
        <v>0</v>
      </c>
      <c r="H1376" t="s">
        <v>5092</v>
      </c>
      <c r="I1376" t="s">
        <v>5097</v>
      </c>
      <c r="J1376">
        <v>4.3299999999999996E-3</v>
      </c>
    </row>
    <row r="1377" spans="1:10">
      <c r="A1377" t="s">
        <v>3008</v>
      </c>
      <c r="B1377">
        <v>62</v>
      </c>
      <c r="C1377" t="s">
        <v>7</v>
      </c>
      <c r="D1377">
        <v>3</v>
      </c>
      <c r="E1377">
        <v>64</v>
      </c>
      <c r="F1377">
        <v>3.3300000000000001E-3</v>
      </c>
      <c r="G1377">
        <v>0</v>
      </c>
      <c r="H1377" t="s">
        <v>5092</v>
      </c>
      <c r="I1377" t="s">
        <v>5097</v>
      </c>
      <c r="J1377">
        <v>3.3300000000000001E-3</v>
      </c>
    </row>
    <row r="1378" spans="1:10">
      <c r="A1378" t="s">
        <v>3007</v>
      </c>
      <c r="B1378">
        <v>55</v>
      </c>
      <c r="C1378" t="s">
        <v>7</v>
      </c>
      <c r="D1378">
        <v>9</v>
      </c>
      <c r="E1378">
        <v>63</v>
      </c>
      <c r="F1378">
        <v>5.11E-3</v>
      </c>
      <c r="G1378">
        <v>0</v>
      </c>
      <c r="H1378" t="s">
        <v>5092</v>
      </c>
      <c r="I1378" t="s">
        <v>5097</v>
      </c>
      <c r="J1378">
        <v>5.11E-3</v>
      </c>
    </row>
    <row r="1379" spans="1:10">
      <c r="A1379" t="s">
        <v>1006</v>
      </c>
      <c r="B1379">
        <v>59</v>
      </c>
      <c r="C1379" t="s">
        <v>7</v>
      </c>
      <c r="D1379">
        <v>8</v>
      </c>
      <c r="E1379">
        <v>66</v>
      </c>
      <c r="F1379">
        <v>6.3899999999999998E-3</v>
      </c>
      <c r="G1379">
        <v>0</v>
      </c>
      <c r="H1379" t="s">
        <v>5092</v>
      </c>
      <c r="I1379" t="s">
        <v>5097</v>
      </c>
      <c r="J1379">
        <v>6.3899999999999998E-3</v>
      </c>
    </row>
    <row r="1380" spans="1:10">
      <c r="A1380" t="s">
        <v>1011</v>
      </c>
      <c r="B1380">
        <v>64</v>
      </c>
      <c r="C1380" t="s">
        <v>9</v>
      </c>
      <c r="D1380">
        <v>3</v>
      </c>
      <c r="E1380">
        <v>66</v>
      </c>
      <c r="F1380">
        <v>5.8999999999999999E-3</v>
      </c>
      <c r="G1380">
        <v>0</v>
      </c>
      <c r="H1380" t="s">
        <v>5092</v>
      </c>
      <c r="I1380" t="s">
        <v>5097</v>
      </c>
      <c r="J1380">
        <v>5.8999999999999999E-3</v>
      </c>
    </row>
    <row r="1381" spans="1:10">
      <c r="A1381" t="s">
        <v>2973</v>
      </c>
      <c r="B1381">
        <v>58</v>
      </c>
      <c r="C1381" t="s">
        <v>9</v>
      </c>
      <c r="D1381">
        <v>4</v>
      </c>
      <c r="E1381">
        <v>61</v>
      </c>
      <c r="F1381">
        <v>5.11E-3</v>
      </c>
      <c r="G1381">
        <v>0</v>
      </c>
      <c r="H1381" t="s">
        <v>5092</v>
      </c>
      <c r="I1381" t="s">
        <v>5097</v>
      </c>
      <c r="J1381">
        <v>5.11E-3</v>
      </c>
    </row>
    <row r="1382" spans="1:10">
      <c r="A1382" t="s">
        <v>1021</v>
      </c>
      <c r="B1382">
        <v>65</v>
      </c>
      <c r="C1382" t="s">
        <v>9</v>
      </c>
      <c r="D1382">
        <v>1</v>
      </c>
      <c r="E1382">
        <v>65</v>
      </c>
      <c r="F1382">
        <v>2.7799999999999999E-3</v>
      </c>
      <c r="G1382">
        <v>0</v>
      </c>
      <c r="H1382" t="s">
        <v>5092</v>
      </c>
      <c r="I1382" t="s">
        <v>5097</v>
      </c>
      <c r="J1382">
        <v>2.7799999999999999E-3</v>
      </c>
    </row>
    <row r="1383" spans="1:10">
      <c r="A1383" t="s">
        <v>2942</v>
      </c>
      <c r="B1383">
        <v>61</v>
      </c>
      <c r="C1383" t="s">
        <v>7</v>
      </c>
      <c r="D1383">
        <v>1</v>
      </c>
      <c r="E1383">
        <v>61</v>
      </c>
      <c r="F1383">
        <v>8.3000000000000001E-4</v>
      </c>
      <c r="G1383">
        <v>0</v>
      </c>
      <c r="H1383" t="s">
        <v>5092</v>
      </c>
      <c r="I1383" t="s">
        <v>5097</v>
      </c>
      <c r="J1383">
        <v>8.3000000000000001E-4</v>
      </c>
    </row>
    <row r="1384" spans="1:10">
      <c r="A1384" t="s">
        <v>2938</v>
      </c>
      <c r="B1384">
        <v>58</v>
      </c>
      <c r="C1384" t="s">
        <v>7</v>
      </c>
      <c r="D1384">
        <v>6</v>
      </c>
      <c r="E1384">
        <v>63</v>
      </c>
      <c r="F1384">
        <v>4.6699999999999997E-3</v>
      </c>
      <c r="G1384">
        <v>0</v>
      </c>
      <c r="H1384" t="s">
        <v>5092</v>
      </c>
      <c r="I1384" t="s">
        <v>5097</v>
      </c>
      <c r="J1384">
        <v>4.6699999999999997E-3</v>
      </c>
    </row>
    <row r="1385" spans="1:10">
      <c r="A1385" t="s">
        <v>2924</v>
      </c>
      <c r="B1385">
        <v>59</v>
      </c>
      <c r="C1385" t="s">
        <v>9</v>
      </c>
      <c r="D1385">
        <v>5</v>
      </c>
      <c r="E1385">
        <v>63</v>
      </c>
      <c r="F1385">
        <v>6.3200000000000001E-3</v>
      </c>
      <c r="G1385">
        <v>0</v>
      </c>
      <c r="H1385" t="s">
        <v>5092</v>
      </c>
      <c r="I1385" t="s">
        <v>5097</v>
      </c>
      <c r="J1385">
        <v>6.3200000000000001E-3</v>
      </c>
    </row>
    <row r="1386" spans="1:10">
      <c r="A1386" t="s">
        <v>2923</v>
      </c>
      <c r="B1386">
        <v>58</v>
      </c>
      <c r="C1386" t="s">
        <v>9</v>
      </c>
      <c r="D1386">
        <v>7</v>
      </c>
      <c r="E1386">
        <v>64</v>
      </c>
      <c r="F1386">
        <v>8.0099999999999998E-3</v>
      </c>
      <c r="G1386">
        <v>0</v>
      </c>
      <c r="H1386" t="s">
        <v>5092</v>
      </c>
      <c r="I1386" t="s">
        <v>5097</v>
      </c>
      <c r="J1386">
        <v>8.0099999999999998E-3</v>
      </c>
    </row>
    <row r="1387" spans="1:10">
      <c r="A1387" t="s">
        <v>1041</v>
      </c>
      <c r="B1387">
        <v>65</v>
      </c>
      <c r="C1387" t="s">
        <v>7</v>
      </c>
      <c r="D1387">
        <v>2</v>
      </c>
      <c r="E1387">
        <v>66</v>
      </c>
      <c r="F1387">
        <v>2.8999999999999998E-3</v>
      </c>
      <c r="G1387">
        <v>0</v>
      </c>
      <c r="H1387" t="s">
        <v>5092</v>
      </c>
      <c r="I1387" t="s">
        <v>5097</v>
      </c>
      <c r="J1387">
        <v>2.8999999999999998E-3</v>
      </c>
    </row>
    <row r="1388" spans="1:10">
      <c r="A1388" t="s">
        <v>1046</v>
      </c>
      <c r="B1388">
        <v>60</v>
      </c>
      <c r="C1388" t="s">
        <v>7</v>
      </c>
      <c r="D1388">
        <v>5</v>
      </c>
      <c r="E1388">
        <v>64</v>
      </c>
      <c r="F1388">
        <v>4.9800000000000001E-3</v>
      </c>
      <c r="G1388">
        <v>0</v>
      </c>
      <c r="H1388" t="s">
        <v>5092</v>
      </c>
      <c r="I1388" t="s">
        <v>5097</v>
      </c>
      <c r="J1388">
        <v>4.9800000000000001E-3</v>
      </c>
    </row>
    <row r="1389" spans="1:10">
      <c r="A1389" t="s">
        <v>2839</v>
      </c>
      <c r="B1389">
        <v>64</v>
      </c>
      <c r="C1389" t="s">
        <v>9</v>
      </c>
      <c r="D1389">
        <v>3</v>
      </c>
      <c r="E1389">
        <v>66</v>
      </c>
      <c r="F1389">
        <v>5.8999999999999999E-3</v>
      </c>
      <c r="G1389">
        <v>1</v>
      </c>
      <c r="H1389" t="s">
        <v>5092</v>
      </c>
      <c r="I1389" t="s">
        <v>5097</v>
      </c>
      <c r="J1389">
        <v>5.8999999999999999E-3</v>
      </c>
    </row>
    <row r="1390" spans="1:10">
      <c r="A1390" t="s">
        <v>2829</v>
      </c>
      <c r="B1390">
        <v>61</v>
      </c>
      <c r="C1390" t="s">
        <v>9</v>
      </c>
      <c r="D1390">
        <v>5</v>
      </c>
      <c r="E1390">
        <v>65</v>
      </c>
      <c r="F1390">
        <v>7.3899999999999999E-3</v>
      </c>
      <c r="G1390">
        <v>0</v>
      </c>
      <c r="H1390" t="s">
        <v>5092</v>
      </c>
      <c r="I1390" t="s">
        <v>5097</v>
      </c>
      <c r="J1390">
        <v>7.3899999999999999E-3</v>
      </c>
    </row>
    <row r="1391" spans="1:10">
      <c r="A1391" t="s">
        <v>1078</v>
      </c>
      <c r="B1391">
        <v>63</v>
      </c>
      <c r="C1391" t="s">
        <v>9</v>
      </c>
      <c r="D1391">
        <v>1</v>
      </c>
      <c r="E1391">
        <v>63</v>
      </c>
      <c r="F1391">
        <v>2.5400000000000002E-3</v>
      </c>
      <c r="G1391">
        <v>0</v>
      </c>
      <c r="H1391" t="s">
        <v>5092</v>
      </c>
      <c r="I1391" t="s">
        <v>5097</v>
      </c>
      <c r="J1391">
        <v>2.5400000000000002E-3</v>
      </c>
    </row>
    <row r="1392" spans="1:10">
      <c r="A1392" t="s">
        <v>2795</v>
      </c>
      <c r="B1392">
        <v>55</v>
      </c>
      <c r="C1392" t="s">
        <v>7</v>
      </c>
      <c r="D1392">
        <v>7</v>
      </c>
      <c r="E1392">
        <v>61</v>
      </c>
      <c r="F1392">
        <v>3.8899999999999998E-3</v>
      </c>
      <c r="G1392">
        <v>0</v>
      </c>
      <c r="H1392" t="s">
        <v>5092</v>
      </c>
      <c r="I1392" t="s">
        <v>5097</v>
      </c>
      <c r="J1392">
        <v>3.8899999999999998E-3</v>
      </c>
    </row>
    <row r="1393" spans="1:10">
      <c r="A1393" t="s">
        <v>2794</v>
      </c>
      <c r="B1393">
        <v>61</v>
      </c>
      <c r="C1393" t="s">
        <v>7</v>
      </c>
      <c r="D1393">
        <v>9</v>
      </c>
      <c r="E1393">
        <v>69</v>
      </c>
      <c r="F1393">
        <v>8.0199999999999994E-3</v>
      </c>
      <c r="G1393">
        <v>0</v>
      </c>
      <c r="H1393" t="s">
        <v>5092</v>
      </c>
      <c r="I1393" t="s">
        <v>5097</v>
      </c>
      <c r="J1393">
        <v>8.0199999999999994E-3</v>
      </c>
    </row>
    <row r="1394" spans="1:10">
      <c r="A1394" t="s">
        <v>1098</v>
      </c>
      <c r="B1394">
        <v>55</v>
      </c>
      <c r="C1394" t="s">
        <v>9</v>
      </c>
      <c r="D1394">
        <v>6</v>
      </c>
      <c r="E1394">
        <v>60</v>
      </c>
      <c r="F1394">
        <v>5.0899999999999999E-3</v>
      </c>
      <c r="G1394">
        <v>0</v>
      </c>
      <c r="H1394" t="s">
        <v>5092</v>
      </c>
      <c r="I1394" t="s">
        <v>5097</v>
      </c>
      <c r="J1394">
        <v>5.0899999999999999E-3</v>
      </c>
    </row>
    <row r="1395" spans="1:10">
      <c r="A1395" t="s">
        <v>2770</v>
      </c>
      <c r="B1395">
        <v>65</v>
      </c>
      <c r="C1395" t="s">
        <v>7</v>
      </c>
      <c r="D1395">
        <v>4</v>
      </c>
      <c r="E1395">
        <v>68</v>
      </c>
      <c r="F1395">
        <v>5.7999999999999996E-3</v>
      </c>
      <c r="G1395">
        <v>0</v>
      </c>
      <c r="H1395" t="s">
        <v>5092</v>
      </c>
      <c r="I1395" t="s">
        <v>5097</v>
      </c>
      <c r="J1395">
        <v>5.7999999999999996E-3</v>
      </c>
    </row>
    <row r="1396" spans="1:10">
      <c r="A1396" t="s">
        <v>1105</v>
      </c>
      <c r="B1396">
        <v>59</v>
      </c>
      <c r="C1396" t="s">
        <v>9</v>
      </c>
      <c r="D1396">
        <v>3</v>
      </c>
      <c r="E1396">
        <v>61</v>
      </c>
      <c r="F1396">
        <v>4.3800000000000002E-3</v>
      </c>
      <c r="G1396">
        <v>0</v>
      </c>
      <c r="H1396" t="s">
        <v>5092</v>
      </c>
      <c r="I1396" t="s">
        <v>5097</v>
      </c>
      <c r="J1396">
        <v>4.3800000000000002E-3</v>
      </c>
    </row>
    <row r="1397" spans="1:10">
      <c r="A1397" t="s">
        <v>2758</v>
      </c>
      <c r="B1397">
        <v>62</v>
      </c>
      <c r="C1397" t="s">
        <v>7</v>
      </c>
      <c r="D1397">
        <v>1</v>
      </c>
      <c r="E1397">
        <v>62</v>
      </c>
      <c r="F1397">
        <v>9.6000000000000002E-4</v>
      </c>
      <c r="G1397">
        <v>0</v>
      </c>
      <c r="H1397" t="s">
        <v>5092</v>
      </c>
      <c r="I1397" t="s">
        <v>5097</v>
      </c>
      <c r="J1397">
        <v>9.6000000000000002E-4</v>
      </c>
    </row>
    <row r="1398" spans="1:10">
      <c r="A1398" t="s">
        <v>2756</v>
      </c>
      <c r="B1398">
        <v>58</v>
      </c>
      <c r="C1398" t="s">
        <v>9</v>
      </c>
      <c r="D1398">
        <v>4</v>
      </c>
      <c r="E1398">
        <v>61</v>
      </c>
      <c r="F1398">
        <v>5.11E-3</v>
      </c>
      <c r="G1398">
        <v>0</v>
      </c>
      <c r="H1398" t="s">
        <v>5092</v>
      </c>
      <c r="I1398" t="s">
        <v>5097</v>
      </c>
      <c r="J1398">
        <v>5.11E-3</v>
      </c>
    </row>
    <row r="1399" spans="1:10">
      <c r="A1399" t="s">
        <v>2750</v>
      </c>
      <c r="B1399">
        <v>60</v>
      </c>
      <c r="C1399" t="s">
        <v>9</v>
      </c>
      <c r="D1399">
        <v>8</v>
      </c>
      <c r="E1399">
        <v>67</v>
      </c>
      <c r="F1399">
        <v>1.074E-2</v>
      </c>
      <c r="G1399">
        <v>0</v>
      </c>
      <c r="H1399" t="s">
        <v>5092</v>
      </c>
      <c r="I1399" t="s">
        <v>5097</v>
      </c>
      <c r="J1399">
        <v>1.074E-2</v>
      </c>
    </row>
    <row r="1400" spans="1:10">
      <c r="A1400" t="s">
        <v>1118</v>
      </c>
      <c r="B1400">
        <v>63</v>
      </c>
      <c r="C1400" t="s">
        <v>7</v>
      </c>
      <c r="D1400">
        <v>1</v>
      </c>
      <c r="E1400">
        <v>63</v>
      </c>
      <c r="F1400">
        <v>1.1000000000000001E-3</v>
      </c>
      <c r="G1400">
        <v>0</v>
      </c>
      <c r="H1400" t="s">
        <v>5092</v>
      </c>
      <c r="I1400" t="s">
        <v>5097</v>
      </c>
      <c r="J1400">
        <v>1.1000000000000001E-3</v>
      </c>
    </row>
    <row r="1401" spans="1:10">
      <c r="A1401" t="s">
        <v>1123</v>
      </c>
      <c r="B1401">
        <v>63</v>
      </c>
      <c r="C1401" t="s">
        <v>9</v>
      </c>
      <c r="D1401">
        <v>5</v>
      </c>
      <c r="E1401">
        <v>67</v>
      </c>
      <c r="F1401">
        <v>8.5199999999999998E-3</v>
      </c>
      <c r="G1401">
        <v>0</v>
      </c>
      <c r="H1401" t="s">
        <v>5092</v>
      </c>
      <c r="I1401" t="s">
        <v>5097</v>
      </c>
      <c r="J1401">
        <v>8.5199999999999998E-3</v>
      </c>
    </row>
    <row r="1402" spans="1:10">
      <c r="A1402" t="s">
        <v>1130</v>
      </c>
      <c r="B1402">
        <v>62</v>
      </c>
      <c r="C1402" t="s">
        <v>7</v>
      </c>
      <c r="D1402">
        <v>4</v>
      </c>
      <c r="E1402">
        <v>65</v>
      </c>
      <c r="F1402">
        <v>4.5900000000000003E-3</v>
      </c>
      <c r="G1402">
        <v>0</v>
      </c>
      <c r="H1402" t="s">
        <v>5092</v>
      </c>
      <c r="I1402" t="s">
        <v>5097</v>
      </c>
      <c r="J1402">
        <v>4.5900000000000003E-3</v>
      </c>
    </row>
    <row r="1403" spans="1:10">
      <c r="A1403" t="s">
        <v>1131</v>
      </c>
      <c r="B1403">
        <v>64</v>
      </c>
      <c r="C1403" t="s">
        <v>9</v>
      </c>
      <c r="D1403">
        <v>4</v>
      </c>
      <c r="E1403">
        <v>67</v>
      </c>
      <c r="F1403">
        <v>7.5599999999999999E-3</v>
      </c>
      <c r="G1403">
        <v>0</v>
      </c>
      <c r="H1403" t="s">
        <v>5092</v>
      </c>
      <c r="I1403" t="s">
        <v>5097</v>
      </c>
      <c r="J1403">
        <v>7.5599999999999999E-3</v>
      </c>
    </row>
    <row r="1404" spans="1:10">
      <c r="A1404" t="s">
        <v>1132</v>
      </c>
      <c r="B1404">
        <v>55</v>
      </c>
      <c r="C1404" t="s">
        <v>9</v>
      </c>
      <c r="D1404">
        <v>9</v>
      </c>
      <c r="E1404">
        <v>63</v>
      </c>
      <c r="F1404">
        <v>7.9900000000000006E-3</v>
      </c>
      <c r="G1404">
        <v>0</v>
      </c>
      <c r="H1404" t="s">
        <v>5092</v>
      </c>
      <c r="I1404" t="s">
        <v>5097</v>
      </c>
      <c r="J1404">
        <v>7.9900000000000006E-3</v>
      </c>
    </row>
    <row r="1405" spans="1:10">
      <c r="A1405" t="s">
        <v>1134</v>
      </c>
      <c r="B1405">
        <v>62</v>
      </c>
      <c r="C1405" t="s">
        <v>7</v>
      </c>
      <c r="D1405">
        <v>4</v>
      </c>
      <c r="E1405">
        <v>65</v>
      </c>
      <c r="F1405">
        <v>4.5900000000000003E-3</v>
      </c>
      <c r="G1405">
        <v>0</v>
      </c>
      <c r="H1405" t="s">
        <v>5092</v>
      </c>
      <c r="I1405" t="s">
        <v>5097</v>
      </c>
      <c r="J1405">
        <v>4.5900000000000003E-3</v>
      </c>
    </row>
    <row r="1406" spans="1:10">
      <c r="A1406" t="s">
        <v>2700</v>
      </c>
      <c r="B1406">
        <v>60</v>
      </c>
      <c r="C1406" t="s">
        <v>9</v>
      </c>
      <c r="D1406">
        <v>3</v>
      </c>
      <c r="E1406">
        <v>62</v>
      </c>
      <c r="F1406">
        <v>4.6499999999999996E-3</v>
      </c>
      <c r="G1406">
        <v>0</v>
      </c>
      <c r="H1406" t="s">
        <v>5092</v>
      </c>
      <c r="I1406" t="s">
        <v>5097</v>
      </c>
      <c r="J1406">
        <v>4.6499999999999996E-3</v>
      </c>
    </row>
    <row r="1407" spans="1:10">
      <c r="A1407" t="s">
        <v>1145</v>
      </c>
      <c r="B1407">
        <v>61</v>
      </c>
      <c r="C1407" t="s">
        <v>9</v>
      </c>
      <c r="D1407">
        <v>8</v>
      </c>
      <c r="E1407">
        <v>68</v>
      </c>
      <c r="F1407">
        <v>1.136E-2</v>
      </c>
      <c r="G1407">
        <v>0</v>
      </c>
      <c r="H1407" t="s">
        <v>5092</v>
      </c>
      <c r="I1407" t="s">
        <v>5097</v>
      </c>
      <c r="J1407">
        <v>1.136E-2</v>
      </c>
    </row>
    <row r="1408" spans="1:10">
      <c r="A1408" t="s">
        <v>1151</v>
      </c>
      <c r="B1408">
        <v>59</v>
      </c>
      <c r="C1408" t="s">
        <v>7</v>
      </c>
      <c r="D1408">
        <v>9</v>
      </c>
      <c r="E1408">
        <v>67</v>
      </c>
      <c r="F1408">
        <v>7.0400000000000003E-3</v>
      </c>
      <c r="G1408">
        <v>0</v>
      </c>
      <c r="H1408" t="s">
        <v>5092</v>
      </c>
      <c r="I1408" t="s">
        <v>5097</v>
      </c>
      <c r="J1408">
        <v>7.0400000000000003E-3</v>
      </c>
    </row>
    <row r="1409" spans="1:10">
      <c r="A1409" t="s">
        <v>2664</v>
      </c>
      <c r="B1409">
        <v>62</v>
      </c>
      <c r="C1409" t="s">
        <v>9</v>
      </c>
      <c r="D1409">
        <v>1</v>
      </c>
      <c r="E1409">
        <v>62</v>
      </c>
      <c r="F1409">
        <v>2.4099999999999998E-3</v>
      </c>
      <c r="G1409">
        <v>0</v>
      </c>
      <c r="H1409" t="s">
        <v>5092</v>
      </c>
      <c r="I1409" t="s">
        <v>5097</v>
      </c>
      <c r="J1409">
        <v>2.4099999999999998E-3</v>
      </c>
    </row>
    <row r="1410" spans="1:10">
      <c r="A1410" t="s">
        <v>2661</v>
      </c>
      <c r="B1410">
        <v>61</v>
      </c>
      <c r="C1410" t="s">
        <v>9</v>
      </c>
      <c r="D1410">
        <v>6</v>
      </c>
      <c r="E1410">
        <v>66</v>
      </c>
      <c r="F1410">
        <v>8.7799999999999996E-3</v>
      </c>
      <c r="G1410">
        <v>0</v>
      </c>
      <c r="H1410" t="s">
        <v>5092</v>
      </c>
      <c r="I1410" t="s">
        <v>5097</v>
      </c>
      <c r="J1410">
        <v>8.7799999999999996E-3</v>
      </c>
    </row>
    <row r="1411" spans="1:10">
      <c r="A1411" t="s">
        <v>1167</v>
      </c>
      <c r="B1411">
        <v>59</v>
      </c>
      <c r="C1411" t="s">
        <v>9</v>
      </c>
      <c r="D1411">
        <v>2</v>
      </c>
      <c r="E1411">
        <v>60</v>
      </c>
      <c r="F1411">
        <v>2.6199999999999999E-3</v>
      </c>
      <c r="G1411">
        <v>0</v>
      </c>
      <c r="H1411" t="s">
        <v>5092</v>
      </c>
      <c r="I1411" t="s">
        <v>5097</v>
      </c>
      <c r="J1411">
        <v>2.6199999999999999E-3</v>
      </c>
    </row>
    <row r="1412" spans="1:10">
      <c r="A1412" t="s">
        <v>2636</v>
      </c>
      <c r="B1412">
        <v>61</v>
      </c>
      <c r="C1412" t="s">
        <v>9</v>
      </c>
      <c r="D1412">
        <v>1</v>
      </c>
      <c r="E1412">
        <v>61</v>
      </c>
      <c r="F1412">
        <v>2.2599999999999999E-3</v>
      </c>
      <c r="G1412">
        <v>0</v>
      </c>
      <c r="H1412" t="s">
        <v>5092</v>
      </c>
      <c r="I1412" t="s">
        <v>5097</v>
      </c>
      <c r="J1412">
        <v>2.2599999999999999E-3</v>
      </c>
    </row>
    <row r="1413" spans="1:10">
      <c r="A1413" t="s">
        <v>1174</v>
      </c>
      <c r="B1413">
        <v>61</v>
      </c>
      <c r="C1413" t="s">
        <v>9</v>
      </c>
      <c r="D1413">
        <v>1</v>
      </c>
      <c r="E1413">
        <v>61</v>
      </c>
      <c r="F1413">
        <v>2.2599999999999999E-3</v>
      </c>
      <c r="G1413">
        <v>0</v>
      </c>
      <c r="H1413" t="s">
        <v>5092</v>
      </c>
      <c r="I1413" t="s">
        <v>5097</v>
      </c>
      <c r="J1413">
        <v>2.2599999999999999E-3</v>
      </c>
    </row>
    <row r="1414" spans="1:10">
      <c r="A1414" t="s">
        <v>2621</v>
      </c>
      <c r="B1414">
        <v>64</v>
      </c>
      <c r="C1414" t="s">
        <v>9</v>
      </c>
      <c r="D1414">
        <v>4</v>
      </c>
      <c r="E1414">
        <v>67</v>
      </c>
      <c r="F1414">
        <v>7.5599999999999999E-3</v>
      </c>
      <c r="G1414">
        <v>0</v>
      </c>
      <c r="H1414" t="s">
        <v>5092</v>
      </c>
      <c r="I1414" t="s">
        <v>5097</v>
      </c>
      <c r="J1414">
        <v>7.5599999999999999E-3</v>
      </c>
    </row>
    <row r="1415" spans="1:10">
      <c r="A1415" t="s">
        <v>2620</v>
      </c>
      <c r="B1415">
        <v>64</v>
      </c>
      <c r="C1415" t="s">
        <v>7</v>
      </c>
      <c r="D1415">
        <v>2</v>
      </c>
      <c r="E1415">
        <v>65</v>
      </c>
      <c r="F1415">
        <v>2.4599999999999999E-3</v>
      </c>
      <c r="G1415">
        <v>0</v>
      </c>
      <c r="H1415" t="s">
        <v>5092</v>
      </c>
      <c r="I1415" t="s">
        <v>5097</v>
      </c>
      <c r="J1415">
        <v>2.4599999999999999E-3</v>
      </c>
    </row>
    <row r="1416" spans="1:10">
      <c r="A1416" t="s">
        <v>1177</v>
      </c>
      <c r="B1416">
        <v>55</v>
      </c>
      <c r="C1416" t="s">
        <v>7</v>
      </c>
      <c r="D1416">
        <v>7</v>
      </c>
      <c r="E1416">
        <v>61</v>
      </c>
      <c r="F1416">
        <v>3.8899999999999998E-3</v>
      </c>
      <c r="G1416">
        <v>0</v>
      </c>
      <c r="H1416" t="s">
        <v>5092</v>
      </c>
      <c r="I1416" t="s">
        <v>5097</v>
      </c>
      <c r="J1416">
        <v>3.8899999999999998E-3</v>
      </c>
    </row>
    <row r="1417" spans="1:10">
      <c r="A1417" t="s">
        <v>1186</v>
      </c>
      <c r="B1417">
        <v>59</v>
      </c>
      <c r="C1417" t="s">
        <v>9</v>
      </c>
      <c r="D1417">
        <v>7</v>
      </c>
      <c r="E1417">
        <v>65</v>
      </c>
      <c r="F1417">
        <v>8.7600000000000004E-3</v>
      </c>
      <c r="G1417">
        <v>0</v>
      </c>
      <c r="H1417" t="s">
        <v>5092</v>
      </c>
      <c r="I1417" t="s">
        <v>5097</v>
      </c>
      <c r="J1417">
        <v>8.7600000000000004E-3</v>
      </c>
    </row>
    <row r="1418" spans="1:10">
      <c r="A1418" t="s">
        <v>2572</v>
      </c>
      <c r="B1418">
        <v>60</v>
      </c>
      <c r="C1418" t="s">
        <v>9</v>
      </c>
      <c r="D1418">
        <v>6</v>
      </c>
      <c r="E1418">
        <v>65</v>
      </c>
      <c r="F1418">
        <v>8.1399999999999997E-3</v>
      </c>
      <c r="G1418">
        <v>0</v>
      </c>
      <c r="H1418" t="s">
        <v>5092</v>
      </c>
      <c r="I1418" t="s">
        <v>5097</v>
      </c>
      <c r="J1418">
        <v>8.1399999999999997E-3</v>
      </c>
    </row>
    <row r="1419" spans="1:10">
      <c r="A1419" t="s">
        <v>1194</v>
      </c>
      <c r="B1419">
        <v>57</v>
      </c>
      <c r="C1419" t="s">
        <v>7</v>
      </c>
      <c r="D1419">
        <v>6</v>
      </c>
      <c r="E1419">
        <v>62</v>
      </c>
      <c r="F1419">
        <v>4.1999999999999997E-3</v>
      </c>
      <c r="G1419">
        <v>0</v>
      </c>
      <c r="H1419" t="s">
        <v>5092</v>
      </c>
      <c r="I1419" t="s">
        <v>5097</v>
      </c>
      <c r="J1419">
        <v>4.1999999999999997E-3</v>
      </c>
    </row>
    <row r="1420" spans="1:10">
      <c r="A1420" t="s">
        <v>2553</v>
      </c>
      <c r="B1420">
        <v>63</v>
      </c>
      <c r="C1420" t="s">
        <v>9</v>
      </c>
      <c r="D1420">
        <v>5</v>
      </c>
      <c r="E1420">
        <v>67</v>
      </c>
      <c r="F1420">
        <v>8.5199999999999998E-3</v>
      </c>
      <c r="G1420">
        <v>0</v>
      </c>
      <c r="H1420" t="s">
        <v>5092</v>
      </c>
      <c r="I1420" t="s">
        <v>5097</v>
      </c>
      <c r="J1420">
        <v>8.5199999999999998E-3</v>
      </c>
    </row>
    <row r="1421" spans="1:10">
      <c r="A1421" t="s">
        <v>1204</v>
      </c>
      <c r="B1421">
        <v>61</v>
      </c>
      <c r="C1421" t="s">
        <v>7</v>
      </c>
      <c r="D1421">
        <v>6</v>
      </c>
      <c r="E1421">
        <v>66</v>
      </c>
      <c r="F1421">
        <v>6.0499999999999998E-3</v>
      </c>
      <c r="G1421">
        <v>0</v>
      </c>
      <c r="H1421" t="s">
        <v>5092</v>
      </c>
      <c r="I1421" t="s">
        <v>5097</v>
      </c>
      <c r="J1421">
        <v>6.0499999999999998E-3</v>
      </c>
    </row>
    <row r="1422" spans="1:10">
      <c r="A1422" t="s">
        <v>1210</v>
      </c>
      <c r="B1422">
        <v>62</v>
      </c>
      <c r="C1422" t="s">
        <v>9</v>
      </c>
      <c r="D1422">
        <v>2</v>
      </c>
      <c r="E1422">
        <v>63</v>
      </c>
      <c r="F1422">
        <v>3.5100000000000001E-3</v>
      </c>
      <c r="G1422">
        <v>0</v>
      </c>
      <c r="H1422" t="s">
        <v>5092</v>
      </c>
      <c r="I1422" t="s">
        <v>5097</v>
      </c>
      <c r="J1422">
        <v>3.5100000000000001E-3</v>
      </c>
    </row>
    <row r="1423" spans="1:10">
      <c r="A1423" t="s">
        <v>2509</v>
      </c>
      <c r="B1423">
        <v>64</v>
      </c>
      <c r="C1423" t="s">
        <v>9</v>
      </c>
      <c r="D1423">
        <v>5</v>
      </c>
      <c r="E1423">
        <v>68</v>
      </c>
      <c r="F1423">
        <v>9.1599999999999997E-3</v>
      </c>
      <c r="G1423">
        <v>0</v>
      </c>
      <c r="H1423" t="s">
        <v>5092</v>
      </c>
      <c r="I1423" t="s">
        <v>5097</v>
      </c>
      <c r="J1423">
        <v>9.1599999999999997E-3</v>
      </c>
    </row>
    <row r="1424" spans="1:10">
      <c r="A1424" t="s">
        <v>2507</v>
      </c>
      <c r="B1424">
        <v>56</v>
      </c>
      <c r="C1424" t="s">
        <v>9</v>
      </c>
      <c r="D1424">
        <v>6</v>
      </c>
      <c r="E1424">
        <v>61</v>
      </c>
      <c r="F1424">
        <v>5.5900000000000004E-3</v>
      </c>
      <c r="G1424">
        <v>0</v>
      </c>
      <c r="H1424" t="s">
        <v>5092</v>
      </c>
      <c r="I1424" t="s">
        <v>5097</v>
      </c>
      <c r="J1424">
        <v>5.5900000000000004E-3</v>
      </c>
    </row>
    <row r="1425" spans="1:10">
      <c r="A1425" t="s">
        <v>2499</v>
      </c>
      <c r="B1425">
        <v>60</v>
      </c>
      <c r="C1425" t="s">
        <v>7</v>
      </c>
      <c r="D1425">
        <v>7</v>
      </c>
      <c r="E1425">
        <v>66</v>
      </c>
      <c r="F1425">
        <v>6.2199999999999998E-3</v>
      </c>
      <c r="G1425">
        <v>0</v>
      </c>
      <c r="H1425" t="s">
        <v>5092</v>
      </c>
      <c r="I1425" t="s">
        <v>5097</v>
      </c>
      <c r="J1425">
        <v>6.2199999999999998E-3</v>
      </c>
    </row>
    <row r="1426" spans="1:10">
      <c r="A1426" t="s">
        <v>2497</v>
      </c>
      <c r="B1426">
        <v>62</v>
      </c>
      <c r="C1426" t="s">
        <v>7</v>
      </c>
      <c r="D1426">
        <v>6</v>
      </c>
      <c r="E1426">
        <v>67</v>
      </c>
      <c r="F1426">
        <v>6.43E-3</v>
      </c>
      <c r="G1426">
        <v>0</v>
      </c>
      <c r="H1426" t="s">
        <v>5092</v>
      </c>
      <c r="I1426" t="s">
        <v>5097</v>
      </c>
      <c r="J1426">
        <v>6.43E-3</v>
      </c>
    </row>
    <row r="1427" spans="1:10">
      <c r="A1427" t="s">
        <v>2488</v>
      </c>
      <c r="B1427">
        <v>65</v>
      </c>
      <c r="C1427" t="s">
        <v>7</v>
      </c>
      <c r="D1427">
        <v>2</v>
      </c>
      <c r="E1427">
        <v>66</v>
      </c>
      <c r="F1427">
        <v>2.8999999999999998E-3</v>
      </c>
      <c r="G1427">
        <v>0</v>
      </c>
      <c r="H1427" t="s">
        <v>5092</v>
      </c>
      <c r="I1427" t="s">
        <v>5097</v>
      </c>
      <c r="J1427">
        <v>2.8999999999999998E-3</v>
      </c>
    </row>
    <row r="1428" spans="1:10">
      <c r="A1428" t="s">
        <v>1259</v>
      </c>
      <c r="B1428">
        <v>58</v>
      </c>
      <c r="C1428" t="s">
        <v>9</v>
      </c>
      <c r="D1428">
        <v>3</v>
      </c>
      <c r="E1428">
        <v>60</v>
      </c>
      <c r="F1428">
        <v>4.0800000000000003E-3</v>
      </c>
      <c r="G1428">
        <v>0</v>
      </c>
      <c r="H1428" t="s">
        <v>5092</v>
      </c>
      <c r="I1428" t="s">
        <v>5097</v>
      </c>
      <c r="J1428">
        <v>4.0800000000000003E-3</v>
      </c>
    </row>
    <row r="1429" spans="1:10">
      <c r="A1429" t="s">
        <v>2425</v>
      </c>
      <c r="B1429">
        <v>61</v>
      </c>
      <c r="C1429" t="s">
        <v>7</v>
      </c>
      <c r="D1429">
        <v>3</v>
      </c>
      <c r="E1429">
        <v>63</v>
      </c>
      <c r="F1429">
        <v>2.8900000000000002E-3</v>
      </c>
      <c r="G1429">
        <v>0</v>
      </c>
      <c r="H1429" t="s">
        <v>5092</v>
      </c>
      <c r="I1429" t="s">
        <v>5097</v>
      </c>
      <c r="J1429">
        <v>2.8900000000000002E-3</v>
      </c>
    </row>
    <row r="1430" spans="1:10">
      <c r="A1430" t="s">
        <v>1273</v>
      </c>
      <c r="B1430">
        <v>62</v>
      </c>
      <c r="C1430" t="s">
        <v>9</v>
      </c>
      <c r="D1430">
        <v>3</v>
      </c>
      <c r="E1430">
        <v>64</v>
      </c>
      <c r="F1430">
        <v>5.1900000000000002E-3</v>
      </c>
      <c r="G1430">
        <v>0</v>
      </c>
      <c r="H1430" t="s">
        <v>5092</v>
      </c>
      <c r="I1430" t="s">
        <v>5097</v>
      </c>
      <c r="J1430">
        <v>5.1900000000000002E-3</v>
      </c>
    </row>
    <row r="1431" spans="1:10">
      <c r="A1431" t="s">
        <v>1285</v>
      </c>
      <c r="B1431">
        <v>54</v>
      </c>
      <c r="C1431" t="s">
        <v>9</v>
      </c>
      <c r="D1431">
        <v>7</v>
      </c>
      <c r="E1431">
        <v>60</v>
      </c>
      <c r="F1431">
        <v>5.3E-3</v>
      </c>
      <c r="G1431">
        <v>0</v>
      </c>
      <c r="H1431" t="s">
        <v>5092</v>
      </c>
      <c r="I1431" t="s">
        <v>5097</v>
      </c>
      <c r="J1431">
        <v>5.3E-3</v>
      </c>
    </row>
    <row r="1432" spans="1:10">
      <c r="A1432" t="s">
        <v>1289</v>
      </c>
      <c r="B1432">
        <v>55</v>
      </c>
      <c r="C1432" t="s">
        <v>7</v>
      </c>
      <c r="D1432">
        <v>9</v>
      </c>
      <c r="E1432">
        <v>63</v>
      </c>
      <c r="F1432">
        <v>5.11E-3</v>
      </c>
      <c r="G1432">
        <v>0</v>
      </c>
      <c r="H1432" t="s">
        <v>5092</v>
      </c>
      <c r="I1432" t="s">
        <v>5097</v>
      </c>
      <c r="J1432">
        <v>5.11E-3</v>
      </c>
    </row>
    <row r="1433" spans="1:10">
      <c r="A1433" t="s">
        <v>2361</v>
      </c>
      <c r="B1433">
        <v>64</v>
      </c>
      <c r="C1433" t="s">
        <v>7</v>
      </c>
      <c r="D1433">
        <v>3</v>
      </c>
      <c r="E1433">
        <v>66</v>
      </c>
      <c r="F1433">
        <v>4.2300000000000003E-3</v>
      </c>
      <c r="G1433">
        <v>0</v>
      </c>
      <c r="H1433" t="s">
        <v>5092</v>
      </c>
      <c r="I1433" t="s">
        <v>5097</v>
      </c>
      <c r="J1433">
        <v>4.2300000000000003E-3</v>
      </c>
    </row>
    <row r="1434" spans="1:10">
      <c r="A1434" t="s">
        <v>1299</v>
      </c>
      <c r="B1434">
        <v>62</v>
      </c>
      <c r="C1434" t="s">
        <v>7</v>
      </c>
      <c r="D1434">
        <v>7</v>
      </c>
      <c r="E1434">
        <v>68</v>
      </c>
      <c r="F1434">
        <v>7.0200000000000002E-3</v>
      </c>
      <c r="G1434">
        <v>0</v>
      </c>
      <c r="H1434" t="s">
        <v>5092</v>
      </c>
      <c r="I1434" t="s">
        <v>5097</v>
      </c>
      <c r="J1434">
        <v>7.0200000000000002E-3</v>
      </c>
    </row>
    <row r="1435" spans="1:10">
      <c r="A1435" t="s">
        <v>2346</v>
      </c>
      <c r="B1435">
        <v>61</v>
      </c>
      <c r="C1435" t="s">
        <v>7</v>
      </c>
      <c r="D1435">
        <v>2</v>
      </c>
      <c r="E1435">
        <v>62</v>
      </c>
      <c r="F1435">
        <v>1.6800000000000001E-3</v>
      </c>
      <c r="G1435">
        <v>0</v>
      </c>
      <c r="H1435" t="s">
        <v>5092</v>
      </c>
      <c r="I1435" t="s">
        <v>5097</v>
      </c>
      <c r="J1435">
        <v>1.6800000000000001E-3</v>
      </c>
    </row>
    <row r="1436" spans="1:10">
      <c r="A1436" t="s">
        <v>2343</v>
      </c>
      <c r="B1436">
        <v>63</v>
      </c>
      <c r="C1436" t="s">
        <v>7</v>
      </c>
      <c r="D1436">
        <v>1</v>
      </c>
      <c r="E1436">
        <v>63</v>
      </c>
      <c r="F1436">
        <v>1.1000000000000001E-3</v>
      </c>
      <c r="G1436">
        <v>0</v>
      </c>
      <c r="H1436" t="s">
        <v>5092</v>
      </c>
      <c r="I1436" t="s">
        <v>5097</v>
      </c>
      <c r="J1436">
        <v>1.1000000000000001E-3</v>
      </c>
    </row>
    <row r="1437" spans="1:10">
      <c r="A1437" t="s">
        <v>2330</v>
      </c>
      <c r="B1437">
        <v>64</v>
      </c>
      <c r="C1437" t="s">
        <v>9</v>
      </c>
      <c r="D1437">
        <v>1</v>
      </c>
      <c r="E1437">
        <v>64</v>
      </c>
      <c r="F1437">
        <v>2.66E-3</v>
      </c>
      <c r="G1437">
        <v>0</v>
      </c>
      <c r="H1437" t="s">
        <v>5092</v>
      </c>
      <c r="I1437" t="s">
        <v>5097</v>
      </c>
      <c r="J1437">
        <v>2.66E-3</v>
      </c>
    </row>
    <row r="1438" spans="1:10">
      <c r="A1438" t="s">
        <v>2314</v>
      </c>
      <c r="B1438">
        <v>60</v>
      </c>
      <c r="C1438" t="s">
        <v>7</v>
      </c>
      <c r="D1438">
        <v>7</v>
      </c>
      <c r="E1438">
        <v>66</v>
      </c>
      <c r="F1438">
        <v>6.2199999999999998E-3</v>
      </c>
      <c r="G1438">
        <v>0</v>
      </c>
      <c r="H1438" t="s">
        <v>5092</v>
      </c>
      <c r="I1438" t="s">
        <v>5097</v>
      </c>
      <c r="J1438">
        <v>6.2199999999999998E-3</v>
      </c>
    </row>
    <row r="1439" spans="1:10">
      <c r="A1439" t="s">
        <v>1313</v>
      </c>
      <c r="B1439">
        <v>57</v>
      </c>
      <c r="C1439" t="s">
        <v>7</v>
      </c>
      <c r="D1439">
        <v>6</v>
      </c>
      <c r="E1439">
        <v>62</v>
      </c>
      <c r="F1439">
        <v>4.1999999999999997E-3</v>
      </c>
      <c r="G1439">
        <v>0</v>
      </c>
      <c r="H1439" t="s">
        <v>5092</v>
      </c>
      <c r="I1439" t="s">
        <v>5097</v>
      </c>
      <c r="J1439">
        <v>4.1999999999999997E-3</v>
      </c>
    </row>
    <row r="1440" spans="1:10">
      <c r="A1440" t="s">
        <v>2304</v>
      </c>
      <c r="B1440">
        <v>60</v>
      </c>
      <c r="C1440" t="s">
        <v>7</v>
      </c>
      <c r="D1440">
        <v>8</v>
      </c>
      <c r="E1440">
        <v>67</v>
      </c>
      <c r="F1440">
        <v>6.8100000000000001E-3</v>
      </c>
      <c r="G1440">
        <v>0</v>
      </c>
      <c r="H1440" t="s">
        <v>5092</v>
      </c>
      <c r="I1440" t="s">
        <v>5097</v>
      </c>
      <c r="J1440">
        <v>6.8100000000000001E-3</v>
      </c>
    </row>
    <row r="1441" spans="1:10">
      <c r="A1441" t="s">
        <v>2301</v>
      </c>
      <c r="B1441">
        <v>57</v>
      </c>
      <c r="C1441" t="s">
        <v>9</v>
      </c>
      <c r="D1441">
        <v>8</v>
      </c>
      <c r="E1441">
        <v>64</v>
      </c>
      <c r="F1441">
        <v>8.4600000000000005E-3</v>
      </c>
      <c r="G1441">
        <v>0</v>
      </c>
      <c r="H1441" t="s">
        <v>5092</v>
      </c>
      <c r="I1441" t="s">
        <v>5097</v>
      </c>
      <c r="J1441">
        <v>8.4600000000000005E-3</v>
      </c>
    </row>
    <row r="1442" spans="1:10">
      <c r="A1442" t="s">
        <v>1329</v>
      </c>
      <c r="B1442">
        <v>62</v>
      </c>
      <c r="C1442" t="s">
        <v>7</v>
      </c>
      <c r="D1442">
        <v>5</v>
      </c>
      <c r="E1442">
        <v>66</v>
      </c>
      <c r="F1442">
        <v>5.8500000000000002E-3</v>
      </c>
      <c r="G1442">
        <v>0</v>
      </c>
      <c r="H1442" t="s">
        <v>5092</v>
      </c>
      <c r="I1442" t="s">
        <v>5097</v>
      </c>
      <c r="J1442">
        <v>5.8500000000000002E-3</v>
      </c>
    </row>
    <row r="1443" spans="1:10">
      <c r="A1443" t="s">
        <v>2277</v>
      </c>
      <c r="B1443">
        <v>58</v>
      </c>
      <c r="C1443" t="s">
        <v>7</v>
      </c>
      <c r="D1443">
        <v>5</v>
      </c>
      <c r="E1443">
        <v>62</v>
      </c>
      <c r="F1443">
        <v>4.0299999999999997E-3</v>
      </c>
      <c r="G1443">
        <v>0</v>
      </c>
      <c r="H1443" t="s">
        <v>5092</v>
      </c>
      <c r="I1443" t="s">
        <v>5097</v>
      </c>
      <c r="J1443">
        <v>4.0299999999999997E-3</v>
      </c>
    </row>
    <row r="1444" spans="1:10">
      <c r="A1444" t="s">
        <v>1339</v>
      </c>
      <c r="B1444">
        <v>61</v>
      </c>
      <c r="C1444" t="s">
        <v>7</v>
      </c>
      <c r="D1444">
        <v>7</v>
      </c>
      <c r="E1444">
        <v>67</v>
      </c>
      <c r="F1444">
        <v>6.62E-3</v>
      </c>
      <c r="G1444">
        <v>0</v>
      </c>
      <c r="H1444" t="s">
        <v>5092</v>
      </c>
      <c r="I1444" t="s">
        <v>5097</v>
      </c>
      <c r="J1444">
        <v>6.62E-3</v>
      </c>
    </row>
    <row r="1445" spans="1:10">
      <c r="A1445" t="s">
        <v>2246</v>
      </c>
      <c r="B1445">
        <v>60</v>
      </c>
      <c r="C1445" t="s">
        <v>9</v>
      </c>
      <c r="D1445">
        <v>6</v>
      </c>
      <c r="E1445">
        <v>65</v>
      </c>
      <c r="F1445">
        <v>8.1399999999999997E-3</v>
      </c>
      <c r="G1445">
        <v>0</v>
      </c>
      <c r="H1445" t="s">
        <v>5092</v>
      </c>
      <c r="I1445" t="s">
        <v>5097</v>
      </c>
      <c r="J1445">
        <v>8.1399999999999997E-3</v>
      </c>
    </row>
    <row r="1446" spans="1:10">
      <c r="A1446" t="s">
        <v>2214</v>
      </c>
      <c r="B1446">
        <v>55</v>
      </c>
      <c r="C1446" t="s">
        <v>7</v>
      </c>
      <c r="D1446">
        <v>9</v>
      </c>
      <c r="E1446">
        <v>63</v>
      </c>
      <c r="F1446">
        <v>5.11E-3</v>
      </c>
      <c r="G1446">
        <v>0</v>
      </c>
      <c r="H1446" t="s">
        <v>5092</v>
      </c>
      <c r="I1446" t="s">
        <v>5097</v>
      </c>
      <c r="J1446">
        <v>5.11E-3</v>
      </c>
    </row>
    <row r="1447" spans="1:10">
      <c r="A1447" t="s">
        <v>2212</v>
      </c>
      <c r="B1447">
        <v>59</v>
      </c>
      <c r="C1447" t="s">
        <v>9</v>
      </c>
      <c r="D1447">
        <v>8</v>
      </c>
      <c r="E1447">
        <v>66</v>
      </c>
      <c r="F1447">
        <v>0.01</v>
      </c>
      <c r="G1447">
        <v>0</v>
      </c>
      <c r="H1447" t="s">
        <v>5092</v>
      </c>
      <c r="I1447" t="s">
        <v>5097</v>
      </c>
      <c r="J1447">
        <v>0.01</v>
      </c>
    </row>
    <row r="1448" spans="1:10">
      <c r="A1448" t="s">
        <v>2175</v>
      </c>
      <c r="B1448">
        <v>58</v>
      </c>
      <c r="C1448" t="s">
        <v>7</v>
      </c>
      <c r="D1448">
        <v>9</v>
      </c>
      <c r="E1448">
        <v>66</v>
      </c>
      <c r="F1448">
        <v>6.5799999999999999E-3</v>
      </c>
      <c r="G1448">
        <v>0</v>
      </c>
      <c r="H1448" t="s">
        <v>5092</v>
      </c>
      <c r="I1448" t="s">
        <v>5097</v>
      </c>
      <c r="J1448">
        <v>6.5799999999999999E-3</v>
      </c>
    </row>
    <row r="1449" spans="1:10">
      <c r="A1449" t="s">
        <v>1363</v>
      </c>
      <c r="B1449">
        <v>65</v>
      </c>
      <c r="C1449" t="s">
        <v>7</v>
      </c>
      <c r="D1449">
        <v>3</v>
      </c>
      <c r="E1449">
        <v>67</v>
      </c>
      <c r="F1449">
        <v>4.6100000000000004E-3</v>
      </c>
      <c r="G1449">
        <v>0</v>
      </c>
      <c r="H1449" t="s">
        <v>5092</v>
      </c>
      <c r="I1449" t="s">
        <v>5097</v>
      </c>
      <c r="J1449">
        <v>4.6100000000000004E-3</v>
      </c>
    </row>
    <row r="1450" spans="1:10">
      <c r="A1450" t="s">
        <v>2153</v>
      </c>
      <c r="B1450">
        <v>61</v>
      </c>
      <c r="C1450" t="s">
        <v>9</v>
      </c>
      <c r="D1450">
        <v>5</v>
      </c>
      <c r="E1450">
        <v>65</v>
      </c>
      <c r="F1450">
        <v>7.3899999999999999E-3</v>
      </c>
      <c r="G1450">
        <v>0</v>
      </c>
      <c r="H1450" t="s">
        <v>5092</v>
      </c>
      <c r="I1450" t="s">
        <v>5097</v>
      </c>
      <c r="J1450">
        <v>7.3899999999999999E-3</v>
      </c>
    </row>
    <row r="1451" spans="1:10">
      <c r="A1451" t="s">
        <v>2147</v>
      </c>
      <c r="B1451">
        <v>56</v>
      </c>
      <c r="C1451" t="s">
        <v>9</v>
      </c>
      <c r="D1451">
        <v>5</v>
      </c>
      <c r="E1451">
        <v>60</v>
      </c>
      <c r="F1451">
        <v>4.8900000000000002E-3</v>
      </c>
      <c r="G1451">
        <v>0</v>
      </c>
      <c r="H1451" t="s">
        <v>5092</v>
      </c>
      <c r="I1451" t="s">
        <v>5097</v>
      </c>
      <c r="J1451">
        <v>4.8900000000000002E-3</v>
      </c>
    </row>
    <row r="1452" spans="1:10">
      <c r="A1452" t="s">
        <v>2145</v>
      </c>
      <c r="B1452">
        <v>60</v>
      </c>
      <c r="C1452" t="s">
        <v>7</v>
      </c>
      <c r="D1452">
        <v>9</v>
      </c>
      <c r="E1452">
        <v>68</v>
      </c>
      <c r="F1452">
        <v>7.4900000000000001E-3</v>
      </c>
      <c r="G1452">
        <v>1</v>
      </c>
      <c r="H1452" t="s">
        <v>5092</v>
      </c>
      <c r="I1452" t="s">
        <v>5097</v>
      </c>
      <c r="J1452">
        <v>7.4900000000000001E-3</v>
      </c>
    </row>
    <row r="1453" spans="1:10">
      <c r="A1453" t="s">
        <v>2141</v>
      </c>
      <c r="B1453">
        <v>63</v>
      </c>
      <c r="C1453" t="s">
        <v>7</v>
      </c>
      <c r="D1453">
        <v>4</v>
      </c>
      <c r="E1453">
        <v>66</v>
      </c>
      <c r="F1453">
        <v>5.0800000000000003E-3</v>
      </c>
      <c r="G1453">
        <v>0</v>
      </c>
      <c r="H1453" t="s">
        <v>5092</v>
      </c>
      <c r="I1453" t="s">
        <v>5097</v>
      </c>
      <c r="J1453">
        <v>5.0800000000000003E-3</v>
      </c>
    </row>
    <row r="1454" spans="1:10">
      <c r="A1454" t="s">
        <v>1387</v>
      </c>
      <c r="B1454">
        <v>52</v>
      </c>
      <c r="C1454" t="s">
        <v>9</v>
      </c>
      <c r="D1454">
        <v>9</v>
      </c>
      <c r="E1454">
        <v>60</v>
      </c>
      <c r="F1454">
        <v>5.7299999999999999E-3</v>
      </c>
      <c r="G1454">
        <v>0</v>
      </c>
      <c r="H1454" t="s">
        <v>5092</v>
      </c>
      <c r="I1454" t="s">
        <v>5097</v>
      </c>
      <c r="J1454">
        <v>5.7299999999999999E-3</v>
      </c>
    </row>
    <row r="1455" spans="1:10">
      <c r="A1455" t="s">
        <v>1394</v>
      </c>
      <c r="B1455">
        <v>55</v>
      </c>
      <c r="C1455" t="s">
        <v>9</v>
      </c>
      <c r="D1455">
        <v>9</v>
      </c>
      <c r="E1455">
        <v>63</v>
      </c>
      <c r="F1455">
        <v>7.9900000000000006E-3</v>
      </c>
      <c r="G1455">
        <v>0</v>
      </c>
      <c r="H1455" t="s">
        <v>5092</v>
      </c>
      <c r="I1455" t="s">
        <v>5097</v>
      </c>
      <c r="J1455">
        <v>7.9900000000000006E-3</v>
      </c>
    </row>
    <row r="1456" spans="1:10">
      <c r="A1456" t="s">
        <v>2100</v>
      </c>
      <c r="B1456">
        <v>56</v>
      </c>
      <c r="C1456" t="s">
        <v>9</v>
      </c>
      <c r="D1456">
        <v>8</v>
      </c>
      <c r="E1456">
        <v>63</v>
      </c>
      <c r="F1456">
        <v>7.6899999999999998E-3</v>
      </c>
      <c r="G1456">
        <v>0</v>
      </c>
      <c r="H1456" t="s">
        <v>5092</v>
      </c>
      <c r="I1456" t="s">
        <v>5097</v>
      </c>
      <c r="J1456">
        <v>7.6899999999999998E-3</v>
      </c>
    </row>
    <row r="1457" spans="1:10">
      <c r="A1457" t="s">
        <v>2092</v>
      </c>
      <c r="B1457">
        <v>61</v>
      </c>
      <c r="C1457" t="s">
        <v>9</v>
      </c>
      <c r="D1457">
        <v>5</v>
      </c>
      <c r="E1457">
        <v>65</v>
      </c>
      <c r="F1457">
        <v>7.3899999999999999E-3</v>
      </c>
      <c r="G1457">
        <v>0</v>
      </c>
      <c r="H1457" t="s">
        <v>5092</v>
      </c>
      <c r="I1457" t="s">
        <v>5097</v>
      </c>
      <c r="J1457">
        <v>7.3899999999999999E-3</v>
      </c>
    </row>
    <row r="1458" spans="1:10">
      <c r="A1458" t="s">
        <v>2067</v>
      </c>
      <c r="B1458">
        <v>58</v>
      </c>
      <c r="C1458" t="s">
        <v>7</v>
      </c>
      <c r="D1458">
        <v>4</v>
      </c>
      <c r="E1458">
        <v>61</v>
      </c>
      <c r="F1458">
        <v>3.0599999999999998E-3</v>
      </c>
      <c r="G1458">
        <v>0</v>
      </c>
      <c r="H1458" t="s">
        <v>5092</v>
      </c>
      <c r="I1458" t="s">
        <v>5097</v>
      </c>
      <c r="J1458">
        <v>3.0599999999999998E-3</v>
      </c>
    </row>
    <row r="1459" spans="1:10">
      <c r="A1459" t="s">
        <v>2066</v>
      </c>
      <c r="B1459">
        <v>53</v>
      </c>
      <c r="C1459" t="s">
        <v>9</v>
      </c>
      <c r="D1459">
        <v>9</v>
      </c>
      <c r="E1459">
        <v>61</v>
      </c>
      <c r="F1459">
        <v>6.4200000000000004E-3</v>
      </c>
      <c r="G1459">
        <v>0</v>
      </c>
      <c r="H1459" t="s">
        <v>5092</v>
      </c>
      <c r="I1459" t="s">
        <v>5097</v>
      </c>
      <c r="J1459">
        <v>6.4200000000000004E-3</v>
      </c>
    </row>
    <row r="1460" spans="1:10">
      <c r="A1460" t="s">
        <v>2054</v>
      </c>
      <c r="B1460">
        <v>61</v>
      </c>
      <c r="C1460" t="s">
        <v>9</v>
      </c>
      <c r="D1460">
        <v>6</v>
      </c>
      <c r="E1460">
        <v>66</v>
      </c>
      <c r="F1460">
        <v>8.7799999999999996E-3</v>
      </c>
      <c r="G1460">
        <v>0</v>
      </c>
      <c r="H1460" t="s">
        <v>5092</v>
      </c>
      <c r="I1460" t="s">
        <v>5097</v>
      </c>
      <c r="J1460">
        <v>8.7799999999999996E-3</v>
      </c>
    </row>
    <row r="1461" spans="1:10">
      <c r="A1461" t="s">
        <v>2039</v>
      </c>
      <c r="B1461">
        <v>57</v>
      </c>
      <c r="C1461" t="s">
        <v>7</v>
      </c>
      <c r="D1461">
        <v>4</v>
      </c>
      <c r="E1461">
        <v>60</v>
      </c>
      <c r="F1461">
        <v>2.7399999999999998E-3</v>
      </c>
      <c r="G1461">
        <v>0</v>
      </c>
      <c r="H1461" t="s">
        <v>5092</v>
      </c>
      <c r="I1461" t="s">
        <v>5097</v>
      </c>
      <c r="J1461">
        <v>2.7399999999999998E-3</v>
      </c>
    </row>
    <row r="1462" spans="1:10">
      <c r="A1462" t="s">
        <v>2033</v>
      </c>
      <c r="B1462">
        <v>63</v>
      </c>
      <c r="C1462" t="s">
        <v>9</v>
      </c>
      <c r="D1462">
        <v>7</v>
      </c>
      <c r="E1462">
        <v>69</v>
      </c>
      <c r="F1462">
        <v>1.0999999999999999E-2</v>
      </c>
      <c r="G1462">
        <v>0</v>
      </c>
      <c r="H1462" t="s">
        <v>5092</v>
      </c>
      <c r="I1462" t="s">
        <v>5097</v>
      </c>
      <c r="J1462">
        <v>1.0999999999999999E-2</v>
      </c>
    </row>
    <row r="1463" spans="1:10">
      <c r="A1463" t="s">
        <v>2027</v>
      </c>
      <c r="B1463">
        <v>64</v>
      </c>
      <c r="C1463" t="s">
        <v>7</v>
      </c>
      <c r="D1463">
        <v>3</v>
      </c>
      <c r="E1463">
        <v>66</v>
      </c>
      <c r="F1463">
        <v>4.2300000000000003E-3</v>
      </c>
      <c r="G1463">
        <v>0</v>
      </c>
      <c r="H1463" t="s">
        <v>5092</v>
      </c>
      <c r="I1463" t="s">
        <v>5097</v>
      </c>
      <c r="J1463">
        <v>4.2300000000000003E-3</v>
      </c>
    </row>
    <row r="1464" spans="1:10">
      <c r="A1464" t="s">
        <v>2010</v>
      </c>
      <c r="B1464">
        <v>52</v>
      </c>
      <c r="C1464" t="s">
        <v>7</v>
      </c>
      <c r="D1464">
        <v>9</v>
      </c>
      <c r="E1464">
        <v>60</v>
      </c>
      <c r="F1464">
        <v>3.6900000000000001E-3</v>
      </c>
      <c r="G1464">
        <v>0</v>
      </c>
      <c r="H1464" t="s">
        <v>5092</v>
      </c>
      <c r="I1464" t="s">
        <v>5097</v>
      </c>
      <c r="J1464">
        <v>3.6900000000000001E-3</v>
      </c>
    </row>
    <row r="1465" spans="1:10">
      <c r="A1465" t="s">
        <v>1441</v>
      </c>
      <c r="B1465">
        <v>58</v>
      </c>
      <c r="C1465" t="s">
        <v>7</v>
      </c>
      <c r="D1465">
        <v>8</v>
      </c>
      <c r="E1465">
        <v>65</v>
      </c>
      <c r="F1465">
        <v>5.9300000000000004E-3</v>
      </c>
      <c r="G1465">
        <v>0</v>
      </c>
      <c r="H1465" t="s">
        <v>5092</v>
      </c>
      <c r="I1465" t="s">
        <v>5097</v>
      </c>
      <c r="J1465">
        <v>5.9300000000000004E-3</v>
      </c>
    </row>
    <row r="1466" spans="1:10">
      <c r="A1466" t="s">
        <v>1467</v>
      </c>
      <c r="B1466">
        <v>62</v>
      </c>
      <c r="C1466" t="s">
        <v>7</v>
      </c>
      <c r="D1466">
        <v>7</v>
      </c>
      <c r="E1466">
        <v>68</v>
      </c>
      <c r="F1466">
        <v>7.0200000000000002E-3</v>
      </c>
      <c r="G1466">
        <v>0</v>
      </c>
      <c r="H1466" t="s">
        <v>5092</v>
      </c>
      <c r="I1466" t="s">
        <v>5097</v>
      </c>
      <c r="J1466">
        <v>7.0200000000000002E-3</v>
      </c>
    </row>
    <row r="1467" spans="1:10">
      <c r="A1467" t="s">
        <v>1469</v>
      </c>
      <c r="B1467">
        <v>57</v>
      </c>
      <c r="C1467" t="s">
        <v>9</v>
      </c>
      <c r="D1467">
        <v>4</v>
      </c>
      <c r="E1467">
        <v>60</v>
      </c>
      <c r="F1467">
        <v>4.6899999999999997E-3</v>
      </c>
      <c r="G1467">
        <v>0</v>
      </c>
      <c r="H1467" t="s">
        <v>5092</v>
      </c>
      <c r="I1467" t="s">
        <v>5097</v>
      </c>
      <c r="J1467">
        <v>4.6899999999999997E-3</v>
      </c>
    </row>
    <row r="1468" spans="1:10">
      <c r="A1468" t="s">
        <v>1471</v>
      </c>
      <c r="B1468">
        <v>58</v>
      </c>
      <c r="C1468" t="s">
        <v>9</v>
      </c>
      <c r="D1468">
        <v>5</v>
      </c>
      <c r="E1468">
        <v>62</v>
      </c>
      <c r="F1468">
        <v>5.8500000000000002E-3</v>
      </c>
      <c r="G1468">
        <v>0</v>
      </c>
      <c r="H1468" t="s">
        <v>5092</v>
      </c>
      <c r="I1468" t="s">
        <v>5097</v>
      </c>
      <c r="J1468">
        <v>5.8500000000000002E-3</v>
      </c>
    </row>
    <row r="1469" spans="1:10">
      <c r="A1469" t="s">
        <v>1473</v>
      </c>
      <c r="B1469">
        <v>60</v>
      </c>
      <c r="C1469" t="s">
        <v>9</v>
      </c>
      <c r="D1469">
        <v>2</v>
      </c>
      <c r="E1469">
        <v>61</v>
      </c>
      <c r="F1469">
        <v>2.8600000000000001E-3</v>
      </c>
      <c r="G1469">
        <v>0</v>
      </c>
      <c r="H1469" t="s">
        <v>5092</v>
      </c>
      <c r="I1469" t="s">
        <v>5097</v>
      </c>
      <c r="J1469">
        <v>2.8600000000000001E-3</v>
      </c>
    </row>
    <row r="1470" spans="1:10">
      <c r="A1470" t="s">
        <v>1480</v>
      </c>
      <c r="B1470">
        <v>56</v>
      </c>
      <c r="C1470" t="s">
        <v>7</v>
      </c>
      <c r="D1470">
        <v>6</v>
      </c>
      <c r="E1470">
        <v>61</v>
      </c>
      <c r="F1470">
        <v>3.7599999999999999E-3</v>
      </c>
      <c r="G1470">
        <v>0</v>
      </c>
      <c r="H1470" t="s">
        <v>5092</v>
      </c>
      <c r="I1470" t="s">
        <v>5097</v>
      </c>
      <c r="J1470">
        <v>3.7599999999999999E-3</v>
      </c>
    </row>
    <row r="1471" spans="1:10">
      <c r="A1471" t="s">
        <v>1482</v>
      </c>
      <c r="B1471">
        <v>55</v>
      </c>
      <c r="C1471" t="s">
        <v>9</v>
      </c>
      <c r="D1471">
        <v>6</v>
      </c>
      <c r="E1471">
        <v>60</v>
      </c>
      <c r="F1471">
        <v>5.0899999999999999E-3</v>
      </c>
      <c r="G1471">
        <v>0</v>
      </c>
      <c r="H1471" t="s">
        <v>5092</v>
      </c>
      <c r="I1471" t="s">
        <v>5097</v>
      </c>
      <c r="J1471">
        <v>5.0899999999999999E-3</v>
      </c>
    </row>
    <row r="1472" spans="1:10">
      <c r="A1472" t="s">
        <v>1486</v>
      </c>
      <c r="B1472">
        <v>59</v>
      </c>
      <c r="C1472" t="s">
        <v>9</v>
      </c>
      <c r="D1472">
        <v>8</v>
      </c>
      <c r="E1472">
        <v>66</v>
      </c>
      <c r="F1472">
        <v>0.01</v>
      </c>
      <c r="G1472">
        <v>0</v>
      </c>
      <c r="H1472" t="s">
        <v>5092</v>
      </c>
      <c r="I1472" t="s">
        <v>5097</v>
      </c>
      <c r="J1472">
        <v>0.01</v>
      </c>
    </row>
    <row r="1473" spans="1:10">
      <c r="A1473" t="s">
        <v>1893</v>
      </c>
      <c r="B1473">
        <v>60</v>
      </c>
      <c r="C1473" t="s">
        <v>9</v>
      </c>
      <c r="D1473">
        <v>1</v>
      </c>
      <c r="E1473">
        <v>60</v>
      </c>
      <c r="F1473">
        <v>2.0500000000000002E-3</v>
      </c>
      <c r="G1473">
        <v>0</v>
      </c>
      <c r="H1473" t="s">
        <v>5092</v>
      </c>
      <c r="I1473" t="s">
        <v>5097</v>
      </c>
      <c r="J1473">
        <v>2.0500000000000002E-3</v>
      </c>
    </row>
    <row r="1474" spans="1:10">
      <c r="A1474" t="s">
        <v>1494</v>
      </c>
      <c r="B1474">
        <v>57</v>
      </c>
      <c r="C1474" t="s">
        <v>9</v>
      </c>
      <c r="D1474">
        <v>9</v>
      </c>
      <c r="E1474">
        <v>65</v>
      </c>
      <c r="F1474">
        <v>9.5200000000000007E-3</v>
      </c>
      <c r="G1474">
        <v>0</v>
      </c>
      <c r="H1474" t="s">
        <v>5092</v>
      </c>
      <c r="I1474" t="s">
        <v>5097</v>
      </c>
      <c r="J1474">
        <v>9.5200000000000007E-3</v>
      </c>
    </row>
    <row r="1475" spans="1:10">
      <c r="A1475" t="s">
        <v>1495</v>
      </c>
      <c r="B1475">
        <v>65</v>
      </c>
      <c r="C1475" t="s">
        <v>9</v>
      </c>
      <c r="D1475">
        <v>3</v>
      </c>
      <c r="E1475">
        <v>67</v>
      </c>
      <c r="F1475">
        <v>6.3400000000000001E-3</v>
      </c>
      <c r="G1475">
        <v>0</v>
      </c>
      <c r="H1475" t="s">
        <v>5092</v>
      </c>
      <c r="I1475" t="s">
        <v>5097</v>
      </c>
      <c r="J1475">
        <v>6.3400000000000001E-3</v>
      </c>
    </row>
    <row r="1476" spans="1:10">
      <c r="A1476" t="s">
        <v>1879</v>
      </c>
      <c r="B1476">
        <v>65</v>
      </c>
      <c r="C1476" t="s">
        <v>7</v>
      </c>
      <c r="D1476">
        <v>3</v>
      </c>
      <c r="E1476">
        <v>67</v>
      </c>
      <c r="F1476">
        <v>4.6100000000000004E-3</v>
      </c>
      <c r="G1476">
        <v>0</v>
      </c>
      <c r="H1476" t="s">
        <v>5092</v>
      </c>
      <c r="I1476" t="s">
        <v>5097</v>
      </c>
      <c r="J1476">
        <v>4.6100000000000004E-3</v>
      </c>
    </row>
    <row r="1477" spans="1:10">
      <c r="A1477" t="s">
        <v>1875</v>
      </c>
      <c r="B1477">
        <v>63</v>
      </c>
      <c r="C1477" t="s">
        <v>7</v>
      </c>
      <c r="D1477">
        <v>3</v>
      </c>
      <c r="E1477">
        <v>65</v>
      </c>
      <c r="F1477">
        <v>3.8E-3</v>
      </c>
      <c r="G1477">
        <v>0</v>
      </c>
      <c r="H1477" t="s">
        <v>5092</v>
      </c>
      <c r="I1477" t="s">
        <v>5097</v>
      </c>
      <c r="J1477">
        <v>3.8E-3</v>
      </c>
    </row>
    <row r="1478" spans="1:10">
      <c r="A1478" t="s">
        <v>1499</v>
      </c>
      <c r="B1478">
        <v>59</v>
      </c>
      <c r="C1478" t="s">
        <v>7</v>
      </c>
      <c r="D1478">
        <v>9</v>
      </c>
      <c r="E1478">
        <v>67</v>
      </c>
      <c r="F1478">
        <v>7.0400000000000003E-3</v>
      </c>
      <c r="G1478">
        <v>0</v>
      </c>
      <c r="H1478" t="s">
        <v>5092</v>
      </c>
      <c r="I1478" t="s">
        <v>5097</v>
      </c>
      <c r="J1478">
        <v>7.0400000000000003E-3</v>
      </c>
    </row>
    <row r="1479" spans="1:10">
      <c r="A1479" t="s">
        <v>1503</v>
      </c>
      <c r="B1479">
        <v>60</v>
      </c>
      <c r="C1479" t="s">
        <v>7</v>
      </c>
      <c r="D1479">
        <v>6</v>
      </c>
      <c r="E1479">
        <v>65</v>
      </c>
      <c r="F1479">
        <v>5.6299999999999996E-3</v>
      </c>
      <c r="G1479">
        <v>0</v>
      </c>
      <c r="H1479" t="s">
        <v>5092</v>
      </c>
      <c r="I1479" t="s">
        <v>5097</v>
      </c>
      <c r="J1479">
        <v>5.6299999999999996E-3</v>
      </c>
    </row>
    <row r="1480" spans="1:10">
      <c r="A1480" t="s">
        <v>1872</v>
      </c>
      <c r="B1480">
        <v>60</v>
      </c>
      <c r="C1480" t="s">
        <v>9</v>
      </c>
      <c r="D1480">
        <v>3</v>
      </c>
      <c r="E1480">
        <v>62</v>
      </c>
      <c r="F1480">
        <v>4.6499999999999996E-3</v>
      </c>
      <c r="G1480">
        <v>0</v>
      </c>
      <c r="H1480" t="s">
        <v>5092</v>
      </c>
      <c r="I1480" t="s">
        <v>5097</v>
      </c>
      <c r="J1480">
        <v>4.6499999999999996E-3</v>
      </c>
    </row>
    <row r="1481" spans="1:10">
      <c r="A1481" t="s">
        <v>1867</v>
      </c>
      <c r="B1481">
        <v>61</v>
      </c>
      <c r="C1481" t="s">
        <v>9</v>
      </c>
      <c r="D1481">
        <v>3</v>
      </c>
      <c r="E1481">
        <v>63</v>
      </c>
      <c r="F1481">
        <v>4.9100000000000003E-3</v>
      </c>
      <c r="G1481">
        <v>0</v>
      </c>
      <c r="H1481" t="s">
        <v>5092</v>
      </c>
      <c r="I1481" t="s">
        <v>5097</v>
      </c>
      <c r="J1481">
        <v>4.9100000000000003E-3</v>
      </c>
    </row>
    <row r="1482" spans="1:10">
      <c r="A1482" t="s">
        <v>1518</v>
      </c>
      <c r="B1482">
        <v>56</v>
      </c>
      <c r="C1482" t="s">
        <v>9</v>
      </c>
      <c r="D1482">
        <v>5</v>
      </c>
      <c r="E1482">
        <v>60</v>
      </c>
      <c r="F1482">
        <v>4.8900000000000002E-3</v>
      </c>
      <c r="G1482">
        <v>0</v>
      </c>
      <c r="H1482" t="s">
        <v>5092</v>
      </c>
      <c r="I1482" t="s">
        <v>5097</v>
      </c>
      <c r="J1482">
        <v>4.8900000000000002E-3</v>
      </c>
    </row>
    <row r="1483" spans="1:10">
      <c r="A1483" t="s">
        <v>1828</v>
      </c>
      <c r="B1483">
        <v>64</v>
      </c>
      <c r="C1483" t="s">
        <v>9</v>
      </c>
      <c r="D1483">
        <v>5</v>
      </c>
      <c r="E1483">
        <v>68</v>
      </c>
      <c r="F1483">
        <v>9.1599999999999997E-3</v>
      </c>
      <c r="G1483">
        <v>0</v>
      </c>
      <c r="H1483" t="s">
        <v>5092</v>
      </c>
      <c r="I1483" t="s">
        <v>5097</v>
      </c>
      <c r="J1483">
        <v>9.1599999999999997E-3</v>
      </c>
    </row>
    <row r="1484" spans="1:10">
      <c r="A1484" t="s">
        <v>1813</v>
      </c>
      <c r="B1484">
        <v>60</v>
      </c>
      <c r="C1484" t="s">
        <v>7</v>
      </c>
      <c r="D1484">
        <v>2</v>
      </c>
      <c r="E1484">
        <v>61</v>
      </c>
      <c r="F1484">
        <v>1.58E-3</v>
      </c>
      <c r="G1484">
        <v>0</v>
      </c>
      <c r="H1484" t="s">
        <v>5092</v>
      </c>
      <c r="I1484" t="s">
        <v>5097</v>
      </c>
      <c r="J1484">
        <v>1.58E-3</v>
      </c>
    </row>
    <row r="1485" spans="1:10">
      <c r="A1485" t="s">
        <v>1539</v>
      </c>
      <c r="B1485">
        <v>53</v>
      </c>
      <c r="C1485" t="s">
        <v>9</v>
      </c>
      <c r="D1485">
        <v>8</v>
      </c>
      <c r="E1485">
        <v>60</v>
      </c>
      <c r="F1485">
        <v>5.5100000000000001E-3</v>
      </c>
      <c r="G1485">
        <v>0</v>
      </c>
      <c r="H1485" t="s">
        <v>5092</v>
      </c>
      <c r="I1485" t="s">
        <v>5097</v>
      </c>
      <c r="J1485">
        <v>5.5100000000000001E-3</v>
      </c>
    </row>
    <row r="1486" spans="1:10">
      <c r="A1486" t="s">
        <v>1797</v>
      </c>
      <c r="B1486">
        <v>61</v>
      </c>
      <c r="C1486" t="s">
        <v>9</v>
      </c>
      <c r="D1486">
        <v>3</v>
      </c>
      <c r="E1486">
        <v>63</v>
      </c>
      <c r="F1486">
        <v>4.9100000000000003E-3</v>
      </c>
      <c r="G1486">
        <v>0</v>
      </c>
      <c r="H1486" t="s">
        <v>5092</v>
      </c>
      <c r="I1486" t="s">
        <v>5097</v>
      </c>
      <c r="J1486">
        <v>4.9100000000000003E-3</v>
      </c>
    </row>
    <row r="1487" spans="1:10">
      <c r="A1487" t="s">
        <v>1550</v>
      </c>
      <c r="B1487">
        <v>54</v>
      </c>
      <c r="C1487" t="s">
        <v>9</v>
      </c>
      <c r="D1487">
        <v>7</v>
      </c>
      <c r="E1487">
        <v>60</v>
      </c>
      <c r="F1487">
        <v>5.3E-3</v>
      </c>
      <c r="G1487">
        <v>0</v>
      </c>
      <c r="H1487" t="s">
        <v>5092</v>
      </c>
      <c r="I1487" t="s">
        <v>5097</v>
      </c>
      <c r="J1487">
        <v>5.3E-3</v>
      </c>
    </row>
    <row r="1488" spans="1:10">
      <c r="A1488" t="s">
        <v>1555</v>
      </c>
      <c r="B1488">
        <v>59</v>
      </c>
      <c r="C1488" t="s">
        <v>9</v>
      </c>
      <c r="D1488">
        <v>9</v>
      </c>
      <c r="E1488">
        <v>67</v>
      </c>
      <c r="F1488">
        <v>1.128E-2</v>
      </c>
      <c r="G1488">
        <v>0</v>
      </c>
      <c r="H1488" t="s">
        <v>5092</v>
      </c>
      <c r="I1488" t="s">
        <v>5097</v>
      </c>
      <c r="J1488">
        <v>1.128E-2</v>
      </c>
    </row>
    <row r="1489" spans="1:10">
      <c r="A1489" t="s">
        <v>1759</v>
      </c>
      <c r="B1489">
        <v>54</v>
      </c>
      <c r="C1489" t="s">
        <v>9</v>
      </c>
      <c r="D1489">
        <v>8</v>
      </c>
      <c r="E1489">
        <v>61</v>
      </c>
      <c r="F1489">
        <v>6.1799999999999997E-3</v>
      </c>
      <c r="G1489">
        <v>0</v>
      </c>
      <c r="H1489" t="s">
        <v>5092</v>
      </c>
      <c r="I1489" t="s">
        <v>5097</v>
      </c>
      <c r="J1489">
        <v>6.1799999999999997E-3</v>
      </c>
    </row>
    <row r="1490" spans="1:10">
      <c r="A1490" t="s">
        <v>1559</v>
      </c>
      <c r="B1490">
        <v>65</v>
      </c>
      <c r="C1490" t="s">
        <v>7</v>
      </c>
      <c r="D1490">
        <v>4</v>
      </c>
      <c r="E1490">
        <v>68</v>
      </c>
      <c r="F1490">
        <v>5.7999999999999996E-3</v>
      </c>
      <c r="G1490">
        <v>0</v>
      </c>
      <c r="H1490" t="s">
        <v>5092</v>
      </c>
      <c r="I1490" t="s">
        <v>5097</v>
      </c>
      <c r="J1490">
        <v>5.7999999999999996E-3</v>
      </c>
    </row>
    <row r="1491" spans="1:10">
      <c r="A1491" t="s">
        <v>1757</v>
      </c>
      <c r="B1491">
        <v>61</v>
      </c>
      <c r="C1491" t="s">
        <v>7</v>
      </c>
      <c r="D1491">
        <v>9</v>
      </c>
      <c r="E1491">
        <v>69</v>
      </c>
      <c r="F1491">
        <v>8.0199999999999994E-3</v>
      </c>
      <c r="G1491">
        <v>0</v>
      </c>
      <c r="H1491" t="s">
        <v>5092</v>
      </c>
      <c r="I1491" t="s">
        <v>5097</v>
      </c>
      <c r="J1491">
        <v>8.0199999999999994E-3</v>
      </c>
    </row>
    <row r="1492" spans="1:10">
      <c r="A1492" t="s">
        <v>1565</v>
      </c>
      <c r="B1492">
        <v>52</v>
      </c>
      <c r="C1492" t="s">
        <v>7</v>
      </c>
      <c r="D1492">
        <v>9</v>
      </c>
      <c r="E1492">
        <v>60</v>
      </c>
      <c r="F1492">
        <v>3.6900000000000001E-3</v>
      </c>
      <c r="G1492">
        <v>0</v>
      </c>
      <c r="H1492" t="s">
        <v>5092</v>
      </c>
      <c r="I1492" t="s">
        <v>5097</v>
      </c>
      <c r="J1492">
        <v>3.6900000000000001E-3</v>
      </c>
    </row>
    <row r="1493" spans="1:10">
      <c r="A1493" t="s">
        <v>1567</v>
      </c>
      <c r="B1493">
        <v>55</v>
      </c>
      <c r="C1493" t="s">
        <v>9</v>
      </c>
      <c r="D1493">
        <v>9</v>
      </c>
      <c r="E1493">
        <v>63</v>
      </c>
      <c r="F1493">
        <v>7.9900000000000006E-3</v>
      </c>
      <c r="G1493">
        <v>0</v>
      </c>
      <c r="H1493" t="s">
        <v>5092</v>
      </c>
      <c r="I1493" t="s">
        <v>5097</v>
      </c>
      <c r="J1493">
        <v>7.9900000000000006E-3</v>
      </c>
    </row>
    <row r="1494" spans="1:10">
      <c r="A1494" t="s">
        <v>1737</v>
      </c>
      <c r="B1494">
        <v>59</v>
      </c>
      <c r="C1494" t="s">
        <v>9</v>
      </c>
      <c r="D1494">
        <v>3</v>
      </c>
      <c r="E1494">
        <v>61</v>
      </c>
      <c r="F1494">
        <v>4.3800000000000002E-3</v>
      </c>
      <c r="G1494">
        <v>0</v>
      </c>
      <c r="H1494" t="s">
        <v>5092</v>
      </c>
      <c r="I1494" t="s">
        <v>5097</v>
      </c>
      <c r="J1494">
        <v>4.3800000000000002E-3</v>
      </c>
    </row>
    <row r="1495" spans="1:10">
      <c r="A1495" t="s">
        <v>1735</v>
      </c>
      <c r="B1495">
        <v>64</v>
      </c>
      <c r="C1495" t="s">
        <v>9</v>
      </c>
      <c r="D1495">
        <v>3</v>
      </c>
      <c r="E1495">
        <v>66</v>
      </c>
      <c r="F1495">
        <v>5.8999999999999999E-3</v>
      </c>
      <c r="G1495">
        <v>0</v>
      </c>
      <c r="H1495" t="s">
        <v>5092</v>
      </c>
      <c r="I1495" t="s">
        <v>5097</v>
      </c>
      <c r="J1495">
        <v>5.8999999999999999E-3</v>
      </c>
    </row>
    <row r="1496" spans="1:10">
      <c r="A1496" t="s">
        <v>1732</v>
      </c>
      <c r="B1496">
        <v>52</v>
      </c>
      <c r="C1496" t="s">
        <v>9</v>
      </c>
      <c r="D1496">
        <v>9</v>
      </c>
      <c r="E1496">
        <v>60</v>
      </c>
      <c r="F1496">
        <v>5.7299999999999999E-3</v>
      </c>
      <c r="G1496">
        <v>0</v>
      </c>
      <c r="H1496" t="s">
        <v>5092</v>
      </c>
      <c r="I1496" t="s">
        <v>5097</v>
      </c>
      <c r="J1496">
        <v>5.7299999999999999E-3</v>
      </c>
    </row>
    <row r="1497" spans="1:10">
      <c r="A1497" t="s">
        <v>1724</v>
      </c>
      <c r="B1497">
        <v>62</v>
      </c>
      <c r="C1497" t="s">
        <v>9</v>
      </c>
      <c r="D1497">
        <v>5</v>
      </c>
      <c r="E1497">
        <v>66</v>
      </c>
      <c r="F1497">
        <v>7.9399999999999991E-3</v>
      </c>
      <c r="G1497">
        <v>0</v>
      </c>
      <c r="H1497" t="s">
        <v>5092</v>
      </c>
      <c r="I1497" t="s">
        <v>5097</v>
      </c>
      <c r="J1497">
        <v>7.9399999999999991E-3</v>
      </c>
    </row>
    <row r="1498" spans="1:10">
      <c r="A1498" t="s">
        <v>1703</v>
      </c>
      <c r="B1498">
        <v>62</v>
      </c>
      <c r="C1498" t="s">
        <v>7</v>
      </c>
      <c r="D1498">
        <v>3</v>
      </c>
      <c r="E1498">
        <v>64</v>
      </c>
      <c r="F1498">
        <v>3.3300000000000001E-3</v>
      </c>
      <c r="G1498">
        <v>0</v>
      </c>
      <c r="H1498" t="s">
        <v>5092</v>
      </c>
      <c r="I1498" t="s">
        <v>5097</v>
      </c>
      <c r="J1498">
        <v>3.3300000000000001E-3</v>
      </c>
    </row>
    <row r="1499" spans="1:10">
      <c r="A1499" t="s">
        <v>1589</v>
      </c>
      <c r="B1499">
        <v>62</v>
      </c>
      <c r="C1499" t="s">
        <v>7</v>
      </c>
      <c r="D1499">
        <v>7</v>
      </c>
      <c r="E1499">
        <v>68</v>
      </c>
      <c r="F1499">
        <v>7.0200000000000002E-3</v>
      </c>
      <c r="G1499">
        <v>0</v>
      </c>
      <c r="H1499" t="s">
        <v>5092</v>
      </c>
      <c r="I1499" t="s">
        <v>5097</v>
      </c>
      <c r="J1499">
        <v>7.0200000000000002E-3</v>
      </c>
    </row>
    <row r="1500" spans="1:10">
      <c r="A1500" t="s">
        <v>1598</v>
      </c>
      <c r="B1500">
        <v>60</v>
      </c>
      <c r="C1500" t="s">
        <v>9</v>
      </c>
      <c r="D1500">
        <v>2</v>
      </c>
      <c r="E1500">
        <v>61</v>
      </c>
      <c r="F1500">
        <v>2.8600000000000001E-3</v>
      </c>
      <c r="G1500">
        <v>0</v>
      </c>
      <c r="H1500" t="s">
        <v>5092</v>
      </c>
      <c r="I1500" t="s">
        <v>5097</v>
      </c>
      <c r="J1500">
        <v>2.8600000000000001E-3</v>
      </c>
    </row>
    <row r="1501" spans="1:10">
      <c r="A1501" t="s">
        <v>1644</v>
      </c>
      <c r="B1501">
        <v>60</v>
      </c>
      <c r="C1501" t="s">
        <v>9</v>
      </c>
      <c r="D1501">
        <v>7</v>
      </c>
      <c r="E1501">
        <v>66</v>
      </c>
      <c r="F1501">
        <v>9.4599999999999997E-3</v>
      </c>
      <c r="G1501">
        <v>0</v>
      </c>
      <c r="H1501" t="s">
        <v>5092</v>
      </c>
      <c r="I1501" t="s">
        <v>5097</v>
      </c>
      <c r="J1501">
        <v>9.4599999999999997E-3</v>
      </c>
    </row>
    <row r="1502" spans="1:10">
      <c r="A1502" t="s">
        <v>1640</v>
      </c>
      <c r="B1502">
        <v>59</v>
      </c>
      <c r="C1502" t="s">
        <v>7</v>
      </c>
      <c r="D1502">
        <v>8</v>
      </c>
      <c r="E1502">
        <v>66</v>
      </c>
      <c r="F1502">
        <v>6.3899999999999998E-3</v>
      </c>
      <c r="G1502">
        <v>0</v>
      </c>
      <c r="H1502" t="s">
        <v>5092</v>
      </c>
      <c r="I1502" t="s">
        <v>5097</v>
      </c>
      <c r="J1502">
        <v>6.3899999999999998E-3</v>
      </c>
    </row>
    <row r="1503" spans="1:10">
      <c r="A1503" t="s">
        <v>1621</v>
      </c>
      <c r="B1503">
        <v>55</v>
      </c>
      <c r="C1503" t="s">
        <v>7</v>
      </c>
      <c r="D1503">
        <v>9</v>
      </c>
      <c r="E1503">
        <v>63</v>
      </c>
      <c r="F1503">
        <v>5.11E-3</v>
      </c>
      <c r="G1503">
        <v>0</v>
      </c>
      <c r="H1503" t="s">
        <v>5092</v>
      </c>
      <c r="I1503" t="s">
        <v>5097</v>
      </c>
      <c r="J1503">
        <v>5.11E-3</v>
      </c>
    </row>
    <row r="1504" spans="1:10">
      <c r="A1504" t="s">
        <v>129</v>
      </c>
      <c r="B1504">
        <v>64</v>
      </c>
      <c r="C1504" t="s">
        <v>7</v>
      </c>
      <c r="D1504">
        <v>7</v>
      </c>
      <c r="E1504">
        <v>70</v>
      </c>
      <c r="F1504">
        <v>8.2500000000000004E-3</v>
      </c>
      <c r="G1504">
        <v>0</v>
      </c>
      <c r="H1504" t="s">
        <v>5093</v>
      </c>
      <c r="I1504" t="s">
        <v>5097</v>
      </c>
      <c r="J1504">
        <v>8.2500000000000004E-3</v>
      </c>
    </row>
    <row r="1505" spans="1:10">
      <c r="A1505" t="s">
        <v>4885</v>
      </c>
      <c r="B1505">
        <v>62</v>
      </c>
      <c r="C1505" t="s">
        <v>7</v>
      </c>
      <c r="D1505">
        <v>9</v>
      </c>
      <c r="E1505">
        <v>70</v>
      </c>
      <c r="F1505">
        <v>8.6499999999999997E-3</v>
      </c>
      <c r="G1505">
        <v>0</v>
      </c>
      <c r="H1505" t="s">
        <v>5093</v>
      </c>
      <c r="I1505" t="s">
        <v>5097</v>
      </c>
      <c r="J1505">
        <v>8.6499999999999997E-3</v>
      </c>
    </row>
    <row r="1506" spans="1:10">
      <c r="A1506" t="s">
        <v>255</v>
      </c>
      <c r="B1506">
        <v>65</v>
      </c>
      <c r="C1506" t="s">
        <v>9</v>
      </c>
      <c r="D1506">
        <v>7</v>
      </c>
      <c r="E1506">
        <v>71</v>
      </c>
      <c r="F1506">
        <v>1.257E-2</v>
      </c>
      <c r="G1506">
        <v>0</v>
      </c>
      <c r="H1506" t="s">
        <v>5093</v>
      </c>
      <c r="I1506" t="s">
        <v>5097</v>
      </c>
      <c r="J1506">
        <v>1.257E-2</v>
      </c>
    </row>
    <row r="1507" spans="1:10">
      <c r="A1507" t="s">
        <v>329</v>
      </c>
      <c r="B1507">
        <v>65</v>
      </c>
      <c r="C1507" t="s">
        <v>9</v>
      </c>
      <c r="D1507">
        <v>9</v>
      </c>
      <c r="E1507">
        <v>73</v>
      </c>
      <c r="F1507">
        <v>1.6899999999999998E-2</v>
      </c>
      <c r="G1507">
        <v>0</v>
      </c>
      <c r="H1507" t="s">
        <v>5093</v>
      </c>
      <c r="I1507" t="s">
        <v>5097</v>
      </c>
      <c r="J1507">
        <v>1.6899999999999998E-2</v>
      </c>
    </row>
    <row r="1508" spans="1:10">
      <c r="A1508" t="s">
        <v>385</v>
      </c>
      <c r="B1508">
        <v>63</v>
      </c>
      <c r="C1508" t="s">
        <v>9</v>
      </c>
      <c r="D1508">
        <v>8</v>
      </c>
      <c r="E1508">
        <v>70</v>
      </c>
      <c r="F1508">
        <v>1.2489999999999999E-2</v>
      </c>
      <c r="G1508">
        <v>0</v>
      </c>
      <c r="H1508" t="s">
        <v>5093</v>
      </c>
      <c r="I1508" t="s">
        <v>5097</v>
      </c>
      <c r="J1508">
        <v>1.2489999999999999E-2</v>
      </c>
    </row>
    <row r="1509" spans="1:10">
      <c r="A1509" t="s">
        <v>4420</v>
      </c>
      <c r="B1509">
        <v>65</v>
      </c>
      <c r="C1509" t="s">
        <v>7</v>
      </c>
      <c r="D1509">
        <v>7</v>
      </c>
      <c r="E1509">
        <v>71</v>
      </c>
      <c r="F1509">
        <v>9.1299999999999992E-3</v>
      </c>
      <c r="G1509">
        <v>0</v>
      </c>
      <c r="H1509" t="s">
        <v>5093</v>
      </c>
      <c r="I1509" t="s">
        <v>5097</v>
      </c>
      <c r="J1509">
        <v>9.1299999999999992E-3</v>
      </c>
    </row>
    <row r="1510" spans="1:10">
      <c r="A1510" t="s">
        <v>4378</v>
      </c>
      <c r="B1510">
        <v>63</v>
      </c>
      <c r="C1510" t="s">
        <v>7</v>
      </c>
      <c r="D1510">
        <v>9</v>
      </c>
      <c r="E1510">
        <v>71</v>
      </c>
      <c r="F1510">
        <v>9.5499999999999995E-3</v>
      </c>
      <c r="G1510">
        <v>0</v>
      </c>
      <c r="H1510" t="s">
        <v>5093</v>
      </c>
      <c r="I1510" t="s">
        <v>5097</v>
      </c>
      <c r="J1510">
        <v>9.5499999999999995E-3</v>
      </c>
    </row>
    <row r="1511" spans="1:10">
      <c r="A1511" t="s">
        <v>4106</v>
      </c>
      <c r="B1511">
        <v>65</v>
      </c>
      <c r="C1511" t="s">
        <v>9</v>
      </c>
      <c r="D1511">
        <v>8</v>
      </c>
      <c r="E1511">
        <v>72</v>
      </c>
      <c r="F1511">
        <v>1.4579999999999999E-2</v>
      </c>
      <c r="G1511">
        <v>0</v>
      </c>
      <c r="H1511" t="s">
        <v>5093</v>
      </c>
      <c r="I1511" t="s">
        <v>5097</v>
      </c>
      <c r="J1511">
        <v>1.4579999999999999E-2</v>
      </c>
    </row>
    <row r="1512" spans="1:10">
      <c r="A1512" t="s">
        <v>4074</v>
      </c>
      <c r="B1512">
        <v>64</v>
      </c>
      <c r="C1512" t="s">
        <v>7</v>
      </c>
      <c r="D1512">
        <v>7</v>
      </c>
      <c r="E1512">
        <v>70</v>
      </c>
      <c r="F1512">
        <v>8.2500000000000004E-3</v>
      </c>
      <c r="G1512">
        <v>0</v>
      </c>
      <c r="H1512" t="s">
        <v>5093</v>
      </c>
      <c r="I1512" t="s">
        <v>5097</v>
      </c>
      <c r="J1512">
        <v>8.2500000000000004E-3</v>
      </c>
    </row>
    <row r="1513" spans="1:10">
      <c r="A1513" t="s">
        <v>4041</v>
      </c>
      <c r="B1513">
        <v>63</v>
      </c>
      <c r="C1513" t="s">
        <v>9</v>
      </c>
      <c r="D1513">
        <v>9</v>
      </c>
      <c r="E1513">
        <v>71</v>
      </c>
      <c r="F1513">
        <v>1.451E-2</v>
      </c>
      <c r="G1513">
        <v>0</v>
      </c>
      <c r="H1513" t="s">
        <v>5093</v>
      </c>
      <c r="I1513" t="s">
        <v>5097</v>
      </c>
      <c r="J1513">
        <v>1.451E-2</v>
      </c>
    </row>
    <row r="1514" spans="1:10">
      <c r="A1514" t="s">
        <v>3976</v>
      </c>
      <c r="B1514">
        <v>64</v>
      </c>
      <c r="C1514" t="s">
        <v>9</v>
      </c>
      <c r="D1514">
        <v>7</v>
      </c>
      <c r="E1514">
        <v>70</v>
      </c>
      <c r="F1514">
        <v>1.1650000000000001E-2</v>
      </c>
      <c r="G1514">
        <v>0</v>
      </c>
      <c r="H1514" t="s">
        <v>5093</v>
      </c>
      <c r="I1514" t="s">
        <v>5097</v>
      </c>
      <c r="J1514">
        <v>1.1650000000000001E-2</v>
      </c>
    </row>
    <row r="1515" spans="1:10">
      <c r="A1515" t="s">
        <v>3950</v>
      </c>
      <c r="B1515">
        <v>63</v>
      </c>
      <c r="C1515" t="s">
        <v>9</v>
      </c>
      <c r="D1515">
        <v>8</v>
      </c>
      <c r="E1515">
        <v>70</v>
      </c>
      <c r="F1515">
        <v>1.2489999999999999E-2</v>
      </c>
      <c r="G1515">
        <v>1</v>
      </c>
      <c r="H1515" t="s">
        <v>5093</v>
      </c>
      <c r="I1515" t="s">
        <v>5097</v>
      </c>
      <c r="J1515">
        <v>1.2489999999999999E-2</v>
      </c>
    </row>
    <row r="1516" spans="1:10">
      <c r="A1516" t="s">
        <v>3660</v>
      </c>
      <c r="B1516">
        <v>65</v>
      </c>
      <c r="C1516" t="s">
        <v>9</v>
      </c>
      <c r="D1516">
        <v>7</v>
      </c>
      <c r="E1516">
        <v>71</v>
      </c>
      <c r="F1516">
        <v>1.257E-2</v>
      </c>
      <c r="G1516">
        <v>0</v>
      </c>
      <c r="H1516" t="s">
        <v>5093</v>
      </c>
      <c r="I1516" t="s">
        <v>5097</v>
      </c>
      <c r="J1516">
        <v>1.257E-2</v>
      </c>
    </row>
    <row r="1517" spans="1:10">
      <c r="A1517" t="s">
        <v>3604</v>
      </c>
      <c r="B1517">
        <v>65</v>
      </c>
      <c r="C1517" t="s">
        <v>7</v>
      </c>
      <c r="D1517">
        <v>6</v>
      </c>
      <c r="E1517">
        <v>70</v>
      </c>
      <c r="F1517">
        <v>7.9799999999999992E-3</v>
      </c>
      <c r="G1517">
        <v>0</v>
      </c>
      <c r="H1517" t="s">
        <v>5093</v>
      </c>
      <c r="I1517" t="s">
        <v>5097</v>
      </c>
      <c r="J1517">
        <v>7.9799999999999992E-3</v>
      </c>
    </row>
    <row r="1518" spans="1:10">
      <c r="A1518" t="s">
        <v>789</v>
      </c>
      <c r="B1518">
        <v>64</v>
      </c>
      <c r="C1518" t="s">
        <v>9</v>
      </c>
      <c r="D1518">
        <v>7</v>
      </c>
      <c r="E1518">
        <v>70</v>
      </c>
      <c r="F1518">
        <v>1.1650000000000001E-2</v>
      </c>
      <c r="G1518">
        <v>0</v>
      </c>
      <c r="H1518" t="s">
        <v>5093</v>
      </c>
      <c r="I1518" t="s">
        <v>5097</v>
      </c>
      <c r="J1518">
        <v>1.1650000000000001E-2</v>
      </c>
    </row>
    <row r="1519" spans="1:10">
      <c r="A1519" t="s">
        <v>823</v>
      </c>
      <c r="B1519">
        <v>65</v>
      </c>
      <c r="C1519" t="s">
        <v>9</v>
      </c>
      <c r="D1519">
        <v>7</v>
      </c>
      <c r="E1519">
        <v>71</v>
      </c>
      <c r="F1519">
        <v>1.257E-2</v>
      </c>
      <c r="G1519">
        <v>0</v>
      </c>
      <c r="H1519" t="s">
        <v>5093</v>
      </c>
      <c r="I1519" t="s">
        <v>5097</v>
      </c>
      <c r="J1519">
        <v>1.257E-2</v>
      </c>
    </row>
    <row r="1520" spans="1:10">
      <c r="A1520" t="s">
        <v>3327</v>
      </c>
      <c r="B1520">
        <v>65</v>
      </c>
      <c r="C1520" t="s">
        <v>9</v>
      </c>
      <c r="D1520">
        <v>6</v>
      </c>
      <c r="E1520">
        <v>70</v>
      </c>
      <c r="F1520">
        <v>1.106E-2</v>
      </c>
      <c r="G1520">
        <v>0</v>
      </c>
      <c r="H1520" t="s">
        <v>5093</v>
      </c>
      <c r="I1520" t="s">
        <v>5097</v>
      </c>
      <c r="J1520">
        <v>1.106E-2</v>
      </c>
    </row>
    <row r="1521" spans="1:10">
      <c r="A1521" t="s">
        <v>3250</v>
      </c>
      <c r="B1521">
        <v>65</v>
      </c>
      <c r="C1521" t="s">
        <v>7</v>
      </c>
      <c r="D1521">
        <v>9</v>
      </c>
      <c r="E1521">
        <v>73</v>
      </c>
      <c r="F1521">
        <v>1.1780000000000001E-2</v>
      </c>
      <c r="G1521">
        <v>0</v>
      </c>
      <c r="H1521" t="s">
        <v>5093</v>
      </c>
      <c r="I1521" t="s">
        <v>5097</v>
      </c>
      <c r="J1521">
        <v>1.1780000000000001E-2</v>
      </c>
    </row>
    <row r="1522" spans="1:10">
      <c r="A1522" t="s">
        <v>3235</v>
      </c>
      <c r="B1522">
        <v>63</v>
      </c>
      <c r="C1522" t="s">
        <v>9</v>
      </c>
      <c r="D1522">
        <v>9</v>
      </c>
      <c r="E1522">
        <v>71</v>
      </c>
      <c r="F1522">
        <v>1.451E-2</v>
      </c>
      <c r="G1522">
        <v>0</v>
      </c>
      <c r="H1522" t="s">
        <v>5093</v>
      </c>
      <c r="I1522" t="s">
        <v>5097</v>
      </c>
      <c r="J1522">
        <v>1.451E-2</v>
      </c>
    </row>
    <row r="1523" spans="1:10">
      <c r="A1523" t="s">
        <v>3124</v>
      </c>
      <c r="B1523">
        <v>64</v>
      </c>
      <c r="C1523" t="s">
        <v>7</v>
      </c>
      <c r="D1523">
        <v>7</v>
      </c>
      <c r="E1523">
        <v>70</v>
      </c>
      <c r="F1523">
        <v>8.2500000000000004E-3</v>
      </c>
      <c r="G1523">
        <v>0</v>
      </c>
      <c r="H1523" t="s">
        <v>5093</v>
      </c>
      <c r="I1523" t="s">
        <v>5097</v>
      </c>
      <c r="J1523">
        <v>8.2500000000000004E-3</v>
      </c>
    </row>
    <row r="1524" spans="1:10">
      <c r="A1524" t="s">
        <v>3066</v>
      </c>
      <c r="B1524">
        <v>64</v>
      </c>
      <c r="C1524" t="s">
        <v>9</v>
      </c>
      <c r="D1524">
        <v>8</v>
      </c>
      <c r="E1524">
        <v>71</v>
      </c>
      <c r="F1524">
        <v>1.3429999999999999E-2</v>
      </c>
      <c r="G1524">
        <v>0</v>
      </c>
      <c r="H1524" t="s">
        <v>5093</v>
      </c>
      <c r="I1524" t="s">
        <v>5097</v>
      </c>
      <c r="J1524">
        <v>1.3429999999999999E-2</v>
      </c>
    </row>
    <row r="1525" spans="1:10">
      <c r="A1525" t="s">
        <v>2952</v>
      </c>
      <c r="B1525">
        <v>63</v>
      </c>
      <c r="C1525" t="s">
        <v>9</v>
      </c>
      <c r="D1525">
        <v>8</v>
      </c>
      <c r="E1525">
        <v>70</v>
      </c>
      <c r="F1525">
        <v>1.2489999999999999E-2</v>
      </c>
      <c r="G1525">
        <v>0</v>
      </c>
      <c r="H1525" t="s">
        <v>5093</v>
      </c>
      <c r="I1525" t="s">
        <v>5097</v>
      </c>
      <c r="J1525">
        <v>1.2489999999999999E-2</v>
      </c>
    </row>
    <row r="1526" spans="1:10">
      <c r="A1526" t="s">
        <v>1095</v>
      </c>
      <c r="B1526">
        <v>65</v>
      </c>
      <c r="C1526" t="s">
        <v>7</v>
      </c>
      <c r="D1526">
        <v>8</v>
      </c>
      <c r="E1526">
        <v>72</v>
      </c>
      <c r="F1526">
        <v>1.026E-2</v>
      </c>
      <c r="G1526">
        <v>0</v>
      </c>
      <c r="H1526" t="s">
        <v>5093</v>
      </c>
      <c r="I1526" t="s">
        <v>5097</v>
      </c>
      <c r="J1526">
        <v>1.026E-2</v>
      </c>
    </row>
    <row r="1527" spans="1:10">
      <c r="A1527" t="s">
        <v>2774</v>
      </c>
      <c r="B1527">
        <v>64</v>
      </c>
      <c r="C1527" t="s">
        <v>7</v>
      </c>
      <c r="D1527">
        <v>7</v>
      </c>
      <c r="E1527">
        <v>70</v>
      </c>
      <c r="F1527">
        <v>8.2500000000000004E-3</v>
      </c>
      <c r="G1527">
        <v>0</v>
      </c>
      <c r="H1527" t="s">
        <v>5093</v>
      </c>
      <c r="I1527" t="s">
        <v>5097</v>
      </c>
      <c r="J1527">
        <v>8.2500000000000004E-3</v>
      </c>
    </row>
    <row r="1528" spans="1:10">
      <c r="A1528" t="s">
        <v>2743</v>
      </c>
      <c r="B1528">
        <v>64</v>
      </c>
      <c r="C1528" t="s">
        <v>7</v>
      </c>
      <c r="D1528">
        <v>8</v>
      </c>
      <c r="E1528">
        <v>71</v>
      </c>
      <c r="F1528">
        <v>9.3399999999999993E-3</v>
      </c>
      <c r="G1528">
        <v>0</v>
      </c>
      <c r="H1528" t="s">
        <v>5093</v>
      </c>
      <c r="I1528" t="s">
        <v>5097</v>
      </c>
      <c r="J1528">
        <v>9.3399999999999993E-3</v>
      </c>
    </row>
    <row r="1529" spans="1:10">
      <c r="A1529" t="s">
        <v>2738</v>
      </c>
      <c r="B1529">
        <v>63</v>
      </c>
      <c r="C1529" t="s">
        <v>9</v>
      </c>
      <c r="D1529">
        <v>8</v>
      </c>
      <c r="E1529">
        <v>70</v>
      </c>
      <c r="F1529">
        <v>1.2489999999999999E-2</v>
      </c>
      <c r="G1529">
        <v>0</v>
      </c>
      <c r="H1529" t="s">
        <v>5093</v>
      </c>
      <c r="I1529" t="s">
        <v>5097</v>
      </c>
      <c r="J1529">
        <v>1.2489999999999999E-2</v>
      </c>
    </row>
    <row r="1530" spans="1:10">
      <c r="A1530" t="s">
        <v>2733</v>
      </c>
      <c r="B1530">
        <v>62</v>
      </c>
      <c r="C1530" t="s">
        <v>9</v>
      </c>
      <c r="D1530">
        <v>9</v>
      </c>
      <c r="E1530">
        <v>70</v>
      </c>
      <c r="F1530">
        <v>1.3729999999999999E-2</v>
      </c>
      <c r="G1530">
        <v>0</v>
      </c>
      <c r="H1530" t="s">
        <v>5093</v>
      </c>
      <c r="I1530" t="s">
        <v>5097</v>
      </c>
      <c r="J1530">
        <v>1.3729999999999999E-2</v>
      </c>
    </row>
    <row r="1531" spans="1:10">
      <c r="A1531" t="s">
        <v>2730</v>
      </c>
      <c r="B1531">
        <v>65</v>
      </c>
      <c r="C1531" t="s">
        <v>9</v>
      </c>
      <c r="D1531">
        <v>7</v>
      </c>
      <c r="E1531">
        <v>71</v>
      </c>
      <c r="F1531">
        <v>1.257E-2</v>
      </c>
      <c r="G1531">
        <v>0</v>
      </c>
      <c r="H1531" t="s">
        <v>5093</v>
      </c>
      <c r="I1531" t="s">
        <v>5097</v>
      </c>
      <c r="J1531">
        <v>1.257E-2</v>
      </c>
    </row>
    <row r="1532" spans="1:10">
      <c r="A1532" t="s">
        <v>2714</v>
      </c>
      <c r="B1532">
        <v>63</v>
      </c>
      <c r="C1532" t="s">
        <v>7</v>
      </c>
      <c r="D1532">
        <v>8</v>
      </c>
      <c r="E1532">
        <v>70</v>
      </c>
      <c r="F1532">
        <v>8.4200000000000004E-3</v>
      </c>
      <c r="G1532">
        <v>0</v>
      </c>
      <c r="H1532" t="s">
        <v>5093</v>
      </c>
      <c r="I1532" t="s">
        <v>5097</v>
      </c>
      <c r="J1532">
        <v>8.4200000000000004E-3</v>
      </c>
    </row>
    <row r="1533" spans="1:10">
      <c r="A1533" t="s">
        <v>2334</v>
      </c>
      <c r="B1533">
        <v>65</v>
      </c>
      <c r="C1533" t="s">
        <v>9</v>
      </c>
      <c r="D1533">
        <v>8</v>
      </c>
      <c r="E1533">
        <v>72</v>
      </c>
      <c r="F1533">
        <v>1.4579999999999999E-2</v>
      </c>
      <c r="G1533">
        <v>0</v>
      </c>
      <c r="H1533" t="s">
        <v>5093</v>
      </c>
      <c r="I1533" t="s">
        <v>5097</v>
      </c>
      <c r="J1533">
        <v>1.4579999999999999E-2</v>
      </c>
    </row>
    <row r="1534" spans="1:10">
      <c r="A1534" t="s">
        <v>2107</v>
      </c>
      <c r="B1534">
        <v>65</v>
      </c>
      <c r="C1534" t="s">
        <v>9</v>
      </c>
      <c r="D1534">
        <v>7</v>
      </c>
      <c r="E1534">
        <v>71</v>
      </c>
      <c r="F1534">
        <v>1.257E-2</v>
      </c>
      <c r="G1534">
        <v>0</v>
      </c>
      <c r="H1534" t="s">
        <v>5093</v>
      </c>
      <c r="I1534" t="s">
        <v>5097</v>
      </c>
      <c r="J1534">
        <v>1.257E-2</v>
      </c>
    </row>
    <row r="1535" spans="1:10">
      <c r="A1535" t="s">
        <v>1460</v>
      </c>
      <c r="B1535">
        <v>65</v>
      </c>
      <c r="C1535" t="s">
        <v>9</v>
      </c>
      <c r="D1535">
        <v>8</v>
      </c>
      <c r="E1535">
        <v>72</v>
      </c>
      <c r="F1535">
        <v>1.4579999999999999E-2</v>
      </c>
      <c r="G1535">
        <v>0</v>
      </c>
      <c r="H1535" t="s">
        <v>5093</v>
      </c>
      <c r="I1535" t="s">
        <v>5097</v>
      </c>
      <c r="J1535">
        <v>1.4579999999999999E-2</v>
      </c>
    </row>
    <row r="1536" spans="1:10">
      <c r="A1536" t="s">
        <v>1882</v>
      </c>
      <c r="B1536">
        <v>64</v>
      </c>
      <c r="C1536" t="s">
        <v>7</v>
      </c>
      <c r="D1536">
        <v>7</v>
      </c>
      <c r="E1536">
        <v>70</v>
      </c>
      <c r="F1536">
        <v>8.2500000000000004E-3</v>
      </c>
      <c r="G1536">
        <v>0</v>
      </c>
      <c r="H1536" t="s">
        <v>5093</v>
      </c>
      <c r="I1536" t="s">
        <v>5097</v>
      </c>
      <c r="J1536">
        <v>8.2500000000000004E-3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B2C5-4C1D-EF43-BE86-80A8AE8375A4}">
  <dimension ref="A3:P19"/>
  <sheetViews>
    <sheetView tabSelected="1" zoomScale="84" workbookViewId="0">
      <selection activeCell="E22" sqref="E22"/>
    </sheetView>
  </sheetViews>
  <sheetFormatPr baseColWidth="10" defaultRowHeight="16"/>
  <cols>
    <col min="1" max="1" width="13" bestFit="1" customWidth="1"/>
    <col min="2" max="2" width="21.5" bestFit="1" customWidth="1"/>
    <col min="3" max="3" width="22.5" bestFit="1" customWidth="1"/>
    <col min="4" max="4" width="12.6640625" customWidth="1"/>
    <col min="5" max="5" width="21.5" bestFit="1" customWidth="1"/>
    <col min="6" max="6" width="22.5" bestFit="1" customWidth="1"/>
    <col min="7" max="7" width="12.6640625" bestFit="1" customWidth="1"/>
    <col min="8" max="8" width="21.5" bestFit="1" customWidth="1"/>
    <col min="9" max="9" width="22.5" bestFit="1" customWidth="1"/>
    <col min="10" max="10" width="12.6640625" bestFit="1" customWidth="1"/>
    <col min="11" max="11" width="21.5" bestFit="1" customWidth="1"/>
    <col min="12" max="12" width="22.5" bestFit="1" customWidth="1"/>
    <col min="13" max="13" width="12.6640625" bestFit="1" customWidth="1"/>
    <col min="14" max="14" width="26.1640625" bestFit="1" customWidth="1"/>
    <col min="15" max="15" width="27.1640625" bestFit="1" customWidth="1"/>
    <col min="16" max="16" width="12.6640625" bestFit="1" customWidth="1"/>
  </cols>
  <sheetData>
    <row r="3" spans="1:16">
      <c r="B3" s="45" t="s">
        <v>5099</v>
      </c>
    </row>
    <row r="4" spans="1:16">
      <c r="B4" t="s">
        <v>5097</v>
      </c>
      <c r="E4" t="s">
        <v>5098</v>
      </c>
      <c r="H4" t="s">
        <v>5088</v>
      </c>
      <c r="K4" t="s">
        <v>5089</v>
      </c>
      <c r="N4" t="s">
        <v>5102</v>
      </c>
      <c r="O4" t="s">
        <v>5101</v>
      </c>
      <c r="P4" t="s">
        <v>5104</v>
      </c>
    </row>
    <row r="5" spans="1:16">
      <c r="A5" s="45" t="s">
        <v>5087</v>
      </c>
      <c r="B5" t="s">
        <v>5103</v>
      </c>
      <c r="C5" t="s">
        <v>5100</v>
      </c>
      <c r="D5" t="s">
        <v>5105</v>
      </c>
      <c r="E5" t="s">
        <v>5103</v>
      </c>
      <c r="F5" t="s">
        <v>5100</v>
      </c>
      <c r="G5" t="s">
        <v>5105</v>
      </c>
      <c r="H5" t="s">
        <v>5103</v>
      </c>
      <c r="I5" t="s">
        <v>5100</v>
      </c>
      <c r="J5" t="s">
        <v>5105</v>
      </c>
      <c r="K5" t="s">
        <v>5103</v>
      </c>
      <c r="L5" t="s">
        <v>5100</v>
      </c>
      <c r="M5" t="s">
        <v>5105</v>
      </c>
    </row>
    <row r="6" spans="1:16">
      <c r="A6" s="46" t="s">
        <v>5088</v>
      </c>
      <c r="B6" s="47">
        <v>7.3570000000000024E-2</v>
      </c>
      <c r="C6" s="47">
        <v>0</v>
      </c>
      <c r="D6" s="47">
        <v>0</v>
      </c>
      <c r="E6" s="47">
        <v>2.1800000000000001E-3</v>
      </c>
      <c r="F6" s="47">
        <v>0</v>
      </c>
      <c r="G6" s="47">
        <v>0</v>
      </c>
      <c r="H6" s="47"/>
      <c r="I6" s="47"/>
      <c r="J6" s="47" t="e">
        <v>#DIV/0!</v>
      </c>
      <c r="K6" s="47"/>
      <c r="L6" s="47"/>
      <c r="M6" s="47" t="e">
        <v>#DIV/0!</v>
      </c>
      <c r="N6" s="47">
        <v>7.5750000000000026E-2</v>
      </c>
      <c r="O6" s="47">
        <v>0</v>
      </c>
      <c r="P6" s="47">
        <v>0</v>
      </c>
    </row>
    <row r="7" spans="1:16">
      <c r="A7" s="46" t="s">
        <v>5089</v>
      </c>
      <c r="B7" s="47">
        <v>0.13592000000000004</v>
      </c>
      <c r="C7" s="47">
        <v>0</v>
      </c>
      <c r="D7" s="47">
        <v>0</v>
      </c>
      <c r="E7" s="47">
        <v>0.17887000000000022</v>
      </c>
      <c r="F7" s="47">
        <v>0</v>
      </c>
      <c r="G7" s="47">
        <v>0</v>
      </c>
      <c r="H7" s="47">
        <v>1.1139999999999999E-2</v>
      </c>
      <c r="I7" s="47">
        <v>0</v>
      </c>
      <c r="J7" s="47">
        <v>0</v>
      </c>
      <c r="K7" s="47"/>
      <c r="L7" s="47"/>
      <c r="M7" s="47" t="e">
        <v>#DIV/0!</v>
      </c>
      <c r="N7" s="47">
        <v>0.32593000000000022</v>
      </c>
      <c r="O7" s="47">
        <v>0</v>
      </c>
      <c r="P7" s="47">
        <v>0</v>
      </c>
    </row>
    <row r="8" spans="1:16">
      <c r="A8" s="46" t="s">
        <v>5090</v>
      </c>
      <c r="B8" s="47">
        <v>0.30590000000000001</v>
      </c>
      <c r="C8" s="47">
        <v>0</v>
      </c>
      <c r="D8" s="47">
        <v>0</v>
      </c>
      <c r="E8" s="47">
        <v>0.47810000000000052</v>
      </c>
      <c r="F8" s="47">
        <v>0</v>
      </c>
      <c r="G8" s="47">
        <v>0</v>
      </c>
      <c r="H8" s="47">
        <v>0.43140999999999974</v>
      </c>
      <c r="I8" s="47">
        <v>0</v>
      </c>
      <c r="J8" s="47">
        <v>0</v>
      </c>
      <c r="K8" s="47">
        <v>7.8399999999999997E-3</v>
      </c>
      <c r="L8" s="47">
        <v>0</v>
      </c>
      <c r="M8" s="47">
        <v>0</v>
      </c>
      <c r="N8" s="47">
        <v>1.2232500000000004</v>
      </c>
      <c r="O8" s="47">
        <v>0</v>
      </c>
      <c r="P8" s="47">
        <v>0</v>
      </c>
    </row>
    <row r="9" spans="1:16">
      <c r="A9" s="46" t="s">
        <v>5091</v>
      </c>
      <c r="B9" s="47">
        <v>0.71408000000000016</v>
      </c>
      <c r="C9" s="47">
        <v>0</v>
      </c>
      <c r="D9" s="47">
        <v>0</v>
      </c>
      <c r="E9" s="47">
        <v>1.1089299999999995</v>
      </c>
      <c r="F9" s="47">
        <v>0</v>
      </c>
      <c r="G9" s="47">
        <v>0</v>
      </c>
      <c r="H9" s="47">
        <v>1.14798</v>
      </c>
      <c r="I9" s="47">
        <v>0</v>
      </c>
      <c r="J9" s="47">
        <v>0</v>
      </c>
      <c r="K9" s="47">
        <v>0.10276000000000002</v>
      </c>
      <c r="L9" s="47">
        <v>0</v>
      </c>
      <c r="M9" s="47">
        <v>0</v>
      </c>
      <c r="N9" s="47">
        <v>3.0737499999999995</v>
      </c>
      <c r="O9" s="47">
        <v>0</v>
      </c>
      <c r="P9" s="47">
        <v>0</v>
      </c>
    </row>
    <row r="10" spans="1:16">
      <c r="A10" s="46" t="s">
        <v>5092</v>
      </c>
      <c r="B10" s="47">
        <v>1.7607199999999996</v>
      </c>
      <c r="C10" s="47">
        <v>2</v>
      </c>
      <c r="D10" s="47">
        <v>1.1358989504293699</v>
      </c>
      <c r="E10" s="47">
        <v>2.9435299999999991</v>
      </c>
      <c r="F10" s="47">
        <v>3</v>
      </c>
      <c r="G10" s="47">
        <v>1.0191844486042272</v>
      </c>
      <c r="H10" s="47">
        <v>3.4810599999999963</v>
      </c>
      <c r="I10" s="47">
        <v>0</v>
      </c>
      <c r="J10" s="47">
        <v>0</v>
      </c>
      <c r="K10" s="47">
        <v>0.23361999999999999</v>
      </c>
      <c r="L10" s="47">
        <v>0</v>
      </c>
      <c r="M10" s="47">
        <v>0</v>
      </c>
      <c r="N10" s="47">
        <v>8.4189299999999943</v>
      </c>
      <c r="O10" s="47">
        <v>5</v>
      </c>
      <c r="P10" s="47">
        <v>0.5938996998430911</v>
      </c>
    </row>
    <row r="11" spans="1:16">
      <c r="A11" s="46" t="s">
        <v>5093</v>
      </c>
      <c r="B11" s="47">
        <v>0.38035000000000002</v>
      </c>
      <c r="C11" s="47">
        <v>1</v>
      </c>
      <c r="D11" s="47">
        <v>2.6291573550677008</v>
      </c>
      <c r="E11" s="47">
        <v>6.677929999999999</v>
      </c>
      <c r="F11" s="47">
        <v>4</v>
      </c>
      <c r="G11" s="47">
        <v>0.59898800975751476</v>
      </c>
      <c r="H11" s="47">
        <v>8.9209199999999989</v>
      </c>
      <c r="I11" s="47">
        <v>9</v>
      </c>
      <c r="J11" s="47">
        <v>1.0088645565703986</v>
      </c>
      <c r="K11" s="47">
        <v>0.50895000000000001</v>
      </c>
      <c r="L11" s="47">
        <v>1</v>
      </c>
      <c r="M11" s="47">
        <v>1.9648295510364475</v>
      </c>
      <c r="N11" s="47">
        <v>16.488149999999997</v>
      </c>
      <c r="O11" s="47">
        <v>15</v>
      </c>
      <c r="P11" s="47">
        <v>0.90974427088545384</v>
      </c>
    </row>
    <row r="12" spans="1:16">
      <c r="A12" s="46" t="s">
        <v>5094</v>
      </c>
      <c r="B12" s="47"/>
      <c r="C12" s="47"/>
      <c r="D12" s="47" t="e">
        <v>#DIV/0!</v>
      </c>
      <c r="E12" s="47">
        <v>2.0318700000000001</v>
      </c>
      <c r="F12" s="47">
        <v>2</v>
      </c>
      <c r="G12" s="47">
        <v>0.98431494140865305</v>
      </c>
      <c r="H12" s="47">
        <v>22.301660000000002</v>
      </c>
      <c r="I12" s="47">
        <v>23</v>
      </c>
      <c r="J12" s="47">
        <v>1.0313133641172898</v>
      </c>
      <c r="K12" s="47">
        <v>1.7439099999999996</v>
      </c>
      <c r="L12" s="47">
        <v>2</v>
      </c>
      <c r="M12" s="47">
        <v>1.1468481745044186</v>
      </c>
      <c r="N12" s="47">
        <v>26.077440000000003</v>
      </c>
      <c r="O12" s="47">
        <v>27</v>
      </c>
      <c r="P12" s="47">
        <v>1.0353777057870701</v>
      </c>
    </row>
    <row r="13" spans="1:16">
      <c r="A13" s="46" t="s">
        <v>5095</v>
      </c>
      <c r="B13" s="47"/>
      <c r="C13" s="47"/>
      <c r="D13" s="47" t="e">
        <v>#DIV/0!</v>
      </c>
      <c r="E13" s="47"/>
      <c r="F13" s="47"/>
      <c r="G13" s="47" t="e">
        <v>#DIV/0!</v>
      </c>
      <c r="H13" s="47">
        <v>5.2037299999999993</v>
      </c>
      <c r="I13" s="47">
        <v>10</v>
      </c>
      <c r="J13" s="47">
        <v>1.921698473979242</v>
      </c>
      <c r="K13" s="47">
        <v>2.5318399999999999</v>
      </c>
      <c r="L13" s="47">
        <v>1</v>
      </c>
      <c r="M13" s="47">
        <v>0.39496966632962588</v>
      </c>
      <c r="N13" s="47">
        <v>7.7355699999999992</v>
      </c>
      <c r="O13" s="47">
        <v>11</v>
      </c>
      <c r="P13" s="47">
        <v>1.422002515651724</v>
      </c>
    </row>
    <row r="14" spans="1:16">
      <c r="A14" s="46" t="s">
        <v>5096</v>
      </c>
      <c r="B14" s="47">
        <v>3.3705399999999996</v>
      </c>
      <c r="C14" s="47">
        <v>3</v>
      </c>
      <c r="D14" s="47">
        <v>0.89006509342716478</v>
      </c>
      <c r="E14" s="47">
        <v>13.421409999999998</v>
      </c>
      <c r="F14" s="47">
        <v>9</v>
      </c>
      <c r="G14" s="47">
        <v>0.67057037971420286</v>
      </c>
      <c r="H14" s="47">
        <v>41.497899999999994</v>
      </c>
      <c r="I14" s="47">
        <v>42</v>
      </c>
      <c r="J14" s="47">
        <v>1.0120994074398924</v>
      </c>
      <c r="K14" s="47">
        <v>5.128919999999999</v>
      </c>
      <c r="L14" s="47">
        <v>4</v>
      </c>
      <c r="M14" s="47">
        <v>0.77989128315512846</v>
      </c>
      <c r="N14" s="47">
        <v>63.418769999999995</v>
      </c>
      <c r="O14" s="47">
        <v>58</v>
      </c>
      <c r="P14" s="47">
        <v>0.91455573799365675</v>
      </c>
    </row>
    <row r="16" spans="1:16">
      <c r="D16" t="s">
        <v>5110</v>
      </c>
    </row>
    <row r="17" spans="4:4">
      <c r="D17" t="s">
        <v>5109</v>
      </c>
    </row>
    <row r="18" spans="4:4">
      <c r="D18" t="s">
        <v>5107</v>
      </c>
    </row>
    <row r="19" spans="4:4">
      <c r="D19" t="s">
        <v>5108</v>
      </c>
    </row>
  </sheetData>
  <conditionalFormatting pivot="1" sqref="G6:G14">
    <cfRule type="cellIs" dxfId="19" priority="12" operator="greaterThan">
      <formula>1.5</formula>
    </cfRule>
  </conditionalFormatting>
  <conditionalFormatting pivot="1" sqref="G6:G14">
    <cfRule type="cellIs" dxfId="18" priority="11" operator="lessThan">
      <formula>0.7</formula>
    </cfRule>
  </conditionalFormatting>
  <conditionalFormatting pivot="1" sqref="J6:J14">
    <cfRule type="cellIs" dxfId="17" priority="10" operator="greaterThan">
      <formula>1.5</formula>
    </cfRule>
  </conditionalFormatting>
  <conditionalFormatting pivot="1" sqref="J6:J14">
    <cfRule type="cellIs" dxfId="16" priority="9" operator="lessThan">
      <formula>0.7</formula>
    </cfRule>
  </conditionalFormatting>
  <conditionalFormatting pivot="1" sqref="M6:M14">
    <cfRule type="cellIs" dxfId="15" priority="8" operator="greaterThan">
      <formula>1.5</formula>
    </cfRule>
  </conditionalFormatting>
  <conditionalFormatting pivot="1" sqref="M6:M14">
    <cfRule type="cellIs" dxfId="14" priority="7" operator="lessThan">
      <formula>0.7</formula>
    </cfRule>
  </conditionalFormatting>
  <conditionalFormatting pivot="1" sqref="P6:P14">
    <cfRule type="cellIs" dxfId="13" priority="6" operator="greaterThan">
      <formula>1.5</formula>
    </cfRule>
  </conditionalFormatting>
  <conditionalFormatting pivot="1" sqref="P6:P14">
    <cfRule type="cellIs" dxfId="12" priority="5" operator="lessThan">
      <formula>0.7</formula>
    </cfRule>
  </conditionalFormatting>
  <conditionalFormatting pivot="1" sqref="D6:D14">
    <cfRule type="cellIs" dxfId="1" priority="2" operator="greaterThan">
      <formula>1.5</formula>
    </cfRule>
  </conditionalFormatting>
  <conditionalFormatting pivot="1" sqref="D6:D14">
    <cfRule type="cellIs" dxfId="0" priority="1" operator="lessThan">
      <formula>0.7</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001"/>
  <sheetViews>
    <sheetView workbookViewId="0">
      <selection activeCell="K10" sqref="K10"/>
    </sheetView>
  </sheetViews>
  <sheetFormatPr baseColWidth="10" defaultColWidth="8.83203125" defaultRowHeight="16"/>
  <cols>
    <col min="1" max="1" width="12" customWidth="1"/>
    <col min="2" max="3" width="10" customWidth="1"/>
    <col min="4" max="4" width="14" customWidth="1"/>
    <col min="5" max="6" width="12" customWidth="1"/>
    <col min="7" max="7" width="18" customWidth="1"/>
    <col min="9" max="9" width="13" bestFit="1" customWidth="1"/>
  </cols>
  <sheetData>
    <row r="1" spans="1:10">
      <c r="A1" s="31" t="s">
        <v>0</v>
      </c>
      <c r="B1" s="31" t="s">
        <v>61</v>
      </c>
      <c r="C1" s="31" t="s">
        <v>3</v>
      </c>
      <c r="D1" s="31" t="s">
        <v>82</v>
      </c>
      <c r="E1" s="31" t="s">
        <v>66</v>
      </c>
      <c r="F1" s="31" t="s">
        <v>4</v>
      </c>
      <c r="G1" s="31" t="s">
        <v>83</v>
      </c>
      <c r="H1" s="31" t="s">
        <v>5085</v>
      </c>
      <c r="I1" s="31" t="s">
        <v>5084</v>
      </c>
      <c r="J1" s="31" t="s">
        <v>5086</v>
      </c>
    </row>
    <row r="2" spans="1:10">
      <c r="A2" t="s">
        <v>84</v>
      </c>
      <c r="B2">
        <v>60</v>
      </c>
      <c r="C2" t="s">
        <v>9</v>
      </c>
      <c r="D2">
        <v>4</v>
      </c>
      <c r="E2">
        <v>63</v>
      </c>
      <c r="F2">
        <v>5.8700000000000002E-3</v>
      </c>
      <c r="G2">
        <v>0</v>
      </c>
      <c r="H2" t="str">
        <f>FLOOR(E2,10) &amp; "-" &amp; FLOOR(E2,10)+9</f>
        <v>60-69</v>
      </c>
      <c r="I2" t="str">
        <f>FLOOR(D2, 10) &amp; "-"&amp;FLOOR(D2, 10)+9</f>
        <v>0-9</v>
      </c>
      <c r="J2">
        <f>F2</f>
        <v>5.8700000000000002E-3</v>
      </c>
    </row>
    <row r="3" spans="1:10">
      <c r="A3" t="s">
        <v>85</v>
      </c>
      <c r="B3">
        <v>34</v>
      </c>
      <c r="C3" t="s">
        <v>7</v>
      </c>
      <c r="D3">
        <v>5</v>
      </c>
      <c r="E3">
        <v>38</v>
      </c>
      <c r="F3">
        <v>4.6999999999999999E-4</v>
      </c>
      <c r="G3">
        <v>0</v>
      </c>
      <c r="H3" t="str">
        <f t="shared" ref="H3:H66" si="0">FLOOR(E3,10) &amp; "-" &amp; FLOOR(E3,10)+9</f>
        <v>30-39</v>
      </c>
      <c r="I3" t="str">
        <f t="shared" ref="I3:I66" si="1">FLOOR(D3, 10) &amp; "-"&amp;FLOOR(D3, 10)+9</f>
        <v>0-9</v>
      </c>
      <c r="J3">
        <f t="shared" ref="J3:J66" si="2">F3</f>
        <v>4.6999999999999999E-4</v>
      </c>
    </row>
    <row r="4" spans="1:10">
      <c r="A4" t="s">
        <v>86</v>
      </c>
      <c r="B4">
        <v>54</v>
      </c>
      <c r="C4" t="s">
        <v>7</v>
      </c>
      <c r="D4">
        <v>3</v>
      </c>
      <c r="E4">
        <v>56</v>
      </c>
      <c r="F4">
        <v>1.75E-3</v>
      </c>
      <c r="G4">
        <v>0</v>
      </c>
      <c r="H4" t="str">
        <f t="shared" si="0"/>
        <v>50-59</v>
      </c>
      <c r="I4" t="str">
        <f t="shared" si="1"/>
        <v>0-9</v>
      </c>
      <c r="J4">
        <f t="shared" si="2"/>
        <v>1.75E-3</v>
      </c>
    </row>
    <row r="5" spans="1:10">
      <c r="A5" t="s">
        <v>87</v>
      </c>
      <c r="B5">
        <v>25</v>
      </c>
      <c r="C5" t="s">
        <v>9</v>
      </c>
      <c r="D5">
        <v>7</v>
      </c>
      <c r="E5">
        <v>31</v>
      </c>
      <c r="F5">
        <v>4.8000000000000001E-4</v>
      </c>
      <c r="G5">
        <v>0</v>
      </c>
      <c r="H5" t="str">
        <f t="shared" si="0"/>
        <v>30-39</v>
      </c>
      <c r="I5" t="str">
        <f t="shared" si="1"/>
        <v>0-9</v>
      </c>
      <c r="J5">
        <f t="shared" si="2"/>
        <v>4.8000000000000001E-4</v>
      </c>
    </row>
    <row r="6" spans="1:10">
      <c r="A6" t="s">
        <v>88</v>
      </c>
      <c r="B6">
        <v>55</v>
      </c>
      <c r="C6" t="s">
        <v>7</v>
      </c>
      <c r="D6">
        <v>7</v>
      </c>
      <c r="E6">
        <v>61</v>
      </c>
      <c r="F6">
        <v>3.8899999999999998E-3</v>
      </c>
      <c r="G6">
        <v>0</v>
      </c>
      <c r="H6" t="str">
        <f t="shared" si="0"/>
        <v>60-69</v>
      </c>
      <c r="I6" t="str">
        <f t="shared" si="1"/>
        <v>0-9</v>
      </c>
      <c r="J6">
        <f t="shared" si="2"/>
        <v>3.8899999999999998E-3</v>
      </c>
    </row>
    <row r="7" spans="1:10">
      <c r="A7" t="s">
        <v>89</v>
      </c>
      <c r="B7">
        <v>46</v>
      </c>
      <c r="C7" t="s">
        <v>9</v>
      </c>
      <c r="D7">
        <v>8</v>
      </c>
      <c r="E7">
        <v>53</v>
      </c>
      <c r="F7">
        <v>2.5600000000000002E-3</v>
      </c>
      <c r="G7">
        <v>0</v>
      </c>
      <c r="H7" t="str">
        <f t="shared" si="0"/>
        <v>50-59</v>
      </c>
      <c r="I7" t="str">
        <f t="shared" si="1"/>
        <v>0-9</v>
      </c>
      <c r="J7">
        <f t="shared" si="2"/>
        <v>2.5600000000000002E-3</v>
      </c>
    </row>
    <row r="8" spans="1:10">
      <c r="A8" t="s">
        <v>90</v>
      </c>
      <c r="B8">
        <v>20</v>
      </c>
      <c r="C8" t="s">
        <v>7</v>
      </c>
      <c r="D8">
        <v>25</v>
      </c>
      <c r="E8">
        <v>44</v>
      </c>
      <c r="F8">
        <v>1.33E-3</v>
      </c>
      <c r="G8">
        <v>0</v>
      </c>
      <c r="H8" t="str">
        <f t="shared" si="0"/>
        <v>40-49</v>
      </c>
      <c r="I8" t="str">
        <f t="shared" si="1"/>
        <v>20-29</v>
      </c>
      <c r="J8">
        <f t="shared" si="2"/>
        <v>1.33E-3</v>
      </c>
    </row>
    <row r="9" spans="1:10">
      <c r="A9" t="s">
        <v>91</v>
      </c>
      <c r="B9">
        <v>41</v>
      </c>
      <c r="C9" t="s">
        <v>9</v>
      </c>
      <c r="D9">
        <v>9</v>
      </c>
      <c r="E9">
        <v>49</v>
      </c>
      <c r="F9">
        <v>1.82E-3</v>
      </c>
      <c r="G9">
        <v>0</v>
      </c>
      <c r="H9" t="str">
        <f t="shared" si="0"/>
        <v>40-49</v>
      </c>
      <c r="I9" t="str">
        <f t="shared" si="1"/>
        <v>0-9</v>
      </c>
      <c r="J9">
        <f t="shared" si="2"/>
        <v>1.82E-3</v>
      </c>
    </row>
    <row r="10" spans="1:10">
      <c r="A10" t="s">
        <v>92</v>
      </c>
      <c r="B10">
        <v>41</v>
      </c>
      <c r="C10" t="s">
        <v>9</v>
      </c>
      <c r="D10">
        <v>4</v>
      </c>
      <c r="E10">
        <v>44</v>
      </c>
      <c r="F10">
        <v>9.5E-4</v>
      </c>
      <c r="G10">
        <v>0</v>
      </c>
      <c r="H10" t="str">
        <f t="shared" si="0"/>
        <v>40-49</v>
      </c>
      <c r="I10" t="str">
        <f t="shared" si="1"/>
        <v>0-9</v>
      </c>
      <c r="J10">
        <f t="shared" si="2"/>
        <v>9.5E-4</v>
      </c>
    </row>
    <row r="11" spans="1:10">
      <c r="A11" t="s">
        <v>93</v>
      </c>
      <c r="B11">
        <v>42</v>
      </c>
      <c r="C11" t="s">
        <v>9</v>
      </c>
      <c r="D11">
        <v>20</v>
      </c>
      <c r="E11">
        <v>61</v>
      </c>
      <c r="F11">
        <v>7.0200000000000002E-3</v>
      </c>
      <c r="G11">
        <v>0</v>
      </c>
      <c r="H11" t="str">
        <f t="shared" si="0"/>
        <v>60-69</v>
      </c>
      <c r="I11" t="str">
        <f t="shared" si="1"/>
        <v>20-29</v>
      </c>
      <c r="J11">
        <f t="shared" si="2"/>
        <v>7.0200000000000002E-3</v>
      </c>
    </row>
    <row r="12" spans="1:10">
      <c r="A12" t="s">
        <v>94</v>
      </c>
      <c r="B12">
        <v>49</v>
      </c>
      <c r="C12" t="s">
        <v>9</v>
      </c>
      <c r="D12">
        <v>18</v>
      </c>
      <c r="E12">
        <v>66</v>
      </c>
      <c r="F12">
        <v>1.128E-2</v>
      </c>
      <c r="G12">
        <v>0</v>
      </c>
      <c r="H12" t="str">
        <f t="shared" si="0"/>
        <v>60-69</v>
      </c>
      <c r="I12" t="str">
        <f t="shared" si="1"/>
        <v>10-19</v>
      </c>
      <c r="J12">
        <f t="shared" si="2"/>
        <v>1.128E-2</v>
      </c>
    </row>
    <row r="13" spans="1:10">
      <c r="A13" t="s">
        <v>95</v>
      </c>
      <c r="B13">
        <v>25</v>
      </c>
      <c r="C13" t="s">
        <v>9</v>
      </c>
      <c r="D13">
        <v>18</v>
      </c>
      <c r="E13">
        <v>42</v>
      </c>
      <c r="F13">
        <v>1.64E-3</v>
      </c>
      <c r="G13">
        <v>0</v>
      </c>
      <c r="H13" t="str">
        <f t="shared" si="0"/>
        <v>40-49</v>
      </c>
      <c r="I13" t="str">
        <f t="shared" si="1"/>
        <v>10-19</v>
      </c>
      <c r="J13">
        <f t="shared" si="2"/>
        <v>1.64E-3</v>
      </c>
    </row>
    <row r="14" spans="1:10">
      <c r="A14" t="s">
        <v>96</v>
      </c>
      <c r="B14">
        <v>43</v>
      </c>
      <c r="C14" t="s">
        <v>9</v>
      </c>
      <c r="D14">
        <v>19</v>
      </c>
      <c r="E14">
        <v>61</v>
      </c>
      <c r="F14">
        <v>7.0200000000000002E-3</v>
      </c>
      <c r="G14">
        <v>0</v>
      </c>
      <c r="H14" t="str">
        <f t="shared" si="0"/>
        <v>60-69</v>
      </c>
      <c r="I14" t="str">
        <f t="shared" si="1"/>
        <v>10-19</v>
      </c>
      <c r="J14">
        <f t="shared" si="2"/>
        <v>7.0200000000000002E-3</v>
      </c>
    </row>
    <row r="15" spans="1:10">
      <c r="A15" t="s">
        <v>97</v>
      </c>
      <c r="B15">
        <v>62</v>
      </c>
      <c r="C15" t="s">
        <v>7</v>
      </c>
      <c r="D15">
        <v>8</v>
      </c>
      <c r="E15">
        <v>69</v>
      </c>
      <c r="F15">
        <v>7.7299999999999999E-3</v>
      </c>
      <c r="G15">
        <v>0</v>
      </c>
      <c r="H15" t="str">
        <f t="shared" si="0"/>
        <v>60-69</v>
      </c>
      <c r="I15" t="str">
        <f t="shared" si="1"/>
        <v>0-9</v>
      </c>
      <c r="J15">
        <f t="shared" si="2"/>
        <v>7.7299999999999999E-3</v>
      </c>
    </row>
    <row r="16" spans="1:10">
      <c r="A16" t="s">
        <v>98</v>
      </c>
      <c r="B16">
        <v>34</v>
      </c>
      <c r="C16" t="s">
        <v>9</v>
      </c>
      <c r="D16">
        <v>28</v>
      </c>
      <c r="E16">
        <v>61</v>
      </c>
      <c r="F16">
        <v>5.7400000000000003E-3</v>
      </c>
      <c r="G16">
        <v>0</v>
      </c>
      <c r="H16" t="str">
        <f t="shared" si="0"/>
        <v>60-69</v>
      </c>
      <c r="I16" t="str">
        <f t="shared" si="1"/>
        <v>20-29</v>
      </c>
      <c r="J16">
        <f t="shared" si="2"/>
        <v>5.7400000000000003E-3</v>
      </c>
    </row>
    <row r="17" spans="1:10">
      <c r="A17" t="s">
        <v>99</v>
      </c>
      <c r="B17">
        <v>60</v>
      </c>
      <c r="C17" t="s">
        <v>9</v>
      </c>
      <c r="D17">
        <v>27</v>
      </c>
      <c r="E17">
        <v>86</v>
      </c>
      <c r="F17">
        <v>9.1270000000000004E-2</v>
      </c>
      <c r="G17">
        <v>0</v>
      </c>
      <c r="H17" t="str">
        <f t="shared" si="0"/>
        <v>80-89</v>
      </c>
      <c r="I17" t="str">
        <f t="shared" si="1"/>
        <v>20-29</v>
      </c>
      <c r="J17">
        <f t="shared" si="2"/>
        <v>9.1270000000000004E-2</v>
      </c>
    </row>
    <row r="18" spans="1:10">
      <c r="A18" t="s">
        <v>100</v>
      </c>
      <c r="B18">
        <v>33</v>
      </c>
      <c r="C18" t="s">
        <v>9</v>
      </c>
      <c r="D18">
        <v>22</v>
      </c>
      <c r="E18">
        <v>54</v>
      </c>
      <c r="F18">
        <v>3.65E-3</v>
      </c>
      <c r="G18">
        <v>0</v>
      </c>
      <c r="H18" t="str">
        <f t="shared" si="0"/>
        <v>50-59</v>
      </c>
      <c r="I18" t="str">
        <f t="shared" si="1"/>
        <v>20-29</v>
      </c>
      <c r="J18">
        <f t="shared" si="2"/>
        <v>3.65E-3</v>
      </c>
    </row>
    <row r="19" spans="1:10">
      <c r="A19" t="s">
        <v>101</v>
      </c>
      <c r="B19">
        <v>61</v>
      </c>
      <c r="C19" t="s">
        <v>7</v>
      </c>
      <c r="D19">
        <v>3</v>
      </c>
      <c r="E19">
        <v>63</v>
      </c>
      <c r="F19">
        <v>2.8900000000000002E-3</v>
      </c>
      <c r="G19">
        <v>0</v>
      </c>
      <c r="H19" t="str">
        <f t="shared" si="0"/>
        <v>60-69</v>
      </c>
      <c r="I19" t="str">
        <f t="shared" si="1"/>
        <v>0-9</v>
      </c>
      <c r="J19">
        <f t="shared" si="2"/>
        <v>2.8900000000000002E-3</v>
      </c>
    </row>
    <row r="20" spans="1:10">
      <c r="A20" t="s">
        <v>102</v>
      </c>
      <c r="B20">
        <v>35</v>
      </c>
      <c r="C20" t="s">
        <v>9</v>
      </c>
      <c r="D20">
        <v>6</v>
      </c>
      <c r="E20">
        <v>40</v>
      </c>
      <c r="F20">
        <v>7.6000000000000004E-4</v>
      </c>
      <c r="G20">
        <v>0</v>
      </c>
      <c r="H20" t="str">
        <f t="shared" si="0"/>
        <v>40-49</v>
      </c>
      <c r="I20" t="str">
        <f t="shared" si="1"/>
        <v>0-9</v>
      </c>
      <c r="J20">
        <f t="shared" si="2"/>
        <v>7.6000000000000004E-4</v>
      </c>
    </row>
    <row r="21" spans="1:10">
      <c r="A21" t="s">
        <v>103</v>
      </c>
      <c r="B21">
        <v>60</v>
      </c>
      <c r="C21" t="s">
        <v>7</v>
      </c>
      <c r="D21">
        <v>23</v>
      </c>
      <c r="E21">
        <v>82</v>
      </c>
      <c r="F21">
        <v>5.0599999999999999E-2</v>
      </c>
      <c r="G21">
        <v>0</v>
      </c>
      <c r="H21" t="str">
        <f t="shared" si="0"/>
        <v>80-89</v>
      </c>
      <c r="I21" t="str">
        <f t="shared" si="1"/>
        <v>20-29</v>
      </c>
      <c r="J21">
        <f t="shared" si="2"/>
        <v>5.0599999999999999E-2</v>
      </c>
    </row>
    <row r="22" spans="1:10">
      <c r="A22" t="s">
        <v>104</v>
      </c>
      <c r="B22">
        <v>23</v>
      </c>
      <c r="C22" t="s">
        <v>7</v>
      </c>
      <c r="D22">
        <v>8</v>
      </c>
      <c r="E22">
        <v>30</v>
      </c>
      <c r="F22">
        <v>3.4000000000000002E-4</v>
      </c>
      <c r="G22">
        <v>0</v>
      </c>
      <c r="H22" t="str">
        <f t="shared" si="0"/>
        <v>30-39</v>
      </c>
      <c r="I22" t="str">
        <f t="shared" si="1"/>
        <v>0-9</v>
      </c>
      <c r="J22">
        <f t="shared" si="2"/>
        <v>3.4000000000000002E-4</v>
      </c>
    </row>
    <row r="23" spans="1:10">
      <c r="A23" t="s">
        <v>105</v>
      </c>
      <c r="B23">
        <v>45</v>
      </c>
      <c r="C23" t="s">
        <v>9</v>
      </c>
      <c r="D23">
        <v>9</v>
      </c>
      <c r="E23">
        <v>53</v>
      </c>
      <c r="F23">
        <v>2.63E-3</v>
      </c>
      <c r="G23">
        <v>0</v>
      </c>
      <c r="H23" t="str">
        <f t="shared" si="0"/>
        <v>50-59</v>
      </c>
      <c r="I23" t="str">
        <f t="shared" si="1"/>
        <v>0-9</v>
      </c>
      <c r="J23">
        <f t="shared" si="2"/>
        <v>2.63E-3</v>
      </c>
    </row>
    <row r="24" spans="1:10">
      <c r="A24" t="s">
        <v>106</v>
      </c>
      <c r="B24">
        <v>56</v>
      </c>
      <c r="C24" t="s">
        <v>7</v>
      </c>
      <c r="D24">
        <v>29</v>
      </c>
      <c r="E24">
        <v>84</v>
      </c>
      <c r="F24">
        <v>4.4880000000000003E-2</v>
      </c>
      <c r="G24">
        <v>0</v>
      </c>
      <c r="H24" t="str">
        <f t="shared" si="0"/>
        <v>80-89</v>
      </c>
      <c r="I24" t="str">
        <f t="shared" si="1"/>
        <v>20-29</v>
      </c>
      <c r="J24">
        <f t="shared" si="2"/>
        <v>4.4880000000000003E-2</v>
      </c>
    </row>
    <row r="25" spans="1:10">
      <c r="A25" t="s">
        <v>107</v>
      </c>
      <c r="B25">
        <v>51</v>
      </c>
      <c r="C25" t="s">
        <v>7</v>
      </c>
      <c r="D25">
        <v>13</v>
      </c>
      <c r="E25">
        <v>63</v>
      </c>
      <c r="F25">
        <v>5.8199999999999997E-3</v>
      </c>
      <c r="G25">
        <v>0</v>
      </c>
      <c r="H25" t="str">
        <f t="shared" si="0"/>
        <v>60-69</v>
      </c>
      <c r="I25" t="str">
        <f t="shared" si="1"/>
        <v>10-19</v>
      </c>
      <c r="J25">
        <f t="shared" si="2"/>
        <v>5.8199999999999997E-3</v>
      </c>
    </row>
    <row r="26" spans="1:10">
      <c r="A26" t="s">
        <v>108</v>
      </c>
      <c r="B26">
        <v>29</v>
      </c>
      <c r="C26" t="s">
        <v>9</v>
      </c>
      <c r="D26">
        <v>9</v>
      </c>
      <c r="E26">
        <v>37</v>
      </c>
      <c r="F26">
        <v>6.9999999999999999E-4</v>
      </c>
      <c r="G26">
        <v>0</v>
      </c>
      <c r="H26" t="str">
        <f t="shared" si="0"/>
        <v>30-39</v>
      </c>
      <c r="I26" t="str">
        <f t="shared" si="1"/>
        <v>0-9</v>
      </c>
      <c r="J26">
        <f t="shared" si="2"/>
        <v>6.9999999999999999E-4</v>
      </c>
    </row>
    <row r="27" spans="1:10">
      <c r="A27" t="s">
        <v>109</v>
      </c>
      <c r="B27">
        <v>54</v>
      </c>
      <c r="C27" t="s">
        <v>7</v>
      </c>
      <c r="D27">
        <v>9</v>
      </c>
      <c r="E27">
        <v>62</v>
      </c>
      <c r="F27">
        <v>4.5900000000000003E-3</v>
      </c>
      <c r="G27">
        <v>0</v>
      </c>
      <c r="H27" t="str">
        <f t="shared" si="0"/>
        <v>60-69</v>
      </c>
      <c r="I27" t="str">
        <f t="shared" si="1"/>
        <v>0-9</v>
      </c>
      <c r="J27">
        <f t="shared" si="2"/>
        <v>4.5900000000000003E-3</v>
      </c>
    </row>
    <row r="28" spans="1:10">
      <c r="A28" t="s">
        <v>110</v>
      </c>
      <c r="B28">
        <v>57</v>
      </c>
      <c r="C28" t="s">
        <v>9</v>
      </c>
      <c r="D28">
        <v>13</v>
      </c>
      <c r="E28">
        <v>69</v>
      </c>
      <c r="F28">
        <v>1.5049999999999999E-2</v>
      </c>
      <c r="G28">
        <v>0</v>
      </c>
      <c r="H28" t="str">
        <f t="shared" si="0"/>
        <v>60-69</v>
      </c>
      <c r="I28" t="str">
        <f t="shared" si="1"/>
        <v>10-19</v>
      </c>
      <c r="J28">
        <f t="shared" si="2"/>
        <v>1.5049999999999999E-2</v>
      </c>
    </row>
    <row r="29" spans="1:10">
      <c r="A29" t="s">
        <v>111</v>
      </c>
      <c r="B29">
        <v>28</v>
      </c>
      <c r="C29" t="s">
        <v>9</v>
      </c>
      <c r="D29">
        <v>17</v>
      </c>
      <c r="E29">
        <v>44</v>
      </c>
      <c r="F29">
        <v>1.6900000000000001E-3</v>
      </c>
      <c r="G29">
        <v>0</v>
      </c>
      <c r="H29" t="str">
        <f t="shared" si="0"/>
        <v>40-49</v>
      </c>
      <c r="I29" t="str">
        <f t="shared" si="1"/>
        <v>10-19</v>
      </c>
      <c r="J29">
        <f t="shared" si="2"/>
        <v>1.6900000000000001E-3</v>
      </c>
    </row>
    <row r="30" spans="1:10">
      <c r="A30" t="s">
        <v>112</v>
      </c>
      <c r="B30">
        <v>27</v>
      </c>
      <c r="C30" t="s">
        <v>7</v>
      </c>
      <c r="D30">
        <v>5</v>
      </c>
      <c r="E30">
        <v>31</v>
      </c>
      <c r="F30">
        <v>2.5999999999999998E-4</v>
      </c>
      <c r="G30">
        <v>0</v>
      </c>
      <c r="H30" t="str">
        <f t="shared" si="0"/>
        <v>30-39</v>
      </c>
      <c r="I30" t="str">
        <f t="shared" si="1"/>
        <v>0-9</v>
      </c>
      <c r="J30">
        <f t="shared" si="2"/>
        <v>2.5999999999999998E-4</v>
      </c>
    </row>
    <row r="31" spans="1:10">
      <c r="A31" t="s">
        <v>113</v>
      </c>
      <c r="B31">
        <v>47</v>
      </c>
      <c r="C31" t="s">
        <v>9</v>
      </c>
      <c r="D31">
        <v>20</v>
      </c>
      <c r="E31">
        <v>66</v>
      </c>
      <c r="F31">
        <v>1.128E-2</v>
      </c>
      <c r="G31">
        <v>0</v>
      </c>
      <c r="H31" t="str">
        <f t="shared" si="0"/>
        <v>60-69</v>
      </c>
      <c r="I31" t="str">
        <f t="shared" si="1"/>
        <v>20-29</v>
      </c>
      <c r="J31">
        <f t="shared" si="2"/>
        <v>1.128E-2</v>
      </c>
    </row>
    <row r="32" spans="1:10">
      <c r="A32" t="s">
        <v>114</v>
      </c>
      <c r="B32">
        <v>49</v>
      </c>
      <c r="C32" t="s">
        <v>9</v>
      </c>
      <c r="D32">
        <v>17</v>
      </c>
      <c r="E32">
        <v>65</v>
      </c>
      <c r="F32">
        <v>1.022E-2</v>
      </c>
      <c r="G32">
        <v>0</v>
      </c>
      <c r="H32" t="str">
        <f t="shared" si="0"/>
        <v>60-69</v>
      </c>
      <c r="I32" t="str">
        <f t="shared" si="1"/>
        <v>10-19</v>
      </c>
      <c r="J32">
        <f t="shared" si="2"/>
        <v>1.022E-2</v>
      </c>
    </row>
    <row r="33" spans="1:10">
      <c r="A33" t="s">
        <v>115</v>
      </c>
      <c r="B33">
        <v>20</v>
      </c>
      <c r="C33" t="s">
        <v>7</v>
      </c>
      <c r="D33">
        <v>22</v>
      </c>
      <c r="E33">
        <v>41</v>
      </c>
      <c r="F33">
        <v>1.1999999999999999E-3</v>
      </c>
      <c r="G33">
        <v>0</v>
      </c>
      <c r="H33" t="str">
        <f t="shared" si="0"/>
        <v>40-49</v>
      </c>
      <c r="I33" t="str">
        <f t="shared" si="1"/>
        <v>20-29</v>
      </c>
      <c r="J33">
        <f t="shared" si="2"/>
        <v>1.1999999999999999E-3</v>
      </c>
    </row>
    <row r="34" spans="1:10">
      <c r="A34" t="s">
        <v>116</v>
      </c>
      <c r="B34">
        <v>54</v>
      </c>
      <c r="C34" t="s">
        <v>9</v>
      </c>
      <c r="D34">
        <v>25</v>
      </c>
      <c r="E34">
        <v>78</v>
      </c>
      <c r="F34">
        <v>4.1189999999999997E-2</v>
      </c>
      <c r="G34">
        <v>0</v>
      </c>
      <c r="H34" t="str">
        <f t="shared" si="0"/>
        <v>70-79</v>
      </c>
      <c r="I34" t="str">
        <f t="shared" si="1"/>
        <v>20-29</v>
      </c>
      <c r="J34">
        <f t="shared" si="2"/>
        <v>4.1189999999999997E-2</v>
      </c>
    </row>
    <row r="35" spans="1:10">
      <c r="A35" t="s">
        <v>117</v>
      </c>
      <c r="B35">
        <v>27</v>
      </c>
      <c r="C35" t="s">
        <v>9</v>
      </c>
      <c r="D35">
        <v>10</v>
      </c>
      <c r="E35">
        <v>36</v>
      </c>
      <c r="F35">
        <v>7.2999999999999996E-4</v>
      </c>
      <c r="G35">
        <v>0</v>
      </c>
      <c r="H35" t="str">
        <f t="shared" si="0"/>
        <v>30-39</v>
      </c>
      <c r="I35" t="str">
        <f t="shared" si="1"/>
        <v>10-19</v>
      </c>
      <c r="J35">
        <f t="shared" si="2"/>
        <v>7.2999999999999996E-4</v>
      </c>
    </row>
    <row r="36" spans="1:10">
      <c r="A36" t="s">
        <v>118</v>
      </c>
      <c r="B36">
        <v>36</v>
      </c>
      <c r="C36" t="s">
        <v>7</v>
      </c>
      <c r="D36">
        <v>17</v>
      </c>
      <c r="E36">
        <v>52</v>
      </c>
      <c r="F36">
        <v>2.14E-3</v>
      </c>
      <c r="G36">
        <v>0</v>
      </c>
      <c r="H36" t="str">
        <f t="shared" si="0"/>
        <v>50-59</v>
      </c>
      <c r="I36" t="str">
        <f t="shared" si="1"/>
        <v>10-19</v>
      </c>
      <c r="J36">
        <f t="shared" si="2"/>
        <v>2.14E-3</v>
      </c>
    </row>
    <row r="37" spans="1:10">
      <c r="A37" t="s">
        <v>119</v>
      </c>
      <c r="B37">
        <v>26</v>
      </c>
      <c r="C37" t="s">
        <v>7</v>
      </c>
      <c r="D37">
        <v>28</v>
      </c>
      <c r="E37">
        <v>53</v>
      </c>
      <c r="F37">
        <v>2.1900000000000001E-3</v>
      </c>
      <c r="G37">
        <v>0</v>
      </c>
      <c r="H37" t="str">
        <f t="shared" si="0"/>
        <v>50-59</v>
      </c>
      <c r="I37" t="str">
        <f t="shared" si="1"/>
        <v>20-29</v>
      </c>
      <c r="J37">
        <f t="shared" si="2"/>
        <v>2.1900000000000001E-3</v>
      </c>
    </row>
    <row r="38" spans="1:10">
      <c r="A38" t="s">
        <v>120</v>
      </c>
      <c r="B38">
        <v>52</v>
      </c>
      <c r="C38" t="s">
        <v>9</v>
      </c>
      <c r="D38">
        <v>20</v>
      </c>
      <c r="E38">
        <v>71</v>
      </c>
      <c r="F38">
        <v>1.8890000000000001E-2</v>
      </c>
      <c r="G38">
        <v>0</v>
      </c>
      <c r="H38" t="str">
        <f t="shared" si="0"/>
        <v>70-79</v>
      </c>
      <c r="I38" t="str">
        <f t="shared" si="1"/>
        <v>20-29</v>
      </c>
      <c r="J38">
        <f t="shared" si="2"/>
        <v>1.8890000000000001E-2</v>
      </c>
    </row>
    <row r="39" spans="1:10">
      <c r="A39" t="s">
        <v>121</v>
      </c>
      <c r="B39">
        <v>30</v>
      </c>
      <c r="C39" t="s">
        <v>7</v>
      </c>
      <c r="D39">
        <v>18</v>
      </c>
      <c r="E39">
        <v>47</v>
      </c>
      <c r="F39">
        <v>1.49E-3</v>
      </c>
      <c r="G39">
        <v>0</v>
      </c>
      <c r="H39" t="str">
        <f t="shared" si="0"/>
        <v>40-49</v>
      </c>
      <c r="I39" t="str">
        <f t="shared" si="1"/>
        <v>10-19</v>
      </c>
      <c r="J39">
        <f t="shared" si="2"/>
        <v>1.49E-3</v>
      </c>
    </row>
    <row r="40" spans="1:10">
      <c r="A40" t="s">
        <v>122</v>
      </c>
      <c r="B40">
        <v>20</v>
      </c>
      <c r="C40" t="s">
        <v>9</v>
      </c>
      <c r="D40">
        <v>20</v>
      </c>
      <c r="E40">
        <v>39</v>
      </c>
      <c r="F40">
        <v>1.58E-3</v>
      </c>
      <c r="G40">
        <v>0</v>
      </c>
      <c r="H40" t="str">
        <f t="shared" si="0"/>
        <v>30-39</v>
      </c>
      <c r="I40" t="str">
        <f t="shared" si="1"/>
        <v>20-29</v>
      </c>
      <c r="J40">
        <f t="shared" si="2"/>
        <v>1.58E-3</v>
      </c>
    </row>
    <row r="41" spans="1:10">
      <c r="A41" t="s">
        <v>123</v>
      </c>
      <c r="B41">
        <v>43</v>
      </c>
      <c r="C41" t="s">
        <v>7</v>
      </c>
      <c r="D41">
        <v>29</v>
      </c>
      <c r="E41">
        <v>71</v>
      </c>
      <c r="F41">
        <v>1.141E-2</v>
      </c>
      <c r="G41">
        <v>0</v>
      </c>
      <c r="H41" t="str">
        <f t="shared" si="0"/>
        <v>70-79</v>
      </c>
      <c r="I41" t="str">
        <f t="shared" si="1"/>
        <v>20-29</v>
      </c>
      <c r="J41">
        <f t="shared" si="2"/>
        <v>1.141E-2</v>
      </c>
    </row>
    <row r="42" spans="1:10">
      <c r="A42" t="s">
        <v>124</v>
      </c>
      <c r="B42">
        <v>35</v>
      </c>
      <c r="C42" t="s">
        <v>9</v>
      </c>
      <c r="D42">
        <v>2</v>
      </c>
      <c r="E42">
        <v>36</v>
      </c>
      <c r="F42">
        <v>3.4000000000000002E-4</v>
      </c>
      <c r="G42">
        <v>0</v>
      </c>
      <c r="H42" t="str">
        <f t="shared" si="0"/>
        <v>30-39</v>
      </c>
      <c r="I42" t="str">
        <f t="shared" si="1"/>
        <v>0-9</v>
      </c>
      <c r="J42">
        <f t="shared" si="2"/>
        <v>3.4000000000000002E-4</v>
      </c>
    </row>
    <row r="43" spans="1:10">
      <c r="A43" t="s">
        <v>125</v>
      </c>
      <c r="B43">
        <v>25</v>
      </c>
      <c r="C43" t="s">
        <v>7</v>
      </c>
      <c r="D43">
        <v>3</v>
      </c>
      <c r="E43">
        <v>27</v>
      </c>
      <c r="F43">
        <v>2.0000000000000001E-4</v>
      </c>
      <c r="G43">
        <v>0</v>
      </c>
      <c r="H43" t="str">
        <f t="shared" si="0"/>
        <v>20-29</v>
      </c>
      <c r="I43" t="str">
        <f t="shared" si="1"/>
        <v>0-9</v>
      </c>
      <c r="J43">
        <f t="shared" si="2"/>
        <v>2.0000000000000001E-4</v>
      </c>
    </row>
    <row r="44" spans="1:10">
      <c r="A44" t="s">
        <v>126</v>
      </c>
      <c r="B44">
        <v>54</v>
      </c>
      <c r="C44" t="s">
        <v>9</v>
      </c>
      <c r="D44">
        <v>25</v>
      </c>
      <c r="E44">
        <v>78</v>
      </c>
      <c r="F44">
        <v>4.1189999999999997E-2</v>
      </c>
      <c r="G44">
        <v>0</v>
      </c>
      <c r="H44" t="str">
        <f t="shared" si="0"/>
        <v>70-79</v>
      </c>
      <c r="I44" t="str">
        <f t="shared" si="1"/>
        <v>20-29</v>
      </c>
      <c r="J44">
        <f t="shared" si="2"/>
        <v>4.1189999999999997E-2</v>
      </c>
    </row>
    <row r="45" spans="1:10">
      <c r="A45" t="s">
        <v>127</v>
      </c>
      <c r="B45">
        <v>55</v>
      </c>
      <c r="C45" t="s">
        <v>9</v>
      </c>
      <c r="D45">
        <v>6</v>
      </c>
      <c r="E45">
        <v>60</v>
      </c>
      <c r="F45">
        <v>5.0899999999999999E-3</v>
      </c>
      <c r="G45">
        <v>0</v>
      </c>
      <c r="H45" t="str">
        <f t="shared" si="0"/>
        <v>60-69</v>
      </c>
      <c r="I45" t="str">
        <f t="shared" si="1"/>
        <v>0-9</v>
      </c>
      <c r="J45">
        <f t="shared" si="2"/>
        <v>5.0899999999999999E-3</v>
      </c>
    </row>
    <row r="46" spans="1:10">
      <c r="A46" t="s">
        <v>128</v>
      </c>
      <c r="B46">
        <v>47</v>
      </c>
      <c r="C46" t="s">
        <v>7</v>
      </c>
      <c r="D46">
        <v>7</v>
      </c>
      <c r="E46">
        <v>53</v>
      </c>
      <c r="F46">
        <v>1.75E-3</v>
      </c>
      <c r="G46">
        <v>0</v>
      </c>
      <c r="H46" t="str">
        <f t="shared" si="0"/>
        <v>50-59</v>
      </c>
      <c r="I46" t="str">
        <f t="shared" si="1"/>
        <v>0-9</v>
      </c>
      <c r="J46">
        <f t="shared" si="2"/>
        <v>1.75E-3</v>
      </c>
    </row>
    <row r="47" spans="1:10">
      <c r="A47" t="s">
        <v>129</v>
      </c>
      <c r="B47">
        <v>64</v>
      </c>
      <c r="C47" t="s">
        <v>7</v>
      </c>
      <c r="D47">
        <v>7</v>
      </c>
      <c r="E47">
        <v>70</v>
      </c>
      <c r="F47">
        <v>8.2500000000000004E-3</v>
      </c>
      <c r="G47">
        <v>0</v>
      </c>
      <c r="H47" t="str">
        <f t="shared" si="0"/>
        <v>70-79</v>
      </c>
      <c r="I47" t="str">
        <f t="shared" si="1"/>
        <v>0-9</v>
      </c>
      <c r="J47">
        <f t="shared" si="2"/>
        <v>8.2500000000000004E-3</v>
      </c>
    </row>
    <row r="48" spans="1:10">
      <c r="A48" t="s">
        <v>130</v>
      </c>
      <c r="B48">
        <v>62</v>
      </c>
      <c r="C48" t="s">
        <v>9</v>
      </c>
      <c r="D48">
        <v>21</v>
      </c>
      <c r="E48">
        <v>82</v>
      </c>
      <c r="F48">
        <v>6.3329999999999997E-2</v>
      </c>
      <c r="G48">
        <v>0</v>
      </c>
      <c r="H48" t="str">
        <f t="shared" si="0"/>
        <v>80-89</v>
      </c>
      <c r="I48" t="str">
        <f t="shared" si="1"/>
        <v>20-29</v>
      </c>
      <c r="J48">
        <f t="shared" si="2"/>
        <v>6.3329999999999997E-2</v>
      </c>
    </row>
    <row r="49" spans="1:10">
      <c r="A49" t="s">
        <v>131</v>
      </c>
      <c r="B49">
        <v>48</v>
      </c>
      <c r="C49" t="s">
        <v>9</v>
      </c>
      <c r="D49">
        <v>4</v>
      </c>
      <c r="E49">
        <v>51</v>
      </c>
      <c r="F49">
        <v>1.75E-3</v>
      </c>
      <c r="G49">
        <v>0</v>
      </c>
      <c r="H49" t="str">
        <f t="shared" si="0"/>
        <v>50-59</v>
      </c>
      <c r="I49" t="str">
        <f t="shared" si="1"/>
        <v>0-9</v>
      </c>
      <c r="J49">
        <f t="shared" si="2"/>
        <v>1.75E-3</v>
      </c>
    </row>
    <row r="50" spans="1:10">
      <c r="A50" t="s">
        <v>132</v>
      </c>
      <c r="B50">
        <v>21</v>
      </c>
      <c r="C50" t="s">
        <v>7</v>
      </c>
      <c r="D50">
        <v>19</v>
      </c>
      <c r="E50">
        <v>39</v>
      </c>
      <c r="F50">
        <v>1.06E-3</v>
      </c>
      <c r="G50">
        <v>0</v>
      </c>
      <c r="H50" t="str">
        <f t="shared" si="0"/>
        <v>30-39</v>
      </c>
      <c r="I50" t="str">
        <f t="shared" si="1"/>
        <v>10-19</v>
      </c>
      <c r="J50">
        <f t="shared" si="2"/>
        <v>1.06E-3</v>
      </c>
    </row>
    <row r="51" spans="1:10">
      <c r="A51" t="s">
        <v>133</v>
      </c>
      <c r="B51">
        <v>20</v>
      </c>
      <c r="C51" t="s">
        <v>7</v>
      </c>
      <c r="D51">
        <v>3</v>
      </c>
      <c r="E51">
        <v>22</v>
      </c>
      <c r="F51">
        <v>2.9E-4</v>
      </c>
      <c r="G51">
        <v>0</v>
      </c>
      <c r="H51" t="str">
        <f t="shared" si="0"/>
        <v>20-29</v>
      </c>
      <c r="I51" t="str">
        <f t="shared" si="1"/>
        <v>0-9</v>
      </c>
      <c r="J51">
        <f t="shared" si="2"/>
        <v>2.9E-4</v>
      </c>
    </row>
    <row r="52" spans="1:10">
      <c r="A52" t="s">
        <v>134</v>
      </c>
      <c r="B52">
        <v>24</v>
      </c>
      <c r="C52" t="s">
        <v>9</v>
      </c>
      <c r="D52">
        <v>29</v>
      </c>
      <c r="E52">
        <v>52</v>
      </c>
      <c r="F52">
        <v>2.81E-3</v>
      </c>
      <c r="G52">
        <v>0</v>
      </c>
      <c r="H52" t="str">
        <f t="shared" si="0"/>
        <v>50-59</v>
      </c>
      <c r="I52" t="str">
        <f t="shared" si="1"/>
        <v>20-29</v>
      </c>
      <c r="J52">
        <f t="shared" si="2"/>
        <v>2.81E-3</v>
      </c>
    </row>
    <row r="53" spans="1:10">
      <c r="A53" t="s">
        <v>135</v>
      </c>
      <c r="B53">
        <v>52</v>
      </c>
      <c r="C53" t="s">
        <v>9</v>
      </c>
      <c r="D53">
        <v>8</v>
      </c>
      <c r="E53">
        <v>59</v>
      </c>
      <c r="F53">
        <v>4.9300000000000004E-3</v>
      </c>
      <c r="G53">
        <v>0</v>
      </c>
      <c r="H53" t="str">
        <f t="shared" si="0"/>
        <v>50-59</v>
      </c>
      <c r="I53" t="str">
        <f t="shared" si="1"/>
        <v>0-9</v>
      </c>
      <c r="J53">
        <f t="shared" si="2"/>
        <v>4.9300000000000004E-3</v>
      </c>
    </row>
    <row r="54" spans="1:10">
      <c r="A54" t="s">
        <v>136</v>
      </c>
      <c r="B54">
        <v>54</v>
      </c>
      <c r="C54" t="s">
        <v>7</v>
      </c>
      <c r="D54">
        <v>5</v>
      </c>
      <c r="E54">
        <v>58</v>
      </c>
      <c r="F54">
        <v>2.63E-3</v>
      </c>
      <c r="G54">
        <v>0</v>
      </c>
      <c r="H54" t="str">
        <f t="shared" si="0"/>
        <v>50-59</v>
      </c>
      <c r="I54" t="str">
        <f t="shared" si="1"/>
        <v>0-9</v>
      </c>
      <c r="J54">
        <f t="shared" si="2"/>
        <v>2.63E-3</v>
      </c>
    </row>
    <row r="55" spans="1:10">
      <c r="A55" t="s">
        <v>137</v>
      </c>
      <c r="B55">
        <v>56</v>
      </c>
      <c r="C55" t="s">
        <v>9</v>
      </c>
      <c r="D55">
        <v>16</v>
      </c>
      <c r="E55">
        <v>71</v>
      </c>
      <c r="F55">
        <v>1.8769999999999998E-2</v>
      </c>
      <c r="G55">
        <v>0</v>
      </c>
      <c r="H55" t="str">
        <f t="shared" si="0"/>
        <v>70-79</v>
      </c>
      <c r="I55" t="str">
        <f t="shared" si="1"/>
        <v>10-19</v>
      </c>
      <c r="J55">
        <f t="shared" si="2"/>
        <v>1.8769999999999998E-2</v>
      </c>
    </row>
    <row r="56" spans="1:10">
      <c r="A56" t="s">
        <v>138</v>
      </c>
      <c r="B56">
        <v>46</v>
      </c>
      <c r="C56" t="s">
        <v>9</v>
      </c>
      <c r="D56">
        <v>7</v>
      </c>
      <c r="E56">
        <v>52</v>
      </c>
      <c r="F56">
        <v>2.2399999999999998E-3</v>
      </c>
      <c r="G56">
        <v>0</v>
      </c>
      <c r="H56" t="str">
        <f t="shared" si="0"/>
        <v>50-59</v>
      </c>
      <c r="I56" t="str">
        <f t="shared" si="1"/>
        <v>0-9</v>
      </c>
      <c r="J56">
        <f t="shared" si="2"/>
        <v>2.2399999999999998E-3</v>
      </c>
    </row>
    <row r="57" spans="1:10">
      <c r="A57" t="s">
        <v>139</v>
      </c>
      <c r="B57">
        <v>42</v>
      </c>
      <c r="C57" t="s">
        <v>9</v>
      </c>
      <c r="D57">
        <v>14</v>
      </c>
      <c r="E57">
        <v>55</v>
      </c>
      <c r="F57">
        <v>3.5899999999999999E-3</v>
      </c>
      <c r="G57">
        <v>0</v>
      </c>
      <c r="H57" t="str">
        <f t="shared" si="0"/>
        <v>50-59</v>
      </c>
      <c r="I57" t="str">
        <f t="shared" si="1"/>
        <v>10-19</v>
      </c>
      <c r="J57">
        <f t="shared" si="2"/>
        <v>3.5899999999999999E-3</v>
      </c>
    </row>
    <row r="58" spans="1:10">
      <c r="A58" t="s">
        <v>140</v>
      </c>
      <c r="B58">
        <v>23</v>
      </c>
      <c r="C58" t="s">
        <v>7</v>
      </c>
      <c r="D58">
        <v>22</v>
      </c>
      <c r="E58">
        <v>44</v>
      </c>
      <c r="F58">
        <v>1.33E-3</v>
      </c>
      <c r="G58">
        <v>0</v>
      </c>
      <c r="H58" t="str">
        <f t="shared" si="0"/>
        <v>40-49</v>
      </c>
      <c r="I58" t="str">
        <f t="shared" si="1"/>
        <v>20-29</v>
      </c>
      <c r="J58">
        <f t="shared" si="2"/>
        <v>1.33E-3</v>
      </c>
    </row>
    <row r="59" spans="1:10">
      <c r="A59" t="s">
        <v>141</v>
      </c>
      <c r="B59">
        <v>23</v>
      </c>
      <c r="C59" t="s">
        <v>7</v>
      </c>
      <c r="D59">
        <v>13</v>
      </c>
      <c r="E59">
        <v>35</v>
      </c>
      <c r="F59">
        <v>5.5000000000000003E-4</v>
      </c>
      <c r="G59">
        <v>0</v>
      </c>
      <c r="H59" t="str">
        <f t="shared" si="0"/>
        <v>30-39</v>
      </c>
      <c r="I59" t="str">
        <f t="shared" si="1"/>
        <v>10-19</v>
      </c>
      <c r="J59">
        <f t="shared" si="2"/>
        <v>5.5000000000000003E-4</v>
      </c>
    </row>
    <row r="60" spans="1:10">
      <c r="A60" t="s">
        <v>142</v>
      </c>
      <c r="B60">
        <v>26</v>
      </c>
      <c r="C60" t="s">
        <v>9</v>
      </c>
      <c r="D60">
        <v>8</v>
      </c>
      <c r="E60">
        <v>33</v>
      </c>
      <c r="F60">
        <v>5.4000000000000001E-4</v>
      </c>
      <c r="G60">
        <v>0</v>
      </c>
      <c r="H60" t="str">
        <f t="shared" si="0"/>
        <v>30-39</v>
      </c>
      <c r="I60" t="str">
        <f t="shared" si="1"/>
        <v>0-9</v>
      </c>
      <c r="J60">
        <f t="shared" si="2"/>
        <v>5.4000000000000001E-4</v>
      </c>
    </row>
    <row r="61" spans="1:10">
      <c r="A61" t="s">
        <v>143</v>
      </c>
      <c r="B61">
        <v>28</v>
      </c>
      <c r="C61" t="s">
        <v>9</v>
      </c>
      <c r="D61">
        <v>14</v>
      </c>
      <c r="E61">
        <v>41</v>
      </c>
      <c r="F61">
        <v>1.2600000000000001E-3</v>
      </c>
      <c r="G61">
        <v>0</v>
      </c>
      <c r="H61" t="str">
        <f t="shared" si="0"/>
        <v>40-49</v>
      </c>
      <c r="I61" t="str">
        <f t="shared" si="1"/>
        <v>10-19</v>
      </c>
      <c r="J61">
        <f t="shared" si="2"/>
        <v>1.2600000000000001E-3</v>
      </c>
    </row>
    <row r="62" spans="1:10">
      <c r="A62" t="s">
        <v>144</v>
      </c>
      <c r="B62">
        <v>24</v>
      </c>
      <c r="C62" t="s">
        <v>7</v>
      </c>
      <c r="D62">
        <v>15</v>
      </c>
      <c r="E62">
        <v>38</v>
      </c>
      <c r="F62">
        <v>8.3000000000000001E-4</v>
      </c>
      <c r="G62">
        <v>0</v>
      </c>
      <c r="H62" t="str">
        <f t="shared" si="0"/>
        <v>30-39</v>
      </c>
      <c r="I62" t="str">
        <f t="shared" si="1"/>
        <v>10-19</v>
      </c>
      <c r="J62">
        <f t="shared" si="2"/>
        <v>8.3000000000000001E-4</v>
      </c>
    </row>
    <row r="63" spans="1:10">
      <c r="A63" t="s">
        <v>145</v>
      </c>
      <c r="B63">
        <v>26</v>
      </c>
      <c r="C63" t="s">
        <v>7</v>
      </c>
      <c r="D63">
        <v>2</v>
      </c>
      <c r="E63">
        <v>27</v>
      </c>
      <c r="F63">
        <v>1.7000000000000001E-4</v>
      </c>
      <c r="G63">
        <v>0</v>
      </c>
      <c r="H63" t="str">
        <f t="shared" si="0"/>
        <v>20-29</v>
      </c>
      <c r="I63" t="str">
        <f t="shared" si="1"/>
        <v>0-9</v>
      </c>
      <c r="J63">
        <f t="shared" si="2"/>
        <v>1.7000000000000001E-4</v>
      </c>
    </row>
    <row r="64" spans="1:10">
      <c r="A64" t="s">
        <v>146</v>
      </c>
      <c r="B64">
        <v>20</v>
      </c>
      <c r="C64" t="s">
        <v>7</v>
      </c>
      <c r="D64">
        <v>3</v>
      </c>
      <c r="E64">
        <v>22</v>
      </c>
      <c r="F64">
        <v>2.9E-4</v>
      </c>
      <c r="G64">
        <v>0</v>
      </c>
      <c r="H64" t="str">
        <f t="shared" si="0"/>
        <v>20-29</v>
      </c>
      <c r="I64" t="str">
        <f t="shared" si="1"/>
        <v>0-9</v>
      </c>
      <c r="J64">
        <f t="shared" si="2"/>
        <v>2.9E-4</v>
      </c>
    </row>
    <row r="65" spans="1:10">
      <c r="A65" t="s">
        <v>147</v>
      </c>
      <c r="B65">
        <v>30</v>
      </c>
      <c r="C65" t="s">
        <v>9</v>
      </c>
      <c r="D65">
        <v>14</v>
      </c>
      <c r="E65">
        <v>43</v>
      </c>
      <c r="F65">
        <v>1.4E-3</v>
      </c>
      <c r="G65">
        <v>0</v>
      </c>
      <c r="H65" t="str">
        <f t="shared" si="0"/>
        <v>40-49</v>
      </c>
      <c r="I65" t="str">
        <f t="shared" si="1"/>
        <v>10-19</v>
      </c>
      <c r="J65">
        <f t="shared" si="2"/>
        <v>1.4E-3</v>
      </c>
    </row>
    <row r="66" spans="1:10">
      <c r="A66" t="s">
        <v>148</v>
      </c>
      <c r="B66">
        <v>45</v>
      </c>
      <c r="C66" t="s">
        <v>9</v>
      </c>
      <c r="D66">
        <v>29</v>
      </c>
      <c r="E66">
        <v>73</v>
      </c>
      <c r="F66">
        <v>1.7160000000000002E-2</v>
      </c>
      <c r="G66">
        <v>0</v>
      </c>
      <c r="H66" t="str">
        <f t="shared" si="0"/>
        <v>70-79</v>
      </c>
      <c r="I66" t="str">
        <f t="shared" si="1"/>
        <v>20-29</v>
      </c>
      <c r="J66">
        <f t="shared" si="2"/>
        <v>1.7160000000000002E-2</v>
      </c>
    </row>
    <row r="67" spans="1:10">
      <c r="A67" t="s">
        <v>149</v>
      </c>
      <c r="B67">
        <v>44</v>
      </c>
      <c r="C67" t="s">
        <v>7</v>
      </c>
      <c r="D67">
        <v>9</v>
      </c>
      <c r="E67">
        <v>52</v>
      </c>
      <c r="F67">
        <v>1.7899999999999999E-3</v>
      </c>
      <c r="G67">
        <v>0</v>
      </c>
      <c r="H67" t="str">
        <f t="shared" ref="H67:H130" si="3">FLOOR(E67,10) &amp; "-" &amp; FLOOR(E67,10)+9</f>
        <v>50-59</v>
      </c>
      <c r="I67" t="str">
        <f t="shared" ref="I67:I130" si="4">FLOOR(D67, 10) &amp; "-"&amp;FLOOR(D67, 10)+9</f>
        <v>0-9</v>
      </c>
      <c r="J67">
        <f t="shared" ref="J67:J130" si="5">F67</f>
        <v>1.7899999999999999E-3</v>
      </c>
    </row>
    <row r="68" spans="1:10">
      <c r="A68" t="s">
        <v>150</v>
      </c>
      <c r="B68">
        <v>38</v>
      </c>
      <c r="C68" t="s">
        <v>7</v>
      </c>
      <c r="D68">
        <v>14</v>
      </c>
      <c r="E68">
        <v>51</v>
      </c>
      <c r="F68">
        <v>1.92E-3</v>
      </c>
      <c r="G68">
        <v>0</v>
      </c>
      <c r="H68" t="str">
        <f t="shared" si="3"/>
        <v>50-59</v>
      </c>
      <c r="I68" t="str">
        <f t="shared" si="4"/>
        <v>10-19</v>
      </c>
      <c r="J68">
        <f t="shared" si="5"/>
        <v>1.92E-3</v>
      </c>
    </row>
    <row r="69" spans="1:10">
      <c r="A69" t="s">
        <v>151</v>
      </c>
      <c r="B69">
        <v>55</v>
      </c>
      <c r="C69" t="s">
        <v>7</v>
      </c>
      <c r="D69">
        <v>22</v>
      </c>
      <c r="E69">
        <v>76</v>
      </c>
      <c r="F69">
        <v>2.58E-2</v>
      </c>
      <c r="G69">
        <v>0</v>
      </c>
      <c r="H69" t="str">
        <f t="shared" si="3"/>
        <v>70-79</v>
      </c>
      <c r="I69" t="str">
        <f t="shared" si="4"/>
        <v>20-29</v>
      </c>
      <c r="J69">
        <f t="shared" si="5"/>
        <v>2.58E-2</v>
      </c>
    </row>
    <row r="70" spans="1:10">
      <c r="A70" t="s">
        <v>152</v>
      </c>
      <c r="B70">
        <v>38</v>
      </c>
      <c r="C70" t="s">
        <v>7</v>
      </c>
      <c r="D70">
        <v>7</v>
      </c>
      <c r="E70">
        <v>44</v>
      </c>
      <c r="F70">
        <v>8.0000000000000004E-4</v>
      </c>
      <c r="G70">
        <v>0</v>
      </c>
      <c r="H70" t="str">
        <f t="shared" si="3"/>
        <v>40-49</v>
      </c>
      <c r="I70" t="str">
        <f t="shared" si="4"/>
        <v>0-9</v>
      </c>
      <c r="J70">
        <f t="shared" si="5"/>
        <v>8.0000000000000004E-4</v>
      </c>
    </row>
    <row r="71" spans="1:10">
      <c r="A71" t="s">
        <v>153</v>
      </c>
      <c r="B71">
        <v>54</v>
      </c>
      <c r="C71" t="s">
        <v>7</v>
      </c>
      <c r="D71">
        <v>2</v>
      </c>
      <c r="E71">
        <v>55</v>
      </c>
      <c r="F71">
        <v>1.2199999999999999E-3</v>
      </c>
      <c r="G71">
        <v>0</v>
      </c>
      <c r="H71" t="str">
        <f t="shared" si="3"/>
        <v>50-59</v>
      </c>
      <c r="I71" t="str">
        <f t="shared" si="4"/>
        <v>0-9</v>
      </c>
      <c r="J71">
        <f t="shared" si="5"/>
        <v>1.2199999999999999E-3</v>
      </c>
    </row>
    <row r="72" spans="1:10">
      <c r="A72" t="s">
        <v>154</v>
      </c>
      <c r="B72">
        <v>57</v>
      </c>
      <c r="C72" t="s">
        <v>7</v>
      </c>
      <c r="D72">
        <v>16</v>
      </c>
      <c r="E72">
        <v>72</v>
      </c>
      <c r="F72">
        <v>1.5219999999999999E-2</v>
      </c>
      <c r="G72">
        <v>0</v>
      </c>
      <c r="H72" t="str">
        <f t="shared" si="3"/>
        <v>70-79</v>
      </c>
      <c r="I72" t="str">
        <f t="shared" si="4"/>
        <v>10-19</v>
      </c>
      <c r="J72">
        <f t="shared" si="5"/>
        <v>1.5219999999999999E-2</v>
      </c>
    </row>
    <row r="73" spans="1:10">
      <c r="A73" t="s">
        <v>155</v>
      </c>
      <c r="B73">
        <v>30</v>
      </c>
      <c r="C73" t="s">
        <v>7</v>
      </c>
      <c r="D73">
        <v>2</v>
      </c>
      <c r="E73">
        <v>31</v>
      </c>
      <c r="F73">
        <v>1.8000000000000001E-4</v>
      </c>
      <c r="G73">
        <v>0</v>
      </c>
      <c r="H73" t="str">
        <f t="shared" si="3"/>
        <v>30-39</v>
      </c>
      <c r="I73" t="str">
        <f t="shared" si="4"/>
        <v>0-9</v>
      </c>
      <c r="J73">
        <f t="shared" si="5"/>
        <v>1.8000000000000001E-4</v>
      </c>
    </row>
    <row r="74" spans="1:10">
      <c r="A74" t="s">
        <v>156</v>
      </c>
      <c r="B74">
        <v>31</v>
      </c>
      <c r="C74" t="s">
        <v>7</v>
      </c>
      <c r="D74">
        <v>3</v>
      </c>
      <c r="E74">
        <v>33</v>
      </c>
      <c r="F74">
        <v>2.3000000000000001E-4</v>
      </c>
      <c r="G74">
        <v>0</v>
      </c>
      <c r="H74" t="str">
        <f t="shared" si="3"/>
        <v>30-39</v>
      </c>
      <c r="I74" t="str">
        <f t="shared" si="4"/>
        <v>0-9</v>
      </c>
      <c r="J74">
        <f t="shared" si="5"/>
        <v>2.3000000000000001E-4</v>
      </c>
    </row>
    <row r="75" spans="1:10">
      <c r="A75" t="s">
        <v>157</v>
      </c>
      <c r="B75">
        <v>35</v>
      </c>
      <c r="C75" t="s">
        <v>9</v>
      </c>
      <c r="D75">
        <v>13</v>
      </c>
      <c r="E75">
        <v>47</v>
      </c>
      <c r="F75">
        <v>1.6900000000000001E-3</v>
      </c>
      <c r="G75">
        <v>0</v>
      </c>
      <c r="H75" t="str">
        <f t="shared" si="3"/>
        <v>40-49</v>
      </c>
      <c r="I75" t="str">
        <f t="shared" si="4"/>
        <v>10-19</v>
      </c>
      <c r="J75">
        <f t="shared" si="5"/>
        <v>1.6900000000000001E-3</v>
      </c>
    </row>
    <row r="76" spans="1:10">
      <c r="A76" t="s">
        <v>158</v>
      </c>
      <c r="B76">
        <v>35</v>
      </c>
      <c r="C76" t="s">
        <v>7</v>
      </c>
      <c r="D76">
        <v>19</v>
      </c>
      <c r="E76">
        <v>53</v>
      </c>
      <c r="F76">
        <v>2.4399999999999999E-3</v>
      </c>
      <c r="G76">
        <v>0</v>
      </c>
      <c r="H76" t="str">
        <f t="shared" si="3"/>
        <v>50-59</v>
      </c>
      <c r="I76" t="str">
        <f t="shared" si="4"/>
        <v>10-19</v>
      </c>
      <c r="J76">
        <f t="shared" si="5"/>
        <v>2.4399999999999999E-3</v>
      </c>
    </row>
    <row r="77" spans="1:10">
      <c r="A77" t="s">
        <v>159</v>
      </c>
      <c r="B77">
        <v>46</v>
      </c>
      <c r="C77" t="s">
        <v>7</v>
      </c>
      <c r="D77">
        <v>22</v>
      </c>
      <c r="E77">
        <v>67</v>
      </c>
      <c r="F77">
        <v>1.027E-2</v>
      </c>
      <c r="G77">
        <v>0</v>
      </c>
      <c r="H77" t="str">
        <f t="shared" si="3"/>
        <v>60-69</v>
      </c>
      <c r="I77" t="str">
        <f t="shared" si="4"/>
        <v>20-29</v>
      </c>
      <c r="J77">
        <f t="shared" si="5"/>
        <v>1.027E-2</v>
      </c>
    </row>
    <row r="78" spans="1:10">
      <c r="A78" t="s">
        <v>160</v>
      </c>
      <c r="B78">
        <v>36</v>
      </c>
      <c r="C78" t="s">
        <v>7</v>
      </c>
      <c r="D78">
        <v>7</v>
      </c>
      <c r="E78">
        <v>42</v>
      </c>
      <c r="F78">
        <v>7.2999999999999996E-4</v>
      </c>
      <c r="G78">
        <v>0</v>
      </c>
      <c r="H78" t="str">
        <f t="shared" si="3"/>
        <v>40-49</v>
      </c>
      <c r="I78" t="str">
        <f t="shared" si="4"/>
        <v>0-9</v>
      </c>
      <c r="J78">
        <f t="shared" si="5"/>
        <v>7.2999999999999996E-4</v>
      </c>
    </row>
    <row r="79" spans="1:10">
      <c r="A79" t="s">
        <v>161</v>
      </c>
      <c r="B79">
        <v>36</v>
      </c>
      <c r="C79" t="s">
        <v>9</v>
      </c>
      <c r="D79">
        <v>13</v>
      </c>
      <c r="E79">
        <v>48</v>
      </c>
      <c r="F79">
        <v>1.8400000000000001E-3</v>
      </c>
      <c r="G79">
        <v>0</v>
      </c>
      <c r="H79" t="str">
        <f t="shared" si="3"/>
        <v>40-49</v>
      </c>
      <c r="I79" t="str">
        <f t="shared" si="4"/>
        <v>10-19</v>
      </c>
      <c r="J79">
        <f t="shared" si="5"/>
        <v>1.8400000000000001E-3</v>
      </c>
    </row>
    <row r="80" spans="1:10">
      <c r="A80" t="s">
        <v>162</v>
      </c>
      <c r="B80">
        <v>49</v>
      </c>
      <c r="C80" t="s">
        <v>7</v>
      </c>
      <c r="D80">
        <v>11</v>
      </c>
      <c r="E80">
        <v>59</v>
      </c>
      <c r="F80">
        <v>3.6099999999999999E-3</v>
      </c>
      <c r="G80">
        <v>0</v>
      </c>
      <c r="H80" t="str">
        <f t="shared" si="3"/>
        <v>50-59</v>
      </c>
      <c r="I80" t="str">
        <f t="shared" si="4"/>
        <v>10-19</v>
      </c>
      <c r="J80">
        <f t="shared" si="5"/>
        <v>3.6099999999999999E-3</v>
      </c>
    </row>
    <row r="81" spans="1:10">
      <c r="A81" t="s">
        <v>163</v>
      </c>
      <c r="B81">
        <v>20</v>
      </c>
      <c r="C81" t="s">
        <v>7</v>
      </c>
      <c r="D81">
        <v>15</v>
      </c>
      <c r="E81">
        <v>34</v>
      </c>
      <c r="F81">
        <v>5.8E-4</v>
      </c>
      <c r="G81">
        <v>0</v>
      </c>
      <c r="H81" t="str">
        <f t="shared" si="3"/>
        <v>30-39</v>
      </c>
      <c r="I81" t="str">
        <f t="shared" si="4"/>
        <v>10-19</v>
      </c>
      <c r="J81">
        <f t="shared" si="5"/>
        <v>5.8E-4</v>
      </c>
    </row>
    <row r="82" spans="1:10">
      <c r="A82" t="s">
        <v>164</v>
      </c>
      <c r="B82">
        <v>26</v>
      </c>
      <c r="C82" t="s">
        <v>7</v>
      </c>
      <c r="D82">
        <v>3</v>
      </c>
      <c r="E82">
        <v>28</v>
      </c>
      <c r="F82">
        <v>1.9000000000000001E-4</v>
      </c>
      <c r="G82">
        <v>0</v>
      </c>
      <c r="H82" t="str">
        <f t="shared" si="3"/>
        <v>20-29</v>
      </c>
      <c r="I82" t="str">
        <f t="shared" si="4"/>
        <v>0-9</v>
      </c>
      <c r="J82">
        <f t="shared" si="5"/>
        <v>1.9000000000000001E-4</v>
      </c>
    </row>
    <row r="83" spans="1:10">
      <c r="A83" t="s">
        <v>165</v>
      </c>
      <c r="B83">
        <v>28</v>
      </c>
      <c r="C83" t="s">
        <v>9</v>
      </c>
      <c r="D83">
        <v>30</v>
      </c>
      <c r="E83">
        <v>57</v>
      </c>
      <c r="F83">
        <v>3.5000000000000001E-3</v>
      </c>
      <c r="G83">
        <v>0</v>
      </c>
      <c r="H83" t="str">
        <f t="shared" si="3"/>
        <v>50-59</v>
      </c>
      <c r="I83" t="str">
        <f t="shared" si="4"/>
        <v>30-39</v>
      </c>
      <c r="J83">
        <f t="shared" si="5"/>
        <v>3.5000000000000001E-3</v>
      </c>
    </row>
    <row r="84" spans="1:10">
      <c r="A84" t="s">
        <v>166</v>
      </c>
      <c r="B84">
        <v>35</v>
      </c>
      <c r="C84" t="s">
        <v>9</v>
      </c>
      <c r="D84">
        <v>12</v>
      </c>
      <c r="E84">
        <v>46</v>
      </c>
      <c r="F84">
        <v>1.5E-3</v>
      </c>
      <c r="G84">
        <v>0</v>
      </c>
      <c r="H84" t="str">
        <f t="shared" si="3"/>
        <v>40-49</v>
      </c>
      <c r="I84" t="str">
        <f t="shared" si="4"/>
        <v>10-19</v>
      </c>
      <c r="J84">
        <f t="shared" si="5"/>
        <v>1.5E-3</v>
      </c>
    </row>
    <row r="85" spans="1:10">
      <c r="A85" t="s">
        <v>167</v>
      </c>
      <c r="B85">
        <v>54</v>
      </c>
      <c r="C85" t="s">
        <v>9</v>
      </c>
      <c r="D85">
        <v>23</v>
      </c>
      <c r="E85">
        <v>76</v>
      </c>
      <c r="F85">
        <v>3.32E-2</v>
      </c>
      <c r="G85">
        <v>0</v>
      </c>
      <c r="H85" t="str">
        <f t="shared" si="3"/>
        <v>70-79</v>
      </c>
      <c r="I85" t="str">
        <f t="shared" si="4"/>
        <v>20-29</v>
      </c>
      <c r="J85">
        <f t="shared" si="5"/>
        <v>3.32E-2</v>
      </c>
    </row>
    <row r="86" spans="1:10">
      <c r="A86" t="s">
        <v>168</v>
      </c>
      <c r="B86">
        <v>61</v>
      </c>
      <c r="C86" t="s">
        <v>9</v>
      </c>
      <c r="D86">
        <v>17</v>
      </c>
      <c r="E86">
        <v>77</v>
      </c>
      <c r="F86">
        <v>3.5990000000000001E-2</v>
      </c>
      <c r="G86">
        <v>0</v>
      </c>
      <c r="H86" t="str">
        <f t="shared" si="3"/>
        <v>70-79</v>
      </c>
      <c r="I86" t="str">
        <f t="shared" si="4"/>
        <v>10-19</v>
      </c>
      <c r="J86">
        <f t="shared" si="5"/>
        <v>3.5990000000000001E-2</v>
      </c>
    </row>
    <row r="87" spans="1:10">
      <c r="A87" t="s">
        <v>169</v>
      </c>
      <c r="B87">
        <v>39</v>
      </c>
      <c r="C87" t="s">
        <v>7</v>
      </c>
      <c r="D87">
        <v>30</v>
      </c>
      <c r="E87">
        <v>68</v>
      </c>
      <c r="F87">
        <v>7.4700000000000001E-3</v>
      </c>
      <c r="G87">
        <v>0</v>
      </c>
      <c r="H87" t="str">
        <f t="shared" si="3"/>
        <v>60-69</v>
      </c>
      <c r="I87" t="str">
        <f t="shared" si="4"/>
        <v>30-39</v>
      </c>
      <c r="J87">
        <f t="shared" si="5"/>
        <v>7.4700000000000001E-3</v>
      </c>
    </row>
    <row r="88" spans="1:10">
      <c r="A88" t="s">
        <v>170</v>
      </c>
      <c r="B88">
        <v>28</v>
      </c>
      <c r="C88" t="s">
        <v>9</v>
      </c>
      <c r="D88">
        <v>9</v>
      </c>
      <c r="E88">
        <v>36</v>
      </c>
      <c r="F88">
        <v>6.4999999999999997E-4</v>
      </c>
      <c r="G88">
        <v>0</v>
      </c>
      <c r="H88" t="str">
        <f t="shared" si="3"/>
        <v>30-39</v>
      </c>
      <c r="I88" t="str">
        <f t="shared" si="4"/>
        <v>0-9</v>
      </c>
      <c r="J88">
        <f t="shared" si="5"/>
        <v>6.4999999999999997E-4</v>
      </c>
    </row>
    <row r="89" spans="1:10">
      <c r="A89" t="s">
        <v>171</v>
      </c>
      <c r="B89">
        <v>55</v>
      </c>
      <c r="C89" t="s">
        <v>9</v>
      </c>
      <c r="D89">
        <v>5</v>
      </c>
      <c r="E89">
        <v>59</v>
      </c>
      <c r="F89">
        <v>4.4799999999999996E-3</v>
      </c>
      <c r="G89">
        <v>0</v>
      </c>
      <c r="H89" t="str">
        <f t="shared" si="3"/>
        <v>50-59</v>
      </c>
      <c r="I89" t="str">
        <f t="shared" si="4"/>
        <v>0-9</v>
      </c>
      <c r="J89">
        <f t="shared" si="5"/>
        <v>4.4799999999999996E-3</v>
      </c>
    </row>
    <row r="90" spans="1:10">
      <c r="A90" t="s">
        <v>172</v>
      </c>
      <c r="B90">
        <v>65</v>
      </c>
      <c r="C90" t="s">
        <v>9</v>
      </c>
      <c r="D90">
        <v>11</v>
      </c>
      <c r="E90">
        <v>75</v>
      </c>
      <c r="F90">
        <v>2.2440000000000002E-2</v>
      </c>
      <c r="G90">
        <v>0</v>
      </c>
      <c r="H90" t="str">
        <f t="shared" si="3"/>
        <v>70-79</v>
      </c>
      <c r="I90" t="str">
        <f t="shared" si="4"/>
        <v>10-19</v>
      </c>
      <c r="J90">
        <f t="shared" si="5"/>
        <v>2.2440000000000002E-2</v>
      </c>
    </row>
    <row r="91" spans="1:10">
      <c r="A91" t="s">
        <v>173</v>
      </c>
      <c r="B91">
        <v>36</v>
      </c>
      <c r="C91" t="s">
        <v>9</v>
      </c>
      <c r="D91">
        <v>17</v>
      </c>
      <c r="E91">
        <v>52</v>
      </c>
      <c r="F91">
        <v>2.8700000000000002E-3</v>
      </c>
      <c r="G91">
        <v>0</v>
      </c>
      <c r="H91" t="str">
        <f t="shared" si="3"/>
        <v>50-59</v>
      </c>
      <c r="I91" t="str">
        <f t="shared" si="4"/>
        <v>10-19</v>
      </c>
      <c r="J91">
        <f t="shared" si="5"/>
        <v>2.8700000000000002E-3</v>
      </c>
    </row>
    <row r="92" spans="1:10">
      <c r="A92" t="s">
        <v>174</v>
      </c>
      <c r="B92">
        <v>23</v>
      </c>
      <c r="C92" t="s">
        <v>7</v>
      </c>
      <c r="D92">
        <v>3</v>
      </c>
      <c r="E92">
        <v>25</v>
      </c>
      <c r="F92">
        <v>2.5000000000000001E-4</v>
      </c>
      <c r="G92">
        <v>0</v>
      </c>
      <c r="H92" t="str">
        <f t="shared" si="3"/>
        <v>20-29</v>
      </c>
      <c r="I92" t="str">
        <f t="shared" si="4"/>
        <v>0-9</v>
      </c>
      <c r="J92">
        <f t="shared" si="5"/>
        <v>2.5000000000000001E-4</v>
      </c>
    </row>
    <row r="93" spans="1:10">
      <c r="A93" t="s">
        <v>175</v>
      </c>
      <c r="B93">
        <v>22</v>
      </c>
      <c r="C93" t="s">
        <v>9</v>
      </c>
      <c r="D93">
        <v>1</v>
      </c>
      <c r="E93">
        <v>22</v>
      </c>
      <c r="F93">
        <v>5.8E-4</v>
      </c>
      <c r="G93">
        <v>0</v>
      </c>
      <c r="H93" t="str">
        <f t="shared" si="3"/>
        <v>20-29</v>
      </c>
      <c r="I93" t="str">
        <f t="shared" si="4"/>
        <v>0-9</v>
      </c>
      <c r="J93">
        <f t="shared" si="5"/>
        <v>5.8E-4</v>
      </c>
    </row>
    <row r="94" spans="1:10">
      <c r="A94" t="s">
        <v>176</v>
      </c>
      <c r="B94">
        <v>36</v>
      </c>
      <c r="C94" t="s">
        <v>7</v>
      </c>
      <c r="D94">
        <v>6</v>
      </c>
      <c r="E94">
        <v>41</v>
      </c>
      <c r="F94">
        <v>6.4999999999999997E-4</v>
      </c>
      <c r="G94">
        <v>0</v>
      </c>
      <c r="H94" t="str">
        <f t="shared" si="3"/>
        <v>40-49</v>
      </c>
      <c r="I94" t="str">
        <f t="shared" si="4"/>
        <v>0-9</v>
      </c>
      <c r="J94">
        <f t="shared" si="5"/>
        <v>6.4999999999999997E-4</v>
      </c>
    </row>
    <row r="95" spans="1:10">
      <c r="A95" t="s">
        <v>177</v>
      </c>
      <c r="B95">
        <v>47</v>
      </c>
      <c r="C95" t="s">
        <v>9</v>
      </c>
      <c r="D95">
        <v>18</v>
      </c>
      <c r="E95">
        <v>64</v>
      </c>
      <c r="F95">
        <v>9.2899999999999996E-3</v>
      </c>
      <c r="G95">
        <v>0</v>
      </c>
      <c r="H95" t="str">
        <f t="shared" si="3"/>
        <v>60-69</v>
      </c>
      <c r="I95" t="str">
        <f t="shared" si="4"/>
        <v>10-19</v>
      </c>
      <c r="J95">
        <f t="shared" si="5"/>
        <v>9.2899999999999996E-3</v>
      </c>
    </row>
    <row r="96" spans="1:10">
      <c r="A96" t="s">
        <v>178</v>
      </c>
      <c r="B96">
        <v>64</v>
      </c>
      <c r="C96" t="s">
        <v>9</v>
      </c>
      <c r="D96">
        <v>29</v>
      </c>
      <c r="E96">
        <v>92</v>
      </c>
      <c r="F96">
        <v>0.14893999999999999</v>
      </c>
      <c r="G96">
        <v>1</v>
      </c>
      <c r="H96" t="str">
        <f t="shared" si="3"/>
        <v>90-99</v>
      </c>
      <c r="I96" t="str">
        <f t="shared" si="4"/>
        <v>20-29</v>
      </c>
      <c r="J96">
        <f t="shared" si="5"/>
        <v>0.14893999999999999</v>
      </c>
    </row>
    <row r="97" spans="1:10">
      <c r="A97" t="s">
        <v>179</v>
      </c>
      <c r="B97">
        <v>43</v>
      </c>
      <c r="C97" t="s">
        <v>7</v>
      </c>
      <c r="D97">
        <v>19</v>
      </c>
      <c r="E97">
        <v>61</v>
      </c>
      <c r="F97">
        <v>5.3099999999999996E-3</v>
      </c>
      <c r="G97">
        <v>0</v>
      </c>
      <c r="H97" t="str">
        <f t="shared" si="3"/>
        <v>60-69</v>
      </c>
      <c r="I97" t="str">
        <f t="shared" si="4"/>
        <v>10-19</v>
      </c>
      <c r="J97">
        <f t="shared" si="5"/>
        <v>5.3099999999999996E-3</v>
      </c>
    </row>
    <row r="98" spans="1:10">
      <c r="A98" t="s">
        <v>180</v>
      </c>
      <c r="B98">
        <v>22</v>
      </c>
      <c r="C98" t="s">
        <v>9</v>
      </c>
      <c r="D98">
        <v>10</v>
      </c>
      <c r="E98">
        <v>31</v>
      </c>
      <c r="F98">
        <v>6.4000000000000005E-4</v>
      </c>
      <c r="G98">
        <v>0</v>
      </c>
      <c r="H98" t="str">
        <f t="shared" si="3"/>
        <v>30-39</v>
      </c>
      <c r="I98" t="str">
        <f t="shared" si="4"/>
        <v>10-19</v>
      </c>
      <c r="J98">
        <f t="shared" si="5"/>
        <v>6.4000000000000005E-4</v>
      </c>
    </row>
    <row r="99" spans="1:10">
      <c r="A99" t="s">
        <v>181</v>
      </c>
      <c r="B99">
        <v>22</v>
      </c>
      <c r="C99" t="s">
        <v>9</v>
      </c>
      <c r="D99">
        <v>29</v>
      </c>
      <c r="E99">
        <v>50</v>
      </c>
      <c r="F99">
        <v>2.6700000000000001E-3</v>
      </c>
      <c r="G99">
        <v>0</v>
      </c>
      <c r="H99" t="str">
        <f t="shared" si="3"/>
        <v>50-59</v>
      </c>
      <c r="I99" t="str">
        <f t="shared" si="4"/>
        <v>20-29</v>
      </c>
      <c r="J99">
        <f t="shared" si="5"/>
        <v>2.6700000000000001E-3</v>
      </c>
    </row>
    <row r="100" spans="1:10">
      <c r="A100" t="s">
        <v>182</v>
      </c>
      <c r="B100">
        <v>62</v>
      </c>
      <c r="C100" t="s">
        <v>9</v>
      </c>
      <c r="D100">
        <v>4</v>
      </c>
      <c r="E100">
        <v>65</v>
      </c>
      <c r="F100">
        <v>6.5799999999999999E-3</v>
      </c>
      <c r="G100">
        <v>0</v>
      </c>
      <c r="H100" t="str">
        <f t="shared" si="3"/>
        <v>60-69</v>
      </c>
      <c r="I100" t="str">
        <f t="shared" si="4"/>
        <v>0-9</v>
      </c>
      <c r="J100">
        <f t="shared" si="5"/>
        <v>6.5799999999999999E-3</v>
      </c>
    </row>
    <row r="101" spans="1:10">
      <c r="A101" t="s">
        <v>183</v>
      </c>
      <c r="B101">
        <v>46</v>
      </c>
      <c r="C101" t="s">
        <v>7</v>
      </c>
      <c r="D101">
        <v>20</v>
      </c>
      <c r="E101">
        <v>65</v>
      </c>
      <c r="F101">
        <v>8.2000000000000007E-3</v>
      </c>
      <c r="G101">
        <v>0</v>
      </c>
      <c r="H101" t="str">
        <f t="shared" si="3"/>
        <v>60-69</v>
      </c>
      <c r="I101" t="str">
        <f t="shared" si="4"/>
        <v>20-29</v>
      </c>
      <c r="J101">
        <f t="shared" si="5"/>
        <v>8.2000000000000007E-3</v>
      </c>
    </row>
    <row r="102" spans="1:10">
      <c r="A102" t="s">
        <v>184</v>
      </c>
      <c r="B102">
        <v>35</v>
      </c>
      <c r="C102" t="s">
        <v>9</v>
      </c>
      <c r="D102">
        <v>28</v>
      </c>
      <c r="E102">
        <v>62</v>
      </c>
      <c r="F102">
        <v>6.3299999999999997E-3</v>
      </c>
      <c r="G102">
        <v>0</v>
      </c>
      <c r="H102" t="str">
        <f t="shared" si="3"/>
        <v>60-69</v>
      </c>
      <c r="I102" t="str">
        <f t="shared" si="4"/>
        <v>20-29</v>
      </c>
      <c r="J102">
        <f t="shared" si="5"/>
        <v>6.3299999999999997E-3</v>
      </c>
    </row>
    <row r="103" spans="1:10">
      <c r="A103" t="s">
        <v>185</v>
      </c>
      <c r="B103">
        <v>31</v>
      </c>
      <c r="C103" t="s">
        <v>9</v>
      </c>
      <c r="D103">
        <v>29</v>
      </c>
      <c r="E103">
        <v>59</v>
      </c>
      <c r="F103">
        <v>4.3899999999999998E-3</v>
      </c>
      <c r="G103">
        <v>0</v>
      </c>
      <c r="H103" t="str">
        <f t="shared" si="3"/>
        <v>50-59</v>
      </c>
      <c r="I103" t="str">
        <f t="shared" si="4"/>
        <v>20-29</v>
      </c>
      <c r="J103">
        <f t="shared" si="5"/>
        <v>4.3899999999999998E-3</v>
      </c>
    </row>
    <row r="104" spans="1:10">
      <c r="A104" t="s">
        <v>186</v>
      </c>
      <c r="B104">
        <v>41</v>
      </c>
      <c r="C104" t="s">
        <v>7</v>
      </c>
      <c r="D104">
        <v>26</v>
      </c>
      <c r="E104">
        <v>66</v>
      </c>
      <c r="F104">
        <v>9.2399999999999999E-3</v>
      </c>
      <c r="G104">
        <v>0</v>
      </c>
      <c r="H104" t="str">
        <f t="shared" si="3"/>
        <v>60-69</v>
      </c>
      <c r="I104" t="str">
        <f t="shared" si="4"/>
        <v>20-29</v>
      </c>
      <c r="J104">
        <f t="shared" si="5"/>
        <v>9.2399999999999999E-3</v>
      </c>
    </row>
    <row r="105" spans="1:10">
      <c r="A105" t="s">
        <v>187</v>
      </c>
      <c r="B105">
        <v>35</v>
      </c>
      <c r="C105" t="s">
        <v>9</v>
      </c>
      <c r="D105">
        <v>9</v>
      </c>
      <c r="E105">
        <v>43</v>
      </c>
      <c r="F105">
        <v>1.16E-3</v>
      </c>
      <c r="G105">
        <v>0</v>
      </c>
      <c r="H105" t="str">
        <f t="shared" si="3"/>
        <v>40-49</v>
      </c>
      <c r="I105" t="str">
        <f t="shared" si="4"/>
        <v>0-9</v>
      </c>
      <c r="J105">
        <f t="shared" si="5"/>
        <v>1.16E-3</v>
      </c>
    </row>
    <row r="106" spans="1:10">
      <c r="A106" t="s">
        <v>188</v>
      </c>
      <c r="B106">
        <v>44</v>
      </c>
      <c r="C106" t="s">
        <v>9</v>
      </c>
      <c r="D106">
        <v>28</v>
      </c>
      <c r="E106">
        <v>71</v>
      </c>
      <c r="F106">
        <v>1.553E-2</v>
      </c>
      <c r="G106">
        <v>0</v>
      </c>
      <c r="H106" t="str">
        <f t="shared" si="3"/>
        <v>70-79</v>
      </c>
      <c r="I106" t="str">
        <f t="shared" si="4"/>
        <v>20-29</v>
      </c>
      <c r="J106">
        <f t="shared" si="5"/>
        <v>1.553E-2</v>
      </c>
    </row>
    <row r="107" spans="1:10">
      <c r="A107" t="s">
        <v>189</v>
      </c>
      <c r="B107">
        <v>32</v>
      </c>
      <c r="C107" t="s">
        <v>7</v>
      </c>
      <c r="D107">
        <v>27</v>
      </c>
      <c r="E107">
        <v>58</v>
      </c>
      <c r="F107">
        <v>3.6900000000000001E-3</v>
      </c>
      <c r="G107">
        <v>0</v>
      </c>
      <c r="H107" t="str">
        <f t="shared" si="3"/>
        <v>50-59</v>
      </c>
      <c r="I107" t="str">
        <f t="shared" si="4"/>
        <v>20-29</v>
      </c>
      <c r="J107">
        <f t="shared" si="5"/>
        <v>3.6900000000000001E-3</v>
      </c>
    </row>
    <row r="108" spans="1:10">
      <c r="A108" t="s">
        <v>190</v>
      </c>
      <c r="B108">
        <v>34</v>
      </c>
      <c r="C108" t="s">
        <v>9</v>
      </c>
      <c r="D108">
        <v>8</v>
      </c>
      <c r="E108">
        <v>41</v>
      </c>
      <c r="F108">
        <v>9.3000000000000005E-4</v>
      </c>
      <c r="G108">
        <v>0</v>
      </c>
      <c r="H108" t="str">
        <f t="shared" si="3"/>
        <v>40-49</v>
      </c>
      <c r="I108" t="str">
        <f t="shared" si="4"/>
        <v>0-9</v>
      </c>
      <c r="J108">
        <f t="shared" si="5"/>
        <v>9.3000000000000005E-4</v>
      </c>
    </row>
    <row r="109" spans="1:10">
      <c r="A109" t="s">
        <v>191</v>
      </c>
      <c r="B109">
        <v>41</v>
      </c>
      <c r="C109" t="s">
        <v>7</v>
      </c>
      <c r="D109">
        <v>9</v>
      </c>
      <c r="E109">
        <v>49</v>
      </c>
      <c r="F109">
        <v>1.3500000000000001E-3</v>
      </c>
      <c r="G109">
        <v>0</v>
      </c>
      <c r="H109" t="str">
        <f t="shared" si="3"/>
        <v>40-49</v>
      </c>
      <c r="I109" t="str">
        <f t="shared" si="4"/>
        <v>0-9</v>
      </c>
      <c r="J109">
        <f t="shared" si="5"/>
        <v>1.3500000000000001E-3</v>
      </c>
    </row>
    <row r="110" spans="1:10">
      <c r="A110" t="s">
        <v>192</v>
      </c>
      <c r="B110">
        <v>37</v>
      </c>
      <c r="C110" t="s">
        <v>7</v>
      </c>
      <c r="D110">
        <v>12</v>
      </c>
      <c r="E110">
        <v>48</v>
      </c>
      <c r="F110">
        <v>1.4E-3</v>
      </c>
      <c r="G110">
        <v>0</v>
      </c>
      <c r="H110" t="str">
        <f t="shared" si="3"/>
        <v>40-49</v>
      </c>
      <c r="I110" t="str">
        <f t="shared" si="4"/>
        <v>10-19</v>
      </c>
      <c r="J110">
        <f t="shared" si="5"/>
        <v>1.4E-3</v>
      </c>
    </row>
    <row r="111" spans="1:10">
      <c r="A111" t="s">
        <v>193</v>
      </c>
      <c r="B111">
        <v>54</v>
      </c>
      <c r="C111" t="s">
        <v>7</v>
      </c>
      <c r="D111">
        <v>11</v>
      </c>
      <c r="E111">
        <v>64</v>
      </c>
      <c r="F111">
        <v>5.8700000000000002E-3</v>
      </c>
      <c r="G111">
        <v>0</v>
      </c>
      <c r="H111" t="str">
        <f t="shared" si="3"/>
        <v>60-69</v>
      </c>
      <c r="I111" t="str">
        <f t="shared" si="4"/>
        <v>10-19</v>
      </c>
      <c r="J111">
        <f t="shared" si="5"/>
        <v>5.8700000000000002E-3</v>
      </c>
    </row>
    <row r="112" spans="1:10">
      <c r="A112" t="s">
        <v>194</v>
      </c>
      <c r="B112">
        <v>36</v>
      </c>
      <c r="C112" t="s">
        <v>7</v>
      </c>
      <c r="D112">
        <v>6</v>
      </c>
      <c r="E112">
        <v>41</v>
      </c>
      <c r="F112">
        <v>6.4999999999999997E-4</v>
      </c>
      <c r="G112">
        <v>0</v>
      </c>
      <c r="H112" t="str">
        <f t="shared" si="3"/>
        <v>40-49</v>
      </c>
      <c r="I112" t="str">
        <f t="shared" si="4"/>
        <v>0-9</v>
      </c>
      <c r="J112">
        <f t="shared" si="5"/>
        <v>6.4999999999999997E-4</v>
      </c>
    </row>
    <row r="113" spans="1:10">
      <c r="A113" t="s">
        <v>195</v>
      </c>
      <c r="B113">
        <v>22</v>
      </c>
      <c r="C113" t="s">
        <v>7</v>
      </c>
      <c r="D113">
        <v>4</v>
      </c>
      <c r="E113">
        <v>25</v>
      </c>
      <c r="F113">
        <v>2.7E-4</v>
      </c>
      <c r="G113">
        <v>0</v>
      </c>
      <c r="H113" t="str">
        <f t="shared" si="3"/>
        <v>20-29</v>
      </c>
      <c r="I113" t="str">
        <f t="shared" si="4"/>
        <v>0-9</v>
      </c>
      <c r="J113">
        <f t="shared" si="5"/>
        <v>2.7E-4</v>
      </c>
    </row>
    <row r="114" spans="1:10">
      <c r="A114" t="s">
        <v>196</v>
      </c>
      <c r="B114">
        <v>40</v>
      </c>
      <c r="C114" t="s">
        <v>7</v>
      </c>
      <c r="D114">
        <v>14</v>
      </c>
      <c r="E114">
        <v>53</v>
      </c>
      <c r="F114">
        <v>2.2799999999999999E-3</v>
      </c>
      <c r="G114">
        <v>0</v>
      </c>
      <c r="H114" t="str">
        <f t="shared" si="3"/>
        <v>50-59</v>
      </c>
      <c r="I114" t="str">
        <f t="shared" si="4"/>
        <v>10-19</v>
      </c>
      <c r="J114">
        <f t="shared" si="5"/>
        <v>2.2799999999999999E-3</v>
      </c>
    </row>
    <row r="115" spans="1:10">
      <c r="A115" t="s">
        <v>197</v>
      </c>
      <c r="B115">
        <v>44</v>
      </c>
      <c r="C115" t="s">
        <v>7</v>
      </c>
      <c r="D115">
        <v>29</v>
      </c>
      <c r="E115">
        <v>72</v>
      </c>
      <c r="F115">
        <v>1.2659999999999999E-2</v>
      </c>
      <c r="G115">
        <v>0</v>
      </c>
      <c r="H115" t="str">
        <f t="shared" si="3"/>
        <v>70-79</v>
      </c>
      <c r="I115" t="str">
        <f t="shared" si="4"/>
        <v>20-29</v>
      </c>
      <c r="J115">
        <f t="shared" si="5"/>
        <v>1.2659999999999999E-2</v>
      </c>
    </row>
    <row r="116" spans="1:10">
      <c r="A116" t="s">
        <v>198</v>
      </c>
      <c r="B116">
        <v>65</v>
      </c>
      <c r="C116" t="s">
        <v>9</v>
      </c>
      <c r="D116">
        <v>14</v>
      </c>
      <c r="E116">
        <v>78</v>
      </c>
      <c r="F116">
        <v>3.4540000000000001E-2</v>
      </c>
      <c r="G116">
        <v>0</v>
      </c>
      <c r="H116" t="str">
        <f t="shared" si="3"/>
        <v>70-79</v>
      </c>
      <c r="I116" t="str">
        <f t="shared" si="4"/>
        <v>10-19</v>
      </c>
      <c r="J116">
        <f t="shared" si="5"/>
        <v>3.4540000000000001E-2</v>
      </c>
    </row>
    <row r="117" spans="1:10">
      <c r="A117" t="s">
        <v>199</v>
      </c>
      <c r="B117">
        <v>54</v>
      </c>
      <c r="C117" t="s">
        <v>7</v>
      </c>
      <c r="D117">
        <v>22</v>
      </c>
      <c r="E117">
        <v>75</v>
      </c>
      <c r="F117">
        <v>2.325E-2</v>
      </c>
      <c r="G117">
        <v>0</v>
      </c>
      <c r="H117" t="str">
        <f t="shared" si="3"/>
        <v>70-79</v>
      </c>
      <c r="I117" t="str">
        <f t="shared" si="4"/>
        <v>20-29</v>
      </c>
      <c r="J117">
        <f t="shared" si="5"/>
        <v>2.325E-2</v>
      </c>
    </row>
    <row r="118" spans="1:10">
      <c r="A118" t="s">
        <v>200</v>
      </c>
      <c r="B118">
        <v>62</v>
      </c>
      <c r="C118" t="s">
        <v>9</v>
      </c>
      <c r="D118">
        <v>7</v>
      </c>
      <c r="E118">
        <v>68</v>
      </c>
      <c r="F118">
        <v>1.0489999999999999E-2</v>
      </c>
      <c r="G118">
        <v>0</v>
      </c>
      <c r="H118" t="str">
        <f t="shared" si="3"/>
        <v>60-69</v>
      </c>
      <c r="I118" t="str">
        <f t="shared" si="4"/>
        <v>0-9</v>
      </c>
      <c r="J118">
        <f t="shared" si="5"/>
        <v>1.0489999999999999E-2</v>
      </c>
    </row>
    <row r="119" spans="1:10">
      <c r="A119" t="s">
        <v>201</v>
      </c>
      <c r="B119">
        <v>62</v>
      </c>
      <c r="C119" t="s">
        <v>9</v>
      </c>
      <c r="D119">
        <v>30</v>
      </c>
      <c r="E119">
        <v>91</v>
      </c>
      <c r="F119">
        <v>0.11724</v>
      </c>
      <c r="G119">
        <v>0</v>
      </c>
      <c r="H119" t="str">
        <f t="shared" si="3"/>
        <v>90-99</v>
      </c>
      <c r="I119" t="str">
        <f t="shared" si="4"/>
        <v>30-39</v>
      </c>
      <c r="J119">
        <f t="shared" si="5"/>
        <v>0.11724</v>
      </c>
    </row>
    <row r="120" spans="1:10">
      <c r="A120" t="s">
        <v>202</v>
      </c>
      <c r="B120">
        <v>27</v>
      </c>
      <c r="C120" t="s">
        <v>7</v>
      </c>
      <c r="D120">
        <v>24</v>
      </c>
      <c r="E120">
        <v>50</v>
      </c>
      <c r="F120">
        <v>2.0200000000000001E-3</v>
      </c>
      <c r="G120">
        <v>0</v>
      </c>
      <c r="H120" t="str">
        <f t="shared" si="3"/>
        <v>50-59</v>
      </c>
      <c r="I120" t="str">
        <f t="shared" si="4"/>
        <v>20-29</v>
      </c>
      <c r="J120">
        <f t="shared" si="5"/>
        <v>2.0200000000000001E-3</v>
      </c>
    </row>
    <row r="121" spans="1:10">
      <c r="A121" t="s">
        <v>203</v>
      </c>
      <c r="B121">
        <v>62</v>
      </c>
      <c r="C121" t="s">
        <v>9</v>
      </c>
      <c r="D121">
        <v>14</v>
      </c>
      <c r="E121">
        <v>75</v>
      </c>
      <c r="F121">
        <v>2.76E-2</v>
      </c>
      <c r="G121">
        <v>0</v>
      </c>
      <c r="H121" t="str">
        <f t="shared" si="3"/>
        <v>70-79</v>
      </c>
      <c r="I121" t="str">
        <f t="shared" si="4"/>
        <v>10-19</v>
      </c>
      <c r="J121">
        <f t="shared" si="5"/>
        <v>2.76E-2</v>
      </c>
    </row>
    <row r="122" spans="1:10">
      <c r="A122" t="s">
        <v>204</v>
      </c>
      <c r="B122">
        <v>55</v>
      </c>
      <c r="C122" t="s">
        <v>9</v>
      </c>
      <c r="D122">
        <v>5</v>
      </c>
      <c r="E122">
        <v>59</v>
      </c>
      <c r="F122">
        <v>4.4799999999999996E-3</v>
      </c>
      <c r="G122">
        <v>0</v>
      </c>
      <c r="H122" t="str">
        <f t="shared" si="3"/>
        <v>50-59</v>
      </c>
      <c r="I122" t="str">
        <f t="shared" si="4"/>
        <v>0-9</v>
      </c>
      <c r="J122">
        <f t="shared" si="5"/>
        <v>4.4799999999999996E-3</v>
      </c>
    </row>
    <row r="123" spans="1:10">
      <c r="A123" t="s">
        <v>205</v>
      </c>
      <c r="B123">
        <v>44</v>
      </c>
      <c r="C123" t="s">
        <v>7</v>
      </c>
      <c r="D123">
        <v>22</v>
      </c>
      <c r="E123">
        <v>65</v>
      </c>
      <c r="F123">
        <v>8.3099999999999997E-3</v>
      </c>
      <c r="G123">
        <v>0</v>
      </c>
      <c r="H123" t="str">
        <f t="shared" si="3"/>
        <v>60-69</v>
      </c>
      <c r="I123" t="str">
        <f t="shared" si="4"/>
        <v>20-29</v>
      </c>
      <c r="J123">
        <f t="shared" si="5"/>
        <v>8.3099999999999997E-3</v>
      </c>
    </row>
    <row r="124" spans="1:10">
      <c r="A124" t="s">
        <v>206</v>
      </c>
      <c r="B124">
        <v>56</v>
      </c>
      <c r="C124" t="s">
        <v>9</v>
      </c>
      <c r="D124">
        <v>10</v>
      </c>
      <c r="E124">
        <v>65</v>
      </c>
      <c r="F124">
        <v>9.7599999999999996E-3</v>
      </c>
      <c r="G124">
        <v>0</v>
      </c>
      <c r="H124" t="str">
        <f t="shared" si="3"/>
        <v>60-69</v>
      </c>
      <c r="I124" t="str">
        <f t="shared" si="4"/>
        <v>10-19</v>
      </c>
      <c r="J124">
        <f t="shared" si="5"/>
        <v>9.7599999999999996E-3</v>
      </c>
    </row>
    <row r="125" spans="1:10">
      <c r="A125" t="s">
        <v>207</v>
      </c>
      <c r="B125">
        <v>39</v>
      </c>
      <c r="C125" t="s">
        <v>9</v>
      </c>
      <c r="D125">
        <v>10</v>
      </c>
      <c r="E125">
        <v>48</v>
      </c>
      <c r="F125">
        <v>1.7099999999999999E-3</v>
      </c>
      <c r="G125">
        <v>0</v>
      </c>
      <c r="H125" t="str">
        <f t="shared" si="3"/>
        <v>40-49</v>
      </c>
      <c r="I125" t="str">
        <f t="shared" si="4"/>
        <v>10-19</v>
      </c>
      <c r="J125">
        <f t="shared" si="5"/>
        <v>1.7099999999999999E-3</v>
      </c>
    </row>
    <row r="126" spans="1:10">
      <c r="A126" t="s">
        <v>208</v>
      </c>
      <c r="B126">
        <v>58</v>
      </c>
      <c r="C126" t="s">
        <v>9</v>
      </c>
      <c r="D126">
        <v>21</v>
      </c>
      <c r="E126">
        <v>78</v>
      </c>
      <c r="F126">
        <v>4.1189999999999997E-2</v>
      </c>
      <c r="G126">
        <v>0</v>
      </c>
      <c r="H126" t="str">
        <f t="shared" si="3"/>
        <v>70-79</v>
      </c>
      <c r="I126" t="str">
        <f t="shared" si="4"/>
        <v>20-29</v>
      </c>
      <c r="J126">
        <f t="shared" si="5"/>
        <v>4.1189999999999997E-2</v>
      </c>
    </row>
    <row r="127" spans="1:10">
      <c r="A127" t="s">
        <v>209</v>
      </c>
      <c r="B127">
        <v>63</v>
      </c>
      <c r="C127" t="s">
        <v>7</v>
      </c>
      <c r="D127">
        <v>7</v>
      </c>
      <c r="E127">
        <v>69</v>
      </c>
      <c r="F127">
        <v>7.5300000000000002E-3</v>
      </c>
      <c r="G127">
        <v>0</v>
      </c>
      <c r="H127" t="str">
        <f t="shared" si="3"/>
        <v>60-69</v>
      </c>
      <c r="I127" t="str">
        <f t="shared" si="4"/>
        <v>0-9</v>
      </c>
      <c r="J127">
        <f t="shared" si="5"/>
        <v>7.5300000000000002E-3</v>
      </c>
    </row>
    <row r="128" spans="1:10">
      <c r="A128" t="s">
        <v>210</v>
      </c>
      <c r="B128">
        <v>30</v>
      </c>
      <c r="C128" t="s">
        <v>9</v>
      </c>
      <c r="D128">
        <v>22</v>
      </c>
      <c r="E128">
        <v>51</v>
      </c>
      <c r="F128">
        <v>2.7699999999999999E-3</v>
      </c>
      <c r="G128">
        <v>0</v>
      </c>
      <c r="H128" t="str">
        <f t="shared" si="3"/>
        <v>50-59</v>
      </c>
      <c r="I128" t="str">
        <f t="shared" si="4"/>
        <v>20-29</v>
      </c>
      <c r="J128">
        <f t="shared" si="5"/>
        <v>2.7699999999999999E-3</v>
      </c>
    </row>
    <row r="129" spans="1:10">
      <c r="A129" t="s">
        <v>211</v>
      </c>
      <c r="B129">
        <v>60</v>
      </c>
      <c r="C129" t="s">
        <v>9</v>
      </c>
      <c r="D129">
        <v>20</v>
      </c>
      <c r="E129">
        <v>79</v>
      </c>
      <c r="F129">
        <v>4.5769999999999998E-2</v>
      </c>
      <c r="G129">
        <v>0</v>
      </c>
      <c r="H129" t="str">
        <f t="shared" si="3"/>
        <v>70-79</v>
      </c>
      <c r="I129" t="str">
        <f t="shared" si="4"/>
        <v>20-29</v>
      </c>
      <c r="J129">
        <f t="shared" si="5"/>
        <v>4.5769999999999998E-2</v>
      </c>
    </row>
    <row r="130" spans="1:10">
      <c r="A130" t="s">
        <v>212</v>
      </c>
      <c r="B130">
        <v>35</v>
      </c>
      <c r="C130" t="s">
        <v>9</v>
      </c>
      <c r="D130">
        <v>22</v>
      </c>
      <c r="E130">
        <v>56</v>
      </c>
      <c r="F130">
        <v>4.3899999999999998E-3</v>
      </c>
      <c r="G130">
        <v>0</v>
      </c>
      <c r="H130" t="str">
        <f t="shared" si="3"/>
        <v>50-59</v>
      </c>
      <c r="I130" t="str">
        <f t="shared" si="4"/>
        <v>20-29</v>
      </c>
      <c r="J130">
        <f t="shared" si="5"/>
        <v>4.3899999999999998E-3</v>
      </c>
    </row>
    <row r="131" spans="1:10">
      <c r="A131" t="s">
        <v>213</v>
      </c>
      <c r="B131">
        <v>29</v>
      </c>
      <c r="C131" t="s">
        <v>9</v>
      </c>
      <c r="D131">
        <v>1</v>
      </c>
      <c r="E131">
        <v>29</v>
      </c>
      <c r="F131">
        <v>2.5000000000000001E-4</v>
      </c>
      <c r="G131">
        <v>0</v>
      </c>
      <c r="H131" t="str">
        <f t="shared" ref="H131:H194" si="6">FLOOR(E131,10) &amp; "-" &amp; FLOOR(E131,10)+9</f>
        <v>20-29</v>
      </c>
      <c r="I131" t="str">
        <f t="shared" ref="I131:I194" si="7">FLOOR(D131, 10) &amp; "-"&amp;FLOOR(D131, 10)+9</f>
        <v>0-9</v>
      </c>
      <c r="J131">
        <f t="shared" ref="J131:J194" si="8">F131</f>
        <v>2.5000000000000001E-4</v>
      </c>
    </row>
    <row r="132" spans="1:10">
      <c r="A132" t="s">
        <v>214</v>
      </c>
      <c r="B132">
        <v>59</v>
      </c>
      <c r="C132" t="s">
        <v>7</v>
      </c>
      <c r="D132">
        <v>28</v>
      </c>
      <c r="E132">
        <v>86</v>
      </c>
      <c r="F132">
        <v>6.4490000000000006E-2</v>
      </c>
      <c r="G132">
        <v>0</v>
      </c>
      <c r="H132" t="str">
        <f t="shared" si="6"/>
        <v>80-89</v>
      </c>
      <c r="I132" t="str">
        <f t="shared" si="7"/>
        <v>20-29</v>
      </c>
      <c r="J132">
        <f t="shared" si="8"/>
        <v>6.4490000000000006E-2</v>
      </c>
    </row>
    <row r="133" spans="1:10">
      <c r="A133" t="s">
        <v>215</v>
      </c>
      <c r="B133">
        <v>60</v>
      </c>
      <c r="C133" t="s">
        <v>9</v>
      </c>
      <c r="D133">
        <v>19</v>
      </c>
      <c r="E133">
        <v>78</v>
      </c>
      <c r="F133">
        <v>4.0669999999999998E-2</v>
      </c>
      <c r="G133">
        <v>0</v>
      </c>
      <c r="H133" t="str">
        <f t="shared" si="6"/>
        <v>70-79</v>
      </c>
      <c r="I133" t="str">
        <f t="shared" si="7"/>
        <v>10-19</v>
      </c>
      <c r="J133">
        <f t="shared" si="8"/>
        <v>4.0669999999999998E-2</v>
      </c>
    </row>
    <row r="134" spans="1:10">
      <c r="A134" t="s">
        <v>216</v>
      </c>
      <c r="B134">
        <v>51</v>
      </c>
      <c r="C134" t="s">
        <v>9</v>
      </c>
      <c r="D134">
        <v>13</v>
      </c>
      <c r="E134">
        <v>63</v>
      </c>
      <c r="F134">
        <v>8.0300000000000007E-3</v>
      </c>
      <c r="G134">
        <v>0</v>
      </c>
      <c r="H134" t="str">
        <f t="shared" si="6"/>
        <v>60-69</v>
      </c>
      <c r="I134" t="str">
        <f t="shared" si="7"/>
        <v>10-19</v>
      </c>
      <c r="J134">
        <f t="shared" si="8"/>
        <v>8.0300000000000007E-3</v>
      </c>
    </row>
    <row r="135" spans="1:10">
      <c r="A135" t="s">
        <v>217</v>
      </c>
      <c r="B135">
        <v>20</v>
      </c>
      <c r="C135" t="s">
        <v>7</v>
      </c>
      <c r="D135">
        <v>29</v>
      </c>
      <c r="E135">
        <v>48</v>
      </c>
      <c r="F135">
        <v>1.3799999999999999E-3</v>
      </c>
      <c r="G135">
        <v>0</v>
      </c>
      <c r="H135" t="str">
        <f t="shared" si="6"/>
        <v>40-49</v>
      </c>
      <c r="I135" t="str">
        <f t="shared" si="7"/>
        <v>20-29</v>
      </c>
      <c r="J135">
        <f t="shared" si="8"/>
        <v>1.3799999999999999E-3</v>
      </c>
    </row>
    <row r="136" spans="1:10">
      <c r="A136" t="s">
        <v>218</v>
      </c>
      <c r="B136">
        <v>26</v>
      </c>
      <c r="C136" t="s">
        <v>9</v>
      </c>
      <c r="D136">
        <v>25</v>
      </c>
      <c r="E136">
        <v>50</v>
      </c>
      <c r="F136">
        <v>2.8400000000000001E-3</v>
      </c>
      <c r="G136">
        <v>0</v>
      </c>
      <c r="H136" t="str">
        <f t="shared" si="6"/>
        <v>50-59</v>
      </c>
      <c r="I136" t="str">
        <f t="shared" si="7"/>
        <v>20-29</v>
      </c>
      <c r="J136">
        <f t="shared" si="8"/>
        <v>2.8400000000000001E-3</v>
      </c>
    </row>
    <row r="137" spans="1:10">
      <c r="A137" t="s">
        <v>219</v>
      </c>
      <c r="B137">
        <v>64</v>
      </c>
      <c r="C137" t="s">
        <v>9</v>
      </c>
      <c r="D137">
        <v>17</v>
      </c>
      <c r="E137">
        <v>80</v>
      </c>
      <c r="F137">
        <v>4.863E-2</v>
      </c>
      <c r="G137">
        <v>0</v>
      </c>
      <c r="H137" t="str">
        <f t="shared" si="6"/>
        <v>80-89</v>
      </c>
      <c r="I137" t="str">
        <f t="shared" si="7"/>
        <v>10-19</v>
      </c>
      <c r="J137">
        <f t="shared" si="8"/>
        <v>4.863E-2</v>
      </c>
    </row>
    <row r="138" spans="1:10">
      <c r="A138" t="s">
        <v>220</v>
      </c>
      <c r="B138">
        <v>27</v>
      </c>
      <c r="C138" t="s">
        <v>9</v>
      </c>
      <c r="D138">
        <v>15</v>
      </c>
      <c r="E138">
        <v>41</v>
      </c>
      <c r="F138">
        <v>1.32E-3</v>
      </c>
      <c r="G138">
        <v>0</v>
      </c>
      <c r="H138" t="str">
        <f t="shared" si="6"/>
        <v>40-49</v>
      </c>
      <c r="I138" t="str">
        <f t="shared" si="7"/>
        <v>10-19</v>
      </c>
      <c r="J138">
        <f t="shared" si="8"/>
        <v>1.32E-3</v>
      </c>
    </row>
    <row r="139" spans="1:10">
      <c r="A139" t="s">
        <v>221</v>
      </c>
      <c r="B139">
        <v>53</v>
      </c>
      <c r="C139" t="s">
        <v>7</v>
      </c>
      <c r="D139">
        <v>18</v>
      </c>
      <c r="E139">
        <v>70</v>
      </c>
      <c r="F139">
        <v>1.302E-2</v>
      </c>
      <c r="G139">
        <v>0</v>
      </c>
      <c r="H139" t="str">
        <f t="shared" si="6"/>
        <v>70-79</v>
      </c>
      <c r="I139" t="str">
        <f t="shared" si="7"/>
        <v>10-19</v>
      </c>
      <c r="J139">
        <f t="shared" si="8"/>
        <v>1.302E-2</v>
      </c>
    </row>
    <row r="140" spans="1:10">
      <c r="A140" t="s">
        <v>222</v>
      </c>
      <c r="B140">
        <v>48</v>
      </c>
      <c r="C140" t="s">
        <v>7</v>
      </c>
      <c r="D140">
        <v>20</v>
      </c>
      <c r="E140">
        <v>67</v>
      </c>
      <c r="F140">
        <v>1.0149999999999999E-2</v>
      </c>
      <c r="G140">
        <v>0</v>
      </c>
      <c r="H140" t="str">
        <f t="shared" si="6"/>
        <v>60-69</v>
      </c>
      <c r="I140" t="str">
        <f t="shared" si="7"/>
        <v>20-29</v>
      </c>
      <c r="J140">
        <f t="shared" si="8"/>
        <v>1.0149999999999999E-2</v>
      </c>
    </row>
    <row r="141" spans="1:10">
      <c r="A141" t="s">
        <v>223</v>
      </c>
      <c r="B141">
        <v>47</v>
      </c>
      <c r="C141" t="s">
        <v>7</v>
      </c>
      <c r="D141">
        <v>27</v>
      </c>
      <c r="E141">
        <v>73</v>
      </c>
      <c r="F141">
        <v>1.7170000000000001E-2</v>
      </c>
      <c r="G141">
        <v>0</v>
      </c>
      <c r="H141" t="str">
        <f t="shared" si="6"/>
        <v>70-79</v>
      </c>
      <c r="I141" t="str">
        <f t="shared" si="7"/>
        <v>20-29</v>
      </c>
      <c r="J141">
        <f t="shared" si="8"/>
        <v>1.7170000000000001E-2</v>
      </c>
    </row>
    <row r="142" spans="1:10">
      <c r="A142" t="s">
        <v>224</v>
      </c>
      <c r="B142">
        <v>30</v>
      </c>
      <c r="C142" t="s">
        <v>7</v>
      </c>
      <c r="D142">
        <v>24</v>
      </c>
      <c r="E142">
        <v>53</v>
      </c>
      <c r="F142">
        <v>2.5899999999999999E-3</v>
      </c>
      <c r="G142">
        <v>0</v>
      </c>
      <c r="H142" t="str">
        <f t="shared" si="6"/>
        <v>50-59</v>
      </c>
      <c r="I142" t="str">
        <f t="shared" si="7"/>
        <v>20-29</v>
      </c>
      <c r="J142">
        <f t="shared" si="8"/>
        <v>2.5899999999999999E-3</v>
      </c>
    </row>
    <row r="143" spans="1:10">
      <c r="A143" t="s">
        <v>225</v>
      </c>
      <c r="B143">
        <v>35</v>
      </c>
      <c r="C143" t="s">
        <v>7</v>
      </c>
      <c r="D143">
        <v>27</v>
      </c>
      <c r="E143">
        <v>61</v>
      </c>
      <c r="F143">
        <v>4.9300000000000004E-3</v>
      </c>
      <c r="G143">
        <v>0</v>
      </c>
      <c r="H143" t="str">
        <f t="shared" si="6"/>
        <v>60-69</v>
      </c>
      <c r="I143" t="str">
        <f t="shared" si="7"/>
        <v>20-29</v>
      </c>
      <c r="J143">
        <f t="shared" si="8"/>
        <v>4.9300000000000004E-3</v>
      </c>
    </row>
    <row r="144" spans="1:10">
      <c r="A144" t="s">
        <v>226</v>
      </c>
      <c r="B144">
        <v>53</v>
      </c>
      <c r="C144" t="s">
        <v>7</v>
      </c>
      <c r="D144">
        <v>16</v>
      </c>
      <c r="E144">
        <v>68</v>
      </c>
      <c r="F144">
        <v>1.03E-2</v>
      </c>
      <c r="G144">
        <v>0</v>
      </c>
      <c r="H144" t="str">
        <f t="shared" si="6"/>
        <v>60-69</v>
      </c>
      <c r="I144" t="str">
        <f t="shared" si="7"/>
        <v>10-19</v>
      </c>
      <c r="J144">
        <f t="shared" si="8"/>
        <v>1.03E-2</v>
      </c>
    </row>
    <row r="145" spans="1:10">
      <c r="A145" t="s">
        <v>227</v>
      </c>
      <c r="B145">
        <v>24</v>
      </c>
      <c r="C145" t="s">
        <v>9</v>
      </c>
      <c r="D145">
        <v>23</v>
      </c>
      <c r="E145">
        <v>46</v>
      </c>
      <c r="F145">
        <v>2.1700000000000001E-3</v>
      </c>
      <c r="G145">
        <v>0</v>
      </c>
      <c r="H145" t="str">
        <f t="shared" si="6"/>
        <v>40-49</v>
      </c>
      <c r="I145" t="str">
        <f t="shared" si="7"/>
        <v>20-29</v>
      </c>
      <c r="J145">
        <f t="shared" si="8"/>
        <v>2.1700000000000001E-3</v>
      </c>
    </row>
    <row r="146" spans="1:10">
      <c r="A146" t="s">
        <v>228</v>
      </c>
      <c r="B146">
        <v>40</v>
      </c>
      <c r="C146" t="s">
        <v>7</v>
      </c>
      <c r="D146">
        <v>29</v>
      </c>
      <c r="E146">
        <v>68</v>
      </c>
      <c r="F146">
        <v>8.3099999999999997E-3</v>
      </c>
      <c r="G146">
        <v>0</v>
      </c>
      <c r="H146" t="str">
        <f t="shared" si="6"/>
        <v>60-69</v>
      </c>
      <c r="I146" t="str">
        <f t="shared" si="7"/>
        <v>20-29</v>
      </c>
      <c r="J146">
        <f t="shared" si="8"/>
        <v>8.3099999999999997E-3</v>
      </c>
    </row>
    <row r="147" spans="1:10">
      <c r="A147" t="s">
        <v>229</v>
      </c>
      <c r="B147">
        <v>34</v>
      </c>
      <c r="C147" t="s">
        <v>7</v>
      </c>
      <c r="D147">
        <v>13</v>
      </c>
      <c r="E147">
        <v>46</v>
      </c>
      <c r="F147">
        <v>1.1999999999999999E-3</v>
      </c>
      <c r="G147">
        <v>0</v>
      </c>
      <c r="H147" t="str">
        <f t="shared" si="6"/>
        <v>40-49</v>
      </c>
      <c r="I147" t="str">
        <f t="shared" si="7"/>
        <v>10-19</v>
      </c>
      <c r="J147">
        <f t="shared" si="8"/>
        <v>1.1999999999999999E-3</v>
      </c>
    </row>
    <row r="148" spans="1:10">
      <c r="A148" t="s">
        <v>230</v>
      </c>
      <c r="B148">
        <v>24</v>
      </c>
      <c r="C148" t="s">
        <v>9</v>
      </c>
      <c r="D148">
        <v>14</v>
      </c>
      <c r="E148">
        <v>37</v>
      </c>
      <c r="F148">
        <v>9.3999999999999997E-4</v>
      </c>
      <c r="G148">
        <v>0</v>
      </c>
      <c r="H148" t="str">
        <f t="shared" si="6"/>
        <v>30-39</v>
      </c>
      <c r="I148" t="str">
        <f t="shared" si="7"/>
        <v>10-19</v>
      </c>
      <c r="J148">
        <f t="shared" si="8"/>
        <v>9.3999999999999997E-4</v>
      </c>
    </row>
    <row r="149" spans="1:10">
      <c r="A149" t="s">
        <v>231</v>
      </c>
      <c r="B149">
        <v>46</v>
      </c>
      <c r="C149" t="s">
        <v>9</v>
      </c>
      <c r="D149">
        <v>2</v>
      </c>
      <c r="E149">
        <v>47</v>
      </c>
      <c r="F149">
        <v>8.8000000000000003E-4</v>
      </c>
      <c r="G149">
        <v>0</v>
      </c>
      <c r="H149" t="str">
        <f t="shared" si="6"/>
        <v>40-49</v>
      </c>
      <c r="I149" t="str">
        <f t="shared" si="7"/>
        <v>0-9</v>
      </c>
      <c r="J149">
        <f t="shared" si="8"/>
        <v>8.8000000000000003E-4</v>
      </c>
    </row>
    <row r="150" spans="1:10">
      <c r="A150" t="s">
        <v>232</v>
      </c>
      <c r="B150">
        <v>57</v>
      </c>
      <c r="C150" t="s">
        <v>9</v>
      </c>
      <c r="D150">
        <v>23</v>
      </c>
      <c r="E150">
        <v>79</v>
      </c>
      <c r="F150">
        <v>4.5769999999999998E-2</v>
      </c>
      <c r="G150">
        <v>0</v>
      </c>
      <c r="H150" t="str">
        <f t="shared" si="6"/>
        <v>70-79</v>
      </c>
      <c r="I150" t="str">
        <f t="shared" si="7"/>
        <v>20-29</v>
      </c>
      <c r="J150">
        <f t="shared" si="8"/>
        <v>4.5769999999999998E-2</v>
      </c>
    </row>
    <row r="151" spans="1:10">
      <c r="A151" t="s">
        <v>233</v>
      </c>
      <c r="B151">
        <v>56</v>
      </c>
      <c r="C151" t="s">
        <v>9</v>
      </c>
      <c r="D151">
        <v>13</v>
      </c>
      <c r="E151">
        <v>68</v>
      </c>
      <c r="F151">
        <v>1.3690000000000001E-2</v>
      </c>
      <c r="G151">
        <v>0</v>
      </c>
      <c r="H151" t="str">
        <f t="shared" si="6"/>
        <v>60-69</v>
      </c>
      <c r="I151" t="str">
        <f t="shared" si="7"/>
        <v>10-19</v>
      </c>
      <c r="J151">
        <f t="shared" si="8"/>
        <v>1.3690000000000001E-2</v>
      </c>
    </row>
    <row r="152" spans="1:10">
      <c r="A152" t="s">
        <v>234</v>
      </c>
      <c r="B152">
        <v>39</v>
      </c>
      <c r="C152" t="s">
        <v>9</v>
      </c>
      <c r="D152">
        <v>25</v>
      </c>
      <c r="E152">
        <v>63</v>
      </c>
      <c r="F152">
        <v>8.6499999999999997E-3</v>
      </c>
      <c r="G152">
        <v>0</v>
      </c>
      <c r="H152" t="str">
        <f t="shared" si="6"/>
        <v>60-69</v>
      </c>
      <c r="I152" t="str">
        <f t="shared" si="7"/>
        <v>20-29</v>
      </c>
      <c r="J152">
        <f t="shared" si="8"/>
        <v>8.6499999999999997E-3</v>
      </c>
    </row>
    <row r="153" spans="1:10">
      <c r="A153" t="s">
        <v>235</v>
      </c>
      <c r="B153">
        <v>46</v>
      </c>
      <c r="C153" t="s">
        <v>7</v>
      </c>
      <c r="D153">
        <v>18</v>
      </c>
      <c r="E153">
        <v>63</v>
      </c>
      <c r="F153">
        <v>6.4799999999999996E-3</v>
      </c>
      <c r="G153">
        <v>0</v>
      </c>
      <c r="H153" t="str">
        <f t="shared" si="6"/>
        <v>60-69</v>
      </c>
      <c r="I153" t="str">
        <f t="shared" si="7"/>
        <v>10-19</v>
      </c>
      <c r="J153">
        <f t="shared" si="8"/>
        <v>6.4799999999999996E-3</v>
      </c>
    </row>
    <row r="154" spans="1:10">
      <c r="A154" t="s">
        <v>236</v>
      </c>
      <c r="B154">
        <v>58</v>
      </c>
      <c r="C154" t="s">
        <v>9</v>
      </c>
      <c r="D154">
        <v>29</v>
      </c>
      <c r="E154">
        <v>86</v>
      </c>
      <c r="F154">
        <v>7.1389999999999995E-2</v>
      </c>
      <c r="G154">
        <v>0</v>
      </c>
      <c r="H154" t="str">
        <f t="shared" si="6"/>
        <v>80-89</v>
      </c>
      <c r="I154" t="str">
        <f t="shared" si="7"/>
        <v>20-29</v>
      </c>
      <c r="J154">
        <f t="shared" si="8"/>
        <v>7.1389999999999995E-2</v>
      </c>
    </row>
    <row r="155" spans="1:10">
      <c r="A155" t="s">
        <v>237</v>
      </c>
      <c r="B155">
        <v>47</v>
      </c>
      <c r="C155" t="s">
        <v>9</v>
      </c>
      <c r="D155">
        <v>16</v>
      </c>
      <c r="E155">
        <v>62</v>
      </c>
      <c r="F155">
        <v>7.6600000000000001E-3</v>
      </c>
      <c r="G155">
        <v>0</v>
      </c>
      <c r="H155" t="str">
        <f t="shared" si="6"/>
        <v>60-69</v>
      </c>
      <c r="I155" t="str">
        <f t="shared" si="7"/>
        <v>10-19</v>
      </c>
      <c r="J155">
        <f t="shared" si="8"/>
        <v>7.6600000000000001E-3</v>
      </c>
    </row>
    <row r="156" spans="1:10">
      <c r="A156" t="s">
        <v>238</v>
      </c>
      <c r="B156">
        <v>63</v>
      </c>
      <c r="C156" t="s">
        <v>9</v>
      </c>
      <c r="D156">
        <v>26</v>
      </c>
      <c r="E156">
        <v>88</v>
      </c>
      <c r="F156">
        <v>0.13258</v>
      </c>
      <c r="G156">
        <v>0</v>
      </c>
      <c r="H156" t="str">
        <f t="shared" si="6"/>
        <v>80-89</v>
      </c>
      <c r="I156" t="str">
        <f t="shared" si="7"/>
        <v>20-29</v>
      </c>
      <c r="J156">
        <f t="shared" si="8"/>
        <v>0.13258</v>
      </c>
    </row>
    <row r="157" spans="1:10">
      <c r="A157" t="s">
        <v>239</v>
      </c>
      <c r="B157">
        <v>49</v>
      </c>
      <c r="C157" t="s">
        <v>9</v>
      </c>
      <c r="D157">
        <v>30</v>
      </c>
      <c r="E157">
        <v>78</v>
      </c>
      <c r="F157">
        <v>2.6859999999999998E-2</v>
      </c>
      <c r="G157">
        <v>0</v>
      </c>
      <c r="H157" t="str">
        <f t="shared" si="6"/>
        <v>70-79</v>
      </c>
      <c r="I157" t="str">
        <f t="shared" si="7"/>
        <v>30-39</v>
      </c>
      <c r="J157">
        <f t="shared" si="8"/>
        <v>2.6859999999999998E-2</v>
      </c>
    </row>
    <row r="158" spans="1:10">
      <c r="A158" t="s">
        <v>240</v>
      </c>
      <c r="B158">
        <v>21</v>
      </c>
      <c r="C158" t="s">
        <v>9</v>
      </c>
      <c r="D158">
        <v>30</v>
      </c>
      <c r="E158">
        <v>50</v>
      </c>
      <c r="F158">
        <v>2.6099999999999999E-3</v>
      </c>
      <c r="G158">
        <v>0</v>
      </c>
      <c r="H158" t="str">
        <f t="shared" si="6"/>
        <v>50-59</v>
      </c>
      <c r="I158" t="str">
        <f t="shared" si="7"/>
        <v>30-39</v>
      </c>
      <c r="J158">
        <f t="shared" si="8"/>
        <v>2.6099999999999999E-3</v>
      </c>
    </row>
    <row r="159" spans="1:10">
      <c r="A159" t="s">
        <v>241</v>
      </c>
      <c r="B159">
        <v>21</v>
      </c>
      <c r="C159" t="s">
        <v>7</v>
      </c>
      <c r="D159">
        <v>3</v>
      </c>
      <c r="E159">
        <v>23</v>
      </c>
      <c r="F159">
        <v>2.7E-4</v>
      </c>
      <c r="G159">
        <v>0</v>
      </c>
      <c r="H159" t="str">
        <f t="shared" si="6"/>
        <v>20-29</v>
      </c>
      <c r="I159" t="str">
        <f t="shared" si="7"/>
        <v>0-9</v>
      </c>
      <c r="J159">
        <f t="shared" si="8"/>
        <v>2.7E-4</v>
      </c>
    </row>
    <row r="160" spans="1:10">
      <c r="A160" t="s">
        <v>242</v>
      </c>
      <c r="B160">
        <v>49</v>
      </c>
      <c r="C160" t="s">
        <v>9</v>
      </c>
      <c r="D160">
        <v>6</v>
      </c>
      <c r="E160">
        <v>54</v>
      </c>
      <c r="F160">
        <v>2.7000000000000001E-3</v>
      </c>
      <c r="G160">
        <v>0</v>
      </c>
      <c r="H160" t="str">
        <f t="shared" si="6"/>
        <v>50-59</v>
      </c>
      <c r="I160" t="str">
        <f t="shared" si="7"/>
        <v>0-9</v>
      </c>
      <c r="J160">
        <f t="shared" si="8"/>
        <v>2.7000000000000001E-3</v>
      </c>
    </row>
    <row r="161" spans="1:10">
      <c r="A161" t="s">
        <v>243</v>
      </c>
      <c r="B161">
        <v>33</v>
      </c>
      <c r="C161" t="s">
        <v>9</v>
      </c>
      <c r="D161">
        <v>15</v>
      </c>
      <c r="E161">
        <v>47</v>
      </c>
      <c r="F161">
        <v>1.83E-3</v>
      </c>
      <c r="G161">
        <v>0</v>
      </c>
      <c r="H161" t="str">
        <f t="shared" si="6"/>
        <v>40-49</v>
      </c>
      <c r="I161" t="str">
        <f t="shared" si="7"/>
        <v>10-19</v>
      </c>
      <c r="J161">
        <f t="shared" si="8"/>
        <v>1.83E-3</v>
      </c>
    </row>
    <row r="162" spans="1:10">
      <c r="A162" t="s">
        <v>244</v>
      </c>
      <c r="B162">
        <v>44</v>
      </c>
      <c r="C162" t="s">
        <v>7</v>
      </c>
      <c r="D162">
        <v>9</v>
      </c>
      <c r="E162">
        <v>52</v>
      </c>
      <c r="F162">
        <v>1.7899999999999999E-3</v>
      </c>
      <c r="G162">
        <v>0</v>
      </c>
      <c r="H162" t="str">
        <f t="shared" si="6"/>
        <v>50-59</v>
      </c>
      <c r="I162" t="str">
        <f t="shared" si="7"/>
        <v>0-9</v>
      </c>
      <c r="J162">
        <f t="shared" si="8"/>
        <v>1.7899999999999999E-3</v>
      </c>
    </row>
    <row r="163" spans="1:10">
      <c r="A163" t="s">
        <v>245</v>
      </c>
      <c r="B163">
        <v>36</v>
      </c>
      <c r="C163" t="s">
        <v>9</v>
      </c>
      <c r="D163">
        <v>27</v>
      </c>
      <c r="E163">
        <v>62</v>
      </c>
      <c r="F163">
        <v>7.0200000000000002E-3</v>
      </c>
      <c r="G163">
        <v>0</v>
      </c>
      <c r="H163" t="str">
        <f t="shared" si="6"/>
        <v>60-69</v>
      </c>
      <c r="I163" t="str">
        <f t="shared" si="7"/>
        <v>20-29</v>
      </c>
      <c r="J163">
        <f t="shared" si="8"/>
        <v>7.0200000000000002E-3</v>
      </c>
    </row>
    <row r="164" spans="1:10">
      <c r="A164" t="s">
        <v>246</v>
      </c>
      <c r="B164">
        <v>54</v>
      </c>
      <c r="C164" t="s">
        <v>7</v>
      </c>
      <c r="D164">
        <v>2</v>
      </c>
      <c r="E164">
        <v>55</v>
      </c>
      <c r="F164">
        <v>1.2199999999999999E-3</v>
      </c>
      <c r="G164">
        <v>0</v>
      </c>
      <c r="H164" t="str">
        <f t="shared" si="6"/>
        <v>50-59</v>
      </c>
      <c r="I164" t="str">
        <f t="shared" si="7"/>
        <v>0-9</v>
      </c>
      <c r="J164">
        <f t="shared" si="8"/>
        <v>1.2199999999999999E-3</v>
      </c>
    </row>
    <row r="165" spans="1:10">
      <c r="A165" t="s">
        <v>247</v>
      </c>
      <c r="B165">
        <v>61</v>
      </c>
      <c r="C165" t="s">
        <v>7</v>
      </c>
      <c r="D165">
        <v>3</v>
      </c>
      <c r="E165">
        <v>63</v>
      </c>
      <c r="F165">
        <v>2.8900000000000002E-3</v>
      </c>
      <c r="G165">
        <v>0</v>
      </c>
      <c r="H165" t="str">
        <f t="shared" si="6"/>
        <v>60-69</v>
      </c>
      <c r="I165" t="str">
        <f t="shared" si="7"/>
        <v>0-9</v>
      </c>
      <c r="J165">
        <f t="shared" si="8"/>
        <v>2.8900000000000002E-3</v>
      </c>
    </row>
    <row r="166" spans="1:10">
      <c r="A166" t="s">
        <v>248</v>
      </c>
      <c r="B166">
        <v>21</v>
      </c>
      <c r="C166" t="s">
        <v>9</v>
      </c>
      <c r="D166">
        <v>8</v>
      </c>
      <c r="E166">
        <v>28</v>
      </c>
      <c r="F166">
        <v>6.6E-4</v>
      </c>
      <c r="G166">
        <v>0</v>
      </c>
      <c r="H166" t="str">
        <f t="shared" si="6"/>
        <v>20-29</v>
      </c>
      <c r="I166" t="str">
        <f t="shared" si="7"/>
        <v>0-9</v>
      </c>
      <c r="J166">
        <f t="shared" si="8"/>
        <v>6.6E-4</v>
      </c>
    </row>
    <row r="167" spans="1:10">
      <c r="A167" t="s">
        <v>249</v>
      </c>
      <c r="B167">
        <v>29</v>
      </c>
      <c r="C167" t="s">
        <v>9</v>
      </c>
      <c r="D167">
        <v>8</v>
      </c>
      <c r="E167">
        <v>36</v>
      </c>
      <c r="F167">
        <v>6.3000000000000003E-4</v>
      </c>
      <c r="G167">
        <v>0</v>
      </c>
      <c r="H167" t="str">
        <f t="shared" si="6"/>
        <v>30-39</v>
      </c>
      <c r="I167" t="str">
        <f t="shared" si="7"/>
        <v>0-9</v>
      </c>
      <c r="J167">
        <f t="shared" si="8"/>
        <v>6.3000000000000003E-4</v>
      </c>
    </row>
    <row r="168" spans="1:10">
      <c r="A168" t="s">
        <v>250</v>
      </c>
      <c r="B168">
        <v>56</v>
      </c>
      <c r="C168" t="s">
        <v>9</v>
      </c>
      <c r="D168">
        <v>7</v>
      </c>
      <c r="E168">
        <v>62</v>
      </c>
      <c r="F168">
        <v>6.5399999999999998E-3</v>
      </c>
      <c r="G168">
        <v>0</v>
      </c>
      <c r="H168" t="str">
        <f t="shared" si="6"/>
        <v>60-69</v>
      </c>
      <c r="I168" t="str">
        <f t="shared" si="7"/>
        <v>0-9</v>
      </c>
      <c r="J168">
        <f t="shared" si="8"/>
        <v>6.5399999999999998E-3</v>
      </c>
    </row>
    <row r="169" spans="1:10">
      <c r="A169" t="s">
        <v>251</v>
      </c>
      <c r="B169">
        <v>43</v>
      </c>
      <c r="C169" t="s">
        <v>7</v>
      </c>
      <c r="D169">
        <v>6</v>
      </c>
      <c r="E169">
        <v>48</v>
      </c>
      <c r="F169">
        <v>1.1000000000000001E-3</v>
      </c>
      <c r="G169">
        <v>0</v>
      </c>
      <c r="H169" t="str">
        <f t="shared" si="6"/>
        <v>40-49</v>
      </c>
      <c r="I169" t="str">
        <f t="shared" si="7"/>
        <v>0-9</v>
      </c>
      <c r="J169">
        <f t="shared" si="8"/>
        <v>1.1000000000000001E-3</v>
      </c>
    </row>
    <row r="170" spans="1:10">
      <c r="A170" t="s">
        <v>252</v>
      </c>
      <c r="B170">
        <v>65</v>
      </c>
      <c r="C170" t="s">
        <v>7</v>
      </c>
      <c r="D170">
        <v>4</v>
      </c>
      <c r="E170">
        <v>68</v>
      </c>
      <c r="F170">
        <v>5.7999999999999996E-3</v>
      </c>
      <c r="G170">
        <v>0</v>
      </c>
      <c r="H170" t="str">
        <f t="shared" si="6"/>
        <v>60-69</v>
      </c>
      <c r="I170" t="str">
        <f t="shared" si="7"/>
        <v>0-9</v>
      </c>
      <c r="J170">
        <f t="shared" si="8"/>
        <v>5.7999999999999996E-3</v>
      </c>
    </row>
    <row r="171" spans="1:10">
      <c r="A171" t="s">
        <v>253</v>
      </c>
      <c r="B171">
        <v>39</v>
      </c>
      <c r="C171" t="s">
        <v>7</v>
      </c>
      <c r="D171">
        <v>4</v>
      </c>
      <c r="E171">
        <v>42</v>
      </c>
      <c r="F171">
        <v>6.2E-4</v>
      </c>
      <c r="G171">
        <v>0</v>
      </c>
      <c r="H171" t="str">
        <f t="shared" si="6"/>
        <v>40-49</v>
      </c>
      <c r="I171" t="str">
        <f t="shared" si="7"/>
        <v>0-9</v>
      </c>
      <c r="J171">
        <f t="shared" si="8"/>
        <v>6.2E-4</v>
      </c>
    </row>
    <row r="172" spans="1:10">
      <c r="A172" t="s">
        <v>254</v>
      </c>
      <c r="B172">
        <v>56</v>
      </c>
      <c r="C172" t="s">
        <v>7</v>
      </c>
      <c r="D172">
        <v>22</v>
      </c>
      <c r="E172">
        <v>77</v>
      </c>
      <c r="F172">
        <v>2.8719999999999999E-2</v>
      </c>
      <c r="G172">
        <v>0</v>
      </c>
      <c r="H172" t="str">
        <f t="shared" si="6"/>
        <v>70-79</v>
      </c>
      <c r="I172" t="str">
        <f t="shared" si="7"/>
        <v>20-29</v>
      </c>
      <c r="J172">
        <f t="shared" si="8"/>
        <v>2.8719999999999999E-2</v>
      </c>
    </row>
    <row r="173" spans="1:10">
      <c r="A173" t="s">
        <v>255</v>
      </c>
      <c r="B173">
        <v>65</v>
      </c>
      <c r="C173" t="s">
        <v>9</v>
      </c>
      <c r="D173">
        <v>7</v>
      </c>
      <c r="E173">
        <v>71</v>
      </c>
      <c r="F173">
        <v>1.257E-2</v>
      </c>
      <c r="G173">
        <v>0</v>
      </c>
      <c r="H173" t="str">
        <f t="shared" si="6"/>
        <v>70-79</v>
      </c>
      <c r="I173" t="str">
        <f t="shared" si="7"/>
        <v>0-9</v>
      </c>
      <c r="J173">
        <f t="shared" si="8"/>
        <v>1.257E-2</v>
      </c>
    </row>
    <row r="174" spans="1:10">
      <c r="A174" t="s">
        <v>256</v>
      </c>
      <c r="B174">
        <v>60</v>
      </c>
      <c r="C174" t="s">
        <v>9</v>
      </c>
      <c r="D174">
        <v>8</v>
      </c>
      <c r="E174">
        <v>67</v>
      </c>
      <c r="F174">
        <v>1.074E-2</v>
      </c>
      <c r="G174">
        <v>0</v>
      </c>
      <c r="H174" t="str">
        <f t="shared" si="6"/>
        <v>60-69</v>
      </c>
      <c r="I174" t="str">
        <f t="shared" si="7"/>
        <v>0-9</v>
      </c>
      <c r="J174">
        <f t="shared" si="8"/>
        <v>1.074E-2</v>
      </c>
    </row>
    <row r="175" spans="1:10">
      <c r="A175" t="s">
        <v>257</v>
      </c>
      <c r="B175">
        <v>63</v>
      </c>
      <c r="C175" t="s">
        <v>7</v>
      </c>
      <c r="D175">
        <v>20</v>
      </c>
      <c r="E175">
        <v>82</v>
      </c>
      <c r="F175">
        <v>5.0220000000000001E-2</v>
      </c>
      <c r="G175">
        <v>0</v>
      </c>
      <c r="H175" t="str">
        <f t="shared" si="6"/>
        <v>80-89</v>
      </c>
      <c r="I175" t="str">
        <f t="shared" si="7"/>
        <v>20-29</v>
      </c>
      <c r="J175">
        <f t="shared" si="8"/>
        <v>5.0220000000000001E-2</v>
      </c>
    </row>
    <row r="176" spans="1:10">
      <c r="A176" t="s">
        <v>258</v>
      </c>
      <c r="B176">
        <v>56</v>
      </c>
      <c r="C176" t="s">
        <v>9</v>
      </c>
      <c r="D176">
        <v>26</v>
      </c>
      <c r="E176">
        <v>81</v>
      </c>
      <c r="F176">
        <v>5.6829999999999999E-2</v>
      </c>
      <c r="G176">
        <v>0</v>
      </c>
      <c r="H176" t="str">
        <f t="shared" si="6"/>
        <v>80-89</v>
      </c>
      <c r="I176" t="str">
        <f t="shared" si="7"/>
        <v>20-29</v>
      </c>
      <c r="J176">
        <f t="shared" si="8"/>
        <v>5.6829999999999999E-2</v>
      </c>
    </row>
    <row r="177" spans="1:10">
      <c r="A177" t="s">
        <v>259</v>
      </c>
      <c r="B177">
        <v>62</v>
      </c>
      <c r="C177" t="s">
        <v>9</v>
      </c>
      <c r="D177">
        <v>12</v>
      </c>
      <c r="E177">
        <v>73</v>
      </c>
      <c r="F177">
        <v>2.103E-2</v>
      </c>
      <c r="G177">
        <v>0</v>
      </c>
      <c r="H177" t="str">
        <f t="shared" si="6"/>
        <v>70-79</v>
      </c>
      <c r="I177" t="str">
        <f t="shared" si="7"/>
        <v>10-19</v>
      </c>
      <c r="J177">
        <f t="shared" si="8"/>
        <v>2.103E-2</v>
      </c>
    </row>
    <row r="178" spans="1:10">
      <c r="A178" t="s">
        <v>260</v>
      </c>
      <c r="B178">
        <v>20</v>
      </c>
      <c r="C178" t="s">
        <v>9</v>
      </c>
      <c r="D178">
        <v>28</v>
      </c>
      <c r="E178">
        <v>47</v>
      </c>
      <c r="F178">
        <v>2.5400000000000002E-3</v>
      </c>
      <c r="G178">
        <v>0</v>
      </c>
      <c r="H178" t="str">
        <f t="shared" si="6"/>
        <v>40-49</v>
      </c>
      <c r="I178" t="str">
        <f t="shared" si="7"/>
        <v>20-29</v>
      </c>
      <c r="J178">
        <f t="shared" si="8"/>
        <v>2.5400000000000002E-3</v>
      </c>
    </row>
    <row r="179" spans="1:10">
      <c r="A179" t="s">
        <v>261</v>
      </c>
      <c r="B179">
        <v>47</v>
      </c>
      <c r="C179" t="s">
        <v>7</v>
      </c>
      <c r="D179">
        <v>12</v>
      </c>
      <c r="E179">
        <v>58</v>
      </c>
      <c r="F179">
        <v>3.4499999999999999E-3</v>
      </c>
      <c r="G179">
        <v>0</v>
      </c>
      <c r="H179" t="str">
        <f t="shared" si="6"/>
        <v>50-59</v>
      </c>
      <c r="I179" t="str">
        <f t="shared" si="7"/>
        <v>10-19</v>
      </c>
      <c r="J179">
        <f t="shared" si="8"/>
        <v>3.4499999999999999E-3</v>
      </c>
    </row>
    <row r="180" spans="1:10">
      <c r="A180" t="s">
        <v>262</v>
      </c>
      <c r="B180">
        <v>65</v>
      </c>
      <c r="C180" t="s">
        <v>9</v>
      </c>
      <c r="D180">
        <v>5</v>
      </c>
      <c r="E180">
        <v>69</v>
      </c>
      <c r="F180">
        <v>9.7999999999999997E-3</v>
      </c>
      <c r="G180">
        <v>0</v>
      </c>
      <c r="H180" t="str">
        <f t="shared" si="6"/>
        <v>60-69</v>
      </c>
      <c r="I180" t="str">
        <f t="shared" si="7"/>
        <v>0-9</v>
      </c>
      <c r="J180">
        <f t="shared" si="8"/>
        <v>9.7999999999999997E-3</v>
      </c>
    </row>
    <row r="181" spans="1:10">
      <c r="A181" t="s">
        <v>263</v>
      </c>
      <c r="B181">
        <v>61</v>
      </c>
      <c r="C181" t="s">
        <v>7</v>
      </c>
      <c r="D181">
        <v>9</v>
      </c>
      <c r="E181">
        <v>69</v>
      </c>
      <c r="F181">
        <v>8.0199999999999994E-3</v>
      </c>
      <c r="G181">
        <v>0</v>
      </c>
      <c r="H181" t="str">
        <f t="shared" si="6"/>
        <v>60-69</v>
      </c>
      <c r="I181" t="str">
        <f t="shared" si="7"/>
        <v>0-9</v>
      </c>
      <c r="J181">
        <f t="shared" si="8"/>
        <v>8.0199999999999994E-3</v>
      </c>
    </row>
    <row r="182" spans="1:10">
      <c r="A182" t="s">
        <v>264</v>
      </c>
      <c r="B182">
        <v>50</v>
      </c>
      <c r="C182" t="s">
        <v>9</v>
      </c>
      <c r="D182">
        <v>15</v>
      </c>
      <c r="E182">
        <v>64</v>
      </c>
      <c r="F182">
        <v>9.11E-3</v>
      </c>
      <c r="G182">
        <v>0</v>
      </c>
      <c r="H182" t="str">
        <f t="shared" si="6"/>
        <v>60-69</v>
      </c>
      <c r="I182" t="str">
        <f t="shared" si="7"/>
        <v>10-19</v>
      </c>
      <c r="J182">
        <f t="shared" si="8"/>
        <v>9.11E-3</v>
      </c>
    </row>
    <row r="183" spans="1:10">
      <c r="A183" t="s">
        <v>265</v>
      </c>
      <c r="B183">
        <v>37</v>
      </c>
      <c r="C183" t="s">
        <v>7</v>
      </c>
      <c r="D183">
        <v>11</v>
      </c>
      <c r="E183">
        <v>47</v>
      </c>
      <c r="F183">
        <v>1.2199999999999999E-3</v>
      </c>
      <c r="G183">
        <v>0</v>
      </c>
      <c r="H183" t="str">
        <f t="shared" si="6"/>
        <v>40-49</v>
      </c>
      <c r="I183" t="str">
        <f t="shared" si="7"/>
        <v>10-19</v>
      </c>
      <c r="J183">
        <f t="shared" si="8"/>
        <v>1.2199999999999999E-3</v>
      </c>
    </row>
    <row r="184" spans="1:10">
      <c r="A184" t="s">
        <v>266</v>
      </c>
      <c r="B184">
        <v>25</v>
      </c>
      <c r="C184" t="s">
        <v>7</v>
      </c>
      <c r="D184">
        <v>9</v>
      </c>
      <c r="E184">
        <v>33</v>
      </c>
      <c r="F184">
        <v>4.0000000000000002E-4</v>
      </c>
      <c r="G184">
        <v>0</v>
      </c>
      <c r="H184" t="str">
        <f t="shared" si="6"/>
        <v>30-39</v>
      </c>
      <c r="I184" t="str">
        <f t="shared" si="7"/>
        <v>0-9</v>
      </c>
      <c r="J184">
        <f t="shared" si="8"/>
        <v>4.0000000000000002E-4</v>
      </c>
    </row>
    <row r="185" spans="1:10">
      <c r="A185" t="s">
        <v>267</v>
      </c>
      <c r="B185">
        <v>49</v>
      </c>
      <c r="C185" t="s">
        <v>7</v>
      </c>
      <c r="D185">
        <v>19</v>
      </c>
      <c r="E185">
        <v>67</v>
      </c>
      <c r="F185">
        <v>1.001E-2</v>
      </c>
      <c r="G185">
        <v>0</v>
      </c>
      <c r="H185" t="str">
        <f t="shared" si="6"/>
        <v>60-69</v>
      </c>
      <c r="I185" t="str">
        <f t="shared" si="7"/>
        <v>10-19</v>
      </c>
      <c r="J185">
        <f t="shared" si="8"/>
        <v>1.001E-2</v>
      </c>
    </row>
    <row r="186" spans="1:10">
      <c r="A186" t="s">
        <v>268</v>
      </c>
      <c r="B186">
        <v>21</v>
      </c>
      <c r="C186" t="s">
        <v>7</v>
      </c>
      <c r="D186">
        <v>16</v>
      </c>
      <c r="E186">
        <v>36</v>
      </c>
      <c r="F186">
        <v>7.2999999999999996E-4</v>
      </c>
      <c r="G186">
        <v>0</v>
      </c>
      <c r="H186" t="str">
        <f t="shared" si="6"/>
        <v>30-39</v>
      </c>
      <c r="I186" t="str">
        <f t="shared" si="7"/>
        <v>10-19</v>
      </c>
      <c r="J186">
        <f t="shared" si="8"/>
        <v>7.2999999999999996E-4</v>
      </c>
    </row>
    <row r="187" spans="1:10">
      <c r="A187" t="s">
        <v>269</v>
      </c>
      <c r="B187">
        <v>33</v>
      </c>
      <c r="C187" t="s">
        <v>7</v>
      </c>
      <c r="D187">
        <v>12</v>
      </c>
      <c r="E187">
        <v>44</v>
      </c>
      <c r="F187">
        <v>9.8999999999999999E-4</v>
      </c>
      <c r="G187">
        <v>0</v>
      </c>
      <c r="H187" t="str">
        <f t="shared" si="6"/>
        <v>40-49</v>
      </c>
      <c r="I187" t="str">
        <f t="shared" si="7"/>
        <v>10-19</v>
      </c>
      <c r="J187">
        <f t="shared" si="8"/>
        <v>9.8999999999999999E-4</v>
      </c>
    </row>
    <row r="188" spans="1:10">
      <c r="A188" t="s">
        <v>270</v>
      </c>
      <c r="B188">
        <v>58</v>
      </c>
      <c r="C188" t="s">
        <v>7</v>
      </c>
      <c r="D188">
        <v>23</v>
      </c>
      <c r="E188">
        <v>80</v>
      </c>
      <c r="F188">
        <v>3.986E-2</v>
      </c>
      <c r="G188">
        <v>0</v>
      </c>
      <c r="H188" t="str">
        <f t="shared" si="6"/>
        <v>80-89</v>
      </c>
      <c r="I188" t="str">
        <f t="shared" si="7"/>
        <v>20-29</v>
      </c>
      <c r="J188">
        <f t="shared" si="8"/>
        <v>3.986E-2</v>
      </c>
    </row>
    <row r="189" spans="1:10">
      <c r="A189" t="s">
        <v>271</v>
      </c>
      <c r="B189">
        <v>53</v>
      </c>
      <c r="C189" t="s">
        <v>9</v>
      </c>
      <c r="D189">
        <v>7</v>
      </c>
      <c r="E189">
        <v>59</v>
      </c>
      <c r="F189">
        <v>4.7400000000000003E-3</v>
      </c>
      <c r="G189">
        <v>0</v>
      </c>
      <c r="H189" t="str">
        <f t="shared" si="6"/>
        <v>50-59</v>
      </c>
      <c r="I189" t="str">
        <f t="shared" si="7"/>
        <v>0-9</v>
      </c>
      <c r="J189">
        <f t="shared" si="8"/>
        <v>4.7400000000000003E-3</v>
      </c>
    </row>
    <row r="190" spans="1:10">
      <c r="A190" t="s">
        <v>272</v>
      </c>
      <c r="B190">
        <v>51</v>
      </c>
      <c r="C190" t="s">
        <v>7</v>
      </c>
      <c r="D190">
        <v>18</v>
      </c>
      <c r="E190">
        <v>68</v>
      </c>
      <c r="F190">
        <v>1.0800000000000001E-2</v>
      </c>
      <c r="G190">
        <v>0</v>
      </c>
      <c r="H190" t="str">
        <f t="shared" si="6"/>
        <v>60-69</v>
      </c>
      <c r="I190" t="str">
        <f t="shared" si="7"/>
        <v>10-19</v>
      </c>
      <c r="J190">
        <f t="shared" si="8"/>
        <v>1.0800000000000001E-2</v>
      </c>
    </row>
    <row r="191" spans="1:10">
      <c r="A191" t="s">
        <v>273</v>
      </c>
      <c r="B191">
        <v>61</v>
      </c>
      <c r="C191" t="s">
        <v>9</v>
      </c>
      <c r="D191">
        <v>23</v>
      </c>
      <c r="E191">
        <v>83</v>
      </c>
      <c r="F191">
        <v>7.1389999999999995E-2</v>
      </c>
      <c r="G191">
        <v>0</v>
      </c>
      <c r="H191" t="str">
        <f t="shared" si="6"/>
        <v>80-89</v>
      </c>
      <c r="I191" t="str">
        <f t="shared" si="7"/>
        <v>20-29</v>
      </c>
      <c r="J191">
        <f t="shared" si="8"/>
        <v>7.1389999999999995E-2</v>
      </c>
    </row>
    <row r="192" spans="1:10">
      <c r="A192" t="s">
        <v>274</v>
      </c>
      <c r="B192">
        <v>25</v>
      </c>
      <c r="C192" t="s">
        <v>9</v>
      </c>
      <c r="D192">
        <v>10</v>
      </c>
      <c r="E192">
        <v>34</v>
      </c>
      <c r="F192">
        <v>6.6E-4</v>
      </c>
      <c r="G192">
        <v>0</v>
      </c>
      <c r="H192" t="str">
        <f t="shared" si="6"/>
        <v>30-39</v>
      </c>
      <c r="I192" t="str">
        <f t="shared" si="7"/>
        <v>10-19</v>
      </c>
      <c r="J192">
        <f t="shared" si="8"/>
        <v>6.6E-4</v>
      </c>
    </row>
    <row r="193" spans="1:10">
      <c r="A193" t="s">
        <v>275</v>
      </c>
      <c r="B193">
        <v>39</v>
      </c>
      <c r="C193" t="s">
        <v>7</v>
      </c>
      <c r="D193">
        <v>22</v>
      </c>
      <c r="E193">
        <v>60</v>
      </c>
      <c r="F193">
        <v>4.9300000000000004E-3</v>
      </c>
      <c r="G193">
        <v>0</v>
      </c>
      <c r="H193" t="str">
        <f t="shared" si="6"/>
        <v>60-69</v>
      </c>
      <c r="I193" t="str">
        <f t="shared" si="7"/>
        <v>20-29</v>
      </c>
      <c r="J193">
        <f t="shared" si="8"/>
        <v>4.9300000000000004E-3</v>
      </c>
    </row>
    <row r="194" spans="1:10">
      <c r="A194" t="s">
        <v>276</v>
      </c>
      <c r="B194">
        <v>53</v>
      </c>
      <c r="C194" t="s">
        <v>9</v>
      </c>
      <c r="D194">
        <v>12</v>
      </c>
      <c r="E194">
        <v>64</v>
      </c>
      <c r="F194">
        <v>8.8699999999999994E-3</v>
      </c>
      <c r="G194">
        <v>0</v>
      </c>
      <c r="H194" t="str">
        <f t="shared" si="6"/>
        <v>60-69</v>
      </c>
      <c r="I194" t="str">
        <f t="shared" si="7"/>
        <v>10-19</v>
      </c>
      <c r="J194">
        <f t="shared" si="8"/>
        <v>8.8699999999999994E-3</v>
      </c>
    </row>
    <row r="195" spans="1:10">
      <c r="A195" t="s">
        <v>277</v>
      </c>
      <c r="B195">
        <v>41</v>
      </c>
      <c r="C195" t="s">
        <v>7</v>
      </c>
      <c r="D195">
        <v>12</v>
      </c>
      <c r="E195">
        <v>52</v>
      </c>
      <c r="F195">
        <v>2.0100000000000001E-3</v>
      </c>
      <c r="G195">
        <v>0</v>
      </c>
      <c r="H195" t="str">
        <f t="shared" ref="H195:H258" si="9">FLOOR(E195,10) &amp; "-" &amp; FLOOR(E195,10)+9</f>
        <v>50-59</v>
      </c>
      <c r="I195" t="str">
        <f t="shared" ref="I195:I258" si="10">FLOOR(D195, 10) &amp; "-"&amp;FLOOR(D195, 10)+9</f>
        <v>10-19</v>
      </c>
      <c r="J195">
        <f t="shared" ref="J195:J258" si="11">F195</f>
        <v>2.0100000000000001E-3</v>
      </c>
    </row>
    <row r="196" spans="1:10">
      <c r="A196" t="s">
        <v>278</v>
      </c>
      <c r="B196">
        <v>36</v>
      </c>
      <c r="C196" t="s">
        <v>9</v>
      </c>
      <c r="D196">
        <v>8</v>
      </c>
      <c r="E196">
        <v>43</v>
      </c>
      <c r="F196">
        <v>1.1000000000000001E-3</v>
      </c>
      <c r="G196">
        <v>0</v>
      </c>
      <c r="H196" t="str">
        <f t="shared" si="9"/>
        <v>40-49</v>
      </c>
      <c r="I196" t="str">
        <f t="shared" si="10"/>
        <v>0-9</v>
      </c>
      <c r="J196">
        <f t="shared" si="11"/>
        <v>1.1000000000000001E-3</v>
      </c>
    </row>
    <row r="197" spans="1:10">
      <c r="A197" t="s">
        <v>279</v>
      </c>
      <c r="B197">
        <v>27</v>
      </c>
      <c r="C197" t="s">
        <v>7</v>
      </c>
      <c r="D197">
        <v>24</v>
      </c>
      <c r="E197">
        <v>50</v>
      </c>
      <c r="F197">
        <v>2.0200000000000001E-3</v>
      </c>
      <c r="G197">
        <v>0</v>
      </c>
      <c r="H197" t="str">
        <f t="shared" si="9"/>
        <v>50-59</v>
      </c>
      <c r="I197" t="str">
        <f t="shared" si="10"/>
        <v>20-29</v>
      </c>
      <c r="J197">
        <f t="shared" si="11"/>
        <v>2.0200000000000001E-3</v>
      </c>
    </row>
    <row r="198" spans="1:10">
      <c r="A198" t="s">
        <v>280</v>
      </c>
      <c r="B198">
        <v>31</v>
      </c>
      <c r="C198" t="s">
        <v>9</v>
      </c>
      <c r="D198">
        <v>7</v>
      </c>
      <c r="E198">
        <v>37</v>
      </c>
      <c r="F198">
        <v>6.0999999999999997E-4</v>
      </c>
      <c r="G198">
        <v>0</v>
      </c>
      <c r="H198" t="str">
        <f t="shared" si="9"/>
        <v>30-39</v>
      </c>
      <c r="I198" t="str">
        <f t="shared" si="10"/>
        <v>0-9</v>
      </c>
      <c r="J198">
        <f t="shared" si="11"/>
        <v>6.0999999999999997E-4</v>
      </c>
    </row>
    <row r="199" spans="1:10">
      <c r="A199" t="s">
        <v>281</v>
      </c>
      <c r="B199">
        <v>57</v>
      </c>
      <c r="C199" t="s">
        <v>7</v>
      </c>
      <c r="D199">
        <v>25</v>
      </c>
      <c r="E199">
        <v>81</v>
      </c>
      <c r="F199">
        <v>4.4880000000000003E-2</v>
      </c>
      <c r="G199">
        <v>0</v>
      </c>
      <c r="H199" t="str">
        <f t="shared" si="9"/>
        <v>80-89</v>
      </c>
      <c r="I199" t="str">
        <f t="shared" si="10"/>
        <v>20-29</v>
      </c>
      <c r="J199">
        <f t="shared" si="11"/>
        <v>4.4880000000000003E-2</v>
      </c>
    </row>
    <row r="200" spans="1:10">
      <c r="A200" t="s">
        <v>282</v>
      </c>
      <c r="B200">
        <v>26</v>
      </c>
      <c r="C200" t="s">
        <v>9</v>
      </c>
      <c r="D200">
        <v>27</v>
      </c>
      <c r="E200">
        <v>52</v>
      </c>
      <c r="F200">
        <v>3.0899999999999999E-3</v>
      </c>
      <c r="G200">
        <v>0</v>
      </c>
      <c r="H200" t="str">
        <f t="shared" si="9"/>
        <v>50-59</v>
      </c>
      <c r="I200" t="str">
        <f t="shared" si="10"/>
        <v>20-29</v>
      </c>
      <c r="J200">
        <f t="shared" si="11"/>
        <v>3.0899999999999999E-3</v>
      </c>
    </row>
    <row r="201" spans="1:10">
      <c r="A201" t="s">
        <v>283</v>
      </c>
      <c r="B201">
        <v>31</v>
      </c>
      <c r="C201" t="s">
        <v>9</v>
      </c>
      <c r="D201">
        <v>10</v>
      </c>
      <c r="E201">
        <v>40</v>
      </c>
      <c r="F201">
        <v>9.6000000000000002E-4</v>
      </c>
      <c r="G201">
        <v>0</v>
      </c>
      <c r="H201" t="str">
        <f t="shared" si="9"/>
        <v>40-49</v>
      </c>
      <c r="I201" t="str">
        <f t="shared" si="10"/>
        <v>10-19</v>
      </c>
      <c r="J201">
        <f t="shared" si="11"/>
        <v>9.6000000000000002E-4</v>
      </c>
    </row>
    <row r="202" spans="1:10">
      <c r="A202" t="s">
        <v>284</v>
      </c>
      <c r="B202">
        <v>37</v>
      </c>
      <c r="C202" t="s">
        <v>7</v>
      </c>
      <c r="D202">
        <v>2</v>
      </c>
      <c r="E202">
        <v>38</v>
      </c>
      <c r="F202">
        <v>2.9E-4</v>
      </c>
      <c r="G202">
        <v>0</v>
      </c>
      <c r="H202" t="str">
        <f t="shared" si="9"/>
        <v>30-39</v>
      </c>
      <c r="I202" t="str">
        <f t="shared" si="10"/>
        <v>0-9</v>
      </c>
      <c r="J202">
        <f t="shared" si="11"/>
        <v>2.9E-4</v>
      </c>
    </row>
    <row r="203" spans="1:10">
      <c r="A203" t="s">
        <v>285</v>
      </c>
      <c r="B203">
        <v>64</v>
      </c>
      <c r="C203" t="s">
        <v>7</v>
      </c>
      <c r="D203">
        <v>5</v>
      </c>
      <c r="E203">
        <v>68</v>
      </c>
      <c r="F203">
        <v>6.5100000000000002E-3</v>
      </c>
      <c r="G203">
        <v>0</v>
      </c>
      <c r="H203" t="str">
        <f t="shared" si="9"/>
        <v>60-69</v>
      </c>
      <c r="I203" t="str">
        <f t="shared" si="10"/>
        <v>0-9</v>
      </c>
      <c r="J203">
        <f t="shared" si="11"/>
        <v>6.5100000000000002E-3</v>
      </c>
    </row>
    <row r="204" spans="1:10">
      <c r="A204" t="s">
        <v>286</v>
      </c>
      <c r="B204">
        <v>26</v>
      </c>
      <c r="C204" t="s">
        <v>9</v>
      </c>
      <c r="D204">
        <v>28</v>
      </c>
      <c r="E204">
        <v>53</v>
      </c>
      <c r="F204">
        <v>3.0899999999999999E-3</v>
      </c>
      <c r="G204">
        <v>0</v>
      </c>
      <c r="H204" t="str">
        <f t="shared" si="9"/>
        <v>50-59</v>
      </c>
      <c r="I204" t="str">
        <f t="shared" si="10"/>
        <v>20-29</v>
      </c>
      <c r="J204">
        <f t="shared" si="11"/>
        <v>3.0899999999999999E-3</v>
      </c>
    </row>
    <row r="205" spans="1:10">
      <c r="A205" t="s">
        <v>287</v>
      </c>
      <c r="B205">
        <v>50</v>
      </c>
      <c r="C205" t="s">
        <v>9</v>
      </c>
      <c r="D205">
        <v>15</v>
      </c>
      <c r="E205">
        <v>64</v>
      </c>
      <c r="F205">
        <v>9.11E-3</v>
      </c>
      <c r="G205">
        <v>0</v>
      </c>
      <c r="H205" t="str">
        <f t="shared" si="9"/>
        <v>60-69</v>
      </c>
      <c r="I205" t="str">
        <f t="shared" si="10"/>
        <v>10-19</v>
      </c>
      <c r="J205">
        <f t="shared" si="11"/>
        <v>9.11E-3</v>
      </c>
    </row>
    <row r="206" spans="1:10">
      <c r="A206" t="s">
        <v>288</v>
      </c>
      <c r="B206">
        <v>36</v>
      </c>
      <c r="C206" t="s">
        <v>9</v>
      </c>
      <c r="D206">
        <v>28</v>
      </c>
      <c r="E206">
        <v>63</v>
      </c>
      <c r="F206">
        <v>7.0200000000000002E-3</v>
      </c>
      <c r="G206">
        <v>0</v>
      </c>
      <c r="H206" t="str">
        <f t="shared" si="9"/>
        <v>60-69</v>
      </c>
      <c r="I206" t="str">
        <f t="shared" si="10"/>
        <v>20-29</v>
      </c>
      <c r="J206">
        <f t="shared" si="11"/>
        <v>7.0200000000000002E-3</v>
      </c>
    </row>
    <row r="207" spans="1:10">
      <c r="A207" t="s">
        <v>289</v>
      </c>
      <c r="B207">
        <v>45</v>
      </c>
      <c r="C207" t="s">
        <v>9</v>
      </c>
      <c r="D207">
        <v>16</v>
      </c>
      <c r="E207">
        <v>60</v>
      </c>
      <c r="F207">
        <v>6.2500000000000003E-3</v>
      </c>
      <c r="G207">
        <v>0</v>
      </c>
      <c r="H207" t="str">
        <f t="shared" si="9"/>
        <v>60-69</v>
      </c>
      <c r="I207" t="str">
        <f t="shared" si="10"/>
        <v>10-19</v>
      </c>
      <c r="J207">
        <f t="shared" si="11"/>
        <v>6.2500000000000003E-3</v>
      </c>
    </row>
    <row r="208" spans="1:10">
      <c r="A208" t="s">
        <v>290</v>
      </c>
      <c r="B208">
        <v>23</v>
      </c>
      <c r="C208" t="s">
        <v>9</v>
      </c>
      <c r="D208">
        <v>5</v>
      </c>
      <c r="E208">
        <v>27</v>
      </c>
      <c r="F208">
        <v>5.1999999999999995E-4</v>
      </c>
      <c r="G208">
        <v>0</v>
      </c>
      <c r="H208" t="str">
        <f t="shared" si="9"/>
        <v>20-29</v>
      </c>
      <c r="I208" t="str">
        <f t="shared" si="10"/>
        <v>0-9</v>
      </c>
      <c r="J208">
        <f t="shared" si="11"/>
        <v>5.1999999999999995E-4</v>
      </c>
    </row>
    <row r="209" spans="1:10">
      <c r="A209" t="s">
        <v>291</v>
      </c>
      <c r="B209">
        <v>39</v>
      </c>
      <c r="C209" t="s">
        <v>7</v>
      </c>
      <c r="D209">
        <v>3</v>
      </c>
      <c r="E209">
        <v>41</v>
      </c>
      <c r="F209">
        <v>4.8000000000000001E-4</v>
      </c>
      <c r="G209">
        <v>0</v>
      </c>
      <c r="H209" t="str">
        <f t="shared" si="9"/>
        <v>40-49</v>
      </c>
      <c r="I209" t="str">
        <f t="shared" si="10"/>
        <v>0-9</v>
      </c>
      <c r="J209">
        <f t="shared" si="11"/>
        <v>4.8000000000000001E-4</v>
      </c>
    </row>
    <row r="210" spans="1:10">
      <c r="A210" t="s">
        <v>292</v>
      </c>
      <c r="B210">
        <v>46</v>
      </c>
      <c r="C210" t="s">
        <v>7</v>
      </c>
      <c r="D210">
        <v>20</v>
      </c>
      <c r="E210">
        <v>65</v>
      </c>
      <c r="F210">
        <v>8.2000000000000007E-3</v>
      </c>
      <c r="G210">
        <v>0</v>
      </c>
      <c r="H210" t="str">
        <f t="shared" si="9"/>
        <v>60-69</v>
      </c>
      <c r="I210" t="str">
        <f t="shared" si="10"/>
        <v>20-29</v>
      </c>
      <c r="J210">
        <f t="shared" si="11"/>
        <v>8.2000000000000007E-3</v>
      </c>
    </row>
    <row r="211" spans="1:10">
      <c r="A211" t="s">
        <v>293</v>
      </c>
      <c r="B211">
        <v>53</v>
      </c>
      <c r="C211" t="s">
        <v>9</v>
      </c>
      <c r="D211">
        <v>13</v>
      </c>
      <c r="E211">
        <v>65</v>
      </c>
      <c r="F211">
        <v>9.8499999999999994E-3</v>
      </c>
      <c r="G211">
        <v>0</v>
      </c>
      <c r="H211" t="str">
        <f t="shared" si="9"/>
        <v>60-69</v>
      </c>
      <c r="I211" t="str">
        <f t="shared" si="10"/>
        <v>10-19</v>
      </c>
      <c r="J211">
        <f t="shared" si="11"/>
        <v>9.8499999999999994E-3</v>
      </c>
    </row>
    <row r="212" spans="1:10">
      <c r="A212" t="s">
        <v>294</v>
      </c>
      <c r="B212">
        <v>57</v>
      </c>
      <c r="C212" t="s">
        <v>9</v>
      </c>
      <c r="D212">
        <v>14</v>
      </c>
      <c r="E212">
        <v>70</v>
      </c>
      <c r="F212">
        <v>1.6750000000000001E-2</v>
      </c>
      <c r="G212">
        <v>0</v>
      </c>
      <c r="H212" t="str">
        <f t="shared" si="9"/>
        <v>70-79</v>
      </c>
      <c r="I212" t="str">
        <f t="shared" si="10"/>
        <v>10-19</v>
      </c>
      <c r="J212">
        <f t="shared" si="11"/>
        <v>1.6750000000000001E-2</v>
      </c>
    </row>
    <row r="213" spans="1:10">
      <c r="A213" t="s">
        <v>295</v>
      </c>
      <c r="B213">
        <v>59</v>
      </c>
      <c r="C213" t="s">
        <v>9</v>
      </c>
      <c r="D213">
        <v>24</v>
      </c>
      <c r="E213">
        <v>82</v>
      </c>
      <c r="F213">
        <v>6.3329999999999997E-2</v>
      </c>
      <c r="G213">
        <v>0</v>
      </c>
      <c r="H213" t="str">
        <f t="shared" si="9"/>
        <v>80-89</v>
      </c>
      <c r="I213" t="str">
        <f t="shared" si="10"/>
        <v>20-29</v>
      </c>
      <c r="J213">
        <f t="shared" si="11"/>
        <v>6.3329999999999997E-2</v>
      </c>
    </row>
    <row r="214" spans="1:10">
      <c r="A214" t="s">
        <v>296</v>
      </c>
      <c r="B214">
        <v>60</v>
      </c>
      <c r="C214" t="s">
        <v>9</v>
      </c>
      <c r="D214">
        <v>7</v>
      </c>
      <c r="E214">
        <v>66</v>
      </c>
      <c r="F214">
        <v>9.4599999999999997E-3</v>
      </c>
      <c r="G214">
        <v>0</v>
      </c>
      <c r="H214" t="str">
        <f t="shared" si="9"/>
        <v>60-69</v>
      </c>
      <c r="I214" t="str">
        <f t="shared" si="10"/>
        <v>0-9</v>
      </c>
      <c r="J214">
        <f t="shared" si="11"/>
        <v>9.4599999999999997E-3</v>
      </c>
    </row>
    <row r="215" spans="1:10">
      <c r="A215" t="s">
        <v>297</v>
      </c>
      <c r="B215">
        <v>35</v>
      </c>
      <c r="C215" t="s">
        <v>7</v>
      </c>
      <c r="D215">
        <v>6</v>
      </c>
      <c r="E215">
        <v>40</v>
      </c>
      <c r="F215">
        <v>5.9000000000000003E-4</v>
      </c>
      <c r="G215">
        <v>0</v>
      </c>
      <c r="H215" t="str">
        <f t="shared" si="9"/>
        <v>40-49</v>
      </c>
      <c r="I215" t="str">
        <f t="shared" si="10"/>
        <v>0-9</v>
      </c>
      <c r="J215">
        <f t="shared" si="11"/>
        <v>5.9000000000000003E-4</v>
      </c>
    </row>
    <row r="216" spans="1:10">
      <c r="A216" t="s">
        <v>298</v>
      </c>
      <c r="B216">
        <v>46</v>
      </c>
      <c r="C216" t="s">
        <v>7</v>
      </c>
      <c r="D216">
        <v>15</v>
      </c>
      <c r="E216">
        <v>60</v>
      </c>
      <c r="F216">
        <v>4.5700000000000003E-3</v>
      </c>
      <c r="G216">
        <v>0</v>
      </c>
      <c r="H216" t="str">
        <f t="shared" si="9"/>
        <v>60-69</v>
      </c>
      <c r="I216" t="str">
        <f t="shared" si="10"/>
        <v>10-19</v>
      </c>
      <c r="J216">
        <f t="shared" si="11"/>
        <v>4.5700000000000003E-3</v>
      </c>
    </row>
    <row r="217" spans="1:10">
      <c r="A217" t="s">
        <v>299</v>
      </c>
      <c r="B217">
        <v>22</v>
      </c>
      <c r="C217" t="s">
        <v>9</v>
      </c>
      <c r="D217">
        <v>8</v>
      </c>
      <c r="E217">
        <v>29</v>
      </c>
      <c r="F217">
        <v>5.9000000000000003E-4</v>
      </c>
      <c r="G217">
        <v>0</v>
      </c>
      <c r="H217" t="str">
        <f t="shared" si="9"/>
        <v>20-29</v>
      </c>
      <c r="I217" t="str">
        <f t="shared" si="10"/>
        <v>0-9</v>
      </c>
      <c r="J217">
        <f t="shared" si="11"/>
        <v>5.9000000000000003E-4</v>
      </c>
    </row>
    <row r="218" spans="1:10">
      <c r="A218" t="s">
        <v>300</v>
      </c>
      <c r="B218">
        <v>49</v>
      </c>
      <c r="C218" t="s">
        <v>7</v>
      </c>
      <c r="D218">
        <v>3</v>
      </c>
      <c r="E218">
        <v>51</v>
      </c>
      <c r="F218">
        <v>1.1199999999999999E-3</v>
      </c>
      <c r="G218">
        <v>0</v>
      </c>
      <c r="H218" t="str">
        <f t="shared" si="9"/>
        <v>50-59</v>
      </c>
      <c r="I218" t="str">
        <f t="shared" si="10"/>
        <v>0-9</v>
      </c>
      <c r="J218">
        <f t="shared" si="11"/>
        <v>1.1199999999999999E-3</v>
      </c>
    </row>
    <row r="219" spans="1:10">
      <c r="A219" t="s">
        <v>301</v>
      </c>
      <c r="B219">
        <v>60</v>
      </c>
      <c r="C219" t="s">
        <v>7</v>
      </c>
      <c r="D219">
        <v>19</v>
      </c>
      <c r="E219">
        <v>78</v>
      </c>
      <c r="F219">
        <v>3.0339999999999999E-2</v>
      </c>
      <c r="G219">
        <v>0</v>
      </c>
      <c r="H219" t="str">
        <f t="shared" si="9"/>
        <v>70-79</v>
      </c>
      <c r="I219" t="str">
        <f t="shared" si="10"/>
        <v>10-19</v>
      </c>
      <c r="J219">
        <f t="shared" si="11"/>
        <v>3.0339999999999999E-2</v>
      </c>
    </row>
    <row r="220" spans="1:10">
      <c r="A220" t="s">
        <v>302</v>
      </c>
      <c r="B220">
        <v>47</v>
      </c>
      <c r="C220" t="s">
        <v>7</v>
      </c>
      <c r="D220">
        <v>4</v>
      </c>
      <c r="E220">
        <v>50</v>
      </c>
      <c r="F220">
        <v>1.15E-3</v>
      </c>
      <c r="G220">
        <v>0</v>
      </c>
      <c r="H220" t="str">
        <f t="shared" si="9"/>
        <v>50-59</v>
      </c>
      <c r="I220" t="str">
        <f t="shared" si="10"/>
        <v>0-9</v>
      </c>
      <c r="J220">
        <f t="shared" si="11"/>
        <v>1.15E-3</v>
      </c>
    </row>
    <row r="221" spans="1:10">
      <c r="A221" t="s">
        <v>303</v>
      </c>
      <c r="B221">
        <v>37</v>
      </c>
      <c r="C221" t="s">
        <v>9</v>
      </c>
      <c r="D221">
        <v>27</v>
      </c>
      <c r="E221">
        <v>63</v>
      </c>
      <c r="F221">
        <v>7.79E-3</v>
      </c>
      <c r="G221">
        <v>0</v>
      </c>
      <c r="H221" t="str">
        <f t="shared" si="9"/>
        <v>60-69</v>
      </c>
      <c r="I221" t="str">
        <f t="shared" si="10"/>
        <v>20-29</v>
      </c>
      <c r="J221">
        <f t="shared" si="11"/>
        <v>7.79E-3</v>
      </c>
    </row>
    <row r="222" spans="1:10">
      <c r="A222" t="s">
        <v>304</v>
      </c>
      <c r="B222">
        <v>39</v>
      </c>
      <c r="C222" t="s">
        <v>7</v>
      </c>
      <c r="D222">
        <v>20</v>
      </c>
      <c r="E222">
        <v>58</v>
      </c>
      <c r="F222">
        <v>4.0200000000000001E-3</v>
      </c>
      <c r="G222">
        <v>0</v>
      </c>
      <c r="H222" t="str">
        <f t="shared" si="9"/>
        <v>50-59</v>
      </c>
      <c r="I222" t="str">
        <f t="shared" si="10"/>
        <v>20-29</v>
      </c>
      <c r="J222">
        <f t="shared" si="11"/>
        <v>4.0200000000000001E-3</v>
      </c>
    </row>
    <row r="223" spans="1:10">
      <c r="A223" t="s">
        <v>305</v>
      </c>
      <c r="B223">
        <v>38</v>
      </c>
      <c r="C223" t="s">
        <v>9</v>
      </c>
      <c r="D223">
        <v>15</v>
      </c>
      <c r="E223">
        <v>52</v>
      </c>
      <c r="F223">
        <v>2.7100000000000002E-3</v>
      </c>
      <c r="G223">
        <v>0</v>
      </c>
      <c r="H223" t="str">
        <f t="shared" si="9"/>
        <v>50-59</v>
      </c>
      <c r="I223" t="str">
        <f t="shared" si="10"/>
        <v>10-19</v>
      </c>
      <c r="J223">
        <f t="shared" si="11"/>
        <v>2.7100000000000002E-3</v>
      </c>
    </row>
    <row r="224" spans="1:10">
      <c r="A224" t="s">
        <v>306</v>
      </c>
      <c r="B224">
        <v>64</v>
      </c>
      <c r="C224" t="s">
        <v>7</v>
      </c>
      <c r="D224">
        <v>13</v>
      </c>
      <c r="E224">
        <v>76</v>
      </c>
      <c r="F224">
        <v>2.018E-2</v>
      </c>
      <c r="G224">
        <v>0</v>
      </c>
      <c r="H224" t="str">
        <f t="shared" si="9"/>
        <v>70-79</v>
      </c>
      <c r="I224" t="str">
        <f t="shared" si="10"/>
        <v>10-19</v>
      </c>
      <c r="J224">
        <f t="shared" si="11"/>
        <v>2.018E-2</v>
      </c>
    </row>
    <row r="225" spans="1:10">
      <c r="A225" t="s">
        <v>307</v>
      </c>
      <c r="B225">
        <v>51</v>
      </c>
      <c r="C225" t="s">
        <v>9</v>
      </c>
      <c r="D225">
        <v>15</v>
      </c>
      <c r="E225">
        <v>65</v>
      </c>
      <c r="F225">
        <v>1.005E-2</v>
      </c>
      <c r="G225">
        <v>0</v>
      </c>
      <c r="H225" t="str">
        <f t="shared" si="9"/>
        <v>60-69</v>
      </c>
      <c r="I225" t="str">
        <f t="shared" si="10"/>
        <v>10-19</v>
      </c>
      <c r="J225">
        <f t="shared" si="11"/>
        <v>1.005E-2</v>
      </c>
    </row>
    <row r="226" spans="1:10">
      <c r="A226" t="s">
        <v>308</v>
      </c>
      <c r="B226">
        <v>47</v>
      </c>
      <c r="C226" t="s">
        <v>9</v>
      </c>
      <c r="D226">
        <v>24</v>
      </c>
      <c r="E226">
        <v>70</v>
      </c>
      <c r="F226">
        <v>1.7160000000000002E-2</v>
      </c>
      <c r="G226">
        <v>0</v>
      </c>
      <c r="H226" t="str">
        <f t="shared" si="9"/>
        <v>70-79</v>
      </c>
      <c r="I226" t="str">
        <f t="shared" si="10"/>
        <v>20-29</v>
      </c>
      <c r="J226">
        <f t="shared" si="11"/>
        <v>1.7160000000000002E-2</v>
      </c>
    </row>
    <row r="227" spans="1:10">
      <c r="A227" t="s">
        <v>309</v>
      </c>
      <c r="B227">
        <v>25</v>
      </c>
      <c r="C227" t="s">
        <v>7</v>
      </c>
      <c r="D227">
        <v>8</v>
      </c>
      <c r="E227">
        <v>32</v>
      </c>
      <c r="F227">
        <v>3.6999999999999999E-4</v>
      </c>
      <c r="G227">
        <v>0</v>
      </c>
      <c r="H227" t="str">
        <f t="shared" si="9"/>
        <v>30-39</v>
      </c>
      <c r="I227" t="str">
        <f t="shared" si="10"/>
        <v>0-9</v>
      </c>
      <c r="J227">
        <f t="shared" si="11"/>
        <v>3.6999999999999999E-4</v>
      </c>
    </row>
    <row r="228" spans="1:10">
      <c r="A228" t="s">
        <v>310</v>
      </c>
      <c r="B228">
        <v>56</v>
      </c>
      <c r="C228" t="s">
        <v>7</v>
      </c>
      <c r="D228">
        <v>19</v>
      </c>
      <c r="E228">
        <v>74</v>
      </c>
      <c r="F228">
        <v>2.019E-2</v>
      </c>
      <c r="G228">
        <v>0</v>
      </c>
      <c r="H228" t="str">
        <f t="shared" si="9"/>
        <v>70-79</v>
      </c>
      <c r="I228" t="str">
        <f t="shared" si="10"/>
        <v>10-19</v>
      </c>
      <c r="J228">
        <f t="shared" si="11"/>
        <v>2.019E-2</v>
      </c>
    </row>
    <row r="229" spans="1:10">
      <c r="A229" t="s">
        <v>311</v>
      </c>
      <c r="B229">
        <v>63</v>
      </c>
      <c r="C229" t="s">
        <v>9</v>
      </c>
      <c r="D229">
        <v>27</v>
      </c>
      <c r="E229">
        <v>89</v>
      </c>
      <c r="F229">
        <v>0.13258</v>
      </c>
      <c r="G229">
        <v>1</v>
      </c>
      <c r="H229" t="str">
        <f t="shared" si="9"/>
        <v>80-89</v>
      </c>
      <c r="I229" t="str">
        <f t="shared" si="10"/>
        <v>20-29</v>
      </c>
      <c r="J229">
        <f t="shared" si="11"/>
        <v>0.13258</v>
      </c>
    </row>
    <row r="230" spans="1:10">
      <c r="A230" t="s">
        <v>312</v>
      </c>
      <c r="B230">
        <v>31</v>
      </c>
      <c r="C230" t="s">
        <v>7</v>
      </c>
      <c r="D230">
        <v>16</v>
      </c>
      <c r="E230">
        <v>46</v>
      </c>
      <c r="F230">
        <v>1.2899999999999999E-3</v>
      </c>
      <c r="G230">
        <v>0</v>
      </c>
      <c r="H230" t="str">
        <f t="shared" si="9"/>
        <v>40-49</v>
      </c>
      <c r="I230" t="str">
        <f t="shared" si="10"/>
        <v>10-19</v>
      </c>
      <c r="J230">
        <f t="shared" si="11"/>
        <v>1.2899999999999999E-3</v>
      </c>
    </row>
    <row r="231" spans="1:10">
      <c r="A231" t="s">
        <v>313</v>
      </c>
      <c r="B231">
        <v>37</v>
      </c>
      <c r="C231" t="s">
        <v>7</v>
      </c>
      <c r="D231">
        <v>6</v>
      </c>
      <c r="E231">
        <v>42</v>
      </c>
      <c r="F231">
        <v>7.1000000000000002E-4</v>
      </c>
      <c r="G231">
        <v>0</v>
      </c>
      <c r="H231" t="str">
        <f t="shared" si="9"/>
        <v>40-49</v>
      </c>
      <c r="I231" t="str">
        <f t="shared" si="10"/>
        <v>0-9</v>
      </c>
      <c r="J231">
        <f t="shared" si="11"/>
        <v>7.1000000000000002E-4</v>
      </c>
    </row>
    <row r="232" spans="1:10">
      <c r="A232" t="s">
        <v>314</v>
      </c>
      <c r="B232">
        <v>51</v>
      </c>
      <c r="C232" t="s">
        <v>9</v>
      </c>
      <c r="D232">
        <v>3</v>
      </c>
      <c r="E232">
        <v>53</v>
      </c>
      <c r="F232">
        <v>1.91E-3</v>
      </c>
      <c r="G232">
        <v>0</v>
      </c>
      <c r="H232" t="str">
        <f t="shared" si="9"/>
        <v>50-59</v>
      </c>
      <c r="I232" t="str">
        <f t="shared" si="10"/>
        <v>0-9</v>
      </c>
      <c r="J232">
        <f t="shared" si="11"/>
        <v>1.91E-3</v>
      </c>
    </row>
    <row r="233" spans="1:10">
      <c r="A233" t="s">
        <v>315</v>
      </c>
      <c r="B233">
        <v>40</v>
      </c>
      <c r="C233" t="s">
        <v>9</v>
      </c>
      <c r="D233">
        <v>22</v>
      </c>
      <c r="E233">
        <v>61</v>
      </c>
      <c r="F233">
        <v>7.0200000000000002E-3</v>
      </c>
      <c r="G233">
        <v>0</v>
      </c>
      <c r="H233" t="str">
        <f t="shared" si="9"/>
        <v>60-69</v>
      </c>
      <c r="I233" t="str">
        <f t="shared" si="10"/>
        <v>20-29</v>
      </c>
      <c r="J233">
        <f t="shared" si="11"/>
        <v>7.0200000000000002E-3</v>
      </c>
    </row>
    <row r="234" spans="1:10">
      <c r="A234" t="s">
        <v>316</v>
      </c>
      <c r="B234">
        <v>46</v>
      </c>
      <c r="C234" t="s">
        <v>9</v>
      </c>
      <c r="D234">
        <v>23</v>
      </c>
      <c r="E234">
        <v>68</v>
      </c>
      <c r="F234">
        <v>1.405E-2</v>
      </c>
      <c r="G234">
        <v>0</v>
      </c>
      <c r="H234" t="str">
        <f t="shared" si="9"/>
        <v>60-69</v>
      </c>
      <c r="I234" t="str">
        <f t="shared" si="10"/>
        <v>20-29</v>
      </c>
      <c r="J234">
        <f t="shared" si="11"/>
        <v>1.405E-2</v>
      </c>
    </row>
    <row r="235" spans="1:10">
      <c r="A235" t="s">
        <v>317</v>
      </c>
      <c r="B235">
        <v>45</v>
      </c>
      <c r="C235" t="s">
        <v>7</v>
      </c>
      <c r="D235">
        <v>27</v>
      </c>
      <c r="E235">
        <v>71</v>
      </c>
      <c r="F235">
        <v>1.404E-2</v>
      </c>
      <c r="G235">
        <v>0</v>
      </c>
      <c r="H235" t="str">
        <f t="shared" si="9"/>
        <v>70-79</v>
      </c>
      <c r="I235" t="str">
        <f t="shared" si="10"/>
        <v>20-29</v>
      </c>
      <c r="J235">
        <f t="shared" si="11"/>
        <v>1.404E-2</v>
      </c>
    </row>
    <row r="236" spans="1:10">
      <c r="A236" t="s">
        <v>318</v>
      </c>
      <c r="B236">
        <v>25</v>
      </c>
      <c r="C236" t="s">
        <v>9</v>
      </c>
      <c r="D236">
        <v>11</v>
      </c>
      <c r="E236">
        <v>35</v>
      </c>
      <c r="F236">
        <v>7.2999999999999996E-4</v>
      </c>
      <c r="G236">
        <v>0</v>
      </c>
      <c r="H236" t="str">
        <f t="shared" si="9"/>
        <v>30-39</v>
      </c>
      <c r="I236" t="str">
        <f t="shared" si="10"/>
        <v>10-19</v>
      </c>
      <c r="J236">
        <f t="shared" si="11"/>
        <v>7.2999999999999996E-4</v>
      </c>
    </row>
    <row r="237" spans="1:10">
      <c r="A237" t="s">
        <v>319</v>
      </c>
      <c r="B237">
        <v>45</v>
      </c>
      <c r="C237" t="s">
        <v>7</v>
      </c>
      <c r="D237">
        <v>28</v>
      </c>
      <c r="E237">
        <v>72</v>
      </c>
      <c r="F237">
        <v>1.404E-2</v>
      </c>
      <c r="G237">
        <v>0</v>
      </c>
      <c r="H237" t="str">
        <f t="shared" si="9"/>
        <v>70-79</v>
      </c>
      <c r="I237" t="str">
        <f t="shared" si="10"/>
        <v>20-29</v>
      </c>
      <c r="J237">
        <f t="shared" si="11"/>
        <v>1.404E-2</v>
      </c>
    </row>
    <row r="238" spans="1:10">
      <c r="A238" t="s">
        <v>320</v>
      </c>
      <c r="B238">
        <v>62</v>
      </c>
      <c r="C238" t="s">
        <v>7</v>
      </c>
      <c r="D238">
        <v>28</v>
      </c>
      <c r="E238">
        <v>89</v>
      </c>
      <c r="F238">
        <v>9.3240000000000003E-2</v>
      </c>
      <c r="G238">
        <v>0</v>
      </c>
      <c r="H238" t="str">
        <f t="shared" si="9"/>
        <v>80-89</v>
      </c>
      <c r="I238" t="str">
        <f t="shared" si="10"/>
        <v>20-29</v>
      </c>
      <c r="J238">
        <f t="shared" si="11"/>
        <v>9.3240000000000003E-2</v>
      </c>
    </row>
    <row r="239" spans="1:10">
      <c r="A239" t="s">
        <v>321</v>
      </c>
      <c r="B239">
        <v>32</v>
      </c>
      <c r="C239" t="s">
        <v>9</v>
      </c>
      <c r="D239">
        <v>17</v>
      </c>
      <c r="E239">
        <v>48</v>
      </c>
      <c r="F239">
        <v>2.1199999999999999E-3</v>
      </c>
      <c r="G239">
        <v>0</v>
      </c>
      <c r="H239" t="str">
        <f t="shared" si="9"/>
        <v>40-49</v>
      </c>
      <c r="I239" t="str">
        <f t="shared" si="10"/>
        <v>10-19</v>
      </c>
      <c r="J239">
        <f t="shared" si="11"/>
        <v>2.1199999999999999E-3</v>
      </c>
    </row>
    <row r="240" spans="1:10">
      <c r="A240" t="s">
        <v>322</v>
      </c>
      <c r="B240">
        <v>60</v>
      </c>
      <c r="C240" t="s">
        <v>7</v>
      </c>
      <c r="D240">
        <v>15</v>
      </c>
      <c r="E240">
        <v>74</v>
      </c>
      <c r="F240">
        <v>1.7819999999999999E-2</v>
      </c>
      <c r="G240">
        <v>0</v>
      </c>
      <c r="H240" t="str">
        <f t="shared" si="9"/>
        <v>70-79</v>
      </c>
      <c r="I240" t="str">
        <f t="shared" si="10"/>
        <v>10-19</v>
      </c>
      <c r="J240">
        <f t="shared" si="11"/>
        <v>1.7819999999999999E-2</v>
      </c>
    </row>
    <row r="241" spans="1:10">
      <c r="A241" t="s">
        <v>323</v>
      </c>
      <c r="B241">
        <v>55</v>
      </c>
      <c r="C241" t="s">
        <v>7</v>
      </c>
      <c r="D241">
        <v>5</v>
      </c>
      <c r="E241">
        <v>59</v>
      </c>
      <c r="F241">
        <v>2.9099999999999998E-3</v>
      </c>
      <c r="G241">
        <v>0</v>
      </c>
      <c r="H241" t="str">
        <f t="shared" si="9"/>
        <v>50-59</v>
      </c>
      <c r="I241" t="str">
        <f t="shared" si="10"/>
        <v>0-9</v>
      </c>
      <c r="J241">
        <f t="shared" si="11"/>
        <v>2.9099999999999998E-3</v>
      </c>
    </row>
    <row r="242" spans="1:10">
      <c r="A242" t="s">
        <v>324</v>
      </c>
      <c r="B242">
        <v>64</v>
      </c>
      <c r="C242" t="s">
        <v>9</v>
      </c>
      <c r="D242">
        <v>16</v>
      </c>
      <c r="E242">
        <v>79</v>
      </c>
      <c r="F242">
        <v>4.2389999999999997E-2</v>
      </c>
      <c r="G242">
        <v>0</v>
      </c>
      <c r="H242" t="str">
        <f t="shared" si="9"/>
        <v>70-79</v>
      </c>
      <c r="I242" t="str">
        <f t="shared" si="10"/>
        <v>10-19</v>
      </c>
      <c r="J242">
        <f t="shared" si="11"/>
        <v>4.2389999999999997E-2</v>
      </c>
    </row>
    <row r="243" spans="1:10">
      <c r="A243" t="s">
        <v>325</v>
      </c>
      <c r="B243">
        <v>58</v>
      </c>
      <c r="C243" t="s">
        <v>9</v>
      </c>
      <c r="D243">
        <v>26</v>
      </c>
      <c r="E243">
        <v>83</v>
      </c>
      <c r="F243">
        <v>7.1389999999999995E-2</v>
      </c>
      <c r="G243">
        <v>0</v>
      </c>
      <c r="H243" t="str">
        <f t="shared" si="9"/>
        <v>80-89</v>
      </c>
      <c r="I243" t="str">
        <f t="shared" si="10"/>
        <v>20-29</v>
      </c>
      <c r="J243">
        <f t="shared" si="11"/>
        <v>7.1389999999999995E-2</v>
      </c>
    </row>
    <row r="244" spans="1:10">
      <c r="A244" t="s">
        <v>326</v>
      </c>
      <c r="B244">
        <v>55</v>
      </c>
      <c r="C244" t="s">
        <v>7</v>
      </c>
      <c r="D244">
        <v>1</v>
      </c>
      <c r="E244">
        <v>55</v>
      </c>
      <c r="F244">
        <v>5.4000000000000001E-4</v>
      </c>
      <c r="G244">
        <v>0</v>
      </c>
      <c r="H244" t="str">
        <f t="shared" si="9"/>
        <v>50-59</v>
      </c>
      <c r="I244" t="str">
        <f t="shared" si="10"/>
        <v>0-9</v>
      </c>
      <c r="J244">
        <f t="shared" si="11"/>
        <v>5.4000000000000001E-4</v>
      </c>
    </row>
    <row r="245" spans="1:10">
      <c r="A245" t="s">
        <v>327</v>
      </c>
      <c r="B245">
        <v>27</v>
      </c>
      <c r="C245" t="s">
        <v>7</v>
      </c>
      <c r="D245">
        <v>15</v>
      </c>
      <c r="E245">
        <v>41</v>
      </c>
      <c r="F245">
        <v>9.8999999999999999E-4</v>
      </c>
      <c r="G245">
        <v>0</v>
      </c>
      <c r="H245" t="str">
        <f t="shared" si="9"/>
        <v>40-49</v>
      </c>
      <c r="I245" t="str">
        <f t="shared" si="10"/>
        <v>10-19</v>
      </c>
      <c r="J245">
        <f t="shared" si="11"/>
        <v>9.8999999999999999E-4</v>
      </c>
    </row>
    <row r="246" spans="1:10">
      <c r="A246" t="s">
        <v>328</v>
      </c>
      <c r="B246">
        <v>29</v>
      </c>
      <c r="C246" t="s">
        <v>7</v>
      </c>
      <c r="D246">
        <v>16</v>
      </c>
      <c r="E246">
        <v>44</v>
      </c>
      <c r="F246">
        <v>1.15E-3</v>
      </c>
      <c r="G246">
        <v>0</v>
      </c>
      <c r="H246" t="str">
        <f t="shared" si="9"/>
        <v>40-49</v>
      </c>
      <c r="I246" t="str">
        <f t="shared" si="10"/>
        <v>10-19</v>
      </c>
      <c r="J246">
        <f t="shared" si="11"/>
        <v>1.15E-3</v>
      </c>
    </row>
    <row r="247" spans="1:10">
      <c r="A247" t="s">
        <v>329</v>
      </c>
      <c r="B247">
        <v>65</v>
      </c>
      <c r="C247" t="s">
        <v>9</v>
      </c>
      <c r="D247">
        <v>9</v>
      </c>
      <c r="E247">
        <v>73</v>
      </c>
      <c r="F247">
        <v>1.6899999999999998E-2</v>
      </c>
      <c r="G247">
        <v>0</v>
      </c>
      <c r="H247" t="str">
        <f t="shared" si="9"/>
        <v>70-79</v>
      </c>
      <c r="I247" t="str">
        <f t="shared" si="10"/>
        <v>0-9</v>
      </c>
      <c r="J247">
        <f t="shared" si="11"/>
        <v>1.6899999999999998E-2</v>
      </c>
    </row>
    <row r="248" spans="1:10">
      <c r="A248" t="s">
        <v>330</v>
      </c>
      <c r="B248">
        <v>50</v>
      </c>
      <c r="C248" t="s">
        <v>9</v>
      </c>
      <c r="D248">
        <v>8</v>
      </c>
      <c r="E248">
        <v>57</v>
      </c>
      <c r="F248">
        <v>3.7699999999999999E-3</v>
      </c>
      <c r="G248">
        <v>0</v>
      </c>
      <c r="H248" t="str">
        <f t="shared" si="9"/>
        <v>50-59</v>
      </c>
      <c r="I248" t="str">
        <f t="shared" si="10"/>
        <v>0-9</v>
      </c>
      <c r="J248">
        <f t="shared" si="11"/>
        <v>3.7699999999999999E-3</v>
      </c>
    </row>
    <row r="249" spans="1:10">
      <c r="A249" t="s">
        <v>331</v>
      </c>
      <c r="B249">
        <v>32</v>
      </c>
      <c r="C249" t="s">
        <v>7</v>
      </c>
      <c r="D249">
        <v>30</v>
      </c>
      <c r="E249">
        <v>61</v>
      </c>
      <c r="F249">
        <v>3.6900000000000001E-3</v>
      </c>
      <c r="G249">
        <v>0</v>
      </c>
      <c r="H249" t="str">
        <f t="shared" si="9"/>
        <v>60-69</v>
      </c>
      <c r="I249" t="str">
        <f t="shared" si="10"/>
        <v>30-39</v>
      </c>
      <c r="J249">
        <f t="shared" si="11"/>
        <v>3.6900000000000001E-3</v>
      </c>
    </row>
    <row r="250" spans="1:10">
      <c r="A250" t="s">
        <v>332</v>
      </c>
      <c r="B250">
        <v>28</v>
      </c>
      <c r="C250" t="s">
        <v>9</v>
      </c>
      <c r="D250">
        <v>28</v>
      </c>
      <c r="E250">
        <v>55</v>
      </c>
      <c r="F250">
        <v>3.5000000000000001E-3</v>
      </c>
      <c r="G250">
        <v>0</v>
      </c>
      <c r="H250" t="str">
        <f t="shared" si="9"/>
        <v>50-59</v>
      </c>
      <c r="I250" t="str">
        <f t="shared" si="10"/>
        <v>20-29</v>
      </c>
      <c r="J250">
        <f t="shared" si="11"/>
        <v>3.5000000000000001E-3</v>
      </c>
    </row>
    <row r="251" spans="1:10">
      <c r="A251" t="s">
        <v>333</v>
      </c>
      <c r="B251">
        <v>46</v>
      </c>
      <c r="C251" t="s">
        <v>7</v>
      </c>
      <c r="D251">
        <v>11</v>
      </c>
      <c r="E251">
        <v>56</v>
      </c>
      <c r="F251">
        <v>2.7100000000000002E-3</v>
      </c>
      <c r="G251">
        <v>0</v>
      </c>
      <c r="H251" t="str">
        <f t="shared" si="9"/>
        <v>50-59</v>
      </c>
      <c r="I251" t="str">
        <f t="shared" si="10"/>
        <v>10-19</v>
      </c>
      <c r="J251">
        <f t="shared" si="11"/>
        <v>2.7100000000000002E-3</v>
      </c>
    </row>
    <row r="252" spans="1:10">
      <c r="A252" t="s">
        <v>334</v>
      </c>
      <c r="B252">
        <v>20</v>
      </c>
      <c r="C252" t="s">
        <v>7</v>
      </c>
      <c r="D252">
        <v>10</v>
      </c>
      <c r="E252">
        <v>29</v>
      </c>
      <c r="F252">
        <v>3.8000000000000002E-4</v>
      </c>
      <c r="G252">
        <v>0</v>
      </c>
      <c r="H252" t="str">
        <f t="shared" si="9"/>
        <v>20-29</v>
      </c>
      <c r="I252" t="str">
        <f t="shared" si="10"/>
        <v>10-19</v>
      </c>
      <c r="J252">
        <f t="shared" si="11"/>
        <v>3.8000000000000002E-4</v>
      </c>
    </row>
    <row r="253" spans="1:10">
      <c r="A253" t="s">
        <v>335</v>
      </c>
      <c r="B253">
        <v>57</v>
      </c>
      <c r="C253" t="s">
        <v>9</v>
      </c>
      <c r="D253">
        <v>22</v>
      </c>
      <c r="E253">
        <v>78</v>
      </c>
      <c r="F253">
        <v>4.1189999999999997E-2</v>
      </c>
      <c r="G253">
        <v>0</v>
      </c>
      <c r="H253" t="str">
        <f t="shared" si="9"/>
        <v>70-79</v>
      </c>
      <c r="I253" t="str">
        <f t="shared" si="10"/>
        <v>20-29</v>
      </c>
      <c r="J253">
        <f t="shared" si="11"/>
        <v>4.1189999999999997E-2</v>
      </c>
    </row>
    <row r="254" spans="1:10">
      <c r="A254" t="s">
        <v>336</v>
      </c>
      <c r="B254">
        <v>54</v>
      </c>
      <c r="C254" t="s">
        <v>9</v>
      </c>
      <c r="D254">
        <v>16</v>
      </c>
      <c r="E254">
        <v>69</v>
      </c>
      <c r="F254">
        <v>1.5049999999999999E-2</v>
      </c>
      <c r="G254">
        <v>0</v>
      </c>
      <c r="H254" t="str">
        <f t="shared" si="9"/>
        <v>60-69</v>
      </c>
      <c r="I254" t="str">
        <f t="shared" si="10"/>
        <v>10-19</v>
      </c>
      <c r="J254">
        <f t="shared" si="11"/>
        <v>1.5049999999999999E-2</v>
      </c>
    </row>
    <row r="255" spans="1:10">
      <c r="A255" t="s">
        <v>337</v>
      </c>
      <c r="B255">
        <v>54</v>
      </c>
      <c r="C255" t="s">
        <v>9</v>
      </c>
      <c r="D255">
        <v>13</v>
      </c>
      <c r="E255">
        <v>66</v>
      </c>
      <c r="F255">
        <v>1.112E-2</v>
      </c>
      <c r="G255">
        <v>0</v>
      </c>
      <c r="H255" t="str">
        <f t="shared" si="9"/>
        <v>60-69</v>
      </c>
      <c r="I255" t="str">
        <f t="shared" si="10"/>
        <v>10-19</v>
      </c>
      <c r="J255">
        <f t="shared" si="11"/>
        <v>1.112E-2</v>
      </c>
    </row>
    <row r="256" spans="1:10">
      <c r="A256" t="s">
        <v>338</v>
      </c>
      <c r="B256">
        <v>32</v>
      </c>
      <c r="C256" t="s">
        <v>9</v>
      </c>
      <c r="D256">
        <v>23</v>
      </c>
      <c r="E256">
        <v>54</v>
      </c>
      <c r="F256">
        <v>3.6700000000000001E-3</v>
      </c>
      <c r="G256">
        <v>0</v>
      </c>
      <c r="H256" t="str">
        <f t="shared" si="9"/>
        <v>50-59</v>
      </c>
      <c r="I256" t="str">
        <f t="shared" si="10"/>
        <v>20-29</v>
      </c>
      <c r="J256">
        <f t="shared" si="11"/>
        <v>3.6700000000000001E-3</v>
      </c>
    </row>
    <row r="257" spans="1:10">
      <c r="A257" t="s">
        <v>339</v>
      </c>
      <c r="B257">
        <v>46</v>
      </c>
      <c r="C257" t="s">
        <v>9</v>
      </c>
      <c r="D257">
        <v>2</v>
      </c>
      <c r="E257">
        <v>47</v>
      </c>
      <c r="F257">
        <v>8.8000000000000003E-4</v>
      </c>
      <c r="G257">
        <v>0</v>
      </c>
      <c r="H257" t="str">
        <f t="shared" si="9"/>
        <v>40-49</v>
      </c>
      <c r="I257" t="str">
        <f t="shared" si="10"/>
        <v>0-9</v>
      </c>
      <c r="J257">
        <f t="shared" si="11"/>
        <v>8.8000000000000003E-4</v>
      </c>
    </row>
    <row r="258" spans="1:10">
      <c r="A258" t="s">
        <v>340</v>
      </c>
      <c r="B258">
        <v>44</v>
      </c>
      <c r="C258" t="s">
        <v>7</v>
      </c>
      <c r="D258">
        <v>13</v>
      </c>
      <c r="E258">
        <v>56</v>
      </c>
      <c r="F258">
        <v>2.9399999999999999E-3</v>
      </c>
      <c r="G258">
        <v>0</v>
      </c>
      <c r="H258" t="str">
        <f t="shared" si="9"/>
        <v>50-59</v>
      </c>
      <c r="I258" t="str">
        <f t="shared" si="10"/>
        <v>10-19</v>
      </c>
      <c r="J258">
        <f t="shared" si="11"/>
        <v>2.9399999999999999E-3</v>
      </c>
    </row>
    <row r="259" spans="1:10">
      <c r="A259" t="s">
        <v>341</v>
      </c>
      <c r="B259">
        <v>61</v>
      </c>
      <c r="C259" t="s">
        <v>9</v>
      </c>
      <c r="D259">
        <v>5</v>
      </c>
      <c r="E259">
        <v>65</v>
      </c>
      <c r="F259">
        <v>7.3899999999999999E-3</v>
      </c>
      <c r="G259">
        <v>0</v>
      </c>
      <c r="H259" t="str">
        <f t="shared" ref="H259:H322" si="12">FLOOR(E259,10) &amp; "-" &amp; FLOOR(E259,10)+9</f>
        <v>60-69</v>
      </c>
      <c r="I259" t="str">
        <f t="shared" ref="I259:I322" si="13">FLOOR(D259, 10) &amp; "-"&amp;FLOOR(D259, 10)+9</f>
        <v>0-9</v>
      </c>
      <c r="J259">
        <f t="shared" ref="J259:J322" si="14">F259</f>
        <v>7.3899999999999999E-3</v>
      </c>
    </row>
    <row r="260" spans="1:10">
      <c r="A260" t="s">
        <v>342</v>
      </c>
      <c r="B260">
        <v>52</v>
      </c>
      <c r="C260" t="s">
        <v>9</v>
      </c>
      <c r="D260">
        <v>19</v>
      </c>
      <c r="E260">
        <v>70</v>
      </c>
      <c r="F260">
        <v>1.6750000000000001E-2</v>
      </c>
      <c r="G260">
        <v>0</v>
      </c>
      <c r="H260" t="str">
        <f t="shared" si="12"/>
        <v>70-79</v>
      </c>
      <c r="I260" t="str">
        <f t="shared" si="13"/>
        <v>10-19</v>
      </c>
      <c r="J260">
        <f t="shared" si="14"/>
        <v>1.6750000000000001E-2</v>
      </c>
    </row>
    <row r="261" spans="1:10">
      <c r="A261" t="s">
        <v>343</v>
      </c>
      <c r="B261">
        <v>48</v>
      </c>
      <c r="C261" t="s">
        <v>7</v>
      </c>
      <c r="D261">
        <v>4</v>
      </c>
      <c r="E261">
        <v>51</v>
      </c>
      <c r="F261">
        <v>1.25E-3</v>
      </c>
      <c r="G261">
        <v>0</v>
      </c>
      <c r="H261" t="str">
        <f t="shared" si="12"/>
        <v>50-59</v>
      </c>
      <c r="I261" t="str">
        <f t="shared" si="13"/>
        <v>0-9</v>
      </c>
      <c r="J261">
        <f t="shared" si="14"/>
        <v>1.25E-3</v>
      </c>
    </row>
    <row r="262" spans="1:10">
      <c r="A262" t="s">
        <v>344</v>
      </c>
      <c r="B262">
        <v>29</v>
      </c>
      <c r="C262" t="s">
        <v>7</v>
      </c>
      <c r="D262">
        <v>14</v>
      </c>
      <c r="E262">
        <v>42</v>
      </c>
      <c r="F262">
        <v>1E-3</v>
      </c>
      <c r="G262">
        <v>0</v>
      </c>
      <c r="H262" t="str">
        <f t="shared" si="12"/>
        <v>40-49</v>
      </c>
      <c r="I262" t="str">
        <f t="shared" si="13"/>
        <v>10-19</v>
      </c>
      <c r="J262">
        <f t="shared" si="14"/>
        <v>1E-3</v>
      </c>
    </row>
    <row r="263" spans="1:10">
      <c r="A263" t="s">
        <v>345</v>
      </c>
      <c r="B263">
        <v>24</v>
      </c>
      <c r="C263" t="s">
        <v>7</v>
      </c>
      <c r="D263">
        <v>16</v>
      </c>
      <c r="E263">
        <v>39</v>
      </c>
      <c r="F263">
        <v>9.2000000000000003E-4</v>
      </c>
      <c r="G263">
        <v>0</v>
      </c>
      <c r="H263" t="str">
        <f t="shared" si="12"/>
        <v>30-39</v>
      </c>
      <c r="I263" t="str">
        <f t="shared" si="13"/>
        <v>10-19</v>
      </c>
      <c r="J263">
        <f t="shared" si="14"/>
        <v>9.2000000000000003E-4</v>
      </c>
    </row>
    <row r="264" spans="1:10">
      <c r="A264" t="s">
        <v>346</v>
      </c>
      <c r="B264">
        <v>59</v>
      </c>
      <c r="C264" t="s">
        <v>9</v>
      </c>
      <c r="D264">
        <v>23</v>
      </c>
      <c r="E264">
        <v>81</v>
      </c>
      <c r="F264">
        <v>5.6829999999999999E-2</v>
      </c>
      <c r="G264">
        <v>0</v>
      </c>
      <c r="H264" t="str">
        <f t="shared" si="12"/>
        <v>80-89</v>
      </c>
      <c r="I264" t="str">
        <f t="shared" si="13"/>
        <v>20-29</v>
      </c>
      <c r="J264">
        <f t="shared" si="14"/>
        <v>5.6829999999999999E-2</v>
      </c>
    </row>
    <row r="265" spans="1:10">
      <c r="A265" t="s">
        <v>347</v>
      </c>
      <c r="B265">
        <v>41</v>
      </c>
      <c r="C265" t="s">
        <v>7</v>
      </c>
      <c r="D265">
        <v>28</v>
      </c>
      <c r="E265">
        <v>68</v>
      </c>
      <c r="F265">
        <v>9.2399999999999999E-3</v>
      </c>
      <c r="G265">
        <v>0</v>
      </c>
      <c r="H265" t="str">
        <f t="shared" si="12"/>
        <v>60-69</v>
      </c>
      <c r="I265" t="str">
        <f t="shared" si="13"/>
        <v>20-29</v>
      </c>
      <c r="J265">
        <f t="shared" si="14"/>
        <v>9.2399999999999999E-3</v>
      </c>
    </row>
    <row r="266" spans="1:10">
      <c r="A266" t="s">
        <v>348</v>
      </c>
      <c r="B266">
        <v>40</v>
      </c>
      <c r="C266" t="s">
        <v>7</v>
      </c>
      <c r="D266">
        <v>21</v>
      </c>
      <c r="E266">
        <v>60</v>
      </c>
      <c r="F266">
        <v>4.9300000000000004E-3</v>
      </c>
      <c r="G266">
        <v>0</v>
      </c>
      <c r="H266" t="str">
        <f t="shared" si="12"/>
        <v>60-69</v>
      </c>
      <c r="I266" t="str">
        <f t="shared" si="13"/>
        <v>20-29</v>
      </c>
      <c r="J266">
        <f t="shared" si="14"/>
        <v>4.9300000000000004E-3</v>
      </c>
    </row>
    <row r="267" spans="1:10">
      <c r="A267" t="s">
        <v>349</v>
      </c>
      <c r="B267">
        <v>54</v>
      </c>
      <c r="C267" t="s">
        <v>7</v>
      </c>
      <c r="D267">
        <v>2</v>
      </c>
      <c r="E267">
        <v>55</v>
      </c>
      <c r="F267">
        <v>1.2199999999999999E-3</v>
      </c>
      <c r="G267">
        <v>0</v>
      </c>
      <c r="H267" t="str">
        <f t="shared" si="12"/>
        <v>50-59</v>
      </c>
      <c r="I267" t="str">
        <f t="shared" si="13"/>
        <v>0-9</v>
      </c>
      <c r="J267">
        <f t="shared" si="14"/>
        <v>1.2199999999999999E-3</v>
      </c>
    </row>
    <row r="268" spans="1:10">
      <c r="A268" t="s">
        <v>350</v>
      </c>
      <c r="B268">
        <v>63</v>
      </c>
      <c r="C268" t="s">
        <v>9</v>
      </c>
      <c r="D268">
        <v>30</v>
      </c>
      <c r="E268">
        <v>92</v>
      </c>
      <c r="F268">
        <v>0.13258</v>
      </c>
      <c r="G268">
        <v>0</v>
      </c>
      <c r="H268" t="str">
        <f t="shared" si="12"/>
        <v>90-99</v>
      </c>
      <c r="I268" t="str">
        <f t="shared" si="13"/>
        <v>30-39</v>
      </c>
      <c r="J268">
        <f t="shared" si="14"/>
        <v>0.13258</v>
      </c>
    </row>
    <row r="269" spans="1:10">
      <c r="A269" t="s">
        <v>351</v>
      </c>
      <c r="B269">
        <v>25</v>
      </c>
      <c r="C269" t="s">
        <v>7</v>
      </c>
      <c r="D269">
        <v>14</v>
      </c>
      <c r="E269">
        <v>38</v>
      </c>
      <c r="F269">
        <v>7.9000000000000001E-4</v>
      </c>
      <c r="G269">
        <v>0</v>
      </c>
      <c r="H269" t="str">
        <f t="shared" si="12"/>
        <v>30-39</v>
      </c>
      <c r="I269" t="str">
        <f t="shared" si="13"/>
        <v>10-19</v>
      </c>
      <c r="J269">
        <f t="shared" si="14"/>
        <v>7.9000000000000001E-4</v>
      </c>
    </row>
    <row r="270" spans="1:10">
      <c r="A270" t="s">
        <v>352</v>
      </c>
      <c r="B270">
        <v>65</v>
      </c>
      <c r="C270" t="s">
        <v>9</v>
      </c>
      <c r="D270">
        <v>28</v>
      </c>
      <c r="E270">
        <v>92</v>
      </c>
      <c r="F270">
        <v>0.16611999999999999</v>
      </c>
      <c r="G270">
        <v>0</v>
      </c>
      <c r="H270" t="str">
        <f t="shared" si="12"/>
        <v>90-99</v>
      </c>
      <c r="I270" t="str">
        <f t="shared" si="13"/>
        <v>20-29</v>
      </c>
      <c r="J270">
        <f t="shared" si="14"/>
        <v>0.16611999999999999</v>
      </c>
    </row>
    <row r="271" spans="1:10">
      <c r="A271" t="s">
        <v>353</v>
      </c>
      <c r="B271">
        <v>39</v>
      </c>
      <c r="C271" t="s">
        <v>9</v>
      </c>
      <c r="D271">
        <v>29</v>
      </c>
      <c r="E271">
        <v>67</v>
      </c>
      <c r="F271">
        <v>9.6200000000000001E-3</v>
      </c>
      <c r="G271">
        <v>0</v>
      </c>
      <c r="H271" t="str">
        <f t="shared" si="12"/>
        <v>60-69</v>
      </c>
      <c r="I271" t="str">
        <f t="shared" si="13"/>
        <v>20-29</v>
      </c>
      <c r="J271">
        <f t="shared" si="14"/>
        <v>9.6200000000000001E-3</v>
      </c>
    </row>
    <row r="272" spans="1:10">
      <c r="A272" t="s">
        <v>354</v>
      </c>
      <c r="B272">
        <v>23</v>
      </c>
      <c r="C272" t="s">
        <v>9</v>
      </c>
      <c r="D272">
        <v>10</v>
      </c>
      <c r="E272">
        <v>32</v>
      </c>
      <c r="F272">
        <v>6.4000000000000005E-4</v>
      </c>
      <c r="G272">
        <v>0</v>
      </c>
      <c r="H272" t="str">
        <f t="shared" si="12"/>
        <v>30-39</v>
      </c>
      <c r="I272" t="str">
        <f t="shared" si="13"/>
        <v>10-19</v>
      </c>
      <c r="J272">
        <f t="shared" si="14"/>
        <v>6.4000000000000005E-4</v>
      </c>
    </row>
    <row r="273" spans="1:10">
      <c r="A273" t="s">
        <v>355</v>
      </c>
      <c r="B273">
        <v>35</v>
      </c>
      <c r="C273" t="s">
        <v>9</v>
      </c>
      <c r="D273">
        <v>17</v>
      </c>
      <c r="E273">
        <v>51</v>
      </c>
      <c r="F273">
        <v>2.65E-3</v>
      </c>
      <c r="G273">
        <v>0</v>
      </c>
      <c r="H273" t="str">
        <f t="shared" si="12"/>
        <v>50-59</v>
      </c>
      <c r="I273" t="str">
        <f t="shared" si="13"/>
        <v>10-19</v>
      </c>
      <c r="J273">
        <f t="shared" si="14"/>
        <v>2.65E-3</v>
      </c>
    </row>
    <row r="274" spans="1:10">
      <c r="A274" t="s">
        <v>356</v>
      </c>
      <c r="B274">
        <v>31</v>
      </c>
      <c r="C274" t="s">
        <v>9</v>
      </c>
      <c r="D274">
        <v>6</v>
      </c>
      <c r="E274">
        <v>36</v>
      </c>
      <c r="F274">
        <v>5.5999999999999995E-4</v>
      </c>
      <c r="G274">
        <v>0</v>
      </c>
      <c r="H274" t="str">
        <f t="shared" si="12"/>
        <v>30-39</v>
      </c>
      <c r="I274" t="str">
        <f t="shared" si="13"/>
        <v>0-9</v>
      </c>
      <c r="J274">
        <f t="shared" si="14"/>
        <v>5.5999999999999995E-4</v>
      </c>
    </row>
    <row r="275" spans="1:10">
      <c r="A275" t="s">
        <v>357</v>
      </c>
      <c r="B275">
        <v>44</v>
      </c>
      <c r="C275" t="s">
        <v>7</v>
      </c>
      <c r="D275">
        <v>20</v>
      </c>
      <c r="E275">
        <v>63</v>
      </c>
      <c r="F275">
        <v>6.6400000000000001E-3</v>
      </c>
      <c r="G275">
        <v>0</v>
      </c>
      <c r="H275" t="str">
        <f t="shared" si="12"/>
        <v>60-69</v>
      </c>
      <c r="I275" t="str">
        <f t="shared" si="13"/>
        <v>20-29</v>
      </c>
      <c r="J275">
        <f t="shared" si="14"/>
        <v>6.6400000000000001E-3</v>
      </c>
    </row>
    <row r="276" spans="1:10">
      <c r="A276" t="s">
        <v>358</v>
      </c>
      <c r="B276">
        <v>57</v>
      </c>
      <c r="C276" t="s">
        <v>9</v>
      </c>
      <c r="D276">
        <v>5</v>
      </c>
      <c r="E276">
        <v>61</v>
      </c>
      <c r="F276">
        <v>5.3600000000000002E-3</v>
      </c>
      <c r="G276">
        <v>0</v>
      </c>
      <c r="H276" t="str">
        <f t="shared" si="12"/>
        <v>60-69</v>
      </c>
      <c r="I276" t="str">
        <f t="shared" si="13"/>
        <v>0-9</v>
      </c>
      <c r="J276">
        <f t="shared" si="14"/>
        <v>5.3600000000000002E-3</v>
      </c>
    </row>
    <row r="277" spans="1:10">
      <c r="A277" t="s">
        <v>359</v>
      </c>
      <c r="B277">
        <v>49</v>
      </c>
      <c r="C277" t="s">
        <v>7</v>
      </c>
      <c r="D277">
        <v>9</v>
      </c>
      <c r="E277">
        <v>57</v>
      </c>
      <c r="F277">
        <v>2.7499999999999998E-3</v>
      </c>
      <c r="G277">
        <v>0</v>
      </c>
      <c r="H277" t="str">
        <f t="shared" si="12"/>
        <v>50-59</v>
      </c>
      <c r="I277" t="str">
        <f t="shared" si="13"/>
        <v>0-9</v>
      </c>
      <c r="J277">
        <f t="shared" si="14"/>
        <v>2.7499999999999998E-3</v>
      </c>
    </row>
    <row r="278" spans="1:10">
      <c r="A278" t="s">
        <v>360</v>
      </c>
      <c r="B278">
        <v>49</v>
      </c>
      <c r="C278" t="s">
        <v>9</v>
      </c>
      <c r="D278">
        <v>29</v>
      </c>
      <c r="E278">
        <v>77</v>
      </c>
      <c r="F278">
        <v>2.6859999999999998E-2</v>
      </c>
      <c r="G278">
        <v>0</v>
      </c>
      <c r="H278" t="str">
        <f t="shared" si="12"/>
        <v>70-79</v>
      </c>
      <c r="I278" t="str">
        <f t="shared" si="13"/>
        <v>20-29</v>
      </c>
      <c r="J278">
        <f t="shared" si="14"/>
        <v>2.6859999999999998E-2</v>
      </c>
    </row>
    <row r="279" spans="1:10">
      <c r="A279" t="s">
        <v>361</v>
      </c>
      <c r="B279">
        <v>24</v>
      </c>
      <c r="C279" t="s">
        <v>7</v>
      </c>
      <c r="D279">
        <v>15</v>
      </c>
      <c r="E279">
        <v>38</v>
      </c>
      <c r="F279">
        <v>8.3000000000000001E-4</v>
      </c>
      <c r="G279">
        <v>0</v>
      </c>
      <c r="H279" t="str">
        <f t="shared" si="12"/>
        <v>30-39</v>
      </c>
      <c r="I279" t="str">
        <f t="shared" si="13"/>
        <v>10-19</v>
      </c>
      <c r="J279">
        <f t="shared" si="14"/>
        <v>8.3000000000000001E-4</v>
      </c>
    </row>
    <row r="280" spans="1:10">
      <c r="A280" t="s">
        <v>362</v>
      </c>
      <c r="B280">
        <v>39</v>
      </c>
      <c r="C280" t="s">
        <v>7</v>
      </c>
      <c r="D280">
        <v>21</v>
      </c>
      <c r="E280">
        <v>59</v>
      </c>
      <c r="F280">
        <v>4.4600000000000004E-3</v>
      </c>
      <c r="G280">
        <v>0</v>
      </c>
      <c r="H280" t="str">
        <f t="shared" si="12"/>
        <v>50-59</v>
      </c>
      <c r="I280" t="str">
        <f t="shared" si="13"/>
        <v>20-29</v>
      </c>
      <c r="J280">
        <f t="shared" si="14"/>
        <v>4.4600000000000004E-3</v>
      </c>
    </row>
    <row r="281" spans="1:10">
      <c r="A281" t="s">
        <v>363</v>
      </c>
      <c r="B281">
        <v>49</v>
      </c>
      <c r="C281" t="s">
        <v>9</v>
      </c>
      <c r="D281">
        <v>28</v>
      </c>
      <c r="E281">
        <v>76</v>
      </c>
      <c r="F281">
        <v>2.6859999999999998E-2</v>
      </c>
      <c r="G281">
        <v>0</v>
      </c>
      <c r="H281" t="str">
        <f t="shared" si="12"/>
        <v>70-79</v>
      </c>
      <c r="I281" t="str">
        <f t="shared" si="13"/>
        <v>20-29</v>
      </c>
      <c r="J281">
        <f t="shared" si="14"/>
        <v>2.6859999999999998E-2</v>
      </c>
    </row>
    <row r="282" spans="1:10">
      <c r="A282" t="s">
        <v>364</v>
      </c>
      <c r="B282">
        <v>50</v>
      </c>
      <c r="C282" t="s">
        <v>9</v>
      </c>
      <c r="D282">
        <v>4</v>
      </c>
      <c r="E282">
        <v>53</v>
      </c>
      <c r="F282">
        <v>2.16E-3</v>
      </c>
      <c r="G282">
        <v>0</v>
      </c>
      <c r="H282" t="str">
        <f t="shared" si="12"/>
        <v>50-59</v>
      </c>
      <c r="I282" t="str">
        <f t="shared" si="13"/>
        <v>0-9</v>
      </c>
      <c r="J282">
        <f t="shared" si="14"/>
        <v>2.16E-3</v>
      </c>
    </row>
    <row r="283" spans="1:10">
      <c r="A283" t="s">
        <v>365</v>
      </c>
      <c r="B283">
        <v>56</v>
      </c>
      <c r="C283" t="s">
        <v>7</v>
      </c>
      <c r="D283">
        <v>10</v>
      </c>
      <c r="E283">
        <v>65</v>
      </c>
      <c r="F283">
        <v>6.3E-3</v>
      </c>
      <c r="G283">
        <v>0</v>
      </c>
      <c r="H283" t="str">
        <f t="shared" si="12"/>
        <v>60-69</v>
      </c>
      <c r="I283" t="str">
        <f t="shared" si="13"/>
        <v>10-19</v>
      </c>
      <c r="J283">
        <f t="shared" si="14"/>
        <v>6.3E-3</v>
      </c>
    </row>
    <row r="284" spans="1:10">
      <c r="A284" t="s">
        <v>366</v>
      </c>
      <c r="B284">
        <v>62</v>
      </c>
      <c r="C284" t="s">
        <v>9</v>
      </c>
      <c r="D284">
        <v>13</v>
      </c>
      <c r="E284">
        <v>74</v>
      </c>
      <c r="F284">
        <v>2.409E-2</v>
      </c>
      <c r="G284">
        <v>0</v>
      </c>
      <c r="H284" t="str">
        <f t="shared" si="12"/>
        <v>70-79</v>
      </c>
      <c r="I284" t="str">
        <f t="shared" si="13"/>
        <v>10-19</v>
      </c>
      <c r="J284">
        <f t="shared" si="14"/>
        <v>2.409E-2</v>
      </c>
    </row>
    <row r="285" spans="1:10">
      <c r="A285" t="s">
        <v>367</v>
      </c>
      <c r="B285">
        <v>63</v>
      </c>
      <c r="C285" t="s">
        <v>7</v>
      </c>
      <c r="D285">
        <v>25</v>
      </c>
      <c r="E285">
        <v>87</v>
      </c>
      <c r="F285">
        <v>9.3240000000000003E-2</v>
      </c>
      <c r="G285">
        <v>1</v>
      </c>
      <c r="H285" t="str">
        <f t="shared" si="12"/>
        <v>80-89</v>
      </c>
      <c r="I285" t="str">
        <f t="shared" si="13"/>
        <v>20-29</v>
      </c>
      <c r="J285">
        <f t="shared" si="14"/>
        <v>9.3240000000000003E-2</v>
      </c>
    </row>
    <row r="286" spans="1:10">
      <c r="A286" t="s">
        <v>368</v>
      </c>
      <c r="B286">
        <v>58</v>
      </c>
      <c r="C286" t="s">
        <v>9</v>
      </c>
      <c r="D286">
        <v>24</v>
      </c>
      <c r="E286">
        <v>81</v>
      </c>
      <c r="F286">
        <v>5.6829999999999999E-2</v>
      </c>
      <c r="G286">
        <v>0</v>
      </c>
      <c r="H286" t="str">
        <f t="shared" si="12"/>
        <v>80-89</v>
      </c>
      <c r="I286" t="str">
        <f t="shared" si="13"/>
        <v>20-29</v>
      </c>
      <c r="J286">
        <f t="shared" si="14"/>
        <v>5.6829999999999999E-2</v>
      </c>
    </row>
    <row r="287" spans="1:10">
      <c r="A287" t="s">
        <v>369</v>
      </c>
      <c r="B287">
        <v>38</v>
      </c>
      <c r="C287" t="s">
        <v>7</v>
      </c>
      <c r="D287">
        <v>25</v>
      </c>
      <c r="E287">
        <v>62</v>
      </c>
      <c r="F287">
        <v>6.0499999999999998E-3</v>
      </c>
      <c r="G287">
        <v>0</v>
      </c>
      <c r="H287" t="str">
        <f t="shared" si="12"/>
        <v>60-69</v>
      </c>
      <c r="I287" t="str">
        <f t="shared" si="13"/>
        <v>20-29</v>
      </c>
      <c r="J287">
        <f t="shared" si="14"/>
        <v>6.0499999999999998E-3</v>
      </c>
    </row>
    <row r="288" spans="1:10">
      <c r="A288" t="s">
        <v>370</v>
      </c>
      <c r="B288">
        <v>42</v>
      </c>
      <c r="C288" t="s">
        <v>7</v>
      </c>
      <c r="D288">
        <v>8</v>
      </c>
      <c r="E288">
        <v>49</v>
      </c>
      <c r="F288">
        <v>1.2800000000000001E-3</v>
      </c>
      <c r="G288">
        <v>0</v>
      </c>
      <c r="H288" t="str">
        <f t="shared" si="12"/>
        <v>40-49</v>
      </c>
      <c r="I288" t="str">
        <f t="shared" si="13"/>
        <v>0-9</v>
      </c>
      <c r="J288">
        <f t="shared" si="14"/>
        <v>1.2800000000000001E-3</v>
      </c>
    </row>
    <row r="289" spans="1:10">
      <c r="A289" t="s">
        <v>371</v>
      </c>
      <c r="B289">
        <v>63</v>
      </c>
      <c r="C289" t="s">
        <v>7</v>
      </c>
      <c r="D289">
        <v>25</v>
      </c>
      <c r="E289">
        <v>87</v>
      </c>
      <c r="F289">
        <v>9.3240000000000003E-2</v>
      </c>
      <c r="G289">
        <v>0</v>
      </c>
      <c r="H289" t="str">
        <f t="shared" si="12"/>
        <v>80-89</v>
      </c>
      <c r="I289" t="str">
        <f t="shared" si="13"/>
        <v>20-29</v>
      </c>
      <c r="J289">
        <f t="shared" si="14"/>
        <v>9.3240000000000003E-2</v>
      </c>
    </row>
    <row r="290" spans="1:10">
      <c r="A290" t="s">
        <v>372</v>
      </c>
      <c r="B290">
        <v>28</v>
      </c>
      <c r="C290" t="s">
        <v>9</v>
      </c>
      <c r="D290">
        <v>21</v>
      </c>
      <c r="E290">
        <v>48</v>
      </c>
      <c r="F290">
        <v>2.1900000000000001E-3</v>
      </c>
      <c r="G290">
        <v>0</v>
      </c>
      <c r="H290" t="str">
        <f t="shared" si="12"/>
        <v>40-49</v>
      </c>
      <c r="I290" t="str">
        <f t="shared" si="13"/>
        <v>20-29</v>
      </c>
      <c r="J290">
        <f t="shared" si="14"/>
        <v>2.1900000000000001E-3</v>
      </c>
    </row>
    <row r="291" spans="1:10">
      <c r="A291" t="s">
        <v>373</v>
      </c>
      <c r="B291">
        <v>22</v>
      </c>
      <c r="C291" t="s">
        <v>7</v>
      </c>
      <c r="D291">
        <v>10</v>
      </c>
      <c r="E291">
        <v>31</v>
      </c>
      <c r="F291">
        <v>4.0000000000000002E-4</v>
      </c>
      <c r="G291">
        <v>0</v>
      </c>
      <c r="H291" t="str">
        <f t="shared" si="12"/>
        <v>30-39</v>
      </c>
      <c r="I291" t="str">
        <f t="shared" si="13"/>
        <v>10-19</v>
      </c>
      <c r="J291">
        <f t="shared" si="14"/>
        <v>4.0000000000000002E-4</v>
      </c>
    </row>
    <row r="292" spans="1:10">
      <c r="A292" t="s">
        <v>374</v>
      </c>
      <c r="B292">
        <v>43</v>
      </c>
      <c r="C292" t="s">
        <v>9</v>
      </c>
      <c r="D292">
        <v>24</v>
      </c>
      <c r="E292">
        <v>66</v>
      </c>
      <c r="F292">
        <v>1.154E-2</v>
      </c>
      <c r="G292">
        <v>0</v>
      </c>
      <c r="H292" t="str">
        <f t="shared" si="12"/>
        <v>60-69</v>
      </c>
      <c r="I292" t="str">
        <f t="shared" si="13"/>
        <v>20-29</v>
      </c>
      <c r="J292">
        <f t="shared" si="14"/>
        <v>1.154E-2</v>
      </c>
    </row>
    <row r="293" spans="1:10">
      <c r="A293" t="s">
        <v>375</v>
      </c>
      <c r="B293">
        <v>40</v>
      </c>
      <c r="C293" t="s">
        <v>9</v>
      </c>
      <c r="D293">
        <v>24</v>
      </c>
      <c r="E293">
        <v>63</v>
      </c>
      <c r="F293">
        <v>8.5900000000000004E-3</v>
      </c>
      <c r="G293">
        <v>0</v>
      </c>
      <c r="H293" t="str">
        <f t="shared" si="12"/>
        <v>60-69</v>
      </c>
      <c r="I293" t="str">
        <f t="shared" si="13"/>
        <v>20-29</v>
      </c>
      <c r="J293">
        <f t="shared" si="14"/>
        <v>8.5900000000000004E-3</v>
      </c>
    </row>
    <row r="294" spans="1:10">
      <c r="A294" t="s">
        <v>376</v>
      </c>
      <c r="B294">
        <v>54</v>
      </c>
      <c r="C294" t="s">
        <v>7</v>
      </c>
      <c r="D294">
        <v>29</v>
      </c>
      <c r="E294">
        <v>82</v>
      </c>
      <c r="F294">
        <v>3.569E-2</v>
      </c>
      <c r="G294">
        <v>0</v>
      </c>
      <c r="H294" t="str">
        <f t="shared" si="12"/>
        <v>80-89</v>
      </c>
      <c r="I294" t="str">
        <f t="shared" si="13"/>
        <v>20-29</v>
      </c>
      <c r="J294">
        <f t="shared" si="14"/>
        <v>3.569E-2</v>
      </c>
    </row>
    <row r="295" spans="1:10">
      <c r="A295" t="s">
        <v>377</v>
      </c>
      <c r="B295">
        <v>37</v>
      </c>
      <c r="C295" t="s">
        <v>9</v>
      </c>
      <c r="D295">
        <v>27</v>
      </c>
      <c r="E295">
        <v>63</v>
      </c>
      <c r="F295">
        <v>7.79E-3</v>
      </c>
      <c r="G295">
        <v>0</v>
      </c>
      <c r="H295" t="str">
        <f t="shared" si="12"/>
        <v>60-69</v>
      </c>
      <c r="I295" t="str">
        <f t="shared" si="13"/>
        <v>20-29</v>
      </c>
      <c r="J295">
        <f t="shared" si="14"/>
        <v>7.79E-3</v>
      </c>
    </row>
    <row r="296" spans="1:10">
      <c r="A296" t="s">
        <v>378</v>
      </c>
      <c r="B296">
        <v>50</v>
      </c>
      <c r="C296" t="s">
        <v>9</v>
      </c>
      <c r="D296">
        <v>26</v>
      </c>
      <c r="E296">
        <v>75</v>
      </c>
      <c r="F296">
        <v>3.006E-2</v>
      </c>
      <c r="G296">
        <v>0</v>
      </c>
      <c r="H296" t="str">
        <f t="shared" si="12"/>
        <v>70-79</v>
      </c>
      <c r="I296" t="str">
        <f t="shared" si="13"/>
        <v>20-29</v>
      </c>
      <c r="J296">
        <f t="shared" si="14"/>
        <v>3.006E-2</v>
      </c>
    </row>
    <row r="297" spans="1:10">
      <c r="A297" t="s">
        <v>379</v>
      </c>
      <c r="B297">
        <v>27</v>
      </c>
      <c r="C297" t="s">
        <v>7</v>
      </c>
      <c r="D297">
        <v>15</v>
      </c>
      <c r="E297">
        <v>41</v>
      </c>
      <c r="F297">
        <v>9.8999999999999999E-4</v>
      </c>
      <c r="G297">
        <v>0</v>
      </c>
      <c r="H297" t="str">
        <f t="shared" si="12"/>
        <v>40-49</v>
      </c>
      <c r="I297" t="str">
        <f t="shared" si="13"/>
        <v>10-19</v>
      </c>
      <c r="J297">
        <f t="shared" si="14"/>
        <v>9.8999999999999999E-4</v>
      </c>
    </row>
    <row r="298" spans="1:10">
      <c r="A298" t="s">
        <v>380</v>
      </c>
      <c r="B298">
        <v>34</v>
      </c>
      <c r="C298" t="s">
        <v>7</v>
      </c>
      <c r="D298">
        <v>28</v>
      </c>
      <c r="E298">
        <v>61</v>
      </c>
      <c r="F298">
        <v>4.4600000000000004E-3</v>
      </c>
      <c r="G298">
        <v>0</v>
      </c>
      <c r="H298" t="str">
        <f t="shared" si="12"/>
        <v>60-69</v>
      </c>
      <c r="I298" t="str">
        <f t="shared" si="13"/>
        <v>20-29</v>
      </c>
      <c r="J298">
        <f t="shared" si="14"/>
        <v>4.4600000000000004E-3</v>
      </c>
    </row>
    <row r="299" spans="1:10">
      <c r="A299" t="s">
        <v>381</v>
      </c>
      <c r="B299">
        <v>45</v>
      </c>
      <c r="C299" t="s">
        <v>7</v>
      </c>
      <c r="D299">
        <v>28</v>
      </c>
      <c r="E299">
        <v>72</v>
      </c>
      <c r="F299">
        <v>1.404E-2</v>
      </c>
      <c r="G299">
        <v>0</v>
      </c>
      <c r="H299" t="str">
        <f t="shared" si="12"/>
        <v>70-79</v>
      </c>
      <c r="I299" t="str">
        <f t="shared" si="13"/>
        <v>20-29</v>
      </c>
      <c r="J299">
        <f t="shared" si="14"/>
        <v>1.404E-2</v>
      </c>
    </row>
    <row r="300" spans="1:10">
      <c r="A300" t="s">
        <v>382</v>
      </c>
      <c r="B300">
        <v>45</v>
      </c>
      <c r="C300" t="s">
        <v>9</v>
      </c>
      <c r="D300">
        <v>1</v>
      </c>
      <c r="E300">
        <v>45</v>
      </c>
      <c r="F300">
        <v>5.5000000000000003E-4</v>
      </c>
      <c r="G300">
        <v>0</v>
      </c>
      <c r="H300" t="str">
        <f t="shared" si="12"/>
        <v>40-49</v>
      </c>
      <c r="I300" t="str">
        <f t="shared" si="13"/>
        <v>0-9</v>
      </c>
      <c r="J300">
        <f t="shared" si="14"/>
        <v>5.5000000000000003E-4</v>
      </c>
    </row>
    <row r="301" spans="1:10">
      <c r="A301" t="s">
        <v>383</v>
      </c>
      <c r="B301">
        <v>43</v>
      </c>
      <c r="C301" t="s">
        <v>7</v>
      </c>
      <c r="D301">
        <v>22</v>
      </c>
      <c r="E301">
        <v>64</v>
      </c>
      <c r="F301">
        <v>7.4700000000000001E-3</v>
      </c>
      <c r="G301">
        <v>0</v>
      </c>
      <c r="H301" t="str">
        <f t="shared" si="12"/>
        <v>60-69</v>
      </c>
      <c r="I301" t="str">
        <f t="shared" si="13"/>
        <v>20-29</v>
      </c>
      <c r="J301">
        <f t="shared" si="14"/>
        <v>7.4700000000000001E-3</v>
      </c>
    </row>
    <row r="302" spans="1:10">
      <c r="A302" t="s">
        <v>384</v>
      </c>
      <c r="B302">
        <v>44</v>
      </c>
      <c r="C302" t="s">
        <v>7</v>
      </c>
      <c r="D302">
        <v>27</v>
      </c>
      <c r="E302">
        <v>70</v>
      </c>
      <c r="F302">
        <v>1.2659999999999999E-2</v>
      </c>
      <c r="G302">
        <v>0</v>
      </c>
      <c r="H302" t="str">
        <f t="shared" si="12"/>
        <v>70-79</v>
      </c>
      <c r="I302" t="str">
        <f t="shared" si="13"/>
        <v>20-29</v>
      </c>
      <c r="J302">
        <f t="shared" si="14"/>
        <v>1.2659999999999999E-2</v>
      </c>
    </row>
    <row r="303" spans="1:10">
      <c r="A303" t="s">
        <v>385</v>
      </c>
      <c r="B303">
        <v>63</v>
      </c>
      <c r="C303" t="s">
        <v>9</v>
      </c>
      <c r="D303">
        <v>8</v>
      </c>
      <c r="E303">
        <v>70</v>
      </c>
      <c r="F303">
        <v>1.2489999999999999E-2</v>
      </c>
      <c r="G303">
        <v>0</v>
      </c>
      <c r="H303" t="str">
        <f t="shared" si="12"/>
        <v>70-79</v>
      </c>
      <c r="I303" t="str">
        <f t="shared" si="13"/>
        <v>0-9</v>
      </c>
      <c r="J303">
        <f t="shared" si="14"/>
        <v>1.2489999999999999E-2</v>
      </c>
    </row>
    <row r="304" spans="1:10">
      <c r="A304" t="s">
        <v>386</v>
      </c>
      <c r="B304">
        <v>55</v>
      </c>
      <c r="C304" t="s">
        <v>7</v>
      </c>
      <c r="D304">
        <v>11</v>
      </c>
      <c r="E304">
        <v>65</v>
      </c>
      <c r="F304">
        <v>6.4400000000000004E-3</v>
      </c>
      <c r="G304">
        <v>0</v>
      </c>
      <c r="H304" t="str">
        <f t="shared" si="12"/>
        <v>60-69</v>
      </c>
      <c r="I304" t="str">
        <f t="shared" si="13"/>
        <v>10-19</v>
      </c>
      <c r="J304">
        <f t="shared" si="14"/>
        <v>6.4400000000000004E-3</v>
      </c>
    </row>
    <row r="305" spans="1:10">
      <c r="A305" t="s">
        <v>387</v>
      </c>
      <c r="B305">
        <v>24</v>
      </c>
      <c r="C305" t="s">
        <v>7</v>
      </c>
      <c r="D305">
        <v>21</v>
      </c>
      <c r="E305">
        <v>44</v>
      </c>
      <c r="F305">
        <v>1.33E-3</v>
      </c>
      <c r="G305">
        <v>0</v>
      </c>
      <c r="H305" t="str">
        <f t="shared" si="12"/>
        <v>40-49</v>
      </c>
      <c r="I305" t="str">
        <f t="shared" si="13"/>
        <v>20-29</v>
      </c>
      <c r="J305">
        <f t="shared" si="14"/>
        <v>1.33E-3</v>
      </c>
    </row>
    <row r="306" spans="1:10">
      <c r="A306" t="s">
        <v>388</v>
      </c>
      <c r="B306">
        <v>39</v>
      </c>
      <c r="C306" t="s">
        <v>9</v>
      </c>
      <c r="D306">
        <v>21</v>
      </c>
      <c r="E306">
        <v>59</v>
      </c>
      <c r="F306">
        <v>5.7400000000000003E-3</v>
      </c>
      <c r="G306">
        <v>0</v>
      </c>
      <c r="H306" t="str">
        <f t="shared" si="12"/>
        <v>50-59</v>
      </c>
      <c r="I306" t="str">
        <f t="shared" si="13"/>
        <v>20-29</v>
      </c>
      <c r="J306">
        <f t="shared" si="14"/>
        <v>5.7400000000000003E-3</v>
      </c>
    </row>
    <row r="307" spans="1:10">
      <c r="A307" t="s">
        <v>389</v>
      </c>
      <c r="B307">
        <v>22</v>
      </c>
      <c r="C307" t="s">
        <v>7</v>
      </c>
      <c r="D307">
        <v>10</v>
      </c>
      <c r="E307">
        <v>31</v>
      </c>
      <c r="F307">
        <v>4.0000000000000002E-4</v>
      </c>
      <c r="G307">
        <v>0</v>
      </c>
      <c r="H307" t="str">
        <f t="shared" si="12"/>
        <v>30-39</v>
      </c>
      <c r="I307" t="str">
        <f t="shared" si="13"/>
        <v>10-19</v>
      </c>
      <c r="J307">
        <f t="shared" si="14"/>
        <v>4.0000000000000002E-4</v>
      </c>
    </row>
    <row r="308" spans="1:10">
      <c r="A308" t="s">
        <v>390</v>
      </c>
      <c r="B308">
        <v>35</v>
      </c>
      <c r="C308" t="s">
        <v>7</v>
      </c>
      <c r="D308">
        <v>29</v>
      </c>
      <c r="E308">
        <v>63</v>
      </c>
      <c r="F308">
        <v>4.9300000000000004E-3</v>
      </c>
      <c r="G308">
        <v>0</v>
      </c>
      <c r="H308" t="str">
        <f t="shared" si="12"/>
        <v>60-69</v>
      </c>
      <c r="I308" t="str">
        <f t="shared" si="13"/>
        <v>20-29</v>
      </c>
      <c r="J308">
        <f t="shared" si="14"/>
        <v>4.9300000000000004E-3</v>
      </c>
    </row>
    <row r="309" spans="1:10">
      <c r="A309" t="s">
        <v>391</v>
      </c>
      <c r="B309">
        <v>43</v>
      </c>
      <c r="C309" t="s">
        <v>7</v>
      </c>
      <c r="D309">
        <v>22</v>
      </c>
      <c r="E309">
        <v>64</v>
      </c>
      <c r="F309">
        <v>7.4700000000000001E-3</v>
      </c>
      <c r="G309">
        <v>0</v>
      </c>
      <c r="H309" t="str">
        <f t="shared" si="12"/>
        <v>60-69</v>
      </c>
      <c r="I309" t="str">
        <f t="shared" si="13"/>
        <v>20-29</v>
      </c>
      <c r="J309">
        <f t="shared" si="14"/>
        <v>7.4700000000000001E-3</v>
      </c>
    </row>
    <row r="310" spans="1:10">
      <c r="A310" t="s">
        <v>392</v>
      </c>
      <c r="B310">
        <v>54</v>
      </c>
      <c r="C310" t="s">
        <v>7</v>
      </c>
      <c r="D310">
        <v>14</v>
      </c>
      <c r="E310">
        <v>67</v>
      </c>
      <c r="F310">
        <v>8.7100000000000007E-3</v>
      </c>
      <c r="G310">
        <v>0</v>
      </c>
      <c r="H310" t="str">
        <f t="shared" si="12"/>
        <v>60-69</v>
      </c>
      <c r="I310" t="str">
        <f t="shared" si="13"/>
        <v>10-19</v>
      </c>
      <c r="J310">
        <f t="shared" si="14"/>
        <v>8.7100000000000007E-3</v>
      </c>
    </row>
    <row r="311" spans="1:10">
      <c r="A311" t="s">
        <v>393</v>
      </c>
      <c r="B311">
        <v>46</v>
      </c>
      <c r="C311" t="s">
        <v>9</v>
      </c>
      <c r="D311">
        <v>21</v>
      </c>
      <c r="E311">
        <v>66</v>
      </c>
      <c r="F311">
        <v>1.132E-2</v>
      </c>
      <c r="G311">
        <v>0</v>
      </c>
      <c r="H311" t="str">
        <f t="shared" si="12"/>
        <v>60-69</v>
      </c>
      <c r="I311" t="str">
        <f t="shared" si="13"/>
        <v>20-29</v>
      </c>
      <c r="J311">
        <f t="shared" si="14"/>
        <v>1.132E-2</v>
      </c>
    </row>
    <row r="312" spans="1:10">
      <c r="A312" t="s">
        <v>394</v>
      </c>
      <c r="B312">
        <v>46</v>
      </c>
      <c r="C312" t="s">
        <v>9</v>
      </c>
      <c r="D312">
        <v>9</v>
      </c>
      <c r="E312">
        <v>54</v>
      </c>
      <c r="F312">
        <v>2.8900000000000002E-3</v>
      </c>
      <c r="G312">
        <v>0</v>
      </c>
      <c r="H312" t="str">
        <f t="shared" si="12"/>
        <v>50-59</v>
      </c>
      <c r="I312" t="str">
        <f t="shared" si="13"/>
        <v>0-9</v>
      </c>
      <c r="J312">
        <f t="shared" si="14"/>
        <v>2.8900000000000002E-3</v>
      </c>
    </row>
    <row r="313" spans="1:10">
      <c r="A313" t="s">
        <v>395</v>
      </c>
      <c r="B313">
        <v>48</v>
      </c>
      <c r="C313" t="s">
        <v>7</v>
      </c>
      <c r="D313">
        <v>15</v>
      </c>
      <c r="E313">
        <v>62</v>
      </c>
      <c r="F313">
        <v>5.6600000000000001E-3</v>
      </c>
      <c r="G313">
        <v>0</v>
      </c>
      <c r="H313" t="str">
        <f t="shared" si="12"/>
        <v>60-69</v>
      </c>
      <c r="I313" t="str">
        <f t="shared" si="13"/>
        <v>10-19</v>
      </c>
      <c r="J313">
        <f t="shared" si="14"/>
        <v>5.6600000000000001E-3</v>
      </c>
    </row>
    <row r="314" spans="1:10">
      <c r="A314" t="s">
        <v>396</v>
      </c>
      <c r="B314">
        <v>26</v>
      </c>
      <c r="C314" t="s">
        <v>9</v>
      </c>
      <c r="D314">
        <v>22</v>
      </c>
      <c r="E314">
        <v>47</v>
      </c>
      <c r="F314">
        <v>2.1700000000000001E-3</v>
      </c>
      <c r="G314">
        <v>0</v>
      </c>
      <c r="H314" t="str">
        <f t="shared" si="12"/>
        <v>40-49</v>
      </c>
      <c r="I314" t="str">
        <f t="shared" si="13"/>
        <v>20-29</v>
      </c>
      <c r="J314">
        <f t="shared" si="14"/>
        <v>2.1700000000000001E-3</v>
      </c>
    </row>
    <row r="315" spans="1:10">
      <c r="A315" t="s">
        <v>397</v>
      </c>
      <c r="B315">
        <v>61</v>
      </c>
      <c r="C315" t="s">
        <v>9</v>
      </c>
      <c r="D315">
        <v>12</v>
      </c>
      <c r="E315">
        <v>72</v>
      </c>
      <c r="F315">
        <v>1.9769999999999999E-2</v>
      </c>
      <c r="G315">
        <v>0</v>
      </c>
      <c r="H315" t="str">
        <f t="shared" si="12"/>
        <v>70-79</v>
      </c>
      <c r="I315" t="str">
        <f t="shared" si="13"/>
        <v>10-19</v>
      </c>
      <c r="J315">
        <f t="shared" si="14"/>
        <v>1.9769999999999999E-2</v>
      </c>
    </row>
    <row r="316" spans="1:10">
      <c r="A316" t="s">
        <v>398</v>
      </c>
      <c r="B316">
        <v>27</v>
      </c>
      <c r="C316" t="s">
        <v>7</v>
      </c>
      <c r="D316">
        <v>28</v>
      </c>
      <c r="E316">
        <v>54</v>
      </c>
      <c r="F316">
        <v>2.3800000000000002E-3</v>
      </c>
      <c r="G316">
        <v>0</v>
      </c>
      <c r="H316" t="str">
        <f t="shared" si="12"/>
        <v>50-59</v>
      </c>
      <c r="I316" t="str">
        <f t="shared" si="13"/>
        <v>20-29</v>
      </c>
      <c r="J316">
        <f t="shared" si="14"/>
        <v>2.3800000000000002E-3</v>
      </c>
    </row>
    <row r="317" spans="1:10">
      <c r="A317" t="s">
        <v>399</v>
      </c>
      <c r="B317">
        <v>33</v>
      </c>
      <c r="C317" t="s">
        <v>7</v>
      </c>
      <c r="D317">
        <v>21</v>
      </c>
      <c r="E317">
        <v>53</v>
      </c>
      <c r="F317">
        <v>2.5899999999999999E-3</v>
      </c>
      <c r="G317">
        <v>0</v>
      </c>
      <c r="H317" t="str">
        <f t="shared" si="12"/>
        <v>50-59</v>
      </c>
      <c r="I317" t="str">
        <f t="shared" si="13"/>
        <v>20-29</v>
      </c>
      <c r="J317">
        <f t="shared" si="14"/>
        <v>2.5899999999999999E-3</v>
      </c>
    </row>
    <row r="318" spans="1:10">
      <c r="A318" t="s">
        <v>400</v>
      </c>
      <c r="B318">
        <v>23</v>
      </c>
      <c r="C318" t="s">
        <v>9</v>
      </c>
      <c r="D318">
        <v>26</v>
      </c>
      <c r="E318">
        <v>48</v>
      </c>
      <c r="F318">
        <v>2.7399999999999998E-3</v>
      </c>
      <c r="G318">
        <v>0</v>
      </c>
      <c r="H318" t="str">
        <f t="shared" si="12"/>
        <v>40-49</v>
      </c>
      <c r="I318" t="str">
        <f t="shared" si="13"/>
        <v>20-29</v>
      </c>
      <c r="J318">
        <f t="shared" si="14"/>
        <v>2.7399999999999998E-3</v>
      </c>
    </row>
    <row r="319" spans="1:10">
      <c r="A319" t="s">
        <v>401</v>
      </c>
      <c r="B319">
        <v>56</v>
      </c>
      <c r="C319" t="s">
        <v>9</v>
      </c>
      <c r="D319">
        <v>7</v>
      </c>
      <c r="E319">
        <v>62</v>
      </c>
      <c r="F319">
        <v>6.5399999999999998E-3</v>
      </c>
      <c r="G319">
        <v>0</v>
      </c>
      <c r="H319" t="str">
        <f t="shared" si="12"/>
        <v>60-69</v>
      </c>
      <c r="I319" t="str">
        <f t="shared" si="13"/>
        <v>0-9</v>
      </c>
      <c r="J319">
        <f t="shared" si="14"/>
        <v>6.5399999999999998E-3</v>
      </c>
    </row>
    <row r="320" spans="1:10">
      <c r="A320" t="s">
        <v>402</v>
      </c>
      <c r="B320">
        <v>33</v>
      </c>
      <c r="C320" t="s">
        <v>9</v>
      </c>
      <c r="D320">
        <v>19</v>
      </c>
      <c r="E320">
        <v>51</v>
      </c>
      <c r="F320">
        <v>2.7200000000000002E-3</v>
      </c>
      <c r="G320">
        <v>0</v>
      </c>
      <c r="H320" t="str">
        <f t="shared" si="12"/>
        <v>50-59</v>
      </c>
      <c r="I320" t="str">
        <f t="shared" si="13"/>
        <v>10-19</v>
      </c>
      <c r="J320">
        <f t="shared" si="14"/>
        <v>2.7200000000000002E-3</v>
      </c>
    </row>
    <row r="321" spans="1:10">
      <c r="A321" t="s">
        <v>403</v>
      </c>
      <c r="B321">
        <v>41</v>
      </c>
      <c r="C321" t="s">
        <v>9</v>
      </c>
      <c r="D321">
        <v>25</v>
      </c>
      <c r="E321">
        <v>65</v>
      </c>
      <c r="F321">
        <v>1.057E-2</v>
      </c>
      <c r="G321">
        <v>0</v>
      </c>
      <c r="H321" t="str">
        <f t="shared" si="12"/>
        <v>60-69</v>
      </c>
      <c r="I321" t="str">
        <f t="shared" si="13"/>
        <v>20-29</v>
      </c>
      <c r="J321">
        <f t="shared" si="14"/>
        <v>1.057E-2</v>
      </c>
    </row>
    <row r="322" spans="1:10">
      <c r="A322" t="s">
        <v>404</v>
      </c>
      <c r="B322">
        <v>20</v>
      </c>
      <c r="C322" t="s">
        <v>7</v>
      </c>
      <c r="D322">
        <v>9</v>
      </c>
      <c r="E322">
        <v>28</v>
      </c>
      <c r="F322">
        <v>3.4000000000000002E-4</v>
      </c>
      <c r="G322">
        <v>0</v>
      </c>
      <c r="H322" t="str">
        <f t="shared" si="12"/>
        <v>20-29</v>
      </c>
      <c r="I322" t="str">
        <f t="shared" si="13"/>
        <v>0-9</v>
      </c>
      <c r="J322">
        <f t="shared" si="14"/>
        <v>3.4000000000000002E-4</v>
      </c>
    </row>
    <row r="323" spans="1:10">
      <c r="A323" t="s">
        <v>405</v>
      </c>
      <c r="B323">
        <v>28</v>
      </c>
      <c r="C323" t="s">
        <v>9</v>
      </c>
      <c r="D323">
        <v>18</v>
      </c>
      <c r="E323">
        <v>45</v>
      </c>
      <c r="F323">
        <v>1.7899999999999999E-3</v>
      </c>
      <c r="G323">
        <v>0</v>
      </c>
      <c r="H323" t="str">
        <f t="shared" ref="H323:H386" si="15">FLOOR(E323,10) &amp; "-" &amp; FLOOR(E323,10)+9</f>
        <v>40-49</v>
      </c>
      <c r="I323" t="str">
        <f t="shared" ref="I323:I386" si="16">FLOOR(D323, 10) &amp; "-"&amp;FLOOR(D323, 10)+9</f>
        <v>10-19</v>
      </c>
      <c r="J323">
        <f t="shared" ref="J323:J386" si="17">F323</f>
        <v>1.7899999999999999E-3</v>
      </c>
    </row>
    <row r="324" spans="1:10">
      <c r="A324" t="s">
        <v>406</v>
      </c>
      <c r="B324">
        <v>62</v>
      </c>
      <c r="C324" t="s">
        <v>9</v>
      </c>
      <c r="D324">
        <v>28</v>
      </c>
      <c r="E324">
        <v>89</v>
      </c>
      <c r="F324">
        <v>0.11724</v>
      </c>
      <c r="G324">
        <v>1</v>
      </c>
      <c r="H324" t="str">
        <f t="shared" si="15"/>
        <v>80-89</v>
      </c>
      <c r="I324" t="str">
        <f t="shared" si="16"/>
        <v>20-29</v>
      </c>
      <c r="J324">
        <f t="shared" si="17"/>
        <v>0.11724</v>
      </c>
    </row>
    <row r="325" spans="1:10">
      <c r="A325" t="s">
        <v>407</v>
      </c>
      <c r="B325">
        <v>35</v>
      </c>
      <c r="C325" t="s">
        <v>9</v>
      </c>
      <c r="D325">
        <v>19</v>
      </c>
      <c r="E325">
        <v>53</v>
      </c>
      <c r="F325">
        <v>3.2200000000000002E-3</v>
      </c>
      <c r="G325">
        <v>0</v>
      </c>
      <c r="H325" t="str">
        <f t="shared" si="15"/>
        <v>50-59</v>
      </c>
      <c r="I325" t="str">
        <f t="shared" si="16"/>
        <v>10-19</v>
      </c>
      <c r="J325">
        <f t="shared" si="17"/>
        <v>3.2200000000000002E-3</v>
      </c>
    </row>
    <row r="326" spans="1:10">
      <c r="A326" t="s">
        <v>408</v>
      </c>
      <c r="B326">
        <v>23</v>
      </c>
      <c r="C326" t="s">
        <v>7</v>
      </c>
      <c r="D326">
        <v>5</v>
      </c>
      <c r="E326">
        <v>27</v>
      </c>
      <c r="F326">
        <v>2.5000000000000001E-4</v>
      </c>
      <c r="G326">
        <v>0</v>
      </c>
      <c r="H326" t="str">
        <f t="shared" si="15"/>
        <v>20-29</v>
      </c>
      <c r="I326" t="str">
        <f t="shared" si="16"/>
        <v>0-9</v>
      </c>
      <c r="J326">
        <f t="shared" si="17"/>
        <v>2.5000000000000001E-4</v>
      </c>
    </row>
    <row r="327" spans="1:10">
      <c r="A327" t="s">
        <v>409</v>
      </c>
      <c r="B327">
        <v>24</v>
      </c>
      <c r="C327" t="s">
        <v>9</v>
      </c>
      <c r="D327">
        <v>16</v>
      </c>
      <c r="E327">
        <v>39</v>
      </c>
      <c r="F327">
        <v>1.1999999999999999E-3</v>
      </c>
      <c r="G327">
        <v>0</v>
      </c>
      <c r="H327" t="str">
        <f t="shared" si="15"/>
        <v>30-39</v>
      </c>
      <c r="I327" t="str">
        <f t="shared" si="16"/>
        <v>10-19</v>
      </c>
      <c r="J327">
        <f t="shared" si="17"/>
        <v>1.1999999999999999E-3</v>
      </c>
    </row>
    <row r="328" spans="1:10">
      <c r="A328" t="s">
        <v>410</v>
      </c>
      <c r="B328">
        <v>57</v>
      </c>
      <c r="C328" t="s">
        <v>9</v>
      </c>
      <c r="D328">
        <v>4</v>
      </c>
      <c r="E328">
        <v>60</v>
      </c>
      <c r="F328">
        <v>4.6899999999999997E-3</v>
      </c>
      <c r="G328">
        <v>0</v>
      </c>
      <c r="H328" t="str">
        <f t="shared" si="15"/>
        <v>60-69</v>
      </c>
      <c r="I328" t="str">
        <f t="shared" si="16"/>
        <v>0-9</v>
      </c>
      <c r="J328">
        <f t="shared" si="17"/>
        <v>4.6899999999999997E-3</v>
      </c>
    </row>
    <row r="329" spans="1:10">
      <c r="A329" t="s">
        <v>411</v>
      </c>
      <c r="B329">
        <v>59</v>
      </c>
      <c r="C329" t="s">
        <v>7</v>
      </c>
      <c r="D329">
        <v>2</v>
      </c>
      <c r="E329">
        <v>60</v>
      </c>
      <c r="F329">
        <v>1.5E-3</v>
      </c>
      <c r="G329">
        <v>0</v>
      </c>
      <c r="H329" t="str">
        <f t="shared" si="15"/>
        <v>60-69</v>
      </c>
      <c r="I329" t="str">
        <f t="shared" si="16"/>
        <v>0-9</v>
      </c>
      <c r="J329">
        <f t="shared" si="17"/>
        <v>1.5E-3</v>
      </c>
    </row>
    <row r="330" spans="1:10">
      <c r="A330" t="s">
        <v>412</v>
      </c>
      <c r="B330">
        <v>62</v>
      </c>
      <c r="C330" t="s">
        <v>9</v>
      </c>
      <c r="D330">
        <v>17</v>
      </c>
      <c r="E330">
        <v>78</v>
      </c>
      <c r="F330">
        <v>3.943E-2</v>
      </c>
      <c r="G330">
        <v>0</v>
      </c>
      <c r="H330" t="str">
        <f t="shared" si="15"/>
        <v>70-79</v>
      </c>
      <c r="I330" t="str">
        <f t="shared" si="16"/>
        <v>10-19</v>
      </c>
      <c r="J330">
        <f t="shared" si="17"/>
        <v>3.943E-2</v>
      </c>
    </row>
    <row r="331" spans="1:10">
      <c r="A331" t="s">
        <v>413</v>
      </c>
      <c r="B331">
        <v>21</v>
      </c>
      <c r="C331" t="s">
        <v>7</v>
      </c>
      <c r="D331">
        <v>2</v>
      </c>
      <c r="E331">
        <v>22</v>
      </c>
      <c r="F331">
        <v>2.5000000000000001E-4</v>
      </c>
      <c r="G331">
        <v>0</v>
      </c>
      <c r="H331" t="str">
        <f t="shared" si="15"/>
        <v>20-29</v>
      </c>
      <c r="I331" t="str">
        <f t="shared" si="16"/>
        <v>0-9</v>
      </c>
      <c r="J331">
        <f t="shared" si="17"/>
        <v>2.5000000000000001E-4</v>
      </c>
    </row>
    <row r="332" spans="1:10">
      <c r="A332" t="s">
        <v>414</v>
      </c>
      <c r="B332">
        <v>47</v>
      </c>
      <c r="C332" t="s">
        <v>9</v>
      </c>
      <c r="D332">
        <v>22</v>
      </c>
      <c r="E332">
        <v>68</v>
      </c>
      <c r="F332">
        <v>1.405E-2</v>
      </c>
      <c r="G332">
        <v>0</v>
      </c>
      <c r="H332" t="str">
        <f t="shared" si="15"/>
        <v>60-69</v>
      </c>
      <c r="I332" t="str">
        <f t="shared" si="16"/>
        <v>20-29</v>
      </c>
      <c r="J332">
        <f t="shared" si="17"/>
        <v>1.405E-2</v>
      </c>
    </row>
    <row r="333" spans="1:10">
      <c r="A333" t="s">
        <v>415</v>
      </c>
      <c r="B333">
        <v>48</v>
      </c>
      <c r="C333" t="s">
        <v>7</v>
      </c>
      <c r="D333">
        <v>3</v>
      </c>
      <c r="E333">
        <v>50</v>
      </c>
      <c r="F333">
        <v>9.7999999999999997E-4</v>
      </c>
      <c r="G333">
        <v>0</v>
      </c>
      <c r="H333" t="str">
        <f t="shared" si="15"/>
        <v>50-59</v>
      </c>
      <c r="I333" t="str">
        <f t="shared" si="16"/>
        <v>0-9</v>
      </c>
      <c r="J333">
        <f t="shared" si="17"/>
        <v>9.7999999999999997E-4</v>
      </c>
    </row>
    <row r="334" spans="1:10">
      <c r="A334" t="s">
        <v>416</v>
      </c>
      <c r="B334">
        <v>29</v>
      </c>
      <c r="C334" t="s">
        <v>9</v>
      </c>
      <c r="D334">
        <v>3</v>
      </c>
      <c r="E334">
        <v>31</v>
      </c>
      <c r="F334">
        <v>3.5E-4</v>
      </c>
      <c r="G334">
        <v>0</v>
      </c>
      <c r="H334" t="str">
        <f t="shared" si="15"/>
        <v>30-39</v>
      </c>
      <c r="I334" t="str">
        <f t="shared" si="16"/>
        <v>0-9</v>
      </c>
      <c r="J334">
        <f t="shared" si="17"/>
        <v>3.5E-4</v>
      </c>
    </row>
    <row r="335" spans="1:10">
      <c r="A335" t="s">
        <v>417</v>
      </c>
      <c r="B335">
        <v>57</v>
      </c>
      <c r="C335" t="s">
        <v>7</v>
      </c>
      <c r="D335">
        <v>18</v>
      </c>
      <c r="E335">
        <v>74</v>
      </c>
      <c r="F335">
        <v>1.968E-2</v>
      </c>
      <c r="G335">
        <v>0</v>
      </c>
      <c r="H335" t="str">
        <f t="shared" si="15"/>
        <v>70-79</v>
      </c>
      <c r="I335" t="str">
        <f t="shared" si="16"/>
        <v>10-19</v>
      </c>
      <c r="J335">
        <f t="shared" si="17"/>
        <v>1.968E-2</v>
      </c>
    </row>
    <row r="336" spans="1:10">
      <c r="A336" t="s">
        <v>418</v>
      </c>
      <c r="B336">
        <v>58</v>
      </c>
      <c r="C336" t="s">
        <v>9</v>
      </c>
      <c r="D336">
        <v>17</v>
      </c>
      <c r="E336">
        <v>74</v>
      </c>
      <c r="F336">
        <v>2.6440000000000002E-2</v>
      </c>
      <c r="G336">
        <v>0</v>
      </c>
      <c r="H336" t="str">
        <f t="shared" si="15"/>
        <v>70-79</v>
      </c>
      <c r="I336" t="str">
        <f t="shared" si="16"/>
        <v>10-19</v>
      </c>
      <c r="J336">
        <f t="shared" si="17"/>
        <v>2.6440000000000002E-2</v>
      </c>
    </row>
    <row r="337" spans="1:10">
      <c r="A337" t="s">
        <v>419</v>
      </c>
      <c r="B337">
        <v>47</v>
      </c>
      <c r="C337" t="s">
        <v>7</v>
      </c>
      <c r="D337">
        <v>4</v>
      </c>
      <c r="E337">
        <v>50</v>
      </c>
      <c r="F337">
        <v>1.15E-3</v>
      </c>
      <c r="G337">
        <v>0</v>
      </c>
      <c r="H337" t="str">
        <f t="shared" si="15"/>
        <v>50-59</v>
      </c>
      <c r="I337" t="str">
        <f t="shared" si="16"/>
        <v>0-9</v>
      </c>
      <c r="J337">
        <f t="shared" si="17"/>
        <v>1.15E-3</v>
      </c>
    </row>
    <row r="338" spans="1:10">
      <c r="A338" t="s">
        <v>420</v>
      </c>
      <c r="B338">
        <v>61</v>
      </c>
      <c r="C338" t="s">
        <v>7</v>
      </c>
      <c r="D338">
        <v>21</v>
      </c>
      <c r="E338">
        <v>81</v>
      </c>
      <c r="F338">
        <v>4.4880000000000003E-2</v>
      </c>
      <c r="G338">
        <v>0</v>
      </c>
      <c r="H338" t="str">
        <f t="shared" si="15"/>
        <v>80-89</v>
      </c>
      <c r="I338" t="str">
        <f t="shared" si="16"/>
        <v>20-29</v>
      </c>
      <c r="J338">
        <f t="shared" si="17"/>
        <v>4.4880000000000003E-2</v>
      </c>
    </row>
    <row r="339" spans="1:10">
      <c r="A339" t="s">
        <v>421</v>
      </c>
      <c r="B339">
        <v>33</v>
      </c>
      <c r="C339" t="s">
        <v>9</v>
      </c>
      <c r="D339">
        <v>14</v>
      </c>
      <c r="E339">
        <v>46</v>
      </c>
      <c r="F339">
        <v>1.6299999999999999E-3</v>
      </c>
      <c r="G339">
        <v>0</v>
      </c>
      <c r="H339" t="str">
        <f t="shared" si="15"/>
        <v>40-49</v>
      </c>
      <c r="I339" t="str">
        <f t="shared" si="16"/>
        <v>10-19</v>
      </c>
      <c r="J339">
        <f t="shared" si="17"/>
        <v>1.6299999999999999E-3</v>
      </c>
    </row>
    <row r="340" spans="1:10">
      <c r="A340" t="s">
        <v>422</v>
      </c>
      <c r="B340">
        <v>41</v>
      </c>
      <c r="C340" t="s">
        <v>9</v>
      </c>
      <c r="D340">
        <v>27</v>
      </c>
      <c r="E340">
        <v>67</v>
      </c>
      <c r="F340">
        <v>1.1730000000000001E-2</v>
      </c>
      <c r="G340">
        <v>0</v>
      </c>
      <c r="H340" t="str">
        <f t="shared" si="15"/>
        <v>60-69</v>
      </c>
      <c r="I340" t="str">
        <f t="shared" si="16"/>
        <v>20-29</v>
      </c>
      <c r="J340">
        <f t="shared" si="17"/>
        <v>1.1730000000000001E-2</v>
      </c>
    </row>
    <row r="341" spans="1:10">
      <c r="A341" t="s">
        <v>423</v>
      </c>
      <c r="B341">
        <v>26</v>
      </c>
      <c r="C341" t="s">
        <v>9</v>
      </c>
      <c r="D341">
        <v>11</v>
      </c>
      <c r="E341">
        <v>36</v>
      </c>
      <c r="F341">
        <v>7.6999999999999996E-4</v>
      </c>
      <c r="G341">
        <v>0</v>
      </c>
      <c r="H341" t="str">
        <f t="shared" si="15"/>
        <v>30-39</v>
      </c>
      <c r="I341" t="str">
        <f t="shared" si="16"/>
        <v>10-19</v>
      </c>
      <c r="J341">
        <f t="shared" si="17"/>
        <v>7.6999999999999996E-4</v>
      </c>
    </row>
    <row r="342" spans="1:10">
      <c r="A342" t="s">
        <v>424</v>
      </c>
      <c r="B342">
        <v>43</v>
      </c>
      <c r="C342" t="s">
        <v>7</v>
      </c>
      <c r="D342">
        <v>5</v>
      </c>
      <c r="E342">
        <v>47</v>
      </c>
      <c r="F342">
        <v>9.5E-4</v>
      </c>
      <c r="G342">
        <v>0</v>
      </c>
      <c r="H342" t="str">
        <f t="shared" si="15"/>
        <v>40-49</v>
      </c>
      <c r="I342" t="str">
        <f t="shared" si="16"/>
        <v>0-9</v>
      </c>
      <c r="J342">
        <f t="shared" si="17"/>
        <v>9.5E-4</v>
      </c>
    </row>
    <row r="343" spans="1:10">
      <c r="A343" t="s">
        <v>425</v>
      </c>
      <c r="B343">
        <v>25</v>
      </c>
      <c r="C343" t="s">
        <v>9</v>
      </c>
      <c r="D343">
        <v>27</v>
      </c>
      <c r="E343">
        <v>51</v>
      </c>
      <c r="F343">
        <v>2.9299999999999999E-3</v>
      </c>
      <c r="G343">
        <v>0</v>
      </c>
      <c r="H343" t="str">
        <f t="shared" si="15"/>
        <v>50-59</v>
      </c>
      <c r="I343" t="str">
        <f t="shared" si="16"/>
        <v>20-29</v>
      </c>
      <c r="J343">
        <f t="shared" si="17"/>
        <v>2.9299999999999999E-3</v>
      </c>
    </row>
    <row r="344" spans="1:10">
      <c r="A344" t="s">
        <v>426</v>
      </c>
      <c r="B344">
        <v>43</v>
      </c>
      <c r="C344" t="s">
        <v>9</v>
      </c>
      <c r="D344">
        <v>26</v>
      </c>
      <c r="E344">
        <v>68</v>
      </c>
      <c r="F344">
        <v>1.413E-2</v>
      </c>
      <c r="G344">
        <v>0</v>
      </c>
      <c r="H344" t="str">
        <f t="shared" si="15"/>
        <v>60-69</v>
      </c>
      <c r="I344" t="str">
        <f t="shared" si="16"/>
        <v>20-29</v>
      </c>
      <c r="J344">
        <f t="shared" si="17"/>
        <v>1.413E-2</v>
      </c>
    </row>
    <row r="345" spans="1:10">
      <c r="A345" t="s">
        <v>427</v>
      </c>
      <c r="B345">
        <v>55</v>
      </c>
      <c r="C345" t="s">
        <v>9</v>
      </c>
      <c r="D345">
        <v>18</v>
      </c>
      <c r="E345">
        <v>72</v>
      </c>
      <c r="F345">
        <v>2.1139999999999999E-2</v>
      </c>
      <c r="G345">
        <v>0</v>
      </c>
      <c r="H345" t="str">
        <f t="shared" si="15"/>
        <v>70-79</v>
      </c>
      <c r="I345" t="str">
        <f t="shared" si="16"/>
        <v>10-19</v>
      </c>
      <c r="J345">
        <f t="shared" si="17"/>
        <v>2.1139999999999999E-2</v>
      </c>
    </row>
    <row r="346" spans="1:10">
      <c r="A346" t="s">
        <v>428</v>
      </c>
      <c r="B346">
        <v>42</v>
      </c>
      <c r="C346" t="s">
        <v>7</v>
      </c>
      <c r="D346">
        <v>28</v>
      </c>
      <c r="E346">
        <v>69</v>
      </c>
      <c r="F346">
        <v>1.027E-2</v>
      </c>
      <c r="G346">
        <v>0</v>
      </c>
      <c r="H346" t="str">
        <f t="shared" si="15"/>
        <v>60-69</v>
      </c>
      <c r="I346" t="str">
        <f t="shared" si="16"/>
        <v>20-29</v>
      </c>
      <c r="J346">
        <f t="shared" si="17"/>
        <v>1.027E-2</v>
      </c>
    </row>
    <row r="347" spans="1:10">
      <c r="A347" t="s">
        <v>429</v>
      </c>
      <c r="B347">
        <v>23</v>
      </c>
      <c r="C347" t="s">
        <v>7</v>
      </c>
      <c r="D347">
        <v>10</v>
      </c>
      <c r="E347">
        <v>32</v>
      </c>
      <c r="F347">
        <v>4.0999999999999999E-4</v>
      </c>
      <c r="G347">
        <v>0</v>
      </c>
      <c r="H347" t="str">
        <f t="shared" si="15"/>
        <v>30-39</v>
      </c>
      <c r="I347" t="str">
        <f t="shared" si="16"/>
        <v>10-19</v>
      </c>
      <c r="J347">
        <f t="shared" si="17"/>
        <v>4.0999999999999999E-4</v>
      </c>
    </row>
    <row r="348" spans="1:10">
      <c r="A348" t="s">
        <v>430</v>
      </c>
      <c r="B348">
        <v>56</v>
      </c>
      <c r="C348" t="s">
        <v>9</v>
      </c>
      <c r="D348">
        <v>17</v>
      </c>
      <c r="E348">
        <v>72</v>
      </c>
      <c r="F348">
        <v>2.1139999999999999E-2</v>
      </c>
      <c r="G348">
        <v>0</v>
      </c>
      <c r="H348" t="str">
        <f t="shared" si="15"/>
        <v>70-79</v>
      </c>
      <c r="I348" t="str">
        <f t="shared" si="16"/>
        <v>10-19</v>
      </c>
      <c r="J348">
        <f t="shared" si="17"/>
        <v>2.1139999999999999E-2</v>
      </c>
    </row>
    <row r="349" spans="1:10">
      <c r="A349" t="s">
        <v>431</v>
      </c>
      <c r="B349">
        <v>34</v>
      </c>
      <c r="C349" t="s">
        <v>9</v>
      </c>
      <c r="D349">
        <v>28</v>
      </c>
      <c r="E349">
        <v>61</v>
      </c>
      <c r="F349">
        <v>5.7400000000000003E-3</v>
      </c>
      <c r="G349">
        <v>0</v>
      </c>
      <c r="H349" t="str">
        <f t="shared" si="15"/>
        <v>60-69</v>
      </c>
      <c r="I349" t="str">
        <f t="shared" si="16"/>
        <v>20-29</v>
      </c>
      <c r="J349">
        <f t="shared" si="17"/>
        <v>5.7400000000000003E-3</v>
      </c>
    </row>
    <row r="350" spans="1:10">
      <c r="A350" t="s">
        <v>432</v>
      </c>
      <c r="B350">
        <v>43</v>
      </c>
      <c r="C350" t="s">
        <v>7</v>
      </c>
      <c r="D350">
        <v>4</v>
      </c>
      <c r="E350">
        <v>46</v>
      </c>
      <c r="F350">
        <v>7.9000000000000001E-4</v>
      </c>
      <c r="G350">
        <v>0</v>
      </c>
      <c r="H350" t="str">
        <f t="shared" si="15"/>
        <v>40-49</v>
      </c>
      <c r="I350" t="str">
        <f t="shared" si="16"/>
        <v>0-9</v>
      </c>
      <c r="J350">
        <f t="shared" si="17"/>
        <v>7.9000000000000001E-4</v>
      </c>
    </row>
    <row r="351" spans="1:10">
      <c r="A351" t="s">
        <v>433</v>
      </c>
      <c r="B351">
        <v>47</v>
      </c>
      <c r="C351" t="s">
        <v>7</v>
      </c>
      <c r="D351">
        <v>28</v>
      </c>
      <c r="E351">
        <v>74</v>
      </c>
      <c r="F351">
        <v>1.7170000000000001E-2</v>
      </c>
      <c r="G351">
        <v>0</v>
      </c>
      <c r="H351" t="str">
        <f t="shared" si="15"/>
        <v>70-79</v>
      </c>
      <c r="I351" t="str">
        <f t="shared" si="16"/>
        <v>20-29</v>
      </c>
      <c r="J351">
        <f t="shared" si="17"/>
        <v>1.7170000000000001E-2</v>
      </c>
    </row>
    <row r="352" spans="1:10">
      <c r="A352" t="s">
        <v>434</v>
      </c>
      <c r="B352">
        <v>59</v>
      </c>
      <c r="C352" t="s">
        <v>7</v>
      </c>
      <c r="D352">
        <v>20</v>
      </c>
      <c r="E352">
        <v>78</v>
      </c>
      <c r="F352">
        <v>3.1530000000000002E-2</v>
      </c>
      <c r="G352">
        <v>0</v>
      </c>
      <c r="H352" t="str">
        <f t="shared" si="15"/>
        <v>70-79</v>
      </c>
      <c r="I352" t="str">
        <f t="shared" si="16"/>
        <v>20-29</v>
      </c>
      <c r="J352">
        <f t="shared" si="17"/>
        <v>3.1530000000000002E-2</v>
      </c>
    </row>
    <row r="353" spans="1:10">
      <c r="A353" t="s">
        <v>435</v>
      </c>
      <c r="B353">
        <v>58</v>
      </c>
      <c r="C353" t="s">
        <v>7</v>
      </c>
      <c r="D353">
        <v>30</v>
      </c>
      <c r="E353">
        <v>87</v>
      </c>
      <c r="F353">
        <v>5.704E-2</v>
      </c>
      <c r="G353">
        <v>0</v>
      </c>
      <c r="H353" t="str">
        <f t="shared" si="15"/>
        <v>80-89</v>
      </c>
      <c r="I353" t="str">
        <f t="shared" si="16"/>
        <v>30-39</v>
      </c>
      <c r="J353">
        <f t="shared" si="17"/>
        <v>5.704E-2</v>
      </c>
    </row>
    <row r="354" spans="1:10">
      <c r="A354" t="s">
        <v>436</v>
      </c>
      <c r="B354">
        <v>21</v>
      </c>
      <c r="C354" t="s">
        <v>9</v>
      </c>
      <c r="D354">
        <v>6</v>
      </c>
      <c r="E354">
        <v>26</v>
      </c>
      <c r="F354">
        <v>6.8000000000000005E-4</v>
      </c>
      <c r="G354">
        <v>0</v>
      </c>
      <c r="H354" t="str">
        <f t="shared" si="15"/>
        <v>20-29</v>
      </c>
      <c r="I354" t="str">
        <f t="shared" si="16"/>
        <v>0-9</v>
      </c>
      <c r="J354">
        <f t="shared" si="17"/>
        <v>6.8000000000000005E-4</v>
      </c>
    </row>
    <row r="355" spans="1:10">
      <c r="A355" t="s">
        <v>437</v>
      </c>
      <c r="B355">
        <v>41</v>
      </c>
      <c r="C355" t="s">
        <v>9</v>
      </c>
      <c r="D355">
        <v>12</v>
      </c>
      <c r="E355">
        <v>52</v>
      </c>
      <c r="F355">
        <v>2.5799999999999998E-3</v>
      </c>
      <c r="G355">
        <v>0</v>
      </c>
      <c r="H355" t="str">
        <f t="shared" si="15"/>
        <v>50-59</v>
      </c>
      <c r="I355" t="str">
        <f t="shared" si="16"/>
        <v>10-19</v>
      </c>
      <c r="J355">
        <f t="shared" si="17"/>
        <v>2.5799999999999998E-3</v>
      </c>
    </row>
    <row r="356" spans="1:10">
      <c r="A356" t="s">
        <v>438</v>
      </c>
      <c r="B356">
        <v>56</v>
      </c>
      <c r="C356" t="s">
        <v>9</v>
      </c>
      <c r="D356">
        <v>22</v>
      </c>
      <c r="E356">
        <v>77</v>
      </c>
      <c r="F356">
        <v>3.7039999999999997E-2</v>
      </c>
      <c r="G356">
        <v>0</v>
      </c>
      <c r="H356" t="str">
        <f t="shared" si="15"/>
        <v>70-79</v>
      </c>
      <c r="I356" t="str">
        <f t="shared" si="16"/>
        <v>20-29</v>
      </c>
      <c r="J356">
        <f t="shared" si="17"/>
        <v>3.7039999999999997E-2</v>
      </c>
    </row>
    <row r="357" spans="1:10">
      <c r="A357" t="s">
        <v>439</v>
      </c>
      <c r="B357">
        <v>60</v>
      </c>
      <c r="C357" t="s">
        <v>9</v>
      </c>
      <c r="D357">
        <v>1</v>
      </c>
      <c r="E357">
        <v>60</v>
      </c>
      <c r="F357">
        <v>2.0500000000000002E-3</v>
      </c>
      <c r="G357">
        <v>0</v>
      </c>
      <c r="H357" t="str">
        <f t="shared" si="15"/>
        <v>60-69</v>
      </c>
      <c r="I357" t="str">
        <f t="shared" si="16"/>
        <v>0-9</v>
      </c>
      <c r="J357">
        <f t="shared" si="17"/>
        <v>2.0500000000000002E-3</v>
      </c>
    </row>
    <row r="358" spans="1:10">
      <c r="A358" t="s">
        <v>440</v>
      </c>
      <c r="B358">
        <v>44</v>
      </c>
      <c r="C358" t="s">
        <v>9</v>
      </c>
      <c r="D358">
        <v>14</v>
      </c>
      <c r="E358">
        <v>57</v>
      </c>
      <c r="F358">
        <v>4.4000000000000003E-3</v>
      </c>
      <c r="G358">
        <v>0</v>
      </c>
      <c r="H358" t="str">
        <f t="shared" si="15"/>
        <v>50-59</v>
      </c>
      <c r="I358" t="str">
        <f t="shared" si="16"/>
        <v>10-19</v>
      </c>
      <c r="J358">
        <f t="shared" si="17"/>
        <v>4.4000000000000003E-3</v>
      </c>
    </row>
    <row r="359" spans="1:10">
      <c r="A359" t="s">
        <v>441</v>
      </c>
      <c r="B359">
        <v>39</v>
      </c>
      <c r="C359" t="s">
        <v>9</v>
      </c>
      <c r="D359">
        <v>24</v>
      </c>
      <c r="E359">
        <v>62</v>
      </c>
      <c r="F359">
        <v>7.7600000000000004E-3</v>
      </c>
      <c r="G359">
        <v>0</v>
      </c>
      <c r="H359" t="str">
        <f t="shared" si="15"/>
        <v>60-69</v>
      </c>
      <c r="I359" t="str">
        <f t="shared" si="16"/>
        <v>20-29</v>
      </c>
      <c r="J359">
        <f t="shared" si="17"/>
        <v>7.7600000000000004E-3</v>
      </c>
    </row>
    <row r="360" spans="1:10">
      <c r="A360" t="s">
        <v>442</v>
      </c>
      <c r="B360">
        <v>58</v>
      </c>
      <c r="C360" t="s">
        <v>7</v>
      </c>
      <c r="D360">
        <v>3</v>
      </c>
      <c r="E360">
        <v>60</v>
      </c>
      <c r="F360">
        <v>2.1099999999999999E-3</v>
      </c>
      <c r="G360">
        <v>0</v>
      </c>
      <c r="H360" t="str">
        <f t="shared" si="15"/>
        <v>60-69</v>
      </c>
      <c r="I360" t="str">
        <f t="shared" si="16"/>
        <v>0-9</v>
      </c>
      <c r="J360">
        <f t="shared" si="17"/>
        <v>2.1099999999999999E-3</v>
      </c>
    </row>
    <row r="361" spans="1:10">
      <c r="A361" t="s">
        <v>443</v>
      </c>
      <c r="B361">
        <v>59</v>
      </c>
      <c r="C361" t="s">
        <v>7</v>
      </c>
      <c r="D361">
        <v>2</v>
      </c>
      <c r="E361">
        <v>60</v>
      </c>
      <c r="F361">
        <v>1.5E-3</v>
      </c>
      <c r="G361">
        <v>0</v>
      </c>
      <c r="H361" t="str">
        <f t="shared" si="15"/>
        <v>60-69</v>
      </c>
      <c r="I361" t="str">
        <f t="shared" si="16"/>
        <v>0-9</v>
      </c>
      <c r="J361">
        <f t="shared" si="17"/>
        <v>1.5E-3</v>
      </c>
    </row>
    <row r="362" spans="1:10">
      <c r="A362" t="s">
        <v>444</v>
      </c>
      <c r="B362">
        <v>62</v>
      </c>
      <c r="C362" t="s">
        <v>9</v>
      </c>
      <c r="D362">
        <v>14</v>
      </c>
      <c r="E362">
        <v>75</v>
      </c>
      <c r="F362">
        <v>2.76E-2</v>
      </c>
      <c r="G362">
        <v>0</v>
      </c>
      <c r="H362" t="str">
        <f t="shared" si="15"/>
        <v>70-79</v>
      </c>
      <c r="I362" t="str">
        <f t="shared" si="16"/>
        <v>10-19</v>
      </c>
      <c r="J362">
        <f t="shared" si="17"/>
        <v>2.76E-2</v>
      </c>
    </row>
    <row r="363" spans="1:10">
      <c r="A363" t="s">
        <v>445</v>
      </c>
      <c r="B363">
        <v>37</v>
      </c>
      <c r="C363" t="s">
        <v>7</v>
      </c>
      <c r="D363">
        <v>7</v>
      </c>
      <c r="E363">
        <v>43</v>
      </c>
      <c r="F363">
        <v>7.6000000000000004E-4</v>
      </c>
      <c r="G363">
        <v>0</v>
      </c>
      <c r="H363" t="str">
        <f t="shared" si="15"/>
        <v>40-49</v>
      </c>
      <c r="I363" t="str">
        <f t="shared" si="16"/>
        <v>0-9</v>
      </c>
      <c r="J363">
        <f t="shared" si="17"/>
        <v>7.6000000000000004E-4</v>
      </c>
    </row>
    <row r="364" spans="1:10">
      <c r="A364" t="s">
        <v>446</v>
      </c>
      <c r="B364">
        <v>47</v>
      </c>
      <c r="C364" t="s">
        <v>9</v>
      </c>
      <c r="D364">
        <v>4</v>
      </c>
      <c r="E364">
        <v>50</v>
      </c>
      <c r="F364">
        <v>1.5900000000000001E-3</v>
      </c>
      <c r="G364">
        <v>0</v>
      </c>
      <c r="H364" t="str">
        <f t="shared" si="15"/>
        <v>50-59</v>
      </c>
      <c r="I364" t="str">
        <f t="shared" si="16"/>
        <v>0-9</v>
      </c>
      <c r="J364">
        <f t="shared" si="17"/>
        <v>1.5900000000000001E-3</v>
      </c>
    </row>
    <row r="365" spans="1:10">
      <c r="A365" t="s">
        <v>447</v>
      </c>
      <c r="B365">
        <v>51</v>
      </c>
      <c r="C365" t="s">
        <v>7</v>
      </c>
      <c r="D365">
        <v>17</v>
      </c>
      <c r="E365">
        <v>67</v>
      </c>
      <c r="F365">
        <v>9.6399999999999993E-3</v>
      </c>
      <c r="G365">
        <v>0</v>
      </c>
      <c r="H365" t="str">
        <f t="shared" si="15"/>
        <v>60-69</v>
      </c>
      <c r="I365" t="str">
        <f t="shared" si="16"/>
        <v>10-19</v>
      </c>
      <c r="J365">
        <f t="shared" si="17"/>
        <v>9.6399999999999993E-3</v>
      </c>
    </row>
    <row r="366" spans="1:10">
      <c r="A366" t="s">
        <v>448</v>
      </c>
      <c r="B366">
        <v>45</v>
      </c>
      <c r="C366" t="s">
        <v>9</v>
      </c>
      <c r="D366">
        <v>20</v>
      </c>
      <c r="E366">
        <v>64</v>
      </c>
      <c r="F366">
        <v>9.2899999999999996E-3</v>
      </c>
      <c r="G366">
        <v>0</v>
      </c>
      <c r="H366" t="str">
        <f t="shared" si="15"/>
        <v>60-69</v>
      </c>
      <c r="I366" t="str">
        <f t="shared" si="16"/>
        <v>20-29</v>
      </c>
      <c r="J366">
        <f t="shared" si="17"/>
        <v>9.2899999999999996E-3</v>
      </c>
    </row>
    <row r="367" spans="1:10">
      <c r="A367" t="s">
        <v>449</v>
      </c>
      <c r="B367">
        <v>33</v>
      </c>
      <c r="C367" t="s">
        <v>9</v>
      </c>
      <c r="D367">
        <v>25</v>
      </c>
      <c r="E367">
        <v>57</v>
      </c>
      <c r="F367">
        <v>4.7800000000000004E-3</v>
      </c>
      <c r="G367">
        <v>0</v>
      </c>
      <c r="H367" t="str">
        <f t="shared" si="15"/>
        <v>50-59</v>
      </c>
      <c r="I367" t="str">
        <f t="shared" si="16"/>
        <v>20-29</v>
      </c>
      <c r="J367">
        <f t="shared" si="17"/>
        <v>4.7800000000000004E-3</v>
      </c>
    </row>
    <row r="368" spans="1:10">
      <c r="A368" t="s">
        <v>450</v>
      </c>
      <c r="B368">
        <v>40</v>
      </c>
      <c r="C368" t="s">
        <v>9</v>
      </c>
      <c r="D368">
        <v>4</v>
      </c>
      <c r="E368">
        <v>43</v>
      </c>
      <c r="F368">
        <v>8.8000000000000003E-4</v>
      </c>
      <c r="G368">
        <v>0</v>
      </c>
      <c r="H368" t="str">
        <f t="shared" si="15"/>
        <v>40-49</v>
      </c>
      <c r="I368" t="str">
        <f t="shared" si="16"/>
        <v>0-9</v>
      </c>
      <c r="J368">
        <f t="shared" si="17"/>
        <v>8.8000000000000003E-4</v>
      </c>
    </row>
    <row r="369" spans="1:10">
      <c r="A369" t="s">
        <v>451</v>
      </c>
      <c r="B369">
        <v>31</v>
      </c>
      <c r="C369" t="s">
        <v>9</v>
      </c>
      <c r="D369">
        <v>5</v>
      </c>
      <c r="E369">
        <v>35</v>
      </c>
      <c r="F369">
        <v>5.1000000000000004E-4</v>
      </c>
      <c r="G369">
        <v>0</v>
      </c>
      <c r="H369" t="str">
        <f t="shared" si="15"/>
        <v>30-39</v>
      </c>
      <c r="I369" t="str">
        <f t="shared" si="16"/>
        <v>0-9</v>
      </c>
      <c r="J369">
        <f t="shared" si="17"/>
        <v>5.1000000000000004E-4</v>
      </c>
    </row>
    <row r="370" spans="1:10">
      <c r="A370" t="s">
        <v>452</v>
      </c>
      <c r="B370">
        <v>52</v>
      </c>
      <c r="C370" t="s">
        <v>7</v>
      </c>
      <c r="D370">
        <v>18</v>
      </c>
      <c r="E370">
        <v>69</v>
      </c>
      <c r="F370">
        <v>1.18E-2</v>
      </c>
      <c r="G370">
        <v>0</v>
      </c>
      <c r="H370" t="str">
        <f t="shared" si="15"/>
        <v>60-69</v>
      </c>
      <c r="I370" t="str">
        <f t="shared" si="16"/>
        <v>10-19</v>
      </c>
      <c r="J370">
        <f t="shared" si="17"/>
        <v>1.18E-2</v>
      </c>
    </row>
    <row r="371" spans="1:10">
      <c r="A371" t="s">
        <v>453</v>
      </c>
      <c r="B371">
        <v>24</v>
      </c>
      <c r="C371" t="s">
        <v>7</v>
      </c>
      <c r="D371">
        <v>13</v>
      </c>
      <c r="E371">
        <v>36</v>
      </c>
      <c r="F371">
        <v>6.2E-4</v>
      </c>
      <c r="G371">
        <v>0</v>
      </c>
      <c r="H371" t="str">
        <f t="shared" si="15"/>
        <v>30-39</v>
      </c>
      <c r="I371" t="str">
        <f t="shared" si="16"/>
        <v>10-19</v>
      </c>
      <c r="J371">
        <f t="shared" si="17"/>
        <v>6.2E-4</v>
      </c>
    </row>
    <row r="372" spans="1:10">
      <c r="A372" t="s">
        <v>454</v>
      </c>
      <c r="B372">
        <v>21</v>
      </c>
      <c r="C372" t="s">
        <v>7</v>
      </c>
      <c r="D372">
        <v>15</v>
      </c>
      <c r="E372">
        <v>35</v>
      </c>
      <c r="F372">
        <v>6.2E-4</v>
      </c>
      <c r="G372">
        <v>0</v>
      </c>
      <c r="H372" t="str">
        <f t="shared" si="15"/>
        <v>30-39</v>
      </c>
      <c r="I372" t="str">
        <f t="shared" si="16"/>
        <v>10-19</v>
      </c>
      <c r="J372">
        <f t="shared" si="17"/>
        <v>6.2E-4</v>
      </c>
    </row>
    <row r="373" spans="1:10">
      <c r="A373" t="s">
        <v>455</v>
      </c>
      <c r="B373">
        <v>56</v>
      </c>
      <c r="C373" t="s">
        <v>7</v>
      </c>
      <c r="D373">
        <v>14</v>
      </c>
      <c r="E373">
        <v>69</v>
      </c>
      <c r="F373">
        <v>1.055E-2</v>
      </c>
      <c r="G373">
        <v>0</v>
      </c>
      <c r="H373" t="str">
        <f t="shared" si="15"/>
        <v>60-69</v>
      </c>
      <c r="I373" t="str">
        <f t="shared" si="16"/>
        <v>10-19</v>
      </c>
      <c r="J373">
        <f t="shared" si="17"/>
        <v>1.055E-2</v>
      </c>
    </row>
    <row r="374" spans="1:10">
      <c r="A374" t="s">
        <v>456</v>
      </c>
      <c r="B374">
        <v>46</v>
      </c>
      <c r="C374" t="s">
        <v>9</v>
      </c>
      <c r="D374">
        <v>10</v>
      </c>
      <c r="E374">
        <v>55</v>
      </c>
      <c r="F374">
        <v>3.3E-3</v>
      </c>
      <c r="G374">
        <v>0</v>
      </c>
      <c r="H374" t="str">
        <f t="shared" si="15"/>
        <v>50-59</v>
      </c>
      <c r="I374" t="str">
        <f t="shared" si="16"/>
        <v>10-19</v>
      </c>
      <c r="J374">
        <f t="shared" si="17"/>
        <v>3.3E-3</v>
      </c>
    </row>
    <row r="375" spans="1:10">
      <c r="A375" t="s">
        <v>457</v>
      </c>
      <c r="B375">
        <v>40</v>
      </c>
      <c r="C375" t="s">
        <v>7</v>
      </c>
      <c r="D375">
        <v>6</v>
      </c>
      <c r="E375">
        <v>45</v>
      </c>
      <c r="F375">
        <v>8.3000000000000001E-4</v>
      </c>
      <c r="G375">
        <v>0</v>
      </c>
      <c r="H375" t="str">
        <f t="shared" si="15"/>
        <v>40-49</v>
      </c>
      <c r="I375" t="str">
        <f t="shared" si="16"/>
        <v>0-9</v>
      </c>
      <c r="J375">
        <f t="shared" si="17"/>
        <v>8.3000000000000001E-4</v>
      </c>
    </row>
    <row r="376" spans="1:10">
      <c r="A376" t="s">
        <v>458</v>
      </c>
      <c r="B376">
        <v>64</v>
      </c>
      <c r="C376" t="s">
        <v>9</v>
      </c>
      <c r="D376">
        <v>30</v>
      </c>
      <c r="E376">
        <v>93</v>
      </c>
      <c r="F376">
        <v>0.14893999999999999</v>
      </c>
      <c r="G376">
        <v>0</v>
      </c>
      <c r="H376" t="str">
        <f t="shared" si="15"/>
        <v>90-99</v>
      </c>
      <c r="I376" t="str">
        <f t="shared" si="16"/>
        <v>30-39</v>
      </c>
      <c r="J376">
        <f t="shared" si="17"/>
        <v>0.14893999999999999</v>
      </c>
    </row>
    <row r="377" spans="1:10">
      <c r="A377" t="s">
        <v>459</v>
      </c>
      <c r="B377">
        <v>26</v>
      </c>
      <c r="C377" t="s">
        <v>9</v>
      </c>
      <c r="D377">
        <v>8</v>
      </c>
      <c r="E377">
        <v>33</v>
      </c>
      <c r="F377">
        <v>5.4000000000000001E-4</v>
      </c>
      <c r="G377">
        <v>0</v>
      </c>
      <c r="H377" t="str">
        <f t="shared" si="15"/>
        <v>30-39</v>
      </c>
      <c r="I377" t="str">
        <f t="shared" si="16"/>
        <v>0-9</v>
      </c>
      <c r="J377">
        <f t="shared" si="17"/>
        <v>5.4000000000000001E-4</v>
      </c>
    </row>
    <row r="378" spans="1:10">
      <c r="A378" t="s">
        <v>460</v>
      </c>
      <c r="B378">
        <v>25</v>
      </c>
      <c r="C378" t="s">
        <v>7</v>
      </c>
      <c r="D378">
        <v>13</v>
      </c>
      <c r="E378">
        <v>37</v>
      </c>
      <c r="F378">
        <v>6.8999999999999997E-4</v>
      </c>
      <c r="G378">
        <v>0</v>
      </c>
      <c r="H378" t="str">
        <f t="shared" si="15"/>
        <v>30-39</v>
      </c>
      <c r="I378" t="str">
        <f t="shared" si="16"/>
        <v>10-19</v>
      </c>
      <c r="J378">
        <f t="shared" si="17"/>
        <v>6.8999999999999997E-4</v>
      </c>
    </row>
    <row r="379" spans="1:10">
      <c r="A379" t="s">
        <v>461</v>
      </c>
      <c r="B379">
        <v>34</v>
      </c>
      <c r="C379" t="s">
        <v>7</v>
      </c>
      <c r="D379">
        <v>11</v>
      </c>
      <c r="E379">
        <v>44</v>
      </c>
      <c r="F379">
        <v>9.3000000000000005E-4</v>
      </c>
      <c r="G379">
        <v>0</v>
      </c>
      <c r="H379" t="str">
        <f t="shared" si="15"/>
        <v>40-49</v>
      </c>
      <c r="I379" t="str">
        <f t="shared" si="16"/>
        <v>10-19</v>
      </c>
      <c r="J379">
        <f t="shared" si="17"/>
        <v>9.3000000000000005E-4</v>
      </c>
    </row>
    <row r="380" spans="1:10">
      <c r="A380" t="s">
        <v>462</v>
      </c>
      <c r="B380">
        <v>60</v>
      </c>
      <c r="C380" t="s">
        <v>7</v>
      </c>
      <c r="D380">
        <v>4</v>
      </c>
      <c r="E380">
        <v>63</v>
      </c>
      <c r="F380">
        <v>3.8700000000000002E-3</v>
      </c>
      <c r="G380">
        <v>0</v>
      </c>
      <c r="H380" t="str">
        <f t="shared" si="15"/>
        <v>60-69</v>
      </c>
      <c r="I380" t="str">
        <f t="shared" si="16"/>
        <v>0-9</v>
      </c>
      <c r="J380">
        <f t="shared" si="17"/>
        <v>3.8700000000000002E-3</v>
      </c>
    </row>
    <row r="381" spans="1:10">
      <c r="A381" t="s">
        <v>463</v>
      </c>
      <c r="B381">
        <v>42</v>
      </c>
      <c r="C381" t="s">
        <v>7</v>
      </c>
      <c r="D381">
        <v>12</v>
      </c>
      <c r="E381">
        <v>53</v>
      </c>
      <c r="F381">
        <v>2.1800000000000001E-3</v>
      </c>
      <c r="G381">
        <v>0</v>
      </c>
      <c r="H381" t="str">
        <f t="shared" si="15"/>
        <v>50-59</v>
      </c>
      <c r="I381" t="str">
        <f t="shared" si="16"/>
        <v>10-19</v>
      </c>
      <c r="J381">
        <f t="shared" si="17"/>
        <v>2.1800000000000001E-3</v>
      </c>
    </row>
    <row r="382" spans="1:10">
      <c r="A382" t="s">
        <v>464</v>
      </c>
      <c r="B382">
        <v>29</v>
      </c>
      <c r="C382" t="s">
        <v>9</v>
      </c>
      <c r="D382">
        <v>8</v>
      </c>
      <c r="E382">
        <v>36</v>
      </c>
      <c r="F382">
        <v>6.3000000000000003E-4</v>
      </c>
      <c r="G382">
        <v>0</v>
      </c>
      <c r="H382" t="str">
        <f t="shared" si="15"/>
        <v>30-39</v>
      </c>
      <c r="I382" t="str">
        <f t="shared" si="16"/>
        <v>0-9</v>
      </c>
      <c r="J382">
        <f t="shared" si="17"/>
        <v>6.3000000000000003E-4</v>
      </c>
    </row>
    <row r="383" spans="1:10">
      <c r="A383" t="s">
        <v>465</v>
      </c>
      <c r="B383">
        <v>31</v>
      </c>
      <c r="C383" t="s">
        <v>9</v>
      </c>
      <c r="D383">
        <v>20</v>
      </c>
      <c r="E383">
        <v>50</v>
      </c>
      <c r="F383">
        <v>2.5000000000000001E-3</v>
      </c>
      <c r="G383">
        <v>0</v>
      </c>
      <c r="H383" t="str">
        <f t="shared" si="15"/>
        <v>50-59</v>
      </c>
      <c r="I383" t="str">
        <f t="shared" si="16"/>
        <v>20-29</v>
      </c>
      <c r="J383">
        <f t="shared" si="17"/>
        <v>2.5000000000000001E-3</v>
      </c>
    </row>
    <row r="384" spans="1:10">
      <c r="A384" t="s">
        <v>466</v>
      </c>
      <c r="B384">
        <v>24</v>
      </c>
      <c r="C384" t="s">
        <v>7</v>
      </c>
      <c r="D384">
        <v>6</v>
      </c>
      <c r="E384">
        <v>29</v>
      </c>
      <c r="F384">
        <v>2.7E-4</v>
      </c>
      <c r="G384">
        <v>0</v>
      </c>
      <c r="H384" t="str">
        <f t="shared" si="15"/>
        <v>20-29</v>
      </c>
      <c r="I384" t="str">
        <f t="shared" si="16"/>
        <v>0-9</v>
      </c>
      <c r="J384">
        <f t="shared" si="17"/>
        <v>2.7E-4</v>
      </c>
    </row>
    <row r="385" spans="1:10">
      <c r="A385" t="s">
        <v>467</v>
      </c>
      <c r="B385">
        <v>49</v>
      </c>
      <c r="C385" t="s">
        <v>7</v>
      </c>
      <c r="D385">
        <v>25</v>
      </c>
      <c r="E385">
        <v>73</v>
      </c>
      <c r="F385">
        <v>1.8970000000000001E-2</v>
      </c>
      <c r="G385">
        <v>0</v>
      </c>
      <c r="H385" t="str">
        <f t="shared" si="15"/>
        <v>70-79</v>
      </c>
      <c r="I385" t="str">
        <f t="shared" si="16"/>
        <v>20-29</v>
      </c>
      <c r="J385">
        <f t="shared" si="17"/>
        <v>1.8970000000000001E-2</v>
      </c>
    </row>
    <row r="386" spans="1:10">
      <c r="A386" t="s">
        <v>468</v>
      </c>
      <c r="B386">
        <v>63</v>
      </c>
      <c r="C386" t="s">
        <v>7</v>
      </c>
      <c r="D386">
        <v>30</v>
      </c>
      <c r="E386">
        <v>92</v>
      </c>
      <c r="F386">
        <v>0.10484</v>
      </c>
      <c r="G386">
        <v>0</v>
      </c>
      <c r="H386" t="str">
        <f t="shared" si="15"/>
        <v>90-99</v>
      </c>
      <c r="I386" t="str">
        <f t="shared" si="16"/>
        <v>30-39</v>
      </c>
      <c r="J386">
        <f t="shared" si="17"/>
        <v>0.10484</v>
      </c>
    </row>
    <row r="387" spans="1:10">
      <c r="A387" t="s">
        <v>469</v>
      </c>
      <c r="B387">
        <v>59</v>
      </c>
      <c r="C387" t="s">
        <v>7</v>
      </c>
      <c r="D387">
        <v>11</v>
      </c>
      <c r="E387">
        <v>69</v>
      </c>
      <c r="F387">
        <v>8.6400000000000001E-3</v>
      </c>
      <c r="G387">
        <v>0</v>
      </c>
      <c r="H387" t="str">
        <f t="shared" ref="H387:H450" si="18">FLOOR(E387,10) &amp; "-" &amp; FLOOR(E387,10)+9</f>
        <v>60-69</v>
      </c>
      <c r="I387" t="str">
        <f t="shared" ref="I387:I450" si="19">FLOOR(D387, 10) &amp; "-"&amp;FLOOR(D387, 10)+9</f>
        <v>10-19</v>
      </c>
      <c r="J387">
        <f t="shared" ref="J387:J450" si="20">F387</f>
        <v>8.6400000000000001E-3</v>
      </c>
    </row>
    <row r="388" spans="1:10">
      <c r="A388" t="s">
        <v>470</v>
      </c>
      <c r="B388">
        <v>29</v>
      </c>
      <c r="C388" t="s">
        <v>9</v>
      </c>
      <c r="D388">
        <v>15</v>
      </c>
      <c r="E388">
        <v>43</v>
      </c>
      <c r="F388">
        <v>1.49E-3</v>
      </c>
      <c r="G388">
        <v>0</v>
      </c>
      <c r="H388" t="str">
        <f t="shared" si="18"/>
        <v>40-49</v>
      </c>
      <c r="I388" t="str">
        <f t="shared" si="19"/>
        <v>10-19</v>
      </c>
      <c r="J388">
        <f t="shared" si="20"/>
        <v>1.49E-3</v>
      </c>
    </row>
    <row r="389" spans="1:10">
      <c r="A389" t="s">
        <v>471</v>
      </c>
      <c r="B389">
        <v>39</v>
      </c>
      <c r="C389" t="s">
        <v>9</v>
      </c>
      <c r="D389">
        <v>26</v>
      </c>
      <c r="E389">
        <v>64</v>
      </c>
      <c r="F389">
        <v>9.6200000000000001E-3</v>
      </c>
      <c r="G389">
        <v>0</v>
      </c>
      <c r="H389" t="str">
        <f t="shared" si="18"/>
        <v>60-69</v>
      </c>
      <c r="I389" t="str">
        <f t="shared" si="19"/>
        <v>20-29</v>
      </c>
      <c r="J389">
        <f t="shared" si="20"/>
        <v>9.6200000000000001E-3</v>
      </c>
    </row>
    <row r="390" spans="1:10">
      <c r="A390" t="s">
        <v>472</v>
      </c>
      <c r="B390">
        <v>52</v>
      </c>
      <c r="C390" t="s">
        <v>9</v>
      </c>
      <c r="D390">
        <v>3</v>
      </c>
      <c r="E390">
        <v>54</v>
      </c>
      <c r="F390">
        <v>2.15E-3</v>
      </c>
      <c r="G390">
        <v>0</v>
      </c>
      <c r="H390" t="str">
        <f t="shared" si="18"/>
        <v>50-59</v>
      </c>
      <c r="I390" t="str">
        <f t="shared" si="19"/>
        <v>0-9</v>
      </c>
      <c r="J390">
        <f t="shared" si="20"/>
        <v>2.15E-3</v>
      </c>
    </row>
    <row r="391" spans="1:10">
      <c r="A391" t="s">
        <v>473</v>
      </c>
      <c r="B391">
        <v>23</v>
      </c>
      <c r="C391" t="s">
        <v>7</v>
      </c>
      <c r="D391">
        <v>12</v>
      </c>
      <c r="E391">
        <v>34</v>
      </c>
      <c r="F391">
        <v>5.0000000000000001E-4</v>
      </c>
      <c r="G391">
        <v>0</v>
      </c>
      <c r="H391" t="str">
        <f t="shared" si="18"/>
        <v>30-39</v>
      </c>
      <c r="I391" t="str">
        <f t="shared" si="19"/>
        <v>10-19</v>
      </c>
      <c r="J391">
        <f t="shared" si="20"/>
        <v>5.0000000000000001E-4</v>
      </c>
    </row>
    <row r="392" spans="1:10">
      <c r="A392" t="s">
        <v>474</v>
      </c>
      <c r="B392">
        <v>25</v>
      </c>
      <c r="C392" t="s">
        <v>7</v>
      </c>
      <c r="D392">
        <v>20</v>
      </c>
      <c r="E392">
        <v>44</v>
      </c>
      <c r="F392">
        <v>1.31E-3</v>
      </c>
      <c r="G392">
        <v>0</v>
      </c>
      <c r="H392" t="str">
        <f t="shared" si="18"/>
        <v>40-49</v>
      </c>
      <c r="I392" t="str">
        <f t="shared" si="19"/>
        <v>20-29</v>
      </c>
      <c r="J392">
        <f t="shared" si="20"/>
        <v>1.31E-3</v>
      </c>
    </row>
    <row r="393" spans="1:10">
      <c r="A393" t="s">
        <v>475</v>
      </c>
      <c r="B393">
        <v>57</v>
      </c>
      <c r="C393" t="s">
        <v>7</v>
      </c>
      <c r="D393">
        <v>18</v>
      </c>
      <c r="E393">
        <v>74</v>
      </c>
      <c r="F393">
        <v>1.968E-2</v>
      </c>
      <c r="G393">
        <v>0</v>
      </c>
      <c r="H393" t="str">
        <f t="shared" si="18"/>
        <v>70-79</v>
      </c>
      <c r="I393" t="str">
        <f t="shared" si="19"/>
        <v>10-19</v>
      </c>
      <c r="J393">
        <f t="shared" si="20"/>
        <v>1.968E-2</v>
      </c>
    </row>
    <row r="394" spans="1:10">
      <c r="A394" t="s">
        <v>476</v>
      </c>
      <c r="B394">
        <v>22</v>
      </c>
      <c r="C394" t="s">
        <v>7</v>
      </c>
      <c r="D394">
        <v>15</v>
      </c>
      <c r="E394">
        <v>36</v>
      </c>
      <c r="F394">
        <v>6.8999999999999997E-4</v>
      </c>
      <c r="G394">
        <v>0</v>
      </c>
      <c r="H394" t="str">
        <f t="shared" si="18"/>
        <v>30-39</v>
      </c>
      <c r="I394" t="str">
        <f t="shared" si="19"/>
        <v>10-19</v>
      </c>
      <c r="J394">
        <f t="shared" si="20"/>
        <v>6.8999999999999997E-4</v>
      </c>
    </row>
    <row r="395" spans="1:10">
      <c r="A395" t="s">
        <v>477</v>
      </c>
      <c r="B395">
        <v>32</v>
      </c>
      <c r="C395" t="s">
        <v>7</v>
      </c>
      <c r="D395">
        <v>11</v>
      </c>
      <c r="E395">
        <v>42</v>
      </c>
      <c r="F395">
        <v>8.5999999999999998E-4</v>
      </c>
      <c r="G395">
        <v>0</v>
      </c>
      <c r="H395" t="str">
        <f t="shared" si="18"/>
        <v>40-49</v>
      </c>
      <c r="I395" t="str">
        <f t="shared" si="19"/>
        <v>10-19</v>
      </c>
      <c r="J395">
        <f t="shared" si="20"/>
        <v>8.5999999999999998E-4</v>
      </c>
    </row>
    <row r="396" spans="1:10">
      <c r="A396" t="s">
        <v>478</v>
      </c>
      <c r="B396">
        <v>23</v>
      </c>
      <c r="C396" t="s">
        <v>9</v>
      </c>
      <c r="D396">
        <v>15</v>
      </c>
      <c r="E396">
        <v>37</v>
      </c>
      <c r="F396">
        <v>9.8999999999999999E-4</v>
      </c>
      <c r="G396">
        <v>0</v>
      </c>
      <c r="H396" t="str">
        <f t="shared" si="18"/>
        <v>30-39</v>
      </c>
      <c r="I396" t="str">
        <f t="shared" si="19"/>
        <v>10-19</v>
      </c>
      <c r="J396">
        <f t="shared" si="20"/>
        <v>9.8999999999999999E-4</v>
      </c>
    </row>
    <row r="397" spans="1:10">
      <c r="A397" t="s">
        <v>479</v>
      </c>
      <c r="B397">
        <v>41</v>
      </c>
      <c r="C397" t="s">
        <v>9</v>
      </c>
      <c r="D397">
        <v>23</v>
      </c>
      <c r="E397">
        <v>63</v>
      </c>
      <c r="F397">
        <v>8.5299999999999994E-3</v>
      </c>
      <c r="G397">
        <v>0</v>
      </c>
      <c r="H397" t="str">
        <f t="shared" si="18"/>
        <v>60-69</v>
      </c>
      <c r="I397" t="str">
        <f t="shared" si="19"/>
        <v>20-29</v>
      </c>
      <c r="J397">
        <f t="shared" si="20"/>
        <v>8.5299999999999994E-3</v>
      </c>
    </row>
    <row r="398" spans="1:10">
      <c r="A398" t="s">
        <v>480</v>
      </c>
      <c r="B398">
        <v>22</v>
      </c>
      <c r="C398" t="s">
        <v>7</v>
      </c>
      <c r="D398">
        <v>8</v>
      </c>
      <c r="E398">
        <v>29</v>
      </c>
      <c r="F398">
        <v>3.3E-4</v>
      </c>
      <c r="G398">
        <v>0</v>
      </c>
      <c r="H398" t="str">
        <f t="shared" si="18"/>
        <v>20-29</v>
      </c>
      <c r="I398" t="str">
        <f t="shared" si="19"/>
        <v>0-9</v>
      </c>
      <c r="J398">
        <f t="shared" si="20"/>
        <v>3.3E-4</v>
      </c>
    </row>
    <row r="399" spans="1:10">
      <c r="A399" t="s">
        <v>481</v>
      </c>
      <c r="B399">
        <v>53</v>
      </c>
      <c r="C399" t="s">
        <v>7</v>
      </c>
      <c r="D399">
        <v>17</v>
      </c>
      <c r="E399">
        <v>69</v>
      </c>
      <c r="F399">
        <v>1.159E-2</v>
      </c>
      <c r="G399">
        <v>0</v>
      </c>
      <c r="H399" t="str">
        <f t="shared" si="18"/>
        <v>60-69</v>
      </c>
      <c r="I399" t="str">
        <f t="shared" si="19"/>
        <v>10-19</v>
      </c>
      <c r="J399">
        <f t="shared" si="20"/>
        <v>1.159E-2</v>
      </c>
    </row>
    <row r="400" spans="1:10">
      <c r="A400" t="s">
        <v>482</v>
      </c>
      <c r="B400">
        <v>38</v>
      </c>
      <c r="C400" t="s">
        <v>9</v>
      </c>
      <c r="D400">
        <v>13</v>
      </c>
      <c r="E400">
        <v>50</v>
      </c>
      <c r="F400">
        <v>2.1800000000000001E-3</v>
      </c>
      <c r="G400">
        <v>0</v>
      </c>
      <c r="H400" t="str">
        <f t="shared" si="18"/>
        <v>50-59</v>
      </c>
      <c r="I400" t="str">
        <f t="shared" si="19"/>
        <v>10-19</v>
      </c>
      <c r="J400">
        <f t="shared" si="20"/>
        <v>2.1800000000000001E-3</v>
      </c>
    </row>
    <row r="401" spans="1:10">
      <c r="A401" t="s">
        <v>483</v>
      </c>
      <c r="B401">
        <v>58</v>
      </c>
      <c r="C401" t="s">
        <v>7</v>
      </c>
      <c r="D401">
        <v>2</v>
      </c>
      <c r="E401">
        <v>59</v>
      </c>
      <c r="F401">
        <v>1.42E-3</v>
      </c>
      <c r="G401">
        <v>0</v>
      </c>
      <c r="H401" t="str">
        <f t="shared" si="18"/>
        <v>50-59</v>
      </c>
      <c r="I401" t="str">
        <f t="shared" si="19"/>
        <v>0-9</v>
      </c>
      <c r="J401">
        <f t="shared" si="20"/>
        <v>1.42E-3</v>
      </c>
    </row>
    <row r="402" spans="1:10">
      <c r="A402" t="s">
        <v>484</v>
      </c>
      <c r="B402">
        <v>24</v>
      </c>
      <c r="C402" t="s">
        <v>9</v>
      </c>
      <c r="D402">
        <v>11</v>
      </c>
      <c r="E402">
        <v>34</v>
      </c>
      <c r="F402">
        <v>7.1000000000000002E-4</v>
      </c>
      <c r="G402">
        <v>0</v>
      </c>
      <c r="H402" t="str">
        <f t="shared" si="18"/>
        <v>30-39</v>
      </c>
      <c r="I402" t="str">
        <f t="shared" si="19"/>
        <v>10-19</v>
      </c>
      <c r="J402">
        <f t="shared" si="20"/>
        <v>7.1000000000000002E-4</v>
      </c>
    </row>
    <row r="403" spans="1:10">
      <c r="A403" t="s">
        <v>485</v>
      </c>
      <c r="B403">
        <v>38</v>
      </c>
      <c r="C403" t="s">
        <v>7</v>
      </c>
      <c r="D403">
        <v>9</v>
      </c>
      <c r="E403">
        <v>46</v>
      </c>
      <c r="F403">
        <v>1.01E-3</v>
      </c>
      <c r="G403">
        <v>0</v>
      </c>
      <c r="H403" t="str">
        <f t="shared" si="18"/>
        <v>40-49</v>
      </c>
      <c r="I403" t="str">
        <f t="shared" si="19"/>
        <v>0-9</v>
      </c>
      <c r="J403">
        <f t="shared" si="20"/>
        <v>1.01E-3</v>
      </c>
    </row>
    <row r="404" spans="1:10">
      <c r="A404" t="s">
        <v>486</v>
      </c>
      <c r="B404">
        <v>58</v>
      </c>
      <c r="C404" t="s">
        <v>9</v>
      </c>
      <c r="D404">
        <v>28</v>
      </c>
      <c r="E404">
        <v>85</v>
      </c>
      <c r="F404">
        <v>7.1389999999999995E-2</v>
      </c>
      <c r="G404">
        <v>0</v>
      </c>
      <c r="H404" t="str">
        <f t="shared" si="18"/>
        <v>80-89</v>
      </c>
      <c r="I404" t="str">
        <f t="shared" si="19"/>
        <v>20-29</v>
      </c>
      <c r="J404">
        <f t="shared" si="20"/>
        <v>7.1389999999999995E-2</v>
      </c>
    </row>
    <row r="405" spans="1:10">
      <c r="A405" t="s">
        <v>487</v>
      </c>
      <c r="B405">
        <v>62</v>
      </c>
      <c r="C405" t="s">
        <v>7</v>
      </c>
      <c r="D405">
        <v>5</v>
      </c>
      <c r="E405">
        <v>66</v>
      </c>
      <c r="F405">
        <v>5.8500000000000002E-3</v>
      </c>
      <c r="G405">
        <v>0</v>
      </c>
      <c r="H405" t="str">
        <f t="shared" si="18"/>
        <v>60-69</v>
      </c>
      <c r="I405" t="str">
        <f t="shared" si="19"/>
        <v>0-9</v>
      </c>
      <c r="J405">
        <f t="shared" si="20"/>
        <v>5.8500000000000002E-3</v>
      </c>
    </row>
    <row r="406" spans="1:10">
      <c r="A406" t="s">
        <v>488</v>
      </c>
      <c r="B406">
        <v>61</v>
      </c>
      <c r="C406" t="s">
        <v>7</v>
      </c>
      <c r="D406">
        <v>23</v>
      </c>
      <c r="E406">
        <v>83</v>
      </c>
      <c r="F406">
        <v>5.704E-2</v>
      </c>
      <c r="G406">
        <v>0</v>
      </c>
      <c r="H406" t="str">
        <f t="shared" si="18"/>
        <v>80-89</v>
      </c>
      <c r="I406" t="str">
        <f t="shared" si="19"/>
        <v>20-29</v>
      </c>
      <c r="J406">
        <f t="shared" si="20"/>
        <v>5.704E-2</v>
      </c>
    </row>
    <row r="407" spans="1:10">
      <c r="A407" t="s">
        <v>489</v>
      </c>
      <c r="B407">
        <v>65</v>
      </c>
      <c r="C407" t="s">
        <v>9</v>
      </c>
      <c r="D407">
        <v>3</v>
      </c>
      <c r="E407">
        <v>67</v>
      </c>
      <c r="F407">
        <v>6.3400000000000001E-3</v>
      </c>
      <c r="G407">
        <v>0</v>
      </c>
      <c r="H407" t="str">
        <f t="shared" si="18"/>
        <v>60-69</v>
      </c>
      <c r="I407" t="str">
        <f t="shared" si="19"/>
        <v>0-9</v>
      </c>
      <c r="J407">
        <f t="shared" si="20"/>
        <v>6.3400000000000001E-3</v>
      </c>
    </row>
    <row r="408" spans="1:10">
      <c r="A408" t="s">
        <v>490</v>
      </c>
      <c r="B408">
        <v>41</v>
      </c>
      <c r="C408" t="s">
        <v>9</v>
      </c>
      <c r="D408">
        <v>27</v>
      </c>
      <c r="E408">
        <v>67</v>
      </c>
      <c r="F408">
        <v>1.1730000000000001E-2</v>
      </c>
      <c r="G408">
        <v>0</v>
      </c>
      <c r="H408" t="str">
        <f t="shared" si="18"/>
        <v>60-69</v>
      </c>
      <c r="I408" t="str">
        <f t="shared" si="19"/>
        <v>20-29</v>
      </c>
      <c r="J408">
        <f t="shared" si="20"/>
        <v>1.1730000000000001E-2</v>
      </c>
    </row>
    <row r="409" spans="1:10">
      <c r="A409" t="s">
        <v>491</v>
      </c>
      <c r="B409">
        <v>63</v>
      </c>
      <c r="C409" t="s">
        <v>7</v>
      </c>
      <c r="D409">
        <v>30</v>
      </c>
      <c r="E409">
        <v>92</v>
      </c>
      <c r="F409">
        <v>0.10484</v>
      </c>
      <c r="G409">
        <v>0</v>
      </c>
      <c r="H409" t="str">
        <f t="shared" si="18"/>
        <v>90-99</v>
      </c>
      <c r="I409" t="str">
        <f t="shared" si="19"/>
        <v>30-39</v>
      </c>
      <c r="J409">
        <f t="shared" si="20"/>
        <v>0.10484</v>
      </c>
    </row>
    <row r="410" spans="1:10">
      <c r="A410" t="s">
        <v>492</v>
      </c>
      <c r="B410">
        <v>47</v>
      </c>
      <c r="C410" t="s">
        <v>9</v>
      </c>
      <c r="D410">
        <v>17</v>
      </c>
      <c r="E410">
        <v>63</v>
      </c>
      <c r="F410">
        <v>8.4899999999999993E-3</v>
      </c>
      <c r="G410">
        <v>0</v>
      </c>
      <c r="H410" t="str">
        <f t="shared" si="18"/>
        <v>60-69</v>
      </c>
      <c r="I410" t="str">
        <f t="shared" si="19"/>
        <v>10-19</v>
      </c>
      <c r="J410">
        <f t="shared" si="20"/>
        <v>8.4899999999999993E-3</v>
      </c>
    </row>
    <row r="411" spans="1:10">
      <c r="A411" t="s">
        <v>493</v>
      </c>
      <c r="B411">
        <v>31</v>
      </c>
      <c r="C411" t="s">
        <v>9</v>
      </c>
      <c r="D411">
        <v>7</v>
      </c>
      <c r="E411">
        <v>37</v>
      </c>
      <c r="F411">
        <v>6.0999999999999997E-4</v>
      </c>
      <c r="G411">
        <v>0</v>
      </c>
      <c r="H411" t="str">
        <f t="shared" si="18"/>
        <v>30-39</v>
      </c>
      <c r="I411" t="str">
        <f t="shared" si="19"/>
        <v>0-9</v>
      </c>
      <c r="J411">
        <f t="shared" si="20"/>
        <v>6.0999999999999997E-4</v>
      </c>
    </row>
    <row r="412" spans="1:10">
      <c r="A412" t="s">
        <v>494</v>
      </c>
      <c r="B412">
        <v>32</v>
      </c>
      <c r="C412" t="s">
        <v>7</v>
      </c>
      <c r="D412">
        <v>8</v>
      </c>
      <c r="E412">
        <v>39</v>
      </c>
      <c r="F412">
        <v>6.2E-4</v>
      </c>
      <c r="G412">
        <v>0</v>
      </c>
      <c r="H412" t="str">
        <f t="shared" si="18"/>
        <v>30-39</v>
      </c>
      <c r="I412" t="str">
        <f t="shared" si="19"/>
        <v>0-9</v>
      </c>
      <c r="J412">
        <f t="shared" si="20"/>
        <v>6.2E-4</v>
      </c>
    </row>
    <row r="413" spans="1:10">
      <c r="A413" t="s">
        <v>495</v>
      </c>
      <c r="B413">
        <v>38</v>
      </c>
      <c r="C413" t="s">
        <v>7</v>
      </c>
      <c r="D413">
        <v>28</v>
      </c>
      <c r="E413">
        <v>65</v>
      </c>
      <c r="F413">
        <v>6.7200000000000003E-3</v>
      </c>
      <c r="G413">
        <v>0</v>
      </c>
      <c r="H413" t="str">
        <f t="shared" si="18"/>
        <v>60-69</v>
      </c>
      <c r="I413" t="str">
        <f t="shared" si="19"/>
        <v>20-29</v>
      </c>
      <c r="J413">
        <f t="shared" si="20"/>
        <v>6.7200000000000003E-3</v>
      </c>
    </row>
    <row r="414" spans="1:10">
      <c r="A414" t="s">
        <v>496</v>
      </c>
      <c r="B414">
        <v>54</v>
      </c>
      <c r="C414" t="s">
        <v>7</v>
      </c>
      <c r="D414">
        <v>27</v>
      </c>
      <c r="E414">
        <v>80</v>
      </c>
      <c r="F414">
        <v>3.569E-2</v>
      </c>
      <c r="G414">
        <v>0</v>
      </c>
      <c r="H414" t="str">
        <f t="shared" si="18"/>
        <v>80-89</v>
      </c>
      <c r="I414" t="str">
        <f t="shared" si="19"/>
        <v>20-29</v>
      </c>
      <c r="J414">
        <f t="shared" si="20"/>
        <v>3.569E-2</v>
      </c>
    </row>
    <row r="415" spans="1:10">
      <c r="A415" t="s">
        <v>497</v>
      </c>
      <c r="B415">
        <v>62</v>
      </c>
      <c r="C415" t="s">
        <v>7</v>
      </c>
      <c r="D415">
        <v>11</v>
      </c>
      <c r="E415">
        <v>72</v>
      </c>
      <c r="F415">
        <v>1.1440000000000001E-2</v>
      </c>
      <c r="G415">
        <v>0</v>
      </c>
      <c r="H415" t="str">
        <f t="shared" si="18"/>
        <v>70-79</v>
      </c>
      <c r="I415" t="str">
        <f t="shared" si="19"/>
        <v>10-19</v>
      </c>
      <c r="J415">
        <f t="shared" si="20"/>
        <v>1.1440000000000001E-2</v>
      </c>
    </row>
    <row r="416" spans="1:10">
      <c r="A416" t="s">
        <v>498</v>
      </c>
      <c r="B416">
        <v>58</v>
      </c>
      <c r="C416" t="s">
        <v>9</v>
      </c>
      <c r="D416">
        <v>13</v>
      </c>
      <c r="E416">
        <v>70</v>
      </c>
      <c r="F416">
        <v>1.6709999999999999E-2</v>
      </c>
      <c r="G416">
        <v>0</v>
      </c>
      <c r="H416" t="str">
        <f t="shared" si="18"/>
        <v>70-79</v>
      </c>
      <c r="I416" t="str">
        <f t="shared" si="19"/>
        <v>10-19</v>
      </c>
      <c r="J416">
        <f t="shared" si="20"/>
        <v>1.6709999999999999E-2</v>
      </c>
    </row>
    <row r="417" spans="1:10">
      <c r="A417" t="s">
        <v>499</v>
      </c>
      <c r="B417">
        <v>64</v>
      </c>
      <c r="C417" t="s">
        <v>7</v>
      </c>
      <c r="D417">
        <v>25</v>
      </c>
      <c r="E417">
        <v>88</v>
      </c>
      <c r="F417">
        <v>0.10484</v>
      </c>
      <c r="G417">
        <v>0</v>
      </c>
      <c r="H417" t="str">
        <f t="shared" si="18"/>
        <v>80-89</v>
      </c>
      <c r="I417" t="str">
        <f t="shared" si="19"/>
        <v>20-29</v>
      </c>
      <c r="J417">
        <f t="shared" si="20"/>
        <v>0.10484</v>
      </c>
    </row>
    <row r="418" spans="1:10">
      <c r="A418" t="s">
        <v>500</v>
      </c>
      <c r="B418">
        <v>48</v>
      </c>
      <c r="C418" t="s">
        <v>9</v>
      </c>
      <c r="D418">
        <v>2</v>
      </c>
      <c r="E418">
        <v>49</v>
      </c>
      <c r="F418">
        <v>1E-3</v>
      </c>
      <c r="G418">
        <v>0</v>
      </c>
      <c r="H418" t="str">
        <f t="shared" si="18"/>
        <v>40-49</v>
      </c>
      <c r="I418" t="str">
        <f t="shared" si="19"/>
        <v>0-9</v>
      </c>
      <c r="J418">
        <f t="shared" si="20"/>
        <v>1E-3</v>
      </c>
    </row>
    <row r="419" spans="1:10">
      <c r="A419" t="s">
        <v>501</v>
      </c>
      <c r="B419">
        <v>35</v>
      </c>
      <c r="C419" t="s">
        <v>7</v>
      </c>
      <c r="D419">
        <v>15</v>
      </c>
      <c r="E419">
        <v>49</v>
      </c>
      <c r="F419">
        <v>1.6199999999999999E-3</v>
      </c>
      <c r="G419">
        <v>0</v>
      </c>
      <c r="H419" t="str">
        <f t="shared" si="18"/>
        <v>40-49</v>
      </c>
      <c r="I419" t="str">
        <f t="shared" si="19"/>
        <v>10-19</v>
      </c>
      <c r="J419">
        <f t="shared" si="20"/>
        <v>1.6199999999999999E-3</v>
      </c>
    </row>
    <row r="420" spans="1:10">
      <c r="A420" t="s">
        <v>502</v>
      </c>
      <c r="B420">
        <v>48</v>
      </c>
      <c r="C420" t="s">
        <v>7</v>
      </c>
      <c r="D420">
        <v>8</v>
      </c>
      <c r="E420">
        <v>55</v>
      </c>
      <c r="F420">
        <v>2.2300000000000002E-3</v>
      </c>
      <c r="G420">
        <v>0</v>
      </c>
      <c r="H420" t="str">
        <f t="shared" si="18"/>
        <v>50-59</v>
      </c>
      <c r="I420" t="str">
        <f t="shared" si="19"/>
        <v>0-9</v>
      </c>
      <c r="J420">
        <f t="shared" si="20"/>
        <v>2.2300000000000002E-3</v>
      </c>
    </row>
    <row r="421" spans="1:10">
      <c r="A421" t="s">
        <v>503</v>
      </c>
      <c r="B421">
        <v>50</v>
      </c>
      <c r="C421" t="s">
        <v>7</v>
      </c>
      <c r="D421">
        <v>29</v>
      </c>
      <c r="E421">
        <v>78</v>
      </c>
      <c r="F421">
        <v>2.325E-2</v>
      </c>
      <c r="G421">
        <v>0</v>
      </c>
      <c r="H421" t="str">
        <f t="shared" si="18"/>
        <v>70-79</v>
      </c>
      <c r="I421" t="str">
        <f t="shared" si="19"/>
        <v>20-29</v>
      </c>
      <c r="J421">
        <f t="shared" si="20"/>
        <v>2.325E-2</v>
      </c>
    </row>
    <row r="422" spans="1:10">
      <c r="A422" t="s">
        <v>504</v>
      </c>
      <c r="B422">
        <v>56</v>
      </c>
      <c r="C422" t="s">
        <v>9</v>
      </c>
      <c r="D422">
        <v>15</v>
      </c>
      <c r="E422">
        <v>70</v>
      </c>
      <c r="F422">
        <v>1.6750000000000001E-2</v>
      </c>
      <c r="G422">
        <v>0</v>
      </c>
      <c r="H422" t="str">
        <f t="shared" si="18"/>
        <v>70-79</v>
      </c>
      <c r="I422" t="str">
        <f t="shared" si="19"/>
        <v>10-19</v>
      </c>
      <c r="J422">
        <f t="shared" si="20"/>
        <v>1.6750000000000001E-2</v>
      </c>
    </row>
    <row r="423" spans="1:10">
      <c r="A423" t="s">
        <v>505</v>
      </c>
      <c r="B423">
        <v>44</v>
      </c>
      <c r="C423" t="s">
        <v>7</v>
      </c>
      <c r="D423">
        <v>17</v>
      </c>
      <c r="E423">
        <v>60</v>
      </c>
      <c r="F423">
        <v>4.6600000000000001E-3</v>
      </c>
      <c r="G423">
        <v>0</v>
      </c>
      <c r="H423" t="str">
        <f t="shared" si="18"/>
        <v>60-69</v>
      </c>
      <c r="I423" t="str">
        <f t="shared" si="19"/>
        <v>10-19</v>
      </c>
      <c r="J423">
        <f t="shared" si="20"/>
        <v>4.6600000000000001E-3</v>
      </c>
    </row>
    <row r="424" spans="1:10">
      <c r="A424" t="s">
        <v>506</v>
      </c>
      <c r="B424">
        <v>32</v>
      </c>
      <c r="C424" t="s">
        <v>7</v>
      </c>
      <c r="D424">
        <v>26</v>
      </c>
      <c r="E424">
        <v>57</v>
      </c>
      <c r="F424">
        <v>3.6900000000000001E-3</v>
      </c>
      <c r="G424">
        <v>0</v>
      </c>
      <c r="H424" t="str">
        <f t="shared" si="18"/>
        <v>50-59</v>
      </c>
      <c r="I424" t="str">
        <f t="shared" si="19"/>
        <v>20-29</v>
      </c>
      <c r="J424">
        <f t="shared" si="20"/>
        <v>3.6900000000000001E-3</v>
      </c>
    </row>
    <row r="425" spans="1:10">
      <c r="A425" t="s">
        <v>507</v>
      </c>
      <c r="B425">
        <v>23</v>
      </c>
      <c r="C425" t="s">
        <v>9</v>
      </c>
      <c r="D425">
        <v>21</v>
      </c>
      <c r="E425">
        <v>43</v>
      </c>
      <c r="F425">
        <v>1.9499999999999999E-3</v>
      </c>
      <c r="G425">
        <v>0</v>
      </c>
      <c r="H425" t="str">
        <f t="shared" si="18"/>
        <v>40-49</v>
      </c>
      <c r="I425" t="str">
        <f t="shared" si="19"/>
        <v>20-29</v>
      </c>
      <c r="J425">
        <f t="shared" si="20"/>
        <v>1.9499999999999999E-3</v>
      </c>
    </row>
    <row r="426" spans="1:10">
      <c r="A426" t="s">
        <v>508</v>
      </c>
      <c r="B426">
        <v>26</v>
      </c>
      <c r="C426" t="s">
        <v>7</v>
      </c>
      <c r="D426">
        <v>23</v>
      </c>
      <c r="E426">
        <v>48</v>
      </c>
      <c r="F426">
        <v>1.73E-3</v>
      </c>
      <c r="G426">
        <v>0</v>
      </c>
      <c r="H426" t="str">
        <f t="shared" si="18"/>
        <v>40-49</v>
      </c>
      <c r="I426" t="str">
        <f t="shared" si="19"/>
        <v>20-29</v>
      </c>
      <c r="J426">
        <f t="shared" si="20"/>
        <v>1.73E-3</v>
      </c>
    </row>
    <row r="427" spans="1:10">
      <c r="A427" t="s">
        <v>509</v>
      </c>
      <c r="B427">
        <v>38</v>
      </c>
      <c r="C427" t="s">
        <v>7</v>
      </c>
      <c r="D427">
        <v>3</v>
      </c>
      <c r="E427">
        <v>40</v>
      </c>
      <c r="F427">
        <v>4.6000000000000001E-4</v>
      </c>
      <c r="G427">
        <v>0</v>
      </c>
      <c r="H427" t="str">
        <f t="shared" si="18"/>
        <v>40-49</v>
      </c>
      <c r="I427" t="str">
        <f t="shared" si="19"/>
        <v>0-9</v>
      </c>
      <c r="J427">
        <f t="shared" si="20"/>
        <v>4.6000000000000001E-4</v>
      </c>
    </row>
    <row r="428" spans="1:10">
      <c r="A428" t="s">
        <v>510</v>
      </c>
      <c r="B428">
        <v>52</v>
      </c>
      <c r="C428" t="s">
        <v>7</v>
      </c>
      <c r="D428">
        <v>5</v>
      </c>
      <c r="E428">
        <v>56</v>
      </c>
      <c r="F428">
        <v>2.1800000000000001E-3</v>
      </c>
      <c r="G428">
        <v>0</v>
      </c>
      <c r="H428" t="str">
        <f t="shared" si="18"/>
        <v>50-59</v>
      </c>
      <c r="I428" t="str">
        <f t="shared" si="19"/>
        <v>0-9</v>
      </c>
      <c r="J428">
        <f t="shared" si="20"/>
        <v>2.1800000000000001E-3</v>
      </c>
    </row>
    <row r="429" spans="1:10">
      <c r="A429" t="s">
        <v>511</v>
      </c>
      <c r="B429">
        <v>34</v>
      </c>
      <c r="C429" t="s">
        <v>9</v>
      </c>
      <c r="D429">
        <v>27</v>
      </c>
      <c r="E429">
        <v>60</v>
      </c>
      <c r="F429">
        <v>5.7400000000000003E-3</v>
      </c>
      <c r="G429">
        <v>0</v>
      </c>
      <c r="H429" t="str">
        <f t="shared" si="18"/>
        <v>60-69</v>
      </c>
      <c r="I429" t="str">
        <f t="shared" si="19"/>
        <v>20-29</v>
      </c>
      <c r="J429">
        <f t="shared" si="20"/>
        <v>5.7400000000000003E-3</v>
      </c>
    </row>
    <row r="430" spans="1:10">
      <c r="A430" t="s">
        <v>512</v>
      </c>
      <c r="B430">
        <v>21</v>
      </c>
      <c r="C430" t="s">
        <v>9</v>
      </c>
      <c r="D430">
        <v>14</v>
      </c>
      <c r="E430">
        <v>34</v>
      </c>
      <c r="F430">
        <v>8.4999999999999995E-4</v>
      </c>
      <c r="G430">
        <v>0</v>
      </c>
      <c r="H430" t="str">
        <f t="shared" si="18"/>
        <v>30-39</v>
      </c>
      <c r="I430" t="str">
        <f t="shared" si="19"/>
        <v>10-19</v>
      </c>
      <c r="J430">
        <f t="shared" si="20"/>
        <v>8.4999999999999995E-4</v>
      </c>
    </row>
    <row r="431" spans="1:10">
      <c r="A431" t="s">
        <v>513</v>
      </c>
      <c r="B431">
        <v>35</v>
      </c>
      <c r="C431" t="s">
        <v>7</v>
      </c>
      <c r="D431">
        <v>13</v>
      </c>
      <c r="E431">
        <v>47</v>
      </c>
      <c r="F431">
        <v>1.32E-3</v>
      </c>
      <c r="G431">
        <v>0</v>
      </c>
      <c r="H431" t="str">
        <f t="shared" si="18"/>
        <v>40-49</v>
      </c>
      <c r="I431" t="str">
        <f t="shared" si="19"/>
        <v>10-19</v>
      </c>
      <c r="J431">
        <f t="shared" si="20"/>
        <v>1.32E-3</v>
      </c>
    </row>
    <row r="432" spans="1:10">
      <c r="A432" t="s">
        <v>514</v>
      </c>
      <c r="B432">
        <v>21</v>
      </c>
      <c r="C432" t="s">
        <v>7</v>
      </c>
      <c r="D432">
        <v>11</v>
      </c>
      <c r="E432">
        <v>31</v>
      </c>
      <c r="F432">
        <v>4.0999999999999999E-4</v>
      </c>
      <c r="G432">
        <v>0</v>
      </c>
      <c r="H432" t="str">
        <f t="shared" si="18"/>
        <v>30-39</v>
      </c>
      <c r="I432" t="str">
        <f t="shared" si="19"/>
        <v>10-19</v>
      </c>
      <c r="J432">
        <f t="shared" si="20"/>
        <v>4.0999999999999999E-4</v>
      </c>
    </row>
    <row r="433" spans="1:10">
      <c r="A433" t="s">
        <v>515</v>
      </c>
      <c r="B433">
        <v>61</v>
      </c>
      <c r="C433" t="s">
        <v>7</v>
      </c>
      <c r="D433">
        <v>11</v>
      </c>
      <c r="E433">
        <v>71</v>
      </c>
      <c r="F433">
        <v>1.035E-2</v>
      </c>
      <c r="G433">
        <v>0</v>
      </c>
      <c r="H433" t="str">
        <f t="shared" si="18"/>
        <v>70-79</v>
      </c>
      <c r="I433" t="str">
        <f t="shared" si="19"/>
        <v>10-19</v>
      </c>
      <c r="J433">
        <f t="shared" si="20"/>
        <v>1.035E-2</v>
      </c>
    </row>
    <row r="434" spans="1:10">
      <c r="A434" t="s">
        <v>516</v>
      </c>
      <c r="B434">
        <v>38</v>
      </c>
      <c r="C434" t="s">
        <v>7</v>
      </c>
      <c r="D434">
        <v>30</v>
      </c>
      <c r="E434">
        <v>67</v>
      </c>
      <c r="F434">
        <v>6.7200000000000003E-3</v>
      </c>
      <c r="G434">
        <v>0</v>
      </c>
      <c r="H434" t="str">
        <f t="shared" si="18"/>
        <v>60-69</v>
      </c>
      <c r="I434" t="str">
        <f t="shared" si="19"/>
        <v>30-39</v>
      </c>
      <c r="J434">
        <f t="shared" si="20"/>
        <v>6.7200000000000003E-3</v>
      </c>
    </row>
    <row r="435" spans="1:10">
      <c r="A435" t="s">
        <v>517</v>
      </c>
      <c r="B435">
        <v>28</v>
      </c>
      <c r="C435" t="s">
        <v>7</v>
      </c>
      <c r="D435">
        <v>25</v>
      </c>
      <c r="E435">
        <v>52</v>
      </c>
      <c r="F435">
        <v>2.3800000000000002E-3</v>
      </c>
      <c r="G435">
        <v>0</v>
      </c>
      <c r="H435" t="str">
        <f t="shared" si="18"/>
        <v>50-59</v>
      </c>
      <c r="I435" t="str">
        <f t="shared" si="19"/>
        <v>20-29</v>
      </c>
      <c r="J435">
        <f t="shared" si="20"/>
        <v>2.3800000000000002E-3</v>
      </c>
    </row>
    <row r="436" spans="1:10">
      <c r="A436" t="s">
        <v>518</v>
      </c>
      <c r="B436">
        <v>20</v>
      </c>
      <c r="C436" t="s">
        <v>9</v>
      </c>
      <c r="D436">
        <v>29</v>
      </c>
      <c r="E436">
        <v>48</v>
      </c>
      <c r="F436">
        <v>2.5400000000000002E-3</v>
      </c>
      <c r="G436">
        <v>0</v>
      </c>
      <c r="H436" t="str">
        <f t="shared" si="18"/>
        <v>40-49</v>
      </c>
      <c r="I436" t="str">
        <f t="shared" si="19"/>
        <v>20-29</v>
      </c>
      <c r="J436">
        <f t="shared" si="20"/>
        <v>2.5400000000000002E-3</v>
      </c>
    </row>
    <row r="437" spans="1:10">
      <c r="A437" t="s">
        <v>519</v>
      </c>
      <c r="B437">
        <v>29</v>
      </c>
      <c r="C437" t="s">
        <v>7</v>
      </c>
      <c r="D437">
        <v>18</v>
      </c>
      <c r="E437">
        <v>46</v>
      </c>
      <c r="F437">
        <v>1.3699999999999999E-3</v>
      </c>
      <c r="G437">
        <v>0</v>
      </c>
      <c r="H437" t="str">
        <f t="shared" si="18"/>
        <v>40-49</v>
      </c>
      <c r="I437" t="str">
        <f t="shared" si="19"/>
        <v>10-19</v>
      </c>
      <c r="J437">
        <f t="shared" si="20"/>
        <v>1.3699999999999999E-3</v>
      </c>
    </row>
    <row r="438" spans="1:10">
      <c r="A438" t="s">
        <v>520</v>
      </c>
      <c r="B438">
        <v>47</v>
      </c>
      <c r="C438" t="s">
        <v>7</v>
      </c>
      <c r="D438">
        <v>4</v>
      </c>
      <c r="E438">
        <v>50</v>
      </c>
      <c r="F438">
        <v>1.15E-3</v>
      </c>
      <c r="G438">
        <v>0</v>
      </c>
      <c r="H438" t="str">
        <f t="shared" si="18"/>
        <v>50-59</v>
      </c>
      <c r="I438" t="str">
        <f t="shared" si="19"/>
        <v>0-9</v>
      </c>
      <c r="J438">
        <f t="shared" si="20"/>
        <v>1.15E-3</v>
      </c>
    </row>
    <row r="439" spans="1:10">
      <c r="A439" t="s">
        <v>521</v>
      </c>
      <c r="B439">
        <v>27</v>
      </c>
      <c r="C439" t="s">
        <v>9</v>
      </c>
      <c r="D439">
        <v>2</v>
      </c>
      <c r="E439">
        <v>28</v>
      </c>
      <c r="F439">
        <v>3.4000000000000002E-4</v>
      </c>
      <c r="G439">
        <v>0</v>
      </c>
      <c r="H439" t="str">
        <f t="shared" si="18"/>
        <v>20-29</v>
      </c>
      <c r="I439" t="str">
        <f t="shared" si="19"/>
        <v>0-9</v>
      </c>
      <c r="J439">
        <f t="shared" si="20"/>
        <v>3.4000000000000002E-4</v>
      </c>
    </row>
    <row r="440" spans="1:10">
      <c r="A440" t="s">
        <v>522</v>
      </c>
      <c r="B440">
        <v>59</v>
      </c>
      <c r="C440" t="s">
        <v>9</v>
      </c>
      <c r="D440">
        <v>15</v>
      </c>
      <c r="E440">
        <v>73</v>
      </c>
      <c r="F440">
        <v>2.3400000000000001E-2</v>
      </c>
      <c r="G440">
        <v>0</v>
      </c>
      <c r="H440" t="str">
        <f t="shared" si="18"/>
        <v>70-79</v>
      </c>
      <c r="I440" t="str">
        <f t="shared" si="19"/>
        <v>10-19</v>
      </c>
      <c r="J440">
        <f t="shared" si="20"/>
        <v>2.3400000000000001E-2</v>
      </c>
    </row>
    <row r="441" spans="1:10">
      <c r="A441" t="s">
        <v>523</v>
      </c>
      <c r="B441">
        <v>51</v>
      </c>
      <c r="C441" t="s">
        <v>7</v>
      </c>
      <c r="D441">
        <v>20</v>
      </c>
      <c r="E441">
        <v>70</v>
      </c>
      <c r="F441">
        <v>1.3610000000000001E-2</v>
      </c>
      <c r="G441">
        <v>0</v>
      </c>
      <c r="H441" t="str">
        <f t="shared" si="18"/>
        <v>70-79</v>
      </c>
      <c r="I441" t="str">
        <f t="shared" si="19"/>
        <v>20-29</v>
      </c>
      <c r="J441">
        <f t="shared" si="20"/>
        <v>1.3610000000000001E-2</v>
      </c>
    </row>
    <row r="442" spans="1:10">
      <c r="A442" t="s">
        <v>524</v>
      </c>
      <c r="B442">
        <v>56</v>
      </c>
      <c r="C442" t="s">
        <v>7</v>
      </c>
      <c r="D442">
        <v>8</v>
      </c>
      <c r="E442">
        <v>63</v>
      </c>
      <c r="F442">
        <v>4.9399999999999999E-3</v>
      </c>
      <c r="G442">
        <v>0</v>
      </c>
      <c r="H442" t="str">
        <f t="shared" si="18"/>
        <v>60-69</v>
      </c>
      <c r="I442" t="str">
        <f t="shared" si="19"/>
        <v>0-9</v>
      </c>
      <c r="J442">
        <f t="shared" si="20"/>
        <v>4.9399999999999999E-3</v>
      </c>
    </row>
    <row r="443" spans="1:10">
      <c r="A443" t="s">
        <v>525</v>
      </c>
      <c r="B443">
        <v>20</v>
      </c>
      <c r="C443" t="s">
        <v>9</v>
      </c>
      <c r="D443">
        <v>20</v>
      </c>
      <c r="E443">
        <v>39</v>
      </c>
      <c r="F443">
        <v>1.58E-3</v>
      </c>
      <c r="G443">
        <v>0</v>
      </c>
      <c r="H443" t="str">
        <f t="shared" si="18"/>
        <v>30-39</v>
      </c>
      <c r="I443" t="str">
        <f t="shared" si="19"/>
        <v>20-29</v>
      </c>
      <c r="J443">
        <f t="shared" si="20"/>
        <v>1.58E-3</v>
      </c>
    </row>
    <row r="444" spans="1:10">
      <c r="A444" t="s">
        <v>526</v>
      </c>
      <c r="B444">
        <v>31</v>
      </c>
      <c r="C444" t="s">
        <v>7</v>
      </c>
      <c r="D444">
        <v>22</v>
      </c>
      <c r="E444">
        <v>52</v>
      </c>
      <c r="F444">
        <v>2.3800000000000002E-3</v>
      </c>
      <c r="G444">
        <v>0</v>
      </c>
      <c r="H444" t="str">
        <f t="shared" si="18"/>
        <v>50-59</v>
      </c>
      <c r="I444" t="str">
        <f t="shared" si="19"/>
        <v>20-29</v>
      </c>
      <c r="J444">
        <f t="shared" si="20"/>
        <v>2.3800000000000002E-3</v>
      </c>
    </row>
    <row r="445" spans="1:10">
      <c r="A445" t="s">
        <v>527</v>
      </c>
      <c r="B445">
        <v>43</v>
      </c>
      <c r="C445" t="s">
        <v>7</v>
      </c>
      <c r="D445">
        <v>3</v>
      </c>
      <c r="E445">
        <v>45</v>
      </c>
      <c r="F445">
        <v>5.6999999999999998E-4</v>
      </c>
      <c r="G445">
        <v>0</v>
      </c>
      <c r="H445" t="str">
        <f t="shared" si="18"/>
        <v>40-49</v>
      </c>
      <c r="I445" t="str">
        <f t="shared" si="19"/>
        <v>0-9</v>
      </c>
      <c r="J445">
        <f t="shared" si="20"/>
        <v>5.6999999999999998E-4</v>
      </c>
    </row>
    <row r="446" spans="1:10">
      <c r="A446" t="s">
        <v>528</v>
      </c>
      <c r="B446">
        <v>52</v>
      </c>
      <c r="C446" t="s">
        <v>9</v>
      </c>
      <c r="D446">
        <v>18</v>
      </c>
      <c r="E446">
        <v>69</v>
      </c>
      <c r="F446">
        <v>1.5049999999999999E-2</v>
      </c>
      <c r="G446">
        <v>0</v>
      </c>
      <c r="H446" t="str">
        <f t="shared" si="18"/>
        <v>60-69</v>
      </c>
      <c r="I446" t="str">
        <f t="shared" si="19"/>
        <v>10-19</v>
      </c>
      <c r="J446">
        <f t="shared" si="20"/>
        <v>1.5049999999999999E-2</v>
      </c>
    </row>
    <row r="447" spans="1:10">
      <c r="A447" t="s">
        <v>529</v>
      </c>
      <c r="B447">
        <v>22</v>
      </c>
      <c r="C447" t="s">
        <v>9</v>
      </c>
      <c r="D447">
        <v>21</v>
      </c>
      <c r="E447">
        <v>42</v>
      </c>
      <c r="F447">
        <v>1.91E-3</v>
      </c>
      <c r="G447">
        <v>0</v>
      </c>
      <c r="H447" t="str">
        <f t="shared" si="18"/>
        <v>40-49</v>
      </c>
      <c r="I447" t="str">
        <f t="shared" si="19"/>
        <v>20-29</v>
      </c>
      <c r="J447">
        <f t="shared" si="20"/>
        <v>1.91E-3</v>
      </c>
    </row>
    <row r="448" spans="1:10">
      <c r="A448" t="s">
        <v>530</v>
      </c>
      <c r="B448">
        <v>21</v>
      </c>
      <c r="C448" t="s">
        <v>7</v>
      </c>
      <c r="D448">
        <v>12</v>
      </c>
      <c r="E448">
        <v>32</v>
      </c>
      <c r="F448">
        <v>4.2999999999999999E-4</v>
      </c>
      <c r="G448">
        <v>0</v>
      </c>
      <c r="H448" t="str">
        <f t="shared" si="18"/>
        <v>30-39</v>
      </c>
      <c r="I448" t="str">
        <f t="shared" si="19"/>
        <v>10-19</v>
      </c>
      <c r="J448">
        <f t="shared" si="20"/>
        <v>4.2999999999999999E-4</v>
      </c>
    </row>
    <row r="449" spans="1:10">
      <c r="A449" t="s">
        <v>531</v>
      </c>
      <c r="B449">
        <v>62</v>
      </c>
      <c r="C449" t="s">
        <v>9</v>
      </c>
      <c r="D449">
        <v>21</v>
      </c>
      <c r="E449">
        <v>82</v>
      </c>
      <c r="F449">
        <v>6.3329999999999997E-2</v>
      </c>
      <c r="G449">
        <v>0</v>
      </c>
      <c r="H449" t="str">
        <f t="shared" si="18"/>
        <v>80-89</v>
      </c>
      <c r="I449" t="str">
        <f t="shared" si="19"/>
        <v>20-29</v>
      </c>
      <c r="J449">
        <f t="shared" si="20"/>
        <v>6.3329999999999997E-2</v>
      </c>
    </row>
    <row r="450" spans="1:10">
      <c r="A450" t="s">
        <v>532</v>
      </c>
      <c r="B450">
        <v>41</v>
      </c>
      <c r="C450" t="s">
        <v>9</v>
      </c>
      <c r="D450">
        <v>5</v>
      </c>
      <c r="E450">
        <v>45</v>
      </c>
      <c r="F450">
        <v>1.07E-3</v>
      </c>
      <c r="G450">
        <v>0</v>
      </c>
      <c r="H450" t="str">
        <f t="shared" si="18"/>
        <v>40-49</v>
      </c>
      <c r="I450" t="str">
        <f t="shared" si="19"/>
        <v>0-9</v>
      </c>
      <c r="J450">
        <f t="shared" si="20"/>
        <v>1.07E-3</v>
      </c>
    </row>
    <row r="451" spans="1:10">
      <c r="A451" t="s">
        <v>533</v>
      </c>
      <c r="B451">
        <v>61</v>
      </c>
      <c r="C451" t="s">
        <v>7</v>
      </c>
      <c r="D451">
        <v>6</v>
      </c>
      <c r="E451">
        <v>66</v>
      </c>
      <c r="F451">
        <v>6.0499999999999998E-3</v>
      </c>
      <c r="G451">
        <v>0</v>
      </c>
      <c r="H451" t="str">
        <f t="shared" ref="H451:H514" si="21">FLOOR(E451,10) &amp; "-" &amp; FLOOR(E451,10)+9</f>
        <v>60-69</v>
      </c>
      <c r="I451" t="str">
        <f t="shared" ref="I451:I514" si="22">FLOOR(D451, 10) &amp; "-"&amp;FLOOR(D451, 10)+9</f>
        <v>0-9</v>
      </c>
      <c r="J451">
        <f t="shared" ref="J451:J514" si="23">F451</f>
        <v>6.0499999999999998E-3</v>
      </c>
    </row>
    <row r="452" spans="1:10">
      <c r="A452" t="s">
        <v>534</v>
      </c>
      <c r="B452">
        <v>64</v>
      </c>
      <c r="C452" t="s">
        <v>7</v>
      </c>
      <c r="D452">
        <v>16</v>
      </c>
      <c r="E452">
        <v>79</v>
      </c>
      <c r="F452">
        <v>3.184E-2</v>
      </c>
      <c r="G452">
        <v>0</v>
      </c>
      <c r="H452" t="str">
        <f t="shared" si="21"/>
        <v>70-79</v>
      </c>
      <c r="I452" t="str">
        <f t="shared" si="22"/>
        <v>10-19</v>
      </c>
      <c r="J452">
        <f t="shared" si="23"/>
        <v>3.184E-2</v>
      </c>
    </row>
    <row r="453" spans="1:10">
      <c r="A453" t="s">
        <v>535</v>
      </c>
      <c r="B453">
        <v>24</v>
      </c>
      <c r="C453" t="s">
        <v>7</v>
      </c>
      <c r="D453">
        <v>23</v>
      </c>
      <c r="E453">
        <v>46</v>
      </c>
      <c r="F453">
        <v>1.49E-3</v>
      </c>
      <c r="G453">
        <v>0</v>
      </c>
      <c r="H453" t="str">
        <f t="shared" si="21"/>
        <v>40-49</v>
      </c>
      <c r="I453" t="str">
        <f t="shared" si="22"/>
        <v>20-29</v>
      </c>
      <c r="J453">
        <f t="shared" si="23"/>
        <v>1.49E-3</v>
      </c>
    </row>
    <row r="454" spans="1:10">
      <c r="A454" t="s">
        <v>536</v>
      </c>
      <c r="B454">
        <v>38</v>
      </c>
      <c r="C454" t="s">
        <v>9</v>
      </c>
      <c r="D454">
        <v>7</v>
      </c>
      <c r="E454">
        <v>44</v>
      </c>
      <c r="F454">
        <v>1.1199999999999999E-3</v>
      </c>
      <c r="G454">
        <v>0</v>
      </c>
      <c r="H454" t="str">
        <f t="shared" si="21"/>
        <v>40-49</v>
      </c>
      <c r="I454" t="str">
        <f t="shared" si="22"/>
        <v>0-9</v>
      </c>
      <c r="J454">
        <f t="shared" si="23"/>
        <v>1.1199999999999999E-3</v>
      </c>
    </row>
    <row r="455" spans="1:10">
      <c r="A455" t="s">
        <v>537</v>
      </c>
      <c r="B455">
        <v>22</v>
      </c>
      <c r="C455" t="s">
        <v>7</v>
      </c>
      <c r="D455">
        <v>11</v>
      </c>
      <c r="E455">
        <v>32</v>
      </c>
      <c r="F455">
        <v>4.2000000000000002E-4</v>
      </c>
      <c r="G455">
        <v>0</v>
      </c>
      <c r="H455" t="str">
        <f t="shared" si="21"/>
        <v>30-39</v>
      </c>
      <c r="I455" t="str">
        <f t="shared" si="22"/>
        <v>10-19</v>
      </c>
      <c r="J455">
        <f t="shared" si="23"/>
        <v>4.2000000000000002E-4</v>
      </c>
    </row>
    <row r="456" spans="1:10">
      <c r="A456" t="s">
        <v>538</v>
      </c>
      <c r="B456">
        <v>54</v>
      </c>
      <c r="C456" t="s">
        <v>9</v>
      </c>
      <c r="D456">
        <v>16</v>
      </c>
      <c r="E456">
        <v>69</v>
      </c>
      <c r="F456">
        <v>1.5049999999999999E-2</v>
      </c>
      <c r="G456">
        <v>0</v>
      </c>
      <c r="H456" t="str">
        <f t="shared" si="21"/>
        <v>60-69</v>
      </c>
      <c r="I456" t="str">
        <f t="shared" si="22"/>
        <v>10-19</v>
      </c>
      <c r="J456">
        <f t="shared" si="23"/>
        <v>1.5049999999999999E-2</v>
      </c>
    </row>
    <row r="457" spans="1:10">
      <c r="A457" t="s">
        <v>539</v>
      </c>
      <c r="B457">
        <v>32</v>
      </c>
      <c r="C457" t="s">
        <v>9</v>
      </c>
      <c r="D457">
        <v>10</v>
      </c>
      <c r="E457">
        <v>41</v>
      </c>
      <c r="F457">
        <v>1.06E-3</v>
      </c>
      <c r="G457">
        <v>0</v>
      </c>
      <c r="H457" t="str">
        <f t="shared" si="21"/>
        <v>40-49</v>
      </c>
      <c r="I457" t="str">
        <f t="shared" si="22"/>
        <v>10-19</v>
      </c>
      <c r="J457">
        <f t="shared" si="23"/>
        <v>1.06E-3</v>
      </c>
    </row>
    <row r="458" spans="1:10">
      <c r="A458" t="s">
        <v>540</v>
      </c>
      <c r="B458">
        <v>61</v>
      </c>
      <c r="C458" t="s">
        <v>9</v>
      </c>
      <c r="D458">
        <v>11</v>
      </c>
      <c r="E458">
        <v>71</v>
      </c>
      <c r="F458">
        <v>1.7330000000000002E-2</v>
      </c>
      <c r="G458">
        <v>0</v>
      </c>
      <c r="H458" t="str">
        <f t="shared" si="21"/>
        <v>70-79</v>
      </c>
      <c r="I458" t="str">
        <f t="shared" si="22"/>
        <v>10-19</v>
      </c>
      <c r="J458">
        <f t="shared" si="23"/>
        <v>1.7330000000000002E-2</v>
      </c>
    </row>
    <row r="459" spans="1:10">
      <c r="A459" t="s">
        <v>541</v>
      </c>
      <c r="B459">
        <v>47</v>
      </c>
      <c r="C459" t="s">
        <v>9</v>
      </c>
      <c r="D459">
        <v>29</v>
      </c>
      <c r="E459">
        <v>75</v>
      </c>
      <c r="F459">
        <v>2.1340000000000001E-2</v>
      </c>
      <c r="G459">
        <v>0</v>
      </c>
      <c r="H459" t="str">
        <f t="shared" si="21"/>
        <v>70-79</v>
      </c>
      <c r="I459" t="str">
        <f t="shared" si="22"/>
        <v>20-29</v>
      </c>
      <c r="J459">
        <f t="shared" si="23"/>
        <v>2.1340000000000001E-2</v>
      </c>
    </row>
    <row r="460" spans="1:10">
      <c r="A460" t="s">
        <v>542</v>
      </c>
      <c r="B460">
        <v>44</v>
      </c>
      <c r="C460" t="s">
        <v>7</v>
      </c>
      <c r="D460">
        <v>11</v>
      </c>
      <c r="E460">
        <v>54</v>
      </c>
      <c r="F460">
        <v>2.3E-3</v>
      </c>
      <c r="G460">
        <v>0</v>
      </c>
      <c r="H460" t="str">
        <f t="shared" si="21"/>
        <v>50-59</v>
      </c>
      <c r="I460" t="str">
        <f t="shared" si="22"/>
        <v>10-19</v>
      </c>
      <c r="J460">
        <f t="shared" si="23"/>
        <v>2.3E-3</v>
      </c>
    </row>
    <row r="461" spans="1:10">
      <c r="A461" t="s">
        <v>543</v>
      </c>
      <c r="B461">
        <v>51</v>
      </c>
      <c r="C461" t="s">
        <v>7</v>
      </c>
      <c r="D461">
        <v>12</v>
      </c>
      <c r="E461">
        <v>62</v>
      </c>
      <c r="F461">
        <v>5.0499999999999998E-3</v>
      </c>
      <c r="G461">
        <v>0</v>
      </c>
      <c r="H461" t="str">
        <f t="shared" si="21"/>
        <v>60-69</v>
      </c>
      <c r="I461" t="str">
        <f t="shared" si="22"/>
        <v>10-19</v>
      </c>
      <c r="J461">
        <f t="shared" si="23"/>
        <v>5.0499999999999998E-3</v>
      </c>
    </row>
    <row r="462" spans="1:10">
      <c r="A462" t="s">
        <v>544</v>
      </c>
      <c r="B462">
        <v>25</v>
      </c>
      <c r="C462" t="s">
        <v>9</v>
      </c>
      <c r="D462">
        <v>24</v>
      </c>
      <c r="E462">
        <v>48</v>
      </c>
      <c r="F462">
        <v>2.47E-3</v>
      </c>
      <c r="G462">
        <v>0</v>
      </c>
      <c r="H462" t="str">
        <f t="shared" si="21"/>
        <v>40-49</v>
      </c>
      <c r="I462" t="str">
        <f t="shared" si="22"/>
        <v>20-29</v>
      </c>
      <c r="J462">
        <f t="shared" si="23"/>
        <v>2.47E-3</v>
      </c>
    </row>
    <row r="463" spans="1:10">
      <c r="A463" t="s">
        <v>545</v>
      </c>
      <c r="B463">
        <v>31</v>
      </c>
      <c r="C463" t="s">
        <v>9</v>
      </c>
      <c r="D463">
        <v>18</v>
      </c>
      <c r="E463">
        <v>48</v>
      </c>
      <c r="F463">
        <v>2.1299999999999999E-3</v>
      </c>
      <c r="G463">
        <v>0</v>
      </c>
      <c r="H463" t="str">
        <f t="shared" si="21"/>
        <v>40-49</v>
      </c>
      <c r="I463" t="str">
        <f t="shared" si="22"/>
        <v>10-19</v>
      </c>
      <c r="J463">
        <f t="shared" si="23"/>
        <v>2.1299999999999999E-3</v>
      </c>
    </row>
    <row r="464" spans="1:10">
      <c r="A464" t="s">
        <v>546</v>
      </c>
      <c r="B464">
        <v>40</v>
      </c>
      <c r="C464" t="s">
        <v>9</v>
      </c>
      <c r="D464">
        <v>22</v>
      </c>
      <c r="E464">
        <v>61</v>
      </c>
      <c r="F464">
        <v>7.0200000000000002E-3</v>
      </c>
      <c r="G464">
        <v>0</v>
      </c>
      <c r="H464" t="str">
        <f t="shared" si="21"/>
        <v>60-69</v>
      </c>
      <c r="I464" t="str">
        <f t="shared" si="22"/>
        <v>20-29</v>
      </c>
      <c r="J464">
        <f t="shared" si="23"/>
        <v>7.0200000000000002E-3</v>
      </c>
    </row>
    <row r="465" spans="1:10">
      <c r="A465" t="s">
        <v>547</v>
      </c>
      <c r="B465">
        <v>65</v>
      </c>
      <c r="C465" t="s">
        <v>9</v>
      </c>
      <c r="D465">
        <v>14</v>
      </c>
      <c r="E465">
        <v>78</v>
      </c>
      <c r="F465">
        <v>3.4540000000000001E-2</v>
      </c>
      <c r="G465">
        <v>0</v>
      </c>
      <c r="H465" t="str">
        <f t="shared" si="21"/>
        <v>70-79</v>
      </c>
      <c r="I465" t="str">
        <f t="shared" si="22"/>
        <v>10-19</v>
      </c>
      <c r="J465">
        <f t="shared" si="23"/>
        <v>3.4540000000000001E-2</v>
      </c>
    </row>
    <row r="466" spans="1:10">
      <c r="A466" t="s">
        <v>548</v>
      </c>
      <c r="B466">
        <v>48</v>
      </c>
      <c r="C466" t="s">
        <v>7</v>
      </c>
      <c r="D466">
        <v>2</v>
      </c>
      <c r="E466">
        <v>49</v>
      </c>
      <c r="F466">
        <v>5.2999999999999998E-4</v>
      </c>
      <c r="G466">
        <v>0</v>
      </c>
      <c r="H466" t="str">
        <f t="shared" si="21"/>
        <v>40-49</v>
      </c>
      <c r="I466" t="str">
        <f t="shared" si="22"/>
        <v>0-9</v>
      </c>
      <c r="J466">
        <f t="shared" si="23"/>
        <v>5.2999999999999998E-4</v>
      </c>
    </row>
    <row r="467" spans="1:10">
      <c r="A467" t="s">
        <v>549</v>
      </c>
      <c r="B467">
        <v>59</v>
      </c>
      <c r="C467" t="s">
        <v>9</v>
      </c>
      <c r="D467">
        <v>14</v>
      </c>
      <c r="E467">
        <v>72</v>
      </c>
      <c r="F467">
        <v>2.0760000000000001E-2</v>
      </c>
      <c r="G467">
        <v>0</v>
      </c>
      <c r="H467" t="str">
        <f t="shared" si="21"/>
        <v>70-79</v>
      </c>
      <c r="I467" t="str">
        <f t="shared" si="22"/>
        <v>10-19</v>
      </c>
      <c r="J467">
        <f t="shared" si="23"/>
        <v>2.0760000000000001E-2</v>
      </c>
    </row>
    <row r="468" spans="1:10">
      <c r="A468" t="s">
        <v>550</v>
      </c>
      <c r="B468">
        <v>23</v>
      </c>
      <c r="C468" t="s">
        <v>7</v>
      </c>
      <c r="D468">
        <v>3</v>
      </c>
      <c r="E468">
        <v>25</v>
      </c>
      <c r="F468">
        <v>2.5000000000000001E-4</v>
      </c>
      <c r="G468">
        <v>0</v>
      </c>
      <c r="H468" t="str">
        <f t="shared" si="21"/>
        <v>20-29</v>
      </c>
      <c r="I468" t="str">
        <f t="shared" si="22"/>
        <v>0-9</v>
      </c>
      <c r="J468">
        <f t="shared" si="23"/>
        <v>2.5000000000000001E-4</v>
      </c>
    </row>
    <row r="469" spans="1:10">
      <c r="A469" t="s">
        <v>551</v>
      </c>
      <c r="B469">
        <v>52</v>
      </c>
      <c r="C469" t="s">
        <v>7</v>
      </c>
      <c r="D469">
        <v>26</v>
      </c>
      <c r="E469">
        <v>77</v>
      </c>
      <c r="F469">
        <v>2.8719999999999999E-2</v>
      </c>
      <c r="G469">
        <v>0</v>
      </c>
      <c r="H469" t="str">
        <f t="shared" si="21"/>
        <v>70-79</v>
      </c>
      <c r="I469" t="str">
        <f t="shared" si="22"/>
        <v>20-29</v>
      </c>
      <c r="J469">
        <f t="shared" si="23"/>
        <v>2.8719999999999999E-2</v>
      </c>
    </row>
    <row r="470" spans="1:10">
      <c r="A470" t="s">
        <v>552</v>
      </c>
      <c r="B470">
        <v>21</v>
      </c>
      <c r="C470" t="s">
        <v>7</v>
      </c>
      <c r="D470">
        <v>5</v>
      </c>
      <c r="E470">
        <v>25</v>
      </c>
      <c r="F470">
        <v>2.9999999999999997E-4</v>
      </c>
      <c r="G470">
        <v>0</v>
      </c>
      <c r="H470" t="str">
        <f t="shared" si="21"/>
        <v>20-29</v>
      </c>
      <c r="I470" t="str">
        <f t="shared" si="22"/>
        <v>0-9</v>
      </c>
      <c r="J470">
        <f t="shared" si="23"/>
        <v>2.9999999999999997E-4</v>
      </c>
    </row>
    <row r="471" spans="1:10">
      <c r="A471" t="s">
        <v>553</v>
      </c>
      <c r="B471">
        <v>48</v>
      </c>
      <c r="C471" t="s">
        <v>9</v>
      </c>
      <c r="D471">
        <v>2</v>
      </c>
      <c r="E471">
        <v>49</v>
      </c>
      <c r="F471">
        <v>1E-3</v>
      </c>
      <c r="G471">
        <v>0</v>
      </c>
      <c r="H471" t="str">
        <f t="shared" si="21"/>
        <v>40-49</v>
      </c>
      <c r="I471" t="str">
        <f t="shared" si="22"/>
        <v>0-9</v>
      </c>
      <c r="J471">
        <f t="shared" si="23"/>
        <v>1E-3</v>
      </c>
    </row>
    <row r="472" spans="1:10">
      <c r="A472" t="s">
        <v>554</v>
      </c>
      <c r="B472">
        <v>61</v>
      </c>
      <c r="C472" t="s">
        <v>9</v>
      </c>
      <c r="D472">
        <v>12</v>
      </c>
      <c r="E472">
        <v>72</v>
      </c>
      <c r="F472">
        <v>1.9769999999999999E-2</v>
      </c>
      <c r="G472">
        <v>0</v>
      </c>
      <c r="H472" t="str">
        <f t="shared" si="21"/>
        <v>70-79</v>
      </c>
      <c r="I472" t="str">
        <f t="shared" si="22"/>
        <v>10-19</v>
      </c>
      <c r="J472">
        <f t="shared" si="23"/>
        <v>1.9769999999999999E-2</v>
      </c>
    </row>
    <row r="473" spans="1:10">
      <c r="A473" t="s">
        <v>555</v>
      </c>
      <c r="B473">
        <v>22</v>
      </c>
      <c r="C473" t="s">
        <v>9</v>
      </c>
      <c r="D473">
        <v>20</v>
      </c>
      <c r="E473">
        <v>41</v>
      </c>
      <c r="F473">
        <v>1.7600000000000001E-3</v>
      </c>
      <c r="G473">
        <v>0</v>
      </c>
      <c r="H473" t="str">
        <f t="shared" si="21"/>
        <v>40-49</v>
      </c>
      <c r="I473" t="str">
        <f t="shared" si="22"/>
        <v>20-29</v>
      </c>
      <c r="J473">
        <f t="shared" si="23"/>
        <v>1.7600000000000001E-3</v>
      </c>
    </row>
    <row r="474" spans="1:10">
      <c r="A474" t="s">
        <v>556</v>
      </c>
      <c r="B474">
        <v>43</v>
      </c>
      <c r="C474" t="s">
        <v>9</v>
      </c>
      <c r="D474">
        <v>12</v>
      </c>
      <c r="E474">
        <v>54</v>
      </c>
      <c r="F474">
        <v>3.1199999999999999E-3</v>
      </c>
      <c r="G474">
        <v>0</v>
      </c>
      <c r="H474" t="str">
        <f t="shared" si="21"/>
        <v>50-59</v>
      </c>
      <c r="I474" t="str">
        <f t="shared" si="22"/>
        <v>10-19</v>
      </c>
      <c r="J474">
        <f t="shared" si="23"/>
        <v>3.1199999999999999E-3</v>
      </c>
    </row>
    <row r="475" spans="1:10">
      <c r="A475" t="s">
        <v>557</v>
      </c>
      <c r="B475">
        <v>28</v>
      </c>
      <c r="C475" t="s">
        <v>9</v>
      </c>
      <c r="D475">
        <v>17</v>
      </c>
      <c r="E475">
        <v>44</v>
      </c>
      <c r="F475">
        <v>1.6900000000000001E-3</v>
      </c>
      <c r="G475">
        <v>0</v>
      </c>
      <c r="H475" t="str">
        <f t="shared" si="21"/>
        <v>40-49</v>
      </c>
      <c r="I475" t="str">
        <f t="shared" si="22"/>
        <v>10-19</v>
      </c>
      <c r="J475">
        <f t="shared" si="23"/>
        <v>1.6900000000000001E-3</v>
      </c>
    </row>
    <row r="476" spans="1:10">
      <c r="A476" t="s">
        <v>558</v>
      </c>
      <c r="B476">
        <v>37</v>
      </c>
      <c r="C476" t="s">
        <v>7</v>
      </c>
      <c r="D476">
        <v>8</v>
      </c>
      <c r="E476">
        <v>44</v>
      </c>
      <c r="F476">
        <v>8.1999999999999998E-4</v>
      </c>
      <c r="G476">
        <v>0</v>
      </c>
      <c r="H476" t="str">
        <f t="shared" si="21"/>
        <v>40-49</v>
      </c>
      <c r="I476" t="str">
        <f t="shared" si="22"/>
        <v>0-9</v>
      </c>
      <c r="J476">
        <f t="shared" si="23"/>
        <v>8.1999999999999998E-4</v>
      </c>
    </row>
    <row r="477" spans="1:10">
      <c r="A477" t="s">
        <v>559</v>
      </c>
      <c r="B477">
        <v>31</v>
      </c>
      <c r="C477" t="s">
        <v>7</v>
      </c>
      <c r="D477">
        <v>16</v>
      </c>
      <c r="E477">
        <v>46</v>
      </c>
      <c r="F477">
        <v>1.2899999999999999E-3</v>
      </c>
      <c r="G477">
        <v>0</v>
      </c>
      <c r="H477" t="str">
        <f t="shared" si="21"/>
        <v>40-49</v>
      </c>
      <c r="I477" t="str">
        <f t="shared" si="22"/>
        <v>10-19</v>
      </c>
      <c r="J477">
        <f t="shared" si="23"/>
        <v>1.2899999999999999E-3</v>
      </c>
    </row>
    <row r="478" spans="1:10">
      <c r="A478" t="s">
        <v>560</v>
      </c>
      <c r="B478">
        <v>27</v>
      </c>
      <c r="C478" t="s">
        <v>7</v>
      </c>
      <c r="D478">
        <v>9</v>
      </c>
      <c r="E478">
        <v>35</v>
      </c>
      <c r="F478">
        <v>4.6999999999999999E-4</v>
      </c>
      <c r="G478">
        <v>0</v>
      </c>
      <c r="H478" t="str">
        <f t="shared" si="21"/>
        <v>30-39</v>
      </c>
      <c r="I478" t="str">
        <f t="shared" si="22"/>
        <v>0-9</v>
      </c>
      <c r="J478">
        <f t="shared" si="23"/>
        <v>4.6999999999999999E-4</v>
      </c>
    </row>
    <row r="479" spans="1:10">
      <c r="A479" t="s">
        <v>561</v>
      </c>
      <c r="B479">
        <v>33</v>
      </c>
      <c r="C479" t="s">
        <v>9</v>
      </c>
      <c r="D479">
        <v>20</v>
      </c>
      <c r="E479">
        <v>52</v>
      </c>
      <c r="F479">
        <v>2.97E-3</v>
      </c>
      <c r="G479">
        <v>0</v>
      </c>
      <c r="H479" t="str">
        <f t="shared" si="21"/>
        <v>50-59</v>
      </c>
      <c r="I479" t="str">
        <f t="shared" si="22"/>
        <v>20-29</v>
      </c>
      <c r="J479">
        <f t="shared" si="23"/>
        <v>2.97E-3</v>
      </c>
    </row>
    <row r="480" spans="1:10">
      <c r="A480" t="s">
        <v>562</v>
      </c>
      <c r="B480">
        <v>51</v>
      </c>
      <c r="C480" t="s">
        <v>9</v>
      </c>
      <c r="D480">
        <v>7</v>
      </c>
      <c r="E480">
        <v>57</v>
      </c>
      <c r="F480">
        <v>3.6900000000000001E-3</v>
      </c>
      <c r="G480">
        <v>0</v>
      </c>
      <c r="H480" t="str">
        <f t="shared" si="21"/>
        <v>50-59</v>
      </c>
      <c r="I480" t="str">
        <f t="shared" si="22"/>
        <v>0-9</v>
      </c>
      <c r="J480">
        <f t="shared" si="23"/>
        <v>3.6900000000000001E-3</v>
      </c>
    </row>
    <row r="481" spans="1:10">
      <c r="A481" t="s">
        <v>563</v>
      </c>
      <c r="B481">
        <v>48</v>
      </c>
      <c r="C481" t="s">
        <v>7</v>
      </c>
      <c r="D481">
        <v>6</v>
      </c>
      <c r="E481">
        <v>53</v>
      </c>
      <c r="F481">
        <v>1.6900000000000001E-3</v>
      </c>
      <c r="G481">
        <v>0</v>
      </c>
      <c r="H481" t="str">
        <f t="shared" si="21"/>
        <v>50-59</v>
      </c>
      <c r="I481" t="str">
        <f t="shared" si="22"/>
        <v>0-9</v>
      </c>
      <c r="J481">
        <f t="shared" si="23"/>
        <v>1.6900000000000001E-3</v>
      </c>
    </row>
    <row r="482" spans="1:10">
      <c r="A482" t="s">
        <v>564</v>
      </c>
      <c r="B482">
        <v>25</v>
      </c>
      <c r="C482" t="s">
        <v>7</v>
      </c>
      <c r="D482">
        <v>26</v>
      </c>
      <c r="E482">
        <v>50</v>
      </c>
      <c r="F482">
        <v>2.0200000000000001E-3</v>
      </c>
      <c r="G482">
        <v>0</v>
      </c>
      <c r="H482" t="str">
        <f t="shared" si="21"/>
        <v>50-59</v>
      </c>
      <c r="I482" t="str">
        <f t="shared" si="22"/>
        <v>20-29</v>
      </c>
      <c r="J482">
        <f t="shared" si="23"/>
        <v>2.0200000000000001E-3</v>
      </c>
    </row>
    <row r="483" spans="1:10">
      <c r="A483" t="s">
        <v>565</v>
      </c>
      <c r="B483">
        <v>40</v>
      </c>
      <c r="C483" t="s">
        <v>9</v>
      </c>
      <c r="D483">
        <v>22</v>
      </c>
      <c r="E483">
        <v>61</v>
      </c>
      <c r="F483">
        <v>7.0200000000000002E-3</v>
      </c>
      <c r="G483">
        <v>0</v>
      </c>
      <c r="H483" t="str">
        <f t="shared" si="21"/>
        <v>60-69</v>
      </c>
      <c r="I483" t="str">
        <f t="shared" si="22"/>
        <v>20-29</v>
      </c>
      <c r="J483">
        <f t="shared" si="23"/>
        <v>7.0200000000000002E-3</v>
      </c>
    </row>
    <row r="484" spans="1:10">
      <c r="A484" t="s">
        <v>566</v>
      </c>
      <c r="B484">
        <v>54</v>
      </c>
      <c r="C484" t="s">
        <v>7</v>
      </c>
      <c r="D484">
        <v>10</v>
      </c>
      <c r="E484">
        <v>63</v>
      </c>
      <c r="F484">
        <v>5.2500000000000003E-3</v>
      </c>
      <c r="G484">
        <v>0</v>
      </c>
      <c r="H484" t="str">
        <f t="shared" si="21"/>
        <v>60-69</v>
      </c>
      <c r="I484" t="str">
        <f t="shared" si="22"/>
        <v>10-19</v>
      </c>
      <c r="J484">
        <f t="shared" si="23"/>
        <v>5.2500000000000003E-3</v>
      </c>
    </row>
    <row r="485" spans="1:10">
      <c r="A485" t="s">
        <v>567</v>
      </c>
      <c r="B485">
        <v>65</v>
      </c>
      <c r="C485" t="s">
        <v>7</v>
      </c>
      <c r="D485">
        <v>23</v>
      </c>
      <c r="E485">
        <v>87</v>
      </c>
      <c r="F485">
        <v>9.3240000000000003E-2</v>
      </c>
      <c r="G485">
        <v>0</v>
      </c>
      <c r="H485" t="str">
        <f t="shared" si="21"/>
        <v>80-89</v>
      </c>
      <c r="I485" t="str">
        <f t="shared" si="22"/>
        <v>20-29</v>
      </c>
      <c r="J485">
        <f t="shared" si="23"/>
        <v>9.3240000000000003E-2</v>
      </c>
    </row>
    <row r="486" spans="1:10">
      <c r="A486" t="s">
        <v>568</v>
      </c>
      <c r="B486">
        <v>43</v>
      </c>
      <c r="C486" t="s">
        <v>9</v>
      </c>
      <c r="D486">
        <v>17</v>
      </c>
      <c r="E486">
        <v>59</v>
      </c>
      <c r="F486">
        <v>5.7000000000000002E-3</v>
      </c>
      <c r="G486">
        <v>0</v>
      </c>
      <c r="H486" t="str">
        <f t="shared" si="21"/>
        <v>50-59</v>
      </c>
      <c r="I486" t="str">
        <f t="shared" si="22"/>
        <v>10-19</v>
      </c>
      <c r="J486">
        <f t="shared" si="23"/>
        <v>5.7000000000000002E-3</v>
      </c>
    </row>
    <row r="487" spans="1:10">
      <c r="A487" t="s">
        <v>569</v>
      </c>
      <c r="B487">
        <v>28</v>
      </c>
      <c r="C487" t="s">
        <v>7</v>
      </c>
      <c r="D487">
        <v>8</v>
      </c>
      <c r="E487">
        <v>35</v>
      </c>
      <c r="F487">
        <v>4.2999999999999999E-4</v>
      </c>
      <c r="G487">
        <v>0</v>
      </c>
      <c r="H487" t="str">
        <f t="shared" si="21"/>
        <v>30-39</v>
      </c>
      <c r="I487" t="str">
        <f t="shared" si="22"/>
        <v>0-9</v>
      </c>
      <c r="J487">
        <f t="shared" si="23"/>
        <v>4.2999999999999999E-4</v>
      </c>
    </row>
    <row r="488" spans="1:10">
      <c r="A488" t="s">
        <v>570</v>
      </c>
      <c r="B488">
        <v>55</v>
      </c>
      <c r="C488" t="s">
        <v>9</v>
      </c>
      <c r="D488">
        <v>19</v>
      </c>
      <c r="E488">
        <v>73</v>
      </c>
      <c r="F488">
        <v>2.3859999999999999E-2</v>
      </c>
      <c r="G488">
        <v>0</v>
      </c>
      <c r="H488" t="str">
        <f t="shared" si="21"/>
        <v>70-79</v>
      </c>
      <c r="I488" t="str">
        <f t="shared" si="22"/>
        <v>10-19</v>
      </c>
      <c r="J488">
        <f t="shared" si="23"/>
        <v>2.3859999999999999E-2</v>
      </c>
    </row>
    <row r="489" spans="1:10">
      <c r="A489" t="s">
        <v>571</v>
      </c>
      <c r="B489">
        <v>55</v>
      </c>
      <c r="C489" t="s">
        <v>7</v>
      </c>
      <c r="D489">
        <v>5</v>
      </c>
      <c r="E489">
        <v>59</v>
      </c>
      <c r="F489">
        <v>2.9099999999999998E-3</v>
      </c>
      <c r="G489">
        <v>0</v>
      </c>
      <c r="H489" t="str">
        <f t="shared" si="21"/>
        <v>50-59</v>
      </c>
      <c r="I489" t="str">
        <f t="shared" si="22"/>
        <v>0-9</v>
      </c>
      <c r="J489">
        <f t="shared" si="23"/>
        <v>2.9099999999999998E-3</v>
      </c>
    </row>
    <row r="490" spans="1:10">
      <c r="A490" t="s">
        <v>572</v>
      </c>
      <c r="B490">
        <v>39</v>
      </c>
      <c r="C490" t="s">
        <v>7</v>
      </c>
      <c r="D490">
        <v>13</v>
      </c>
      <c r="E490">
        <v>51</v>
      </c>
      <c r="F490">
        <v>1.9E-3</v>
      </c>
      <c r="G490">
        <v>0</v>
      </c>
      <c r="H490" t="str">
        <f t="shared" si="21"/>
        <v>50-59</v>
      </c>
      <c r="I490" t="str">
        <f t="shared" si="22"/>
        <v>10-19</v>
      </c>
      <c r="J490">
        <f t="shared" si="23"/>
        <v>1.9E-3</v>
      </c>
    </row>
    <row r="491" spans="1:10">
      <c r="A491" t="s">
        <v>573</v>
      </c>
      <c r="B491">
        <v>53</v>
      </c>
      <c r="C491" t="s">
        <v>7</v>
      </c>
      <c r="D491">
        <v>14</v>
      </c>
      <c r="E491">
        <v>66</v>
      </c>
      <c r="F491">
        <v>7.9100000000000004E-3</v>
      </c>
      <c r="G491">
        <v>0</v>
      </c>
      <c r="H491" t="str">
        <f t="shared" si="21"/>
        <v>60-69</v>
      </c>
      <c r="I491" t="str">
        <f t="shared" si="22"/>
        <v>10-19</v>
      </c>
      <c r="J491">
        <f t="shared" si="23"/>
        <v>7.9100000000000004E-3</v>
      </c>
    </row>
    <row r="492" spans="1:10">
      <c r="A492" t="s">
        <v>574</v>
      </c>
      <c r="B492">
        <v>24</v>
      </c>
      <c r="C492" t="s">
        <v>7</v>
      </c>
      <c r="D492">
        <v>5</v>
      </c>
      <c r="E492">
        <v>28</v>
      </c>
      <c r="F492">
        <v>2.4000000000000001E-4</v>
      </c>
      <c r="G492">
        <v>0</v>
      </c>
      <c r="H492" t="str">
        <f t="shared" si="21"/>
        <v>20-29</v>
      </c>
      <c r="I492" t="str">
        <f t="shared" si="22"/>
        <v>0-9</v>
      </c>
      <c r="J492">
        <f t="shared" si="23"/>
        <v>2.4000000000000001E-4</v>
      </c>
    </row>
    <row r="493" spans="1:10">
      <c r="A493" t="s">
        <v>575</v>
      </c>
      <c r="B493">
        <v>48</v>
      </c>
      <c r="C493" t="s">
        <v>7</v>
      </c>
      <c r="D493">
        <v>15</v>
      </c>
      <c r="E493">
        <v>62</v>
      </c>
      <c r="F493">
        <v>5.6600000000000001E-3</v>
      </c>
      <c r="G493">
        <v>0</v>
      </c>
      <c r="H493" t="str">
        <f t="shared" si="21"/>
        <v>60-69</v>
      </c>
      <c r="I493" t="str">
        <f t="shared" si="22"/>
        <v>10-19</v>
      </c>
      <c r="J493">
        <f t="shared" si="23"/>
        <v>5.6600000000000001E-3</v>
      </c>
    </row>
    <row r="494" spans="1:10">
      <c r="A494" t="s">
        <v>576</v>
      </c>
      <c r="B494">
        <v>55</v>
      </c>
      <c r="C494" t="s">
        <v>7</v>
      </c>
      <c r="D494">
        <v>21</v>
      </c>
      <c r="E494">
        <v>75</v>
      </c>
      <c r="F494">
        <v>2.325E-2</v>
      </c>
      <c r="G494">
        <v>0</v>
      </c>
      <c r="H494" t="str">
        <f t="shared" si="21"/>
        <v>70-79</v>
      </c>
      <c r="I494" t="str">
        <f t="shared" si="22"/>
        <v>20-29</v>
      </c>
      <c r="J494">
        <f t="shared" si="23"/>
        <v>2.325E-2</v>
      </c>
    </row>
    <row r="495" spans="1:10">
      <c r="A495" t="s">
        <v>577</v>
      </c>
      <c r="B495">
        <v>28</v>
      </c>
      <c r="C495" t="s">
        <v>7</v>
      </c>
      <c r="D495">
        <v>14</v>
      </c>
      <c r="E495">
        <v>41</v>
      </c>
      <c r="F495">
        <v>9.6000000000000002E-4</v>
      </c>
      <c r="G495">
        <v>0</v>
      </c>
      <c r="H495" t="str">
        <f t="shared" si="21"/>
        <v>40-49</v>
      </c>
      <c r="I495" t="str">
        <f t="shared" si="22"/>
        <v>10-19</v>
      </c>
      <c r="J495">
        <f t="shared" si="23"/>
        <v>9.6000000000000002E-4</v>
      </c>
    </row>
    <row r="496" spans="1:10">
      <c r="A496" t="s">
        <v>578</v>
      </c>
      <c r="B496">
        <v>27</v>
      </c>
      <c r="C496" t="s">
        <v>9</v>
      </c>
      <c r="D496">
        <v>17</v>
      </c>
      <c r="E496">
        <v>43</v>
      </c>
      <c r="F496">
        <v>1.6299999999999999E-3</v>
      </c>
      <c r="G496">
        <v>0</v>
      </c>
      <c r="H496" t="str">
        <f t="shared" si="21"/>
        <v>40-49</v>
      </c>
      <c r="I496" t="str">
        <f t="shared" si="22"/>
        <v>10-19</v>
      </c>
      <c r="J496">
        <f t="shared" si="23"/>
        <v>1.6299999999999999E-3</v>
      </c>
    </row>
    <row r="497" spans="1:10">
      <c r="A497" t="s">
        <v>579</v>
      </c>
      <c r="B497">
        <v>40</v>
      </c>
      <c r="C497" t="s">
        <v>7</v>
      </c>
      <c r="D497">
        <v>30</v>
      </c>
      <c r="E497">
        <v>69</v>
      </c>
      <c r="F497">
        <v>8.3099999999999997E-3</v>
      </c>
      <c r="G497">
        <v>0</v>
      </c>
      <c r="H497" t="str">
        <f t="shared" si="21"/>
        <v>60-69</v>
      </c>
      <c r="I497" t="str">
        <f t="shared" si="22"/>
        <v>30-39</v>
      </c>
      <c r="J497">
        <f t="shared" si="23"/>
        <v>8.3099999999999997E-3</v>
      </c>
    </row>
    <row r="498" spans="1:10">
      <c r="A498" t="s">
        <v>580</v>
      </c>
      <c r="B498">
        <v>53</v>
      </c>
      <c r="C498" t="s">
        <v>9</v>
      </c>
      <c r="D498">
        <v>29</v>
      </c>
      <c r="E498">
        <v>81</v>
      </c>
      <c r="F498">
        <v>4.1250000000000002E-2</v>
      </c>
      <c r="G498">
        <v>0</v>
      </c>
      <c r="H498" t="str">
        <f t="shared" si="21"/>
        <v>80-89</v>
      </c>
      <c r="I498" t="str">
        <f t="shared" si="22"/>
        <v>20-29</v>
      </c>
      <c r="J498">
        <f t="shared" si="23"/>
        <v>4.1250000000000002E-2</v>
      </c>
    </row>
    <row r="499" spans="1:10">
      <c r="A499" t="s">
        <v>581</v>
      </c>
      <c r="B499">
        <v>32</v>
      </c>
      <c r="C499" t="s">
        <v>7</v>
      </c>
      <c r="D499">
        <v>21</v>
      </c>
      <c r="E499">
        <v>52</v>
      </c>
      <c r="F499">
        <v>2.3800000000000002E-3</v>
      </c>
      <c r="G499">
        <v>0</v>
      </c>
      <c r="H499" t="str">
        <f t="shared" si="21"/>
        <v>50-59</v>
      </c>
      <c r="I499" t="str">
        <f t="shared" si="22"/>
        <v>20-29</v>
      </c>
      <c r="J499">
        <f t="shared" si="23"/>
        <v>2.3800000000000002E-3</v>
      </c>
    </row>
    <row r="500" spans="1:10">
      <c r="A500" t="s">
        <v>582</v>
      </c>
      <c r="B500">
        <v>60</v>
      </c>
      <c r="C500" t="s">
        <v>7</v>
      </c>
      <c r="D500">
        <v>10</v>
      </c>
      <c r="E500">
        <v>69</v>
      </c>
      <c r="F500">
        <v>8.3300000000000006E-3</v>
      </c>
      <c r="G500">
        <v>0</v>
      </c>
      <c r="H500" t="str">
        <f t="shared" si="21"/>
        <v>60-69</v>
      </c>
      <c r="I500" t="str">
        <f t="shared" si="22"/>
        <v>10-19</v>
      </c>
      <c r="J500">
        <f t="shared" si="23"/>
        <v>8.3300000000000006E-3</v>
      </c>
    </row>
    <row r="501" spans="1:10">
      <c r="A501" t="s">
        <v>583</v>
      </c>
      <c r="B501">
        <v>61</v>
      </c>
      <c r="C501" t="s">
        <v>7</v>
      </c>
      <c r="D501">
        <v>6</v>
      </c>
      <c r="E501">
        <v>66</v>
      </c>
      <c r="F501">
        <v>6.0499999999999998E-3</v>
      </c>
      <c r="G501">
        <v>0</v>
      </c>
      <c r="H501" t="str">
        <f t="shared" si="21"/>
        <v>60-69</v>
      </c>
      <c r="I501" t="str">
        <f t="shared" si="22"/>
        <v>0-9</v>
      </c>
      <c r="J501">
        <f t="shared" si="23"/>
        <v>6.0499999999999998E-3</v>
      </c>
    </row>
    <row r="502" spans="1:10">
      <c r="A502" t="s">
        <v>584</v>
      </c>
      <c r="B502">
        <v>30</v>
      </c>
      <c r="C502" t="s">
        <v>7</v>
      </c>
      <c r="D502">
        <v>22</v>
      </c>
      <c r="E502">
        <v>51</v>
      </c>
      <c r="F502">
        <v>2.1900000000000001E-3</v>
      </c>
      <c r="G502">
        <v>0</v>
      </c>
      <c r="H502" t="str">
        <f t="shared" si="21"/>
        <v>50-59</v>
      </c>
      <c r="I502" t="str">
        <f t="shared" si="22"/>
        <v>20-29</v>
      </c>
      <c r="J502">
        <f t="shared" si="23"/>
        <v>2.1900000000000001E-3</v>
      </c>
    </row>
    <row r="503" spans="1:10">
      <c r="A503" t="s">
        <v>585</v>
      </c>
      <c r="B503">
        <v>41</v>
      </c>
      <c r="C503" t="s">
        <v>7</v>
      </c>
      <c r="D503">
        <v>27</v>
      </c>
      <c r="E503">
        <v>67</v>
      </c>
      <c r="F503">
        <v>9.2399999999999999E-3</v>
      </c>
      <c r="G503">
        <v>0</v>
      </c>
      <c r="H503" t="str">
        <f t="shared" si="21"/>
        <v>60-69</v>
      </c>
      <c r="I503" t="str">
        <f t="shared" si="22"/>
        <v>20-29</v>
      </c>
      <c r="J503">
        <f t="shared" si="23"/>
        <v>9.2399999999999999E-3</v>
      </c>
    </row>
    <row r="504" spans="1:10">
      <c r="A504" t="s">
        <v>586</v>
      </c>
      <c r="B504">
        <v>21</v>
      </c>
      <c r="C504" t="s">
        <v>9</v>
      </c>
      <c r="D504">
        <v>3</v>
      </c>
      <c r="E504">
        <v>23</v>
      </c>
      <c r="F504">
        <v>6.7000000000000002E-4</v>
      </c>
      <c r="G504">
        <v>0</v>
      </c>
      <c r="H504" t="str">
        <f t="shared" si="21"/>
        <v>20-29</v>
      </c>
      <c r="I504" t="str">
        <f t="shared" si="22"/>
        <v>0-9</v>
      </c>
      <c r="J504">
        <f t="shared" si="23"/>
        <v>6.7000000000000002E-4</v>
      </c>
    </row>
    <row r="505" spans="1:10">
      <c r="A505" t="s">
        <v>587</v>
      </c>
      <c r="B505">
        <v>56</v>
      </c>
      <c r="C505" t="s">
        <v>7</v>
      </c>
      <c r="D505">
        <v>9</v>
      </c>
      <c r="E505">
        <v>64</v>
      </c>
      <c r="F505">
        <v>5.62E-3</v>
      </c>
      <c r="G505">
        <v>0</v>
      </c>
      <c r="H505" t="str">
        <f t="shared" si="21"/>
        <v>60-69</v>
      </c>
      <c r="I505" t="str">
        <f t="shared" si="22"/>
        <v>0-9</v>
      </c>
      <c r="J505">
        <f t="shared" si="23"/>
        <v>5.62E-3</v>
      </c>
    </row>
    <row r="506" spans="1:10">
      <c r="A506" t="s">
        <v>588</v>
      </c>
      <c r="B506">
        <v>46</v>
      </c>
      <c r="C506" t="s">
        <v>7</v>
      </c>
      <c r="D506">
        <v>20</v>
      </c>
      <c r="E506">
        <v>65</v>
      </c>
      <c r="F506">
        <v>8.2000000000000007E-3</v>
      </c>
      <c r="G506">
        <v>0</v>
      </c>
      <c r="H506" t="str">
        <f t="shared" si="21"/>
        <v>60-69</v>
      </c>
      <c r="I506" t="str">
        <f t="shared" si="22"/>
        <v>20-29</v>
      </c>
      <c r="J506">
        <f t="shared" si="23"/>
        <v>8.2000000000000007E-3</v>
      </c>
    </row>
    <row r="507" spans="1:10">
      <c r="A507" t="s">
        <v>589</v>
      </c>
      <c r="B507">
        <v>60</v>
      </c>
      <c r="C507" t="s">
        <v>9</v>
      </c>
      <c r="D507">
        <v>18</v>
      </c>
      <c r="E507">
        <v>77</v>
      </c>
      <c r="F507">
        <v>3.6549999999999999E-2</v>
      </c>
      <c r="G507">
        <v>0</v>
      </c>
      <c r="H507" t="str">
        <f t="shared" si="21"/>
        <v>70-79</v>
      </c>
      <c r="I507" t="str">
        <f t="shared" si="22"/>
        <v>10-19</v>
      </c>
      <c r="J507">
        <f t="shared" si="23"/>
        <v>3.6549999999999999E-2</v>
      </c>
    </row>
    <row r="508" spans="1:10">
      <c r="A508" t="s">
        <v>590</v>
      </c>
      <c r="B508">
        <v>50</v>
      </c>
      <c r="C508" t="s">
        <v>7</v>
      </c>
      <c r="D508">
        <v>8</v>
      </c>
      <c r="E508">
        <v>57</v>
      </c>
      <c r="F508">
        <v>2.65E-3</v>
      </c>
      <c r="G508">
        <v>0</v>
      </c>
      <c r="H508" t="str">
        <f t="shared" si="21"/>
        <v>50-59</v>
      </c>
      <c r="I508" t="str">
        <f t="shared" si="22"/>
        <v>0-9</v>
      </c>
      <c r="J508">
        <f t="shared" si="23"/>
        <v>2.65E-3</v>
      </c>
    </row>
    <row r="509" spans="1:10">
      <c r="A509" t="s">
        <v>591</v>
      </c>
      <c r="B509">
        <v>39</v>
      </c>
      <c r="C509" t="s">
        <v>9</v>
      </c>
      <c r="D509">
        <v>15</v>
      </c>
      <c r="E509">
        <v>53</v>
      </c>
      <c r="F509">
        <v>2.97E-3</v>
      </c>
      <c r="G509">
        <v>0</v>
      </c>
      <c r="H509" t="str">
        <f t="shared" si="21"/>
        <v>50-59</v>
      </c>
      <c r="I509" t="str">
        <f t="shared" si="22"/>
        <v>10-19</v>
      </c>
      <c r="J509">
        <f t="shared" si="23"/>
        <v>2.97E-3</v>
      </c>
    </row>
    <row r="510" spans="1:10">
      <c r="A510" t="s">
        <v>592</v>
      </c>
      <c r="B510">
        <v>48</v>
      </c>
      <c r="C510" t="s">
        <v>9</v>
      </c>
      <c r="D510">
        <v>14</v>
      </c>
      <c r="E510">
        <v>61</v>
      </c>
      <c r="F510">
        <v>6.6699999999999997E-3</v>
      </c>
      <c r="G510">
        <v>0</v>
      </c>
      <c r="H510" t="str">
        <f t="shared" si="21"/>
        <v>60-69</v>
      </c>
      <c r="I510" t="str">
        <f t="shared" si="22"/>
        <v>10-19</v>
      </c>
      <c r="J510">
        <f t="shared" si="23"/>
        <v>6.6699999999999997E-3</v>
      </c>
    </row>
    <row r="511" spans="1:10">
      <c r="A511" t="s">
        <v>593</v>
      </c>
      <c r="B511">
        <v>58</v>
      </c>
      <c r="C511" t="s">
        <v>9</v>
      </c>
      <c r="D511">
        <v>5</v>
      </c>
      <c r="E511">
        <v>62</v>
      </c>
      <c r="F511">
        <v>5.8500000000000002E-3</v>
      </c>
      <c r="G511">
        <v>0</v>
      </c>
      <c r="H511" t="str">
        <f t="shared" si="21"/>
        <v>60-69</v>
      </c>
      <c r="I511" t="str">
        <f t="shared" si="22"/>
        <v>0-9</v>
      </c>
      <c r="J511">
        <f t="shared" si="23"/>
        <v>5.8500000000000002E-3</v>
      </c>
    </row>
    <row r="512" spans="1:10">
      <c r="A512" t="s">
        <v>594</v>
      </c>
      <c r="B512">
        <v>42</v>
      </c>
      <c r="C512" t="s">
        <v>9</v>
      </c>
      <c r="D512">
        <v>13</v>
      </c>
      <c r="E512">
        <v>54</v>
      </c>
      <c r="F512">
        <v>3.2100000000000002E-3</v>
      </c>
      <c r="G512">
        <v>0</v>
      </c>
      <c r="H512" t="str">
        <f t="shared" si="21"/>
        <v>50-59</v>
      </c>
      <c r="I512" t="str">
        <f t="shared" si="22"/>
        <v>10-19</v>
      </c>
      <c r="J512">
        <f t="shared" si="23"/>
        <v>3.2100000000000002E-3</v>
      </c>
    </row>
    <row r="513" spans="1:10">
      <c r="A513" t="s">
        <v>595</v>
      </c>
      <c r="B513">
        <v>55</v>
      </c>
      <c r="C513" t="s">
        <v>9</v>
      </c>
      <c r="D513">
        <v>4</v>
      </c>
      <c r="E513">
        <v>58</v>
      </c>
      <c r="F513">
        <v>3.9100000000000003E-3</v>
      </c>
      <c r="G513">
        <v>0</v>
      </c>
      <c r="H513" t="str">
        <f t="shared" si="21"/>
        <v>50-59</v>
      </c>
      <c r="I513" t="str">
        <f t="shared" si="22"/>
        <v>0-9</v>
      </c>
      <c r="J513">
        <f t="shared" si="23"/>
        <v>3.9100000000000003E-3</v>
      </c>
    </row>
    <row r="514" spans="1:10">
      <c r="A514" t="s">
        <v>596</v>
      </c>
      <c r="B514">
        <v>37</v>
      </c>
      <c r="C514" t="s">
        <v>9</v>
      </c>
      <c r="D514">
        <v>15</v>
      </c>
      <c r="E514">
        <v>51</v>
      </c>
      <c r="F514">
        <v>2.49E-3</v>
      </c>
      <c r="G514">
        <v>0</v>
      </c>
      <c r="H514" t="str">
        <f t="shared" si="21"/>
        <v>50-59</v>
      </c>
      <c r="I514" t="str">
        <f t="shared" si="22"/>
        <v>10-19</v>
      </c>
      <c r="J514">
        <f t="shared" si="23"/>
        <v>2.49E-3</v>
      </c>
    </row>
    <row r="515" spans="1:10">
      <c r="A515" t="s">
        <v>597</v>
      </c>
      <c r="B515">
        <v>38</v>
      </c>
      <c r="C515" t="s">
        <v>7</v>
      </c>
      <c r="D515">
        <v>13</v>
      </c>
      <c r="E515">
        <v>50</v>
      </c>
      <c r="F515">
        <v>1.74E-3</v>
      </c>
      <c r="G515">
        <v>0</v>
      </c>
      <c r="H515" t="str">
        <f t="shared" ref="H515:H578" si="24">FLOOR(E515,10) &amp; "-" &amp; FLOOR(E515,10)+9</f>
        <v>50-59</v>
      </c>
      <c r="I515" t="str">
        <f t="shared" ref="I515:I578" si="25">FLOOR(D515, 10) &amp; "-"&amp;FLOOR(D515, 10)+9</f>
        <v>10-19</v>
      </c>
      <c r="J515">
        <f t="shared" ref="J515:J578" si="26">F515</f>
        <v>1.74E-3</v>
      </c>
    </row>
    <row r="516" spans="1:10">
      <c r="A516" t="s">
        <v>598</v>
      </c>
      <c r="B516">
        <v>30</v>
      </c>
      <c r="C516" t="s">
        <v>9</v>
      </c>
      <c r="D516">
        <v>27</v>
      </c>
      <c r="E516">
        <v>56</v>
      </c>
      <c r="F516">
        <v>4.0499999999999998E-3</v>
      </c>
      <c r="G516">
        <v>0</v>
      </c>
      <c r="H516" t="str">
        <f t="shared" si="24"/>
        <v>50-59</v>
      </c>
      <c r="I516" t="str">
        <f t="shared" si="25"/>
        <v>20-29</v>
      </c>
      <c r="J516">
        <f t="shared" si="26"/>
        <v>4.0499999999999998E-3</v>
      </c>
    </row>
    <row r="517" spans="1:10">
      <c r="A517" t="s">
        <v>599</v>
      </c>
      <c r="B517">
        <v>40</v>
      </c>
      <c r="C517" t="s">
        <v>7</v>
      </c>
      <c r="D517">
        <v>7</v>
      </c>
      <c r="E517">
        <v>46</v>
      </c>
      <c r="F517">
        <v>9.5E-4</v>
      </c>
      <c r="G517">
        <v>0</v>
      </c>
      <c r="H517" t="str">
        <f t="shared" si="24"/>
        <v>40-49</v>
      </c>
      <c r="I517" t="str">
        <f t="shared" si="25"/>
        <v>0-9</v>
      </c>
      <c r="J517">
        <f t="shared" si="26"/>
        <v>9.5E-4</v>
      </c>
    </row>
    <row r="518" spans="1:10">
      <c r="A518" t="s">
        <v>600</v>
      </c>
      <c r="B518">
        <v>52</v>
      </c>
      <c r="C518" t="s">
        <v>9</v>
      </c>
      <c r="D518">
        <v>15</v>
      </c>
      <c r="E518">
        <v>66</v>
      </c>
      <c r="F518">
        <v>1.123E-2</v>
      </c>
      <c r="G518">
        <v>0</v>
      </c>
      <c r="H518" t="str">
        <f t="shared" si="24"/>
        <v>60-69</v>
      </c>
      <c r="I518" t="str">
        <f t="shared" si="25"/>
        <v>10-19</v>
      </c>
      <c r="J518">
        <f t="shared" si="26"/>
        <v>1.123E-2</v>
      </c>
    </row>
    <row r="519" spans="1:10">
      <c r="A519" t="s">
        <v>601</v>
      </c>
      <c r="B519">
        <v>21</v>
      </c>
      <c r="C519" t="s">
        <v>7</v>
      </c>
      <c r="D519">
        <v>3</v>
      </c>
      <c r="E519">
        <v>23</v>
      </c>
      <c r="F519">
        <v>2.7E-4</v>
      </c>
      <c r="G519">
        <v>0</v>
      </c>
      <c r="H519" t="str">
        <f t="shared" si="24"/>
        <v>20-29</v>
      </c>
      <c r="I519" t="str">
        <f t="shared" si="25"/>
        <v>0-9</v>
      </c>
      <c r="J519">
        <f t="shared" si="26"/>
        <v>2.7E-4</v>
      </c>
    </row>
    <row r="520" spans="1:10">
      <c r="A520" t="s">
        <v>602</v>
      </c>
      <c r="B520">
        <v>35</v>
      </c>
      <c r="C520" t="s">
        <v>7</v>
      </c>
      <c r="D520">
        <v>7</v>
      </c>
      <c r="E520">
        <v>41</v>
      </c>
      <c r="F520">
        <v>6.8000000000000005E-4</v>
      </c>
      <c r="G520">
        <v>0</v>
      </c>
      <c r="H520" t="str">
        <f t="shared" si="24"/>
        <v>40-49</v>
      </c>
      <c r="I520" t="str">
        <f t="shared" si="25"/>
        <v>0-9</v>
      </c>
      <c r="J520">
        <f t="shared" si="26"/>
        <v>6.8000000000000005E-4</v>
      </c>
    </row>
    <row r="521" spans="1:10">
      <c r="A521" t="s">
        <v>603</v>
      </c>
      <c r="B521">
        <v>38</v>
      </c>
      <c r="C521" t="s">
        <v>7</v>
      </c>
      <c r="D521">
        <v>16</v>
      </c>
      <c r="E521">
        <v>53</v>
      </c>
      <c r="F521">
        <v>2.31E-3</v>
      </c>
      <c r="G521">
        <v>0</v>
      </c>
      <c r="H521" t="str">
        <f t="shared" si="24"/>
        <v>50-59</v>
      </c>
      <c r="I521" t="str">
        <f t="shared" si="25"/>
        <v>10-19</v>
      </c>
      <c r="J521">
        <f t="shared" si="26"/>
        <v>2.31E-3</v>
      </c>
    </row>
    <row r="522" spans="1:10">
      <c r="A522" t="s">
        <v>604</v>
      </c>
      <c r="B522">
        <v>63</v>
      </c>
      <c r="C522" t="s">
        <v>9</v>
      </c>
      <c r="D522">
        <v>16</v>
      </c>
      <c r="E522">
        <v>78</v>
      </c>
      <c r="F522">
        <v>3.8120000000000001E-2</v>
      </c>
      <c r="G522">
        <v>1</v>
      </c>
      <c r="H522" t="str">
        <f t="shared" si="24"/>
        <v>70-79</v>
      </c>
      <c r="I522" t="str">
        <f t="shared" si="25"/>
        <v>10-19</v>
      </c>
      <c r="J522">
        <f t="shared" si="26"/>
        <v>3.8120000000000001E-2</v>
      </c>
    </row>
    <row r="523" spans="1:10">
      <c r="A523" t="s">
        <v>605</v>
      </c>
      <c r="B523">
        <v>26</v>
      </c>
      <c r="C523" t="s">
        <v>9</v>
      </c>
      <c r="D523">
        <v>14</v>
      </c>
      <c r="E523">
        <v>39</v>
      </c>
      <c r="F523">
        <v>1.1000000000000001E-3</v>
      </c>
      <c r="G523">
        <v>0</v>
      </c>
      <c r="H523" t="str">
        <f t="shared" si="24"/>
        <v>30-39</v>
      </c>
      <c r="I523" t="str">
        <f t="shared" si="25"/>
        <v>10-19</v>
      </c>
      <c r="J523">
        <f t="shared" si="26"/>
        <v>1.1000000000000001E-3</v>
      </c>
    </row>
    <row r="524" spans="1:10">
      <c r="A524" t="s">
        <v>606</v>
      </c>
      <c r="B524">
        <v>43</v>
      </c>
      <c r="C524" t="s">
        <v>9</v>
      </c>
      <c r="D524">
        <v>25</v>
      </c>
      <c r="E524">
        <v>67</v>
      </c>
      <c r="F524">
        <v>1.278E-2</v>
      </c>
      <c r="G524">
        <v>0</v>
      </c>
      <c r="H524" t="str">
        <f t="shared" si="24"/>
        <v>60-69</v>
      </c>
      <c r="I524" t="str">
        <f t="shared" si="25"/>
        <v>20-29</v>
      </c>
      <c r="J524">
        <f t="shared" si="26"/>
        <v>1.278E-2</v>
      </c>
    </row>
    <row r="525" spans="1:10">
      <c r="A525" t="s">
        <v>607</v>
      </c>
      <c r="B525">
        <v>23</v>
      </c>
      <c r="C525" t="s">
        <v>7</v>
      </c>
      <c r="D525">
        <v>19</v>
      </c>
      <c r="E525">
        <v>41</v>
      </c>
      <c r="F525">
        <v>1.14E-3</v>
      </c>
      <c r="G525">
        <v>0</v>
      </c>
      <c r="H525" t="str">
        <f t="shared" si="24"/>
        <v>40-49</v>
      </c>
      <c r="I525" t="str">
        <f t="shared" si="25"/>
        <v>10-19</v>
      </c>
      <c r="J525">
        <f t="shared" si="26"/>
        <v>1.14E-3</v>
      </c>
    </row>
    <row r="526" spans="1:10">
      <c r="A526" t="s">
        <v>608</v>
      </c>
      <c r="B526">
        <v>38</v>
      </c>
      <c r="C526" t="s">
        <v>9</v>
      </c>
      <c r="D526">
        <v>3</v>
      </c>
      <c r="E526">
        <v>40</v>
      </c>
      <c r="F526">
        <v>6.3000000000000003E-4</v>
      </c>
      <c r="G526">
        <v>0</v>
      </c>
      <c r="H526" t="str">
        <f t="shared" si="24"/>
        <v>40-49</v>
      </c>
      <c r="I526" t="str">
        <f t="shared" si="25"/>
        <v>0-9</v>
      </c>
      <c r="J526">
        <f t="shared" si="26"/>
        <v>6.3000000000000003E-4</v>
      </c>
    </row>
    <row r="527" spans="1:10">
      <c r="A527" t="s">
        <v>609</v>
      </c>
      <c r="B527">
        <v>55</v>
      </c>
      <c r="C527" t="s">
        <v>7</v>
      </c>
      <c r="D527">
        <v>9</v>
      </c>
      <c r="E527">
        <v>63</v>
      </c>
      <c r="F527">
        <v>5.11E-3</v>
      </c>
      <c r="G527">
        <v>0</v>
      </c>
      <c r="H527" t="str">
        <f t="shared" si="24"/>
        <v>60-69</v>
      </c>
      <c r="I527" t="str">
        <f t="shared" si="25"/>
        <v>0-9</v>
      </c>
      <c r="J527">
        <f t="shared" si="26"/>
        <v>5.11E-3</v>
      </c>
    </row>
    <row r="528" spans="1:10">
      <c r="A528" t="s">
        <v>610</v>
      </c>
      <c r="B528">
        <v>59</v>
      </c>
      <c r="C528" t="s">
        <v>9</v>
      </c>
      <c r="D528">
        <v>4</v>
      </c>
      <c r="E528">
        <v>62</v>
      </c>
      <c r="F528">
        <v>5.5500000000000002E-3</v>
      </c>
      <c r="G528">
        <v>0</v>
      </c>
      <c r="H528" t="str">
        <f t="shared" si="24"/>
        <v>60-69</v>
      </c>
      <c r="I528" t="str">
        <f t="shared" si="25"/>
        <v>0-9</v>
      </c>
      <c r="J528">
        <f t="shared" si="26"/>
        <v>5.5500000000000002E-3</v>
      </c>
    </row>
    <row r="529" spans="1:10">
      <c r="A529" t="s">
        <v>611</v>
      </c>
      <c r="B529">
        <v>43</v>
      </c>
      <c r="C529" t="s">
        <v>7</v>
      </c>
      <c r="D529">
        <v>26</v>
      </c>
      <c r="E529">
        <v>68</v>
      </c>
      <c r="F529">
        <v>1.141E-2</v>
      </c>
      <c r="G529">
        <v>0</v>
      </c>
      <c r="H529" t="str">
        <f t="shared" si="24"/>
        <v>60-69</v>
      </c>
      <c r="I529" t="str">
        <f t="shared" si="25"/>
        <v>20-29</v>
      </c>
      <c r="J529">
        <f t="shared" si="26"/>
        <v>1.141E-2</v>
      </c>
    </row>
    <row r="530" spans="1:10">
      <c r="A530" t="s">
        <v>612</v>
      </c>
      <c r="B530">
        <v>43</v>
      </c>
      <c r="C530" t="s">
        <v>9</v>
      </c>
      <c r="D530">
        <v>25</v>
      </c>
      <c r="E530">
        <v>67</v>
      </c>
      <c r="F530">
        <v>1.278E-2</v>
      </c>
      <c r="G530">
        <v>0</v>
      </c>
      <c r="H530" t="str">
        <f t="shared" si="24"/>
        <v>60-69</v>
      </c>
      <c r="I530" t="str">
        <f t="shared" si="25"/>
        <v>20-29</v>
      </c>
      <c r="J530">
        <f t="shared" si="26"/>
        <v>1.278E-2</v>
      </c>
    </row>
    <row r="531" spans="1:10">
      <c r="A531" t="s">
        <v>613</v>
      </c>
      <c r="B531">
        <v>45</v>
      </c>
      <c r="C531" t="s">
        <v>9</v>
      </c>
      <c r="D531">
        <v>17</v>
      </c>
      <c r="E531">
        <v>61</v>
      </c>
      <c r="F531">
        <v>7.0200000000000002E-3</v>
      </c>
      <c r="G531">
        <v>0</v>
      </c>
      <c r="H531" t="str">
        <f t="shared" si="24"/>
        <v>60-69</v>
      </c>
      <c r="I531" t="str">
        <f t="shared" si="25"/>
        <v>10-19</v>
      </c>
      <c r="J531">
        <f t="shared" si="26"/>
        <v>7.0200000000000002E-3</v>
      </c>
    </row>
    <row r="532" spans="1:10">
      <c r="A532" t="s">
        <v>614</v>
      </c>
      <c r="B532">
        <v>65</v>
      </c>
      <c r="C532" t="s">
        <v>7</v>
      </c>
      <c r="D532">
        <v>11</v>
      </c>
      <c r="E532">
        <v>75</v>
      </c>
      <c r="F532">
        <v>1.635E-2</v>
      </c>
      <c r="G532">
        <v>0</v>
      </c>
      <c r="H532" t="str">
        <f t="shared" si="24"/>
        <v>70-79</v>
      </c>
      <c r="I532" t="str">
        <f t="shared" si="25"/>
        <v>10-19</v>
      </c>
      <c r="J532">
        <f t="shared" si="26"/>
        <v>1.635E-2</v>
      </c>
    </row>
    <row r="533" spans="1:10">
      <c r="A533" t="s">
        <v>615</v>
      </c>
      <c r="B533">
        <v>29</v>
      </c>
      <c r="C533" t="s">
        <v>7</v>
      </c>
      <c r="D533">
        <v>20</v>
      </c>
      <c r="E533">
        <v>48</v>
      </c>
      <c r="F533">
        <v>1.6900000000000001E-3</v>
      </c>
      <c r="G533">
        <v>0</v>
      </c>
      <c r="H533" t="str">
        <f t="shared" si="24"/>
        <v>40-49</v>
      </c>
      <c r="I533" t="str">
        <f t="shared" si="25"/>
        <v>20-29</v>
      </c>
      <c r="J533">
        <f t="shared" si="26"/>
        <v>1.6900000000000001E-3</v>
      </c>
    </row>
    <row r="534" spans="1:10">
      <c r="A534" t="s">
        <v>616</v>
      </c>
      <c r="B534">
        <v>59</v>
      </c>
      <c r="C534" t="s">
        <v>9</v>
      </c>
      <c r="D534">
        <v>11</v>
      </c>
      <c r="E534">
        <v>69</v>
      </c>
      <c r="F534">
        <v>1.426E-2</v>
      </c>
      <c r="G534">
        <v>0</v>
      </c>
      <c r="H534" t="str">
        <f t="shared" si="24"/>
        <v>60-69</v>
      </c>
      <c r="I534" t="str">
        <f t="shared" si="25"/>
        <v>10-19</v>
      </c>
      <c r="J534">
        <f t="shared" si="26"/>
        <v>1.426E-2</v>
      </c>
    </row>
    <row r="535" spans="1:10">
      <c r="A535" t="s">
        <v>617</v>
      </c>
      <c r="B535">
        <v>39</v>
      </c>
      <c r="C535" t="s">
        <v>9</v>
      </c>
      <c r="D535">
        <v>19</v>
      </c>
      <c r="E535">
        <v>57</v>
      </c>
      <c r="F535">
        <v>4.6699999999999997E-3</v>
      </c>
      <c r="G535">
        <v>0</v>
      </c>
      <c r="H535" t="str">
        <f t="shared" si="24"/>
        <v>50-59</v>
      </c>
      <c r="I535" t="str">
        <f t="shared" si="25"/>
        <v>10-19</v>
      </c>
      <c r="J535">
        <f t="shared" si="26"/>
        <v>4.6699999999999997E-3</v>
      </c>
    </row>
    <row r="536" spans="1:10">
      <c r="A536" t="s">
        <v>618</v>
      </c>
      <c r="B536">
        <v>54</v>
      </c>
      <c r="C536" t="s">
        <v>7</v>
      </c>
      <c r="D536">
        <v>16</v>
      </c>
      <c r="E536">
        <v>69</v>
      </c>
      <c r="F536">
        <v>1.1350000000000001E-2</v>
      </c>
      <c r="G536">
        <v>0</v>
      </c>
      <c r="H536" t="str">
        <f t="shared" si="24"/>
        <v>60-69</v>
      </c>
      <c r="I536" t="str">
        <f t="shared" si="25"/>
        <v>10-19</v>
      </c>
      <c r="J536">
        <f t="shared" si="26"/>
        <v>1.1350000000000001E-2</v>
      </c>
    </row>
    <row r="537" spans="1:10">
      <c r="A537" t="s">
        <v>619</v>
      </c>
      <c r="B537">
        <v>21</v>
      </c>
      <c r="C537" t="s">
        <v>9</v>
      </c>
      <c r="D537">
        <v>12</v>
      </c>
      <c r="E537">
        <v>32</v>
      </c>
      <c r="F537">
        <v>7.2999999999999996E-4</v>
      </c>
      <c r="G537">
        <v>0</v>
      </c>
      <c r="H537" t="str">
        <f t="shared" si="24"/>
        <v>30-39</v>
      </c>
      <c r="I537" t="str">
        <f t="shared" si="25"/>
        <v>10-19</v>
      </c>
      <c r="J537">
        <f t="shared" si="26"/>
        <v>7.2999999999999996E-4</v>
      </c>
    </row>
    <row r="538" spans="1:10">
      <c r="A538" t="s">
        <v>620</v>
      </c>
      <c r="B538">
        <v>46</v>
      </c>
      <c r="C538" t="s">
        <v>9</v>
      </c>
      <c r="D538">
        <v>19</v>
      </c>
      <c r="E538">
        <v>64</v>
      </c>
      <c r="F538">
        <v>9.2899999999999996E-3</v>
      </c>
      <c r="G538">
        <v>0</v>
      </c>
      <c r="H538" t="str">
        <f t="shared" si="24"/>
        <v>60-69</v>
      </c>
      <c r="I538" t="str">
        <f t="shared" si="25"/>
        <v>10-19</v>
      </c>
      <c r="J538">
        <f t="shared" si="26"/>
        <v>9.2899999999999996E-3</v>
      </c>
    </row>
    <row r="539" spans="1:10">
      <c r="A539" t="s">
        <v>621</v>
      </c>
      <c r="B539">
        <v>64</v>
      </c>
      <c r="C539" t="s">
        <v>9</v>
      </c>
      <c r="D539">
        <v>21</v>
      </c>
      <c r="E539">
        <v>84</v>
      </c>
      <c r="F539">
        <v>8.0629999999999993E-2</v>
      </c>
      <c r="G539">
        <v>0</v>
      </c>
      <c r="H539" t="str">
        <f t="shared" si="24"/>
        <v>80-89</v>
      </c>
      <c r="I539" t="str">
        <f t="shared" si="25"/>
        <v>20-29</v>
      </c>
      <c r="J539">
        <f t="shared" si="26"/>
        <v>8.0629999999999993E-2</v>
      </c>
    </row>
    <row r="540" spans="1:10">
      <c r="A540" t="s">
        <v>622</v>
      </c>
      <c r="B540">
        <v>61</v>
      </c>
      <c r="C540" t="s">
        <v>7</v>
      </c>
      <c r="D540">
        <v>26</v>
      </c>
      <c r="E540">
        <v>86</v>
      </c>
      <c r="F540">
        <v>8.2710000000000006E-2</v>
      </c>
      <c r="G540">
        <v>0</v>
      </c>
      <c r="H540" t="str">
        <f t="shared" si="24"/>
        <v>80-89</v>
      </c>
      <c r="I540" t="str">
        <f t="shared" si="25"/>
        <v>20-29</v>
      </c>
      <c r="J540">
        <f t="shared" si="26"/>
        <v>8.2710000000000006E-2</v>
      </c>
    </row>
    <row r="541" spans="1:10">
      <c r="A541" t="s">
        <v>623</v>
      </c>
      <c r="B541">
        <v>34</v>
      </c>
      <c r="C541" t="s">
        <v>9</v>
      </c>
      <c r="D541">
        <v>24</v>
      </c>
      <c r="E541">
        <v>57</v>
      </c>
      <c r="F541">
        <v>4.7800000000000004E-3</v>
      </c>
      <c r="G541">
        <v>0</v>
      </c>
      <c r="H541" t="str">
        <f t="shared" si="24"/>
        <v>50-59</v>
      </c>
      <c r="I541" t="str">
        <f t="shared" si="25"/>
        <v>20-29</v>
      </c>
      <c r="J541">
        <f t="shared" si="26"/>
        <v>4.7800000000000004E-3</v>
      </c>
    </row>
    <row r="542" spans="1:10">
      <c r="A542" t="s">
        <v>624</v>
      </c>
      <c r="B542">
        <v>53</v>
      </c>
      <c r="C542" t="s">
        <v>7</v>
      </c>
      <c r="D542">
        <v>21</v>
      </c>
      <c r="E542">
        <v>73</v>
      </c>
      <c r="F542">
        <v>1.8970000000000001E-2</v>
      </c>
      <c r="G542">
        <v>0</v>
      </c>
      <c r="H542" t="str">
        <f t="shared" si="24"/>
        <v>70-79</v>
      </c>
      <c r="I542" t="str">
        <f t="shared" si="25"/>
        <v>20-29</v>
      </c>
      <c r="J542">
        <f t="shared" si="26"/>
        <v>1.8970000000000001E-2</v>
      </c>
    </row>
    <row r="543" spans="1:10">
      <c r="A543" t="s">
        <v>625</v>
      </c>
      <c r="B543">
        <v>44</v>
      </c>
      <c r="C543" t="s">
        <v>7</v>
      </c>
      <c r="D543">
        <v>5</v>
      </c>
      <c r="E543">
        <v>48</v>
      </c>
      <c r="F543">
        <v>1.0300000000000001E-3</v>
      </c>
      <c r="G543">
        <v>0</v>
      </c>
      <c r="H543" t="str">
        <f t="shared" si="24"/>
        <v>40-49</v>
      </c>
      <c r="I543" t="str">
        <f t="shared" si="25"/>
        <v>0-9</v>
      </c>
      <c r="J543">
        <f t="shared" si="26"/>
        <v>1.0300000000000001E-3</v>
      </c>
    </row>
    <row r="544" spans="1:10">
      <c r="A544" t="s">
        <v>626</v>
      </c>
      <c r="B544">
        <v>56</v>
      </c>
      <c r="C544" t="s">
        <v>9</v>
      </c>
      <c r="D544">
        <v>23</v>
      </c>
      <c r="E544">
        <v>78</v>
      </c>
      <c r="F544">
        <v>4.1189999999999997E-2</v>
      </c>
      <c r="G544">
        <v>1</v>
      </c>
      <c r="H544" t="str">
        <f t="shared" si="24"/>
        <v>70-79</v>
      </c>
      <c r="I544" t="str">
        <f t="shared" si="25"/>
        <v>20-29</v>
      </c>
      <c r="J544">
        <f t="shared" si="26"/>
        <v>4.1189999999999997E-2</v>
      </c>
    </row>
    <row r="545" spans="1:10">
      <c r="A545" t="s">
        <v>627</v>
      </c>
      <c r="B545">
        <v>40</v>
      </c>
      <c r="C545" t="s">
        <v>9</v>
      </c>
      <c r="D545">
        <v>14</v>
      </c>
      <c r="E545">
        <v>53</v>
      </c>
      <c r="F545">
        <v>2.9499999999999999E-3</v>
      </c>
      <c r="G545">
        <v>0</v>
      </c>
      <c r="H545" t="str">
        <f t="shared" si="24"/>
        <v>50-59</v>
      </c>
      <c r="I545" t="str">
        <f t="shared" si="25"/>
        <v>10-19</v>
      </c>
      <c r="J545">
        <f t="shared" si="26"/>
        <v>2.9499999999999999E-3</v>
      </c>
    </row>
    <row r="546" spans="1:10">
      <c r="A546" t="s">
        <v>628</v>
      </c>
      <c r="B546">
        <v>46</v>
      </c>
      <c r="C546" t="s">
        <v>7</v>
      </c>
      <c r="D546">
        <v>17</v>
      </c>
      <c r="E546">
        <v>62</v>
      </c>
      <c r="F546">
        <v>5.77E-3</v>
      </c>
      <c r="G546">
        <v>0</v>
      </c>
      <c r="H546" t="str">
        <f t="shared" si="24"/>
        <v>60-69</v>
      </c>
      <c r="I546" t="str">
        <f t="shared" si="25"/>
        <v>10-19</v>
      </c>
      <c r="J546">
        <f t="shared" si="26"/>
        <v>5.77E-3</v>
      </c>
    </row>
    <row r="547" spans="1:10">
      <c r="A547" t="s">
        <v>629</v>
      </c>
      <c r="B547">
        <v>23</v>
      </c>
      <c r="C547" t="s">
        <v>9</v>
      </c>
      <c r="D547">
        <v>23</v>
      </c>
      <c r="E547">
        <v>45</v>
      </c>
      <c r="F547">
        <v>2.16E-3</v>
      </c>
      <c r="G547">
        <v>0</v>
      </c>
      <c r="H547" t="str">
        <f t="shared" si="24"/>
        <v>40-49</v>
      </c>
      <c r="I547" t="str">
        <f t="shared" si="25"/>
        <v>20-29</v>
      </c>
      <c r="J547">
        <f t="shared" si="26"/>
        <v>2.16E-3</v>
      </c>
    </row>
    <row r="548" spans="1:10">
      <c r="A548" t="s">
        <v>630</v>
      </c>
      <c r="B548">
        <v>40</v>
      </c>
      <c r="C548" t="s">
        <v>9</v>
      </c>
      <c r="D548">
        <v>22</v>
      </c>
      <c r="E548">
        <v>61</v>
      </c>
      <c r="F548">
        <v>7.0200000000000002E-3</v>
      </c>
      <c r="G548">
        <v>0</v>
      </c>
      <c r="H548" t="str">
        <f t="shared" si="24"/>
        <v>60-69</v>
      </c>
      <c r="I548" t="str">
        <f t="shared" si="25"/>
        <v>20-29</v>
      </c>
      <c r="J548">
        <f t="shared" si="26"/>
        <v>7.0200000000000002E-3</v>
      </c>
    </row>
    <row r="549" spans="1:10">
      <c r="A549" t="s">
        <v>631</v>
      </c>
      <c r="B549">
        <v>31</v>
      </c>
      <c r="C549" t="s">
        <v>7</v>
      </c>
      <c r="D549">
        <v>15</v>
      </c>
      <c r="E549">
        <v>45</v>
      </c>
      <c r="F549">
        <v>1.17E-3</v>
      </c>
      <c r="G549">
        <v>0</v>
      </c>
      <c r="H549" t="str">
        <f t="shared" si="24"/>
        <v>40-49</v>
      </c>
      <c r="I549" t="str">
        <f t="shared" si="25"/>
        <v>10-19</v>
      </c>
      <c r="J549">
        <f t="shared" si="26"/>
        <v>1.17E-3</v>
      </c>
    </row>
    <row r="550" spans="1:10">
      <c r="A550" t="s">
        <v>632</v>
      </c>
      <c r="B550">
        <v>42</v>
      </c>
      <c r="C550" t="s">
        <v>7</v>
      </c>
      <c r="D550">
        <v>22</v>
      </c>
      <c r="E550">
        <v>63</v>
      </c>
      <c r="F550">
        <v>6.7200000000000003E-3</v>
      </c>
      <c r="G550">
        <v>0</v>
      </c>
      <c r="H550" t="str">
        <f t="shared" si="24"/>
        <v>60-69</v>
      </c>
      <c r="I550" t="str">
        <f t="shared" si="25"/>
        <v>20-29</v>
      </c>
      <c r="J550">
        <f t="shared" si="26"/>
        <v>6.7200000000000003E-3</v>
      </c>
    </row>
    <row r="551" spans="1:10">
      <c r="A551" t="s">
        <v>633</v>
      </c>
      <c r="B551">
        <v>61</v>
      </c>
      <c r="C551" t="s">
        <v>7</v>
      </c>
      <c r="D551">
        <v>26</v>
      </c>
      <c r="E551">
        <v>86</v>
      </c>
      <c r="F551">
        <v>8.2710000000000006E-2</v>
      </c>
      <c r="G551">
        <v>0</v>
      </c>
      <c r="H551" t="str">
        <f t="shared" si="24"/>
        <v>80-89</v>
      </c>
      <c r="I551" t="str">
        <f t="shared" si="25"/>
        <v>20-29</v>
      </c>
      <c r="J551">
        <f t="shared" si="26"/>
        <v>8.2710000000000006E-2</v>
      </c>
    </row>
    <row r="552" spans="1:10">
      <c r="A552" t="s">
        <v>634</v>
      </c>
      <c r="B552">
        <v>32</v>
      </c>
      <c r="C552" t="s">
        <v>9</v>
      </c>
      <c r="D552">
        <v>8</v>
      </c>
      <c r="E552">
        <v>39</v>
      </c>
      <c r="F552">
        <v>7.6000000000000004E-4</v>
      </c>
      <c r="G552">
        <v>0</v>
      </c>
      <c r="H552" t="str">
        <f t="shared" si="24"/>
        <v>30-39</v>
      </c>
      <c r="I552" t="str">
        <f t="shared" si="25"/>
        <v>0-9</v>
      </c>
      <c r="J552">
        <f t="shared" si="26"/>
        <v>7.6000000000000004E-4</v>
      </c>
    </row>
    <row r="553" spans="1:10">
      <c r="A553" t="s">
        <v>635</v>
      </c>
      <c r="B553">
        <v>39</v>
      </c>
      <c r="C553" t="s">
        <v>9</v>
      </c>
      <c r="D553">
        <v>25</v>
      </c>
      <c r="E553">
        <v>63</v>
      </c>
      <c r="F553">
        <v>8.6499999999999997E-3</v>
      </c>
      <c r="G553">
        <v>0</v>
      </c>
      <c r="H553" t="str">
        <f t="shared" si="24"/>
        <v>60-69</v>
      </c>
      <c r="I553" t="str">
        <f t="shared" si="25"/>
        <v>20-29</v>
      </c>
      <c r="J553">
        <f t="shared" si="26"/>
        <v>8.6499999999999997E-3</v>
      </c>
    </row>
    <row r="554" spans="1:10">
      <c r="A554" t="s">
        <v>636</v>
      </c>
      <c r="B554">
        <v>65</v>
      </c>
      <c r="C554" t="s">
        <v>9</v>
      </c>
      <c r="D554">
        <v>16</v>
      </c>
      <c r="E554">
        <v>80</v>
      </c>
      <c r="F554">
        <v>4.65E-2</v>
      </c>
      <c r="G554">
        <v>0</v>
      </c>
      <c r="H554" t="str">
        <f t="shared" si="24"/>
        <v>80-89</v>
      </c>
      <c r="I554" t="str">
        <f t="shared" si="25"/>
        <v>10-19</v>
      </c>
      <c r="J554">
        <f t="shared" si="26"/>
        <v>4.65E-2</v>
      </c>
    </row>
    <row r="555" spans="1:10">
      <c r="A555" t="s">
        <v>637</v>
      </c>
      <c r="B555">
        <v>37</v>
      </c>
      <c r="C555" t="s">
        <v>9</v>
      </c>
      <c r="D555">
        <v>10</v>
      </c>
      <c r="E555">
        <v>46</v>
      </c>
      <c r="F555">
        <v>1.42E-3</v>
      </c>
      <c r="G555">
        <v>0</v>
      </c>
      <c r="H555" t="str">
        <f t="shared" si="24"/>
        <v>40-49</v>
      </c>
      <c r="I555" t="str">
        <f t="shared" si="25"/>
        <v>10-19</v>
      </c>
      <c r="J555">
        <f t="shared" si="26"/>
        <v>1.42E-3</v>
      </c>
    </row>
    <row r="556" spans="1:10">
      <c r="A556" t="s">
        <v>638</v>
      </c>
      <c r="B556">
        <v>44</v>
      </c>
      <c r="C556" t="s">
        <v>7</v>
      </c>
      <c r="D556">
        <v>29</v>
      </c>
      <c r="E556">
        <v>72</v>
      </c>
      <c r="F556">
        <v>1.2659999999999999E-2</v>
      </c>
      <c r="G556">
        <v>0</v>
      </c>
      <c r="H556" t="str">
        <f t="shared" si="24"/>
        <v>70-79</v>
      </c>
      <c r="I556" t="str">
        <f t="shared" si="25"/>
        <v>20-29</v>
      </c>
      <c r="J556">
        <f t="shared" si="26"/>
        <v>1.2659999999999999E-2</v>
      </c>
    </row>
    <row r="557" spans="1:10">
      <c r="A557" t="s">
        <v>639</v>
      </c>
      <c r="B557">
        <v>29</v>
      </c>
      <c r="C557" t="s">
        <v>9</v>
      </c>
      <c r="D557">
        <v>10</v>
      </c>
      <c r="E557">
        <v>38</v>
      </c>
      <c r="F557">
        <v>8.4000000000000003E-4</v>
      </c>
      <c r="G557">
        <v>0</v>
      </c>
      <c r="H557" t="str">
        <f t="shared" si="24"/>
        <v>30-39</v>
      </c>
      <c r="I557" t="str">
        <f t="shared" si="25"/>
        <v>10-19</v>
      </c>
      <c r="J557">
        <f t="shared" si="26"/>
        <v>8.4000000000000003E-4</v>
      </c>
    </row>
    <row r="558" spans="1:10">
      <c r="A558" t="s">
        <v>640</v>
      </c>
      <c r="B558">
        <v>25</v>
      </c>
      <c r="C558" t="s">
        <v>7</v>
      </c>
      <c r="D558">
        <v>12</v>
      </c>
      <c r="E558">
        <v>36</v>
      </c>
      <c r="F558">
        <v>5.9000000000000003E-4</v>
      </c>
      <c r="G558">
        <v>0</v>
      </c>
      <c r="H558" t="str">
        <f t="shared" si="24"/>
        <v>30-39</v>
      </c>
      <c r="I558" t="str">
        <f t="shared" si="25"/>
        <v>10-19</v>
      </c>
      <c r="J558">
        <f t="shared" si="26"/>
        <v>5.9000000000000003E-4</v>
      </c>
    </row>
    <row r="559" spans="1:10">
      <c r="A559" t="s">
        <v>641</v>
      </c>
      <c r="B559">
        <v>50</v>
      </c>
      <c r="C559" t="s">
        <v>9</v>
      </c>
      <c r="D559">
        <v>7</v>
      </c>
      <c r="E559">
        <v>56</v>
      </c>
      <c r="F559">
        <v>3.3400000000000001E-3</v>
      </c>
      <c r="G559">
        <v>0</v>
      </c>
      <c r="H559" t="str">
        <f t="shared" si="24"/>
        <v>50-59</v>
      </c>
      <c r="I559" t="str">
        <f t="shared" si="25"/>
        <v>0-9</v>
      </c>
      <c r="J559">
        <f t="shared" si="26"/>
        <v>3.3400000000000001E-3</v>
      </c>
    </row>
    <row r="560" spans="1:10">
      <c r="A560" t="s">
        <v>642</v>
      </c>
      <c r="B560">
        <v>55</v>
      </c>
      <c r="C560" t="s">
        <v>9</v>
      </c>
      <c r="D560">
        <v>23</v>
      </c>
      <c r="E560">
        <v>77</v>
      </c>
      <c r="F560">
        <v>3.7039999999999997E-2</v>
      </c>
      <c r="G560">
        <v>0</v>
      </c>
      <c r="H560" t="str">
        <f t="shared" si="24"/>
        <v>70-79</v>
      </c>
      <c r="I560" t="str">
        <f t="shared" si="25"/>
        <v>20-29</v>
      </c>
      <c r="J560">
        <f t="shared" si="26"/>
        <v>3.7039999999999997E-2</v>
      </c>
    </row>
    <row r="561" spans="1:10">
      <c r="A561" t="s">
        <v>643</v>
      </c>
      <c r="B561">
        <v>57</v>
      </c>
      <c r="C561" t="s">
        <v>9</v>
      </c>
      <c r="D561">
        <v>8</v>
      </c>
      <c r="E561">
        <v>64</v>
      </c>
      <c r="F561">
        <v>8.4600000000000005E-3</v>
      </c>
      <c r="G561">
        <v>0</v>
      </c>
      <c r="H561" t="str">
        <f t="shared" si="24"/>
        <v>60-69</v>
      </c>
      <c r="I561" t="str">
        <f t="shared" si="25"/>
        <v>0-9</v>
      </c>
      <c r="J561">
        <f t="shared" si="26"/>
        <v>8.4600000000000005E-3</v>
      </c>
    </row>
    <row r="562" spans="1:10">
      <c r="A562" t="s">
        <v>644</v>
      </c>
      <c r="B562">
        <v>53</v>
      </c>
      <c r="C562" t="s">
        <v>7</v>
      </c>
      <c r="D562">
        <v>8</v>
      </c>
      <c r="E562">
        <v>60</v>
      </c>
      <c r="F562">
        <v>3.5699999999999998E-3</v>
      </c>
      <c r="G562">
        <v>0</v>
      </c>
      <c r="H562" t="str">
        <f t="shared" si="24"/>
        <v>60-69</v>
      </c>
      <c r="I562" t="str">
        <f t="shared" si="25"/>
        <v>0-9</v>
      </c>
      <c r="J562">
        <f t="shared" si="26"/>
        <v>3.5699999999999998E-3</v>
      </c>
    </row>
    <row r="563" spans="1:10">
      <c r="A563" t="s">
        <v>645</v>
      </c>
      <c r="B563">
        <v>46</v>
      </c>
      <c r="C563" t="s">
        <v>7</v>
      </c>
      <c r="D563">
        <v>11</v>
      </c>
      <c r="E563">
        <v>56</v>
      </c>
      <c r="F563">
        <v>2.7100000000000002E-3</v>
      </c>
      <c r="G563">
        <v>0</v>
      </c>
      <c r="H563" t="str">
        <f t="shared" si="24"/>
        <v>50-59</v>
      </c>
      <c r="I563" t="str">
        <f t="shared" si="25"/>
        <v>10-19</v>
      </c>
      <c r="J563">
        <f t="shared" si="26"/>
        <v>2.7100000000000002E-3</v>
      </c>
    </row>
    <row r="564" spans="1:10">
      <c r="A564" t="s">
        <v>646</v>
      </c>
      <c r="B564">
        <v>28</v>
      </c>
      <c r="C564" t="s">
        <v>7</v>
      </c>
      <c r="D564">
        <v>1</v>
      </c>
      <c r="E564">
        <v>28</v>
      </c>
      <c r="F564">
        <v>1.1E-4</v>
      </c>
      <c r="G564">
        <v>0</v>
      </c>
      <c r="H564" t="str">
        <f t="shared" si="24"/>
        <v>20-29</v>
      </c>
      <c r="I564" t="str">
        <f t="shared" si="25"/>
        <v>0-9</v>
      </c>
      <c r="J564">
        <f t="shared" si="26"/>
        <v>1.1E-4</v>
      </c>
    </row>
    <row r="565" spans="1:10">
      <c r="A565" t="s">
        <v>647</v>
      </c>
      <c r="B565">
        <v>30</v>
      </c>
      <c r="C565" t="s">
        <v>7</v>
      </c>
      <c r="D565">
        <v>14</v>
      </c>
      <c r="E565">
        <v>43</v>
      </c>
      <c r="F565">
        <v>1.0399999999999999E-3</v>
      </c>
      <c r="G565">
        <v>0</v>
      </c>
      <c r="H565" t="str">
        <f t="shared" si="24"/>
        <v>40-49</v>
      </c>
      <c r="I565" t="str">
        <f t="shared" si="25"/>
        <v>10-19</v>
      </c>
      <c r="J565">
        <f t="shared" si="26"/>
        <v>1.0399999999999999E-3</v>
      </c>
    </row>
    <row r="566" spans="1:10">
      <c r="A566" t="s">
        <v>648</v>
      </c>
      <c r="B566">
        <v>50</v>
      </c>
      <c r="C566" t="s">
        <v>7</v>
      </c>
      <c r="D566">
        <v>16</v>
      </c>
      <c r="E566">
        <v>65</v>
      </c>
      <c r="F566">
        <v>7.7999999999999996E-3</v>
      </c>
      <c r="G566">
        <v>0</v>
      </c>
      <c r="H566" t="str">
        <f t="shared" si="24"/>
        <v>60-69</v>
      </c>
      <c r="I566" t="str">
        <f t="shared" si="25"/>
        <v>10-19</v>
      </c>
      <c r="J566">
        <f t="shared" si="26"/>
        <v>7.7999999999999996E-3</v>
      </c>
    </row>
    <row r="567" spans="1:10">
      <c r="A567" t="s">
        <v>649</v>
      </c>
      <c r="B567">
        <v>38</v>
      </c>
      <c r="C567" t="s">
        <v>9</v>
      </c>
      <c r="D567">
        <v>11</v>
      </c>
      <c r="E567">
        <v>48</v>
      </c>
      <c r="F567">
        <v>1.74E-3</v>
      </c>
      <c r="G567">
        <v>0</v>
      </c>
      <c r="H567" t="str">
        <f t="shared" si="24"/>
        <v>40-49</v>
      </c>
      <c r="I567" t="str">
        <f t="shared" si="25"/>
        <v>10-19</v>
      </c>
      <c r="J567">
        <f t="shared" si="26"/>
        <v>1.74E-3</v>
      </c>
    </row>
    <row r="568" spans="1:10">
      <c r="A568" t="s">
        <v>650</v>
      </c>
      <c r="B568">
        <v>25</v>
      </c>
      <c r="C568" t="s">
        <v>7</v>
      </c>
      <c r="D568">
        <v>21</v>
      </c>
      <c r="E568">
        <v>45</v>
      </c>
      <c r="F568">
        <v>1.3799999999999999E-3</v>
      </c>
      <c r="G568">
        <v>0</v>
      </c>
      <c r="H568" t="str">
        <f t="shared" si="24"/>
        <v>40-49</v>
      </c>
      <c r="I568" t="str">
        <f t="shared" si="25"/>
        <v>20-29</v>
      </c>
      <c r="J568">
        <f t="shared" si="26"/>
        <v>1.3799999999999999E-3</v>
      </c>
    </row>
    <row r="569" spans="1:10">
      <c r="A569" t="s">
        <v>651</v>
      </c>
      <c r="B569">
        <v>22</v>
      </c>
      <c r="C569" t="s">
        <v>7</v>
      </c>
      <c r="D569">
        <v>30</v>
      </c>
      <c r="E569">
        <v>51</v>
      </c>
      <c r="F569">
        <v>1.6000000000000001E-3</v>
      </c>
      <c r="G569">
        <v>0</v>
      </c>
      <c r="H569" t="str">
        <f t="shared" si="24"/>
        <v>50-59</v>
      </c>
      <c r="I569" t="str">
        <f t="shared" si="25"/>
        <v>30-39</v>
      </c>
      <c r="J569">
        <f t="shared" si="26"/>
        <v>1.6000000000000001E-3</v>
      </c>
    </row>
    <row r="570" spans="1:10">
      <c r="A570" t="s">
        <v>652</v>
      </c>
      <c r="B570">
        <v>31</v>
      </c>
      <c r="C570" t="s">
        <v>7</v>
      </c>
      <c r="D570">
        <v>30</v>
      </c>
      <c r="E570">
        <v>60</v>
      </c>
      <c r="F570">
        <v>3.3700000000000002E-3</v>
      </c>
      <c r="G570">
        <v>0</v>
      </c>
      <c r="H570" t="str">
        <f t="shared" si="24"/>
        <v>60-69</v>
      </c>
      <c r="I570" t="str">
        <f t="shared" si="25"/>
        <v>30-39</v>
      </c>
      <c r="J570">
        <f t="shared" si="26"/>
        <v>3.3700000000000002E-3</v>
      </c>
    </row>
    <row r="571" spans="1:10">
      <c r="A571" t="s">
        <v>653</v>
      </c>
      <c r="B571">
        <v>45</v>
      </c>
      <c r="C571" t="s">
        <v>9</v>
      </c>
      <c r="D571">
        <v>26</v>
      </c>
      <c r="E571">
        <v>70</v>
      </c>
      <c r="F571">
        <v>1.7160000000000002E-2</v>
      </c>
      <c r="G571">
        <v>0</v>
      </c>
      <c r="H571" t="str">
        <f t="shared" si="24"/>
        <v>70-79</v>
      </c>
      <c r="I571" t="str">
        <f t="shared" si="25"/>
        <v>20-29</v>
      </c>
      <c r="J571">
        <f t="shared" si="26"/>
        <v>1.7160000000000002E-2</v>
      </c>
    </row>
    <row r="572" spans="1:10">
      <c r="A572" t="s">
        <v>654</v>
      </c>
      <c r="B572">
        <v>38</v>
      </c>
      <c r="C572" t="s">
        <v>9</v>
      </c>
      <c r="D572">
        <v>29</v>
      </c>
      <c r="E572">
        <v>66</v>
      </c>
      <c r="F572">
        <v>8.6599999999999993E-3</v>
      </c>
      <c r="G572">
        <v>0</v>
      </c>
      <c r="H572" t="str">
        <f t="shared" si="24"/>
        <v>60-69</v>
      </c>
      <c r="I572" t="str">
        <f t="shared" si="25"/>
        <v>20-29</v>
      </c>
      <c r="J572">
        <f t="shared" si="26"/>
        <v>8.6599999999999993E-3</v>
      </c>
    </row>
    <row r="573" spans="1:10">
      <c r="A573" t="s">
        <v>655</v>
      </c>
      <c r="B573">
        <v>58</v>
      </c>
      <c r="C573" t="s">
        <v>7</v>
      </c>
      <c r="D573">
        <v>4</v>
      </c>
      <c r="E573">
        <v>61</v>
      </c>
      <c r="F573">
        <v>3.0599999999999998E-3</v>
      </c>
      <c r="G573">
        <v>0</v>
      </c>
      <c r="H573" t="str">
        <f t="shared" si="24"/>
        <v>60-69</v>
      </c>
      <c r="I573" t="str">
        <f t="shared" si="25"/>
        <v>0-9</v>
      </c>
      <c r="J573">
        <f t="shared" si="26"/>
        <v>3.0599999999999998E-3</v>
      </c>
    </row>
    <row r="574" spans="1:10">
      <c r="A574" t="s">
        <v>656</v>
      </c>
      <c r="B574">
        <v>49</v>
      </c>
      <c r="C574" t="s">
        <v>7</v>
      </c>
      <c r="D574">
        <v>21</v>
      </c>
      <c r="E574">
        <v>69</v>
      </c>
      <c r="F574">
        <v>1.2659999999999999E-2</v>
      </c>
      <c r="G574">
        <v>0</v>
      </c>
      <c r="H574" t="str">
        <f t="shared" si="24"/>
        <v>60-69</v>
      </c>
      <c r="I574" t="str">
        <f t="shared" si="25"/>
        <v>20-29</v>
      </c>
      <c r="J574">
        <f t="shared" si="26"/>
        <v>1.2659999999999999E-2</v>
      </c>
    </row>
    <row r="575" spans="1:10">
      <c r="A575" t="s">
        <v>657</v>
      </c>
      <c r="B575">
        <v>28</v>
      </c>
      <c r="C575" t="s">
        <v>7</v>
      </c>
      <c r="D575">
        <v>28</v>
      </c>
      <c r="E575">
        <v>55</v>
      </c>
      <c r="F575">
        <v>2.5899999999999999E-3</v>
      </c>
      <c r="G575">
        <v>0</v>
      </c>
      <c r="H575" t="str">
        <f t="shared" si="24"/>
        <v>50-59</v>
      </c>
      <c r="I575" t="str">
        <f t="shared" si="25"/>
        <v>20-29</v>
      </c>
      <c r="J575">
        <f t="shared" si="26"/>
        <v>2.5899999999999999E-3</v>
      </c>
    </row>
    <row r="576" spans="1:10">
      <c r="A576" t="s">
        <v>658</v>
      </c>
      <c r="B576">
        <v>27</v>
      </c>
      <c r="C576" t="s">
        <v>9</v>
      </c>
      <c r="D576">
        <v>11</v>
      </c>
      <c r="E576">
        <v>37</v>
      </c>
      <c r="F576">
        <v>8.0999999999999996E-4</v>
      </c>
      <c r="G576">
        <v>0</v>
      </c>
      <c r="H576" t="str">
        <f t="shared" si="24"/>
        <v>30-39</v>
      </c>
      <c r="I576" t="str">
        <f t="shared" si="25"/>
        <v>10-19</v>
      </c>
      <c r="J576">
        <f t="shared" si="26"/>
        <v>8.0999999999999996E-4</v>
      </c>
    </row>
    <row r="577" spans="1:10">
      <c r="A577" t="s">
        <v>659</v>
      </c>
      <c r="B577">
        <v>36</v>
      </c>
      <c r="C577" t="s">
        <v>9</v>
      </c>
      <c r="D577">
        <v>23</v>
      </c>
      <c r="E577">
        <v>58</v>
      </c>
      <c r="F577">
        <v>5.2199999999999998E-3</v>
      </c>
      <c r="G577">
        <v>0</v>
      </c>
      <c r="H577" t="str">
        <f t="shared" si="24"/>
        <v>50-59</v>
      </c>
      <c r="I577" t="str">
        <f t="shared" si="25"/>
        <v>20-29</v>
      </c>
      <c r="J577">
        <f t="shared" si="26"/>
        <v>5.2199999999999998E-3</v>
      </c>
    </row>
    <row r="578" spans="1:10">
      <c r="A578" t="s">
        <v>660</v>
      </c>
      <c r="B578">
        <v>38</v>
      </c>
      <c r="C578" t="s">
        <v>7</v>
      </c>
      <c r="D578">
        <v>19</v>
      </c>
      <c r="E578">
        <v>56</v>
      </c>
      <c r="F578">
        <v>3.2499999999999999E-3</v>
      </c>
      <c r="G578">
        <v>0</v>
      </c>
      <c r="H578" t="str">
        <f t="shared" si="24"/>
        <v>50-59</v>
      </c>
      <c r="I578" t="str">
        <f t="shared" si="25"/>
        <v>10-19</v>
      </c>
      <c r="J578">
        <f t="shared" si="26"/>
        <v>3.2499999999999999E-3</v>
      </c>
    </row>
    <row r="579" spans="1:10">
      <c r="A579" t="s">
        <v>661</v>
      </c>
      <c r="B579">
        <v>59</v>
      </c>
      <c r="C579" t="s">
        <v>7</v>
      </c>
      <c r="D579">
        <v>28</v>
      </c>
      <c r="E579">
        <v>86</v>
      </c>
      <c r="F579">
        <v>6.4490000000000006E-2</v>
      </c>
      <c r="G579">
        <v>0</v>
      </c>
      <c r="H579" t="str">
        <f t="shared" ref="H579:H642" si="27">FLOOR(E579,10) &amp; "-" &amp; FLOOR(E579,10)+9</f>
        <v>80-89</v>
      </c>
      <c r="I579" t="str">
        <f t="shared" ref="I579:I642" si="28">FLOOR(D579, 10) &amp; "-"&amp;FLOOR(D579, 10)+9</f>
        <v>20-29</v>
      </c>
      <c r="J579">
        <f t="shared" ref="J579:J642" si="29">F579</f>
        <v>6.4490000000000006E-2</v>
      </c>
    </row>
    <row r="580" spans="1:10">
      <c r="A580" t="s">
        <v>662</v>
      </c>
      <c r="B580">
        <v>47</v>
      </c>
      <c r="C580" t="s">
        <v>9</v>
      </c>
      <c r="D580">
        <v>17</v>
      </c>
      <c r="E580">
        <v>63</v>
      </c>
      <c r="F580">
        <v>8.4899999999999993E-3</v>
      </c>
      <c r="G580">
        <v>0</v>
      </c>
      <c r="H580" t="str">
        <f t="shared" si="27"/>
        <v>60-69</v>
      </c>
      <c r="I580" t="str">
        <f t="shared" si="28"/>
        <v>10-19</v>
      </c>
      <c r="J580">
        <f t="shared" si="29"/>
        <v>8.4899999999999993E-3</v>
      </c>
    </row>
    <row r="581" spans="1:10">
      <c r="A581" t="s">
        <v>663</v>
      </c>
      <c r="B581">
        <v>26</v>
      </c>
      <c r="C581" t="s">
        <v>7</v>
      </c>
      <c r="D581">
        <v>6</v>
      </c>
      <c r="E581">
        <v>31</v>
      </c>
      <c r="F581">
        <v>2.9E-4</v>
      </c>
      <c r="G581">
        <v>0</v>
      </c>
      <c r="H581" t="str">
        <f t="shared" si="27"/>
        <v>30-39</v>
      </c>
      <c r="I581" t="str">
        <f t="shared" si="28"/>
        <v>0-9</v>
      </c>
      <c r="J581">
        <f t="shared" si="29"/>
        <v>2.9E-4</v>
      </c>
    </row>
    <row r="582" spans="1:10">
      <c r="A582" t="s">
        <v>664</v>
      </c>
      <c r="B582">
        <v>35</v>
      </c>
      <c r="C582" t="s">
        <v>9</v>
      </c>
      <c r="D582">
        <v>1</v>
      </c>
      <c r="E582">
        <v>35</v>
      </c>
      <c r="F582">
        <v>2.5000000000000001E-4</v>
      </c>
      <c r="G582">
        <v>0</v>
      </c>
      <c r="H582" t="str">
        <f t="shared" si="27"/>
        <v>30-39</v>
      </c>
      <c r="I582" t="str">
        <f t="shared" si="28"/>
        <v>0-9</v>
      </c>
      <c r="J582">
        <f t="shared" si="29"/>
        <v>2.5000000000000001E-4</v>
      </c>
    </row>
    <row r="583" spans="1:10">
      <c r="A583" t="s">
        <v>665</v>
      </c>
      <c r="B583">
        <v>37</v>
      </c>
      <c r="C583" t="s">
        <v>9</v>
      </c>
      <c r="D583">
        <v>11</v>
      </c>
      <c r="E583">
        <v>47</v>
      </c>
      <c r="F583">
        <v>1.5900000000000001E-3</v>
      </c>
      <c r="G583">
        <v>0</v>
      </c>
      <c r="H583" t="str">
        <f t="shared" si="27"/>
        <v>40-49</v>
      </c>
      <c r="I583" t="str">
        <f t="shared" si="28"/>
        <v>10-19</v>
      </c>
      <c r="J583">
        <f t="shared" si="29"/>
        <v>1.5900000000000001E-3</v>
      </c>
    </row>
    <row r="584" spans="1:10">
      <c r="A584" t="s">
        <v>666</v>
      </c>
      <c r="B584">
        <v>20</v>
      </c>
      <c r="C584" t="s">
        <v>7</v>
      </c>
      <c r="D584">
        <v>9</v>
      </c>
      <c r="E584">
        <v>28</v>
      </c>
      <c r="F584">
        <v>3.4000000000000002E-4</v>
      </c>
      <c r="G584">
        <v>0</v>
      </c>
      <c r="H584" t="str">
        <f t="shared" si="27"/>
        <v>20-29</v>
      </c>
      <c r="I584" t="str">
        <f t="shared" si="28"/>
        <v>0-9</v>
      </c>
      <c r="J584">
        <f t="shared" si="29"/>
        <v>3.4000000000000002E-4</v>
      </c>
    </row>
    <row r="585" spans="1:10">
      <c r="A585" t="s">
        <v>667</v>
      </c>
      <c r="B585">
        <v>23</v>
      </c>
      <c r="C585" t="s">
        <v>9</v>
      </c>
      <c r="D585">
        <v>22</v>
      </c>
      <c r="E585">
        <v>44</v>
      </c>
      <c r="F585">
        <v>2.0500000000000002E-3</v>
      </c>
      <c r="G585">
        <v>0</v>
      </c>
      <c r="H585" t="str">
        <f t="shared" si="27"/>
        <v>40-49</v>
      </c>
      <c r="I585" t="str">
        <f t="shared" si="28"/>
        <v>20-29</v>
      </c>
      <c r="J585">
        <f t="shared" si="29"/>
        <v>2.0500000000000002E-3</v>
      </c>
    </row>
    <row r="586" spans="1:10">
      <c r="A586" t="s">
        <v>668</v>
      </c>
      <c r="B586">
        <v>45</v>
      </c>
      <c r="C586" t="s">
        <v>7</v>
      </c>
      <c r="D586">
        <v>22</v>
      </c>
      <c r="E586">
        <v>66</v>
      </c>
      <c r="F586">
        <v>9.2399999999999999E-3</v>
      </c>
      <c r="G586">
        <v>0</v>
      </c>
      <c r="H586" t="str">
        <f t="shared" si="27"/>
        <v>60-69</v>
      </c>
      <c r="I586" t="str">
        <f t="shared" si="28"/>
        <v>20-29</v>
      </c>
      <c r="J586">
        <f t="shared" si="29"/>
        <v>9.2399999999999999E-3</v>
      </c>
    </row>
    <row r="587" spans="1:10">
      <c r="A587" t="s">
        <v>669</v>
      </c>
      <c r="B587">
        <v>65</v>
      </c>
      <c r="C587" t="s">
        <v>9</v>
      </c>
      <c r="D587">
        <v>25</v>
      </c>
      <c r="E587">
        <v>89</v>
      </c>
      <c r="F587">
        <v>0.14881</v>
      </c>
      <c r="G587">
        <v>1</v>
      </c>
      <c r="H587" t="str">
        <f t="shared" si="27"/>
        <v>80-89</v>
      </c>
      <c r="I587" t="str">
        <f t="shared" si="28"/>
        <v>20-29</v>
      </c>
      <c r="J587">
        <f t="shared" si="29"/>
        <v>0.14881</v>
      </c>
    </row>
    <row r="588" spans="1:10">
      <c r="A588" t="s">
        <v>670</v>
      </c>
      <c r="B588">
        <v>38</v>
      </c>
      <c r="C588" t="s">
        <v>7</v>
      </c>
      <c r="D588">
        <v>12</v>
      </c>
      <c r="E588">
        <v>49</v>
      </c>
      <c r="F588">
        <v>1.5399999999999999E-3</v>
      </c>
      <c r="G588">
        <v>0</v>
      </c>
      <c r="H588" t="str">
        <f t="shared" si="27"/>
        <v>40-49</v>
      </c>
      <c r="I588" t="str">
        <f t="shared" si="28"/>
        <v>10-19</v>
      </c>
      <c r="J588">
        <f t="shared" si="29"/>
        <v>1.5399999999999999E-3</v>
      </c>
    </row>
    <row r="589" spans="1:10">
      <c r="A589" t="s">
        <v>671</v>
      </c>
      <c r="B589">
        <v>28</v>
      </c>
      <c r="C589" t="s">
        <v>9</v>
      </c>
      <c r="D589">
        <v>16</v>
      </c>
      <c r="E589">
        <v>43</v>
      </c>
      <c r="F589">
        <v>1.5399999999999999E-3</v>
      </c>
      <c r="G589">
        <v>0</v>
      </c>
      <c r="H589" t="str">
        <f t="shared" si="27"/>
        <v>40-49</v>
      </c>
      <c r="I589" t="str">
        <f t="shared" si="28"/>
        <v>10-19</v>
      </c>
      <c r="J589">
        <f t="shared" si="29"/>
        <v>1.5399999999999999E-3</v>
      </c>
    </row>
    <row r="590" spans="1:10">
      <c r="A590" t="s">
        <v>672</v>
      </c>
      <c r="B590">
        <v>58</v>
      </c>
      <c r="C590" t="s">
        <v>9</v>
      </c>
      <c r="D590">
        <v>12</v>
      </c>
      <c r="E590">
        <v>69</v>
      </c>
      <c r="F590">
        <v>1.477E-2</v>
      </c>
      <c r="G590">
        <v>0</v>
      </c>
      <c r="H590" t="str">
        <f t="shared" si="27"/>
        <v>60-69</v>
      </c>
      <c r="I590" t="str">
        <f t="shared" si="28"/>
        <v>10-19</v>
      </c>
      <c r="J590">
        <f t="shared" si="29"/>
        <v>1.477E-2</v>
      </c>
    </row>
    <row r="591" spans="1:10">
      <c r="A591" t="s">
        <v>673</v>
      </c>
      <c r="B591">
        <v>50</v>
      </c>
      <c r="C591" t="s">
        <v>7</v>
      </c>
      <c r="D591">
        <v>25</v>
      </c>
      <c r="E591">
        <v>74</v>
      </c>
      <c r="F591">
        <v>2.0979999999999999E-2</v>
      </c>
      <c r="G591">
        <v>0</v>
      </c>
      <c r="H591" t="str">
        <f t="shared" si="27"/>
        <v>70-79</v>
      </c>
      <c r="I591" t="str">
        <f t="shared" si="28"/>
        <v>20-29</v>
      </c>
      <c r="J591">
        <f t="shared" si="29"/>
        <v>2.0979999999999999E-2</v>
      </c>
    </row>
    <row r="592" spans="1:10">
      <c r="A592" t="s">
        <v>674</v>
      </c>
      <c r="B592">
        <v>33</v>
      </c>
      <c r="C592" t="s">
        <v>9</v>
      </c>
      <c r="D592">
        <v>25</v>
      </c>
      <c r="E592">
        <v>57</v>
      </c>
      <c r="F592">
        <v>4.7800000000000004E-3</v>
      </c>
      <c r="G592">
        <v>0</v>
      </c>
      <c r="H592" t="str">
        <f t="shared" si="27"/>
        <v>50-59</v>
      </c>
      <c r="I592" t="str">
        <f t="shared" si="28"/>
        <v>20-29</v>
      </c>
      <c r="J592">
        <f t="shared" si="29"/>
        <v>4.7800000000000004E-3</v>
      </c>
    </row>
    <row r="593" spans="1:10">
      <c r="A593" t="s">
        <v>675</v>
      </c>
      <c r="B593">
        <v>25</v>
      </c>
      <c r="C593" t="s">
        <v>9</v>
      </c>
      <c r="D593">
        <v>17</v>
      </c>
      <c r="E593">
        <v>41</v>
      </c>
      <c r="F593">
        <v>1.4599999999999999E-3</v>
      </c>
      <c r="G593">
        <v>0</v>
      </c>
      <c r="H593" t="str">
        <f t="shared" si="27"/>
        <v>40-49</v>
      </c>
      <c r="I593" t="str">
        <f t="shared" si="28"/>
        <v>10-19</v>
      </c>
      <c r="J593">
        <f t="shared" si="29"/>
        <v>1.4599999999999999E-3</v>
      </c>
    </row>
    <row r="594" spans="1:10">
      <c r="A594" t="s">
        <v>676</v>
      </c>
      <c r="B594">
        <v>24</v>
      </c>
      <c r="C594" t="s">
        <v>7</v>
      </c>
      <c r="D594">
        <v>30</v>
      </c>
      <c r="E594">
        <v>53</v>
      </c>
      <c r="F594">
        <v>1.8699999999999999E-3</v>
      </c>
      <c r="G594">
        <v>0</v>
      </c>
      <c r="H594" t="str">
        <f t="shared" si="27"/>
        <v>50-59</v>
      </c>
      <c r="I594" t="str">
        <f t="shared" si="28"/>
        <v>30-39</v>
      </c>
      <c r="J594">
        <f t="shared" si="29"/>
        <v>1.8699999999999999E-3</v>
      </c>
    </row>
    <row r="595" spans="1:10">
      <c r="A595" t="s">
        <v>677</v>
      </c>
      <c r="B595">
        <v>55</v>
      </c>
      <c r="C595" t="s">
        <v>7</v>
      </c>
      <c r="D595">
        <v>29</v>
      </c>
      <c r="E595">
        <v>83</v>
      </c>
      <c r="F595">
        <v>3.986E-2</v>
      </c>
      <c r="G595">
        <v>0</v>
      </c>
      <c r="H595" t="str">
        <f t="shared" si="27"/>
        <v>80-89</v>
      </c>
      <c r="I595" t="str">
        <f t="shared" si="28"/>
        <v>20-29</v>
      </c>
      <c r="J595">
        <f t="shared" si="29"/>
        <v>3.986E-2</v>
      </c>
    </row>
    <row r="596" spans="1:10">
      <c r="A596" t="s">
        <v>678</v>
      </c>
      <c r="B596">
        <v>29</v>
      </c>
      <c r="C596" t="s">
        <v>9</v>
      </c>
      <c r="D596">
        <v>6</v>
      </c>
      <c r="E596">
        <v>34</v>
      </c>
      <c r="F596">
        <v>5.1000000000000004E-4</v>
      </c>
      <c r="G596">
        <v>0</v>
      </c>
      <c r="H596" t="str">
        <f t="shared" si="27"/>
        <v>30-39</v>
      </c>
      <c r="I596" t="str">
        <f t="shared" si="28"/>
        <v>0-9</v>
      </c>
      <c r="J596">
        <f t="shared" si="29"/>
        <v>5.1000000000000004E-4</v>
      </c>
    </row>
    <row r="597" spans="1:10">
      <c r="A597" t="s">
        <v>679</v>
      </c>
      <c r="B597">
        <v>27</v>
      </c>
      <c r="C597" t="s">
        <v>9</v>
      </c>
      <c r="D597">
        <v>22</v>
      </c>
      <c r="E597">
        <v>48</v>
      </c>
      <c r="F597">
        <v>2.2699999999999999E-3</v>
      </c>
      <c r="G597">
        <v>0</v>
      </c>
      <c r="H597" t="str">
        <f t="shared" si="27"/>
        <v>40-49</v>
      </c>
      <c r="I597" t="str">
        <f t="shared" si="28"/>
        <v>20-29</v>
      </c>
      <c r="J597">
        <f t="shared" si="29"/>
        <v>2.2699999999999999E-3</v>
      </c>
    </row>
    <row r="598" spans="1:10">
      <c r="A598" t="s">
        <v>680</v>
      </c>
      <c r="B598">
        <v>25</v>
      </c>
      <c r="C598" t="s">
        <v>7</v>
      </c>
      <c r="D598">
        <v>29</v>
      </c>
      <c r="E598">
        <v>53</v>
      </c>
      <c r="F598">
        <v>2.0200000000000001E-3</v>
      </c>
      <c r="G598">
        <v>0</v>
      </c>
      <c r="H598" t="str">
        <f t="shared" si="27"/>
        <v>50-59</v>
      </c>
      <c r="I598" t="str">
        <f t="shared" si="28"/>
        <v>20-29</v>
      </c>
      <c r="J598">
        <f t="shared" si="29"/>
        <v>2.0200000000000001E-3</v>
      </c>
    </row>
    <row r="599" spans="1:10">
      <c r="A599" t="s">
        <v>681</v>
      </c>
      <c r="B599">
        <v>49</v>
      </c>
      <c r="C599" t="s">
        <v>7</v>
      </c>
      <c r="D599">
        <v>5</v>
      </c>
      <c r="E599">
        <v>53</v>
      </c>
      <c r="F599">
        <v>1.6199999999999999E-3</v>
      </c>
      <c r="G599">
        <v>0</v>
      </c>
      <c r="H599" t="str">
        <f t="shared" si="27"/>
        <v>50-59</v>
      </c>
      <c r="I599" t="str">
        <f t="shared" si="28"/>
        <v>0-9</v>
      </c>
      <c r="J599">
        <f t="shared" si="29"/>
        <v>1.6199999999999999E-3</v>
      </c>
    </row>
    <row r="600" spans="1:10">
      <c r="A600" t="s">
        <v>682</v>
      </c>
      <c r="B600">
        <v>23</v>
      </c>
      <c r="C600" t="s">
        <v>9</v>
      </c>
      <c r="D600">
        <v>18</v>
      </c>
      <c r="E600">
        <v>40</v>
      </c>
      <c r="F600">
        <v>1.4599999999999999E-3</v>
      </c>
      <c r="G600">
        <v>0</v>
      </c>
      <c r="H600" t="str">
        <f t="shared" si="27"/>
        <v>40-49</v>
      </c>
      <c r="I600" t="str">
        <f t="shared" si="28"/>
        <v>10-19</v>
      </c>
      <c r="J600">
        <f t="shared" si="29"/>
        <v>1.4599999999999999E-3</v>
      </c>
    </row>
    <row r="601" spans="1:10">
      <c r="A601" t="s">
        <v>683</v>
      </c>
      <c r="B601">
        <v>21</v>
      </c>
      <c r="C601" t="s">
        <v>9</v>
      </c>
      <c r="D601">
        <v>13</v>
      </c>
      <c r="E601">
        <v>33</v>
      </c>
      <c r="F601">
        <v>7.7999999999999999E-4</v>
      </c>
      <c r="G601">
        <v>0</v>
      </c>
      <c r="H601" t="str">
        <f t="shared" si="27"/>
        <v>30-39</v>
      </c>
      <c r="I601" t="str">
        <f t="shared" si="28"/>
        <v>10-19</v>
      </c>
      <c r="J601">
        <f t="shared" si="29"/>
        <v>7.7999999999999999E-4</v>
      </c>
    </row>
    <row r="602" spans="1:10">
      <c r="A602" t="s">
        <v>684</v>
      </c>
      <c r="B602">
        <v>33</v>
      </c>
      <c r="C602" t="s">
        <v>9</v>
      </c>
      <c r="D602">
        <v>19</v>
      </c>
      <c r="E602">
        <v>51</v>
      </c>
      <c r="F602">
        <v>2.7200000000000002E-3</v>
      </c>
      <c r="G602">
        <v>0</v>
      </c>
      <c r="H602" t="str">
        <f t="shared" si="27"/>
        <v>50-59</v>
      </c>
      <c r="I602" t="str">
        <f t="shared" si="28"/>
        <v>10-19</v>
      </c>
      <c r="J602">
        <f t="shared" si="29"/>
        <v>2.7200000000000002E-3</v>
      </c>
    </row>
    <row r="603" spans="1:10">
      <c r="A603" t="s">
        <v>685</v>
      </c>
      <c r="B603">
        <v>64</v>
      </c>
      <c r="C603" t="s">
        <v>7</v>
      </c>
      <c r="D603">
        <v>3</v>
      </c>
      <c r="E603">
        <v>66</v>
      </c>
      <c r="F603">
        <v>4.2300000000000003E-3</v>
      </c>
      <c r="G603">
        <v>0</v>
      </c>
      <c r="H603" t="str">
        <f t="shared" si="27"/>
        <v>60-69</v>
      </c>
      <c r="I603" t="str">
        <f t="shared" si="28"/>
        <v>0-9</v>
      </c>
      <c r="J603">
        <f t="shared" si="29"/>
        <v>4.2300000000000003E-3</v>
      </c>
    </row>
    <row r="604" spans="1:10">
      <c r="A604" t="s">
        <v>686</v>
      </c>
      <c r="B604">
        <v>24</v>
      </c>
      <c r="C604" t="s">
        <v>9</v>
      </c>
      <c r="D604">
        <v>30</v>
      </c>
      <c r="E604">
        <v>53</v>
      </c>
      <c r="F604">
        <v>2.81E-3</v>
      </c>
      <c r="G604">
        <v>0</v>
      </c>
      <c r="H604" t="str">
        <f t="shared" si="27"/>
        <v>50-59</v>
      </c>
      <c r="I604" t="str">
        <f t="shared" si="28"/>
        <v>30-39</v>
      </c>
      <c r="J604">
        <f t="shared" si="29"/>
        <v>2.81E-3</v>
      </c>
    </row>
    <row r="605" spans="1:10">
      <c r="A605" t="s">
        <v>687</v>
      </c>
      <c r="B605">
        <v>31</v>
      </c>
      <c r="C605" t="s">
        <v>9</v>
      </c>
      <c r="D605">
        <v>25</v>
      </c>
      <c r="E605">
        <v>55</v>
      </c>
      <c r="F605">
        <v>4.0499999999999998E-3</v>
      </c>
      <c r="G605">
        <v>0</v>
      </c>
      <c r="H605" t="str">
        <f t="shared" si="27"/>
        <v>50-59</v>
      </c>
      <c r="I605" t="str">
        <f t="shared" si="28"/>
        <v>20-29</v>
      </c>
      <c r="J605">
        <f t="shared" si="29"/>
        <v>4.0499999999999998E-3</v>
      </c>
    </row>
    <row r="606" spans="1:10">
      <c r="A606" t="s">
        <v>688</v>
      </c>
      <c r="B606">
        <v>61</v>
      </c>
      <c r="C606" t="s">
        <v>9</v>
      </c>
      <c r="D606">
        <v>14</v>
      </c>
      <c r="E606">
        <v>74</v>
      </c>
      <c r="F606">
        <v>2.4910000000000002E-2</v>
      </c>
      <c r="G606">
        <v>0</v>
      </c>
      <c r="H606" t="str">
        <f t="shared" si="27"/>
        <v>70-79</v>
      </c>
      <c r="I606" t="str">
        <f t="shared" si="28"/>
        <v>10-19</v>
      </c>
      <c r="J606">
        <f t="shared" si="29"/>
        <v>2.4910000000000002E-2</v>
      </c>
    </row>
    <row r="607" spans="1:10">
      <c r="A607" t="s">
        <v>689</v>
      </c>
      <c r="B607">
        <v>48</v>
      </c>
      <c r="C607" t="s">
        <v>7</v>
      </c>
      <c r="D607">
        <v>28</v>
      </c>
      <c r="E607">
        <v>75</v>
      </c>
      <c r="F607">
        <v>1.8970000000000001E-2</v>
      </c>
      <c r="G607">
        <v>0</v>
      </c>
      <c r="H607" t="str">
        <f t="shared" si="27"/>
        <v>70-79</v>
      </c>
      <c r="I607" t="str">
        <f t="shared" si="28"/>
        <v>20-29</v>
      </c>
      <c r="J607">
        <f t="shared" si="29"/>
        <v>1.8970000000000001E-2</v>
      </c>
    </row>
    <row r="608" spans="1:10">
      <c r="A608" t="s">
        <v>690</v>
      </c>
      <c r="B608">
        <v>25</v>
      </c>
      <c r="C608" t="s">
        <v>7</v>
      </c>
      <c r="D608">
        <v>22</v>
      </c>
      <c r="E608">
        <v>46</v>
      </c>
      <c r="F608">
        <v>1.49E-3</v>
      </c>
      <c r="G608">
        <v>0</v>
      </c>
      <c r="H608" t="str">
        <f t="shared" si="27"/>
        <v>40-49</v>
      </c>
      <c r="I608" t="str">
        <f t="shared" si="28"/>
        <v>20-29</v>
      </c>
      <c r="J608">
        <f t="shared" si="29"/>
        <v>1.49E-3</v>
      </c>
    </row>
    <row r="609" spans="1:10">
      <c r="A609" t="s">
        <v>691</v>
      </c>
      <c r="B609">
        <v>28</v>
      </c>
      <c r="C609" t="s">
        <v>7</v>
      </c>
      <c r="D609">
        <v>21</v>
      </c>
      <c r="E609">
        <v>48</v>
      </c>
      <c r="F609">
        <v>1.73E-3</v>
      </c>
      <c r="G609">
        <v>0</v>
      </c>
      <c r="H609" t="str">
        <f t="shared" si="27"/>
        <v>40-49</v>
      </c>
      <c r="I609" t="str">
        <f t="shared" si="28"/>
        <v>20-29</v>
      </c>
      <c r="J609">
        <f t="shared" si="29"/>
        <v>1.73E-3</v>
      </c>
    </row>
    <row r="610" spans="1:10">
      <c r="A610" t="s">
        <v>692</v>
      </c>
      <c r="B610">
        <v>54</v>
      </c>
      <c r="C610" t="s">
        <v>7</v>
      </c>
      <c r="D610">
        <v>13</v>
      </c>
      <c r="E610">
        <v>66</v>
      </c>
      <c r="F610">
        <v>7.6E-3</v>
      </c>
      <c r="G610">
        <v>0</v>
      </c>
      <c r="H610" t="str">
        <f t="shared" si="27"/>
        <v>60-69</v>
      </c>
      <c r="I610" t="str">
        <f t="shared" si="28"/>
        <v>10-19</v>
      </c>
      <c r="J610">
        <f t="shared" si="29"/>
        <v>7.6E-3</v>
      </c>
    </row>
    <row r="611" spans="1:10">
      <c r="A611" t="s">
        <v>693</v>
      </c>
      <c r="B611">
        <v>34</v>
      </c>
      <c r="C611" t="s">
        <v>9</v>
      </c>
      <c r="D611">
        <v>27</v>
      </c>
      <c r="E611">
        <v>60</v>
      </c>
      <c r="F611">
        <v>5.7400000000000003E-3</v>
      </c>
      <c r="G611">
        <v>0</v>
      </c>
      <c r="H611" t="str">
        <f t="shared" si="27"/>
        <v>60-69</v>
      </c>
      <c r="I611" t="str">
        <f t="shared" si="28"/>
        <v>20-29</v>
      </c>
      <c r="J611">
        <f t="shared" si="29"/>
        <v>5.7400000000000003E-3</v>
      </c>
    </row>
    <row r="612" spans="1:10">
      <c r="A612" t="s">
        <v>694</v>
      </c>
      <c r="B612">
        <v>39</v>
      </c>
      <c r="C612" t="s">
        <v>7</v>
      </c>
      <c r="D612">
        <v>15</v>
      </c>
      <c r="E612">
        <v>53</v>
      </c>
      <c r="F612">
        <v>2.2899999999999999E-3</v>
      </c>
      <c r="G612">
        <v>0</v>
      </c>
      <c r="H612" t="str">
        <f t="shared" si="27"/>
        <v>50-59</v>
      </c>
      <c r="I612" t="str">
        <f t="shared" si="28"/>
        <v>10-19</v>
      </c>
      <c r="J612">
        <f t="shared" si="29"/>
        <v>2.2899999999999999E-3</v>
      </c>
    </row>
    <row r="613" spans="1:10">
      <c r="A613" t="s">
        <v>695</v>
      </c>
      <c r="B613">
        <v>54</v>
      </c>
      <c r="C613" t="s">
        <v>7</v>
      </c>
      <c r="D613">
        <v>13</v>
      </c>
      <c r="E613">
        <v>66</v>
      </c>
      <c r="F613">
        <v>7.6E-3</v>
      </c>
      <c r="G613">
        <v>0</v>
      </c>
      <c r="H613" t="str">
        <f t="shared" si="27"/>
        <v>60-69</v>
      </c>
      <c r="I613" t="str">
        <f t="shared" si="28"/>
        <v>10-19</v>
      </c>
      <c r="J613">
        <f t="shared" si="29"/>
        <v>7.6E-3</v>
      </c>
    </row>
    <row r="614" spans="1:10">
      <c r="A614" t="s">
        <v>696</v>
      </c>
      <c r="B614">
        <v>42</v>
      </c>
      <c r="C614" t="s">
        <v>9</v>
      </c>
      <c r="D614">
        <v>5</v>
      </c>
      <c r="E614">
        <v>46</v>
      </c>
      <c r="F614">
        <v>1.17E-3</v>
      </c>
      <c r="G614">
        <v>0</v>
      </c>
      <c r="H614" t="str">
        <f t="shared" si="27"/>
        <v>40-49</v>
      </c>
      <c r="I614" t="str">
        <f t="shared" si="28"/>
        <v>0-9</v>
      </c>
      <c r="J614">
        <f t="shared" si="29"/>
        <v>1.17E-3</v>
      </c>
    </row>
    <row r="615" spans="1:10">
      <c r="A615" t="s">
        <v>697</v>
      </c>
      <c r="B615">
        <v>27</v>
      </c>
      <c r="C615" t="s">
        <v>7</v>
      </c>
      <c r="D615">
        <v>2</v>
      </c>
      <c r="E615">
        <v>28</v>
      </c>
      <c r="F615">
        <v>1.7000000000000001E-4</v>
      </c>
      <c r="G615">
        <v>0</v>
      </c>
      <c r="H615" t="str">
        <f t="shared" si="27"/>
        <v>20-29</v>
      </c>
      <c r="I615" t="str">
        <f t="shared" si="28"/>
        <v>0-9</v>
      </c>
      <c r="J615">
        <f t="shared" si="29"/>
        <v>1.7000000000000001E-4</v>
      </c>
    </row>
    <row r="616" spans="1:10">
      <c r="A616" t="s">
        <v>698</v>
      </c>
      <c r="B616">
        <v>21</v>
      </c>
      <c r="C616" t="s">
        <v>9</v>
      </c>
      <c r="D616">
        <v>8</v>
      </c>
      <c r="E616">
        <v>28</v>
      </c>
      <c r="F616">
        <v>6.6E-4</v>
      </c>
      <c r="G616">
        <v>0</v>
      </c>
      <c r="H616" t="str">
        <f t="shared" si="27"/>
        <v>20-29</v>
      </c>
      <c r="I616" t="str">
        <f t="shared" si="28"/>
        <v>0-9</v>
      </c>
      <c r="J616">
        <f t="shared" si="29"/>
        <v>6.6E-4</v>
      </c>
    </row>
    <row r="617" spans="1:10">
      <c r="A617" t="s">
        <v>699</v>
      </c>
      <c r="B617">
        <v>22</v>
      </c>
      <c r="C617" t="s">
        <v>7</v>
      </c>
      <c r="D617">
        <v>15</v>
      </c>
      <c r="E617">
        <v>36</v>
      </c>
      <c r="F617">
        <v>6.8999999999999997E-4</v>
      </c>
      <c r="G617">
        <v>0</v>
      </c>
      <c r="H617" t="str">
        <f t="shared" si="27"/>
        <v>30-39</v>
      </c>
      <c r="I617" t="str">
        <f t="shared" si="28"/>
        <v>10-19</v>
      </c>
      <c r="J617">
        <f t="shared" si="29"/>
        <v>6.8999999999999997E-4</v>
      </c>
    </row>
    <row r="618" spans="1:10">
      <c r="A618" t="s">
        <v>700</v>
      </c>
      <c r="B618">
        <v>23</v>
      </c>
      <c r="C618" t="s">
        <v>7</v>
      </c>
      <c r="D618">
        <v>8</v>
      </c>
      <c r="E618">
        <v>30</v>
      </c>
      <c r="F618">
        <v>3.4000000000000002E-4</v>
      </c>
      <c r="G618">
        <v>0</v>
      </c>
      <c r="H618" t="str">
        <f t="shared" si="27"/>
        <v>30-39</v>
      </c>
      <c r="I618" t="str">
        <f t="shared" si="28"/>
        <v>0-9</v>
      </c>
      <c r="J618">
        <f t="shared" si="29"/>
        <v>3.4000000000000002E-4</v>
      </c>
    </row>
    <row r="619" spans="1:10">
      <c r="A619" t="s">
        <v>701</v>
      </c>
      <c r="B619">
        <v>34</v>
      </c>
      <c r="C619" t="s">
        <v>9</v>
      </c>
      <c r="D619">
        <v>18</v>
      </c>
      <c r="E619">
        <v>51</v>
      </c>
      <c r="F619">
        <v>2.6900000000000001E-3</v>
      </c>
      <c r="G619">
        <v>0</v>
      </c>
      <c r="H619" t="str">
        <f t="shared" si="27"/>
        <v>50-59</v>
      </c>
      <c r="I619" t="str">
        <f t="shared" si="28"/>
        <v>10-19</v>
      </c>
      <c r="J619">
        <f t="shared" si="29"/>
        <v>2.6900000000000001E-3</v>
      </c>
    </row>
    <row r="620" spans="1:10">
      <c r="A620" t="s">
        <v>702</v>
      </c>
      <c r="B620">
        <v>23</v>
      </c>
      <c r="C620" t="s">
        <v>7</v>
      </c>
      <c r="D620">
        <v>5</v>
      </c>
      <c r="E620">
        <v>27</v>
      </c>
      <c r="F620">
        <v>2.5000000000000001E-4</v>
      </c>
      <c r="G620">
        <v>0</v>
      </c>
      <c r="H620" t="str">
        <f t="shared" si="27"/>
        <v>20-29</v>
      </c>
      <c r="I620" t="str">
        <f t="shared" si="28"/>
        <v>0-9</v>
      </c>
      <c r="J620">
        <f t="shared" si="29"/>
        <v>2.5000000000000001E-4</v>
      </c>
    </row>
    <row r="621" spans="1:10">
      <c r="A621" t="s">
        <v>703</v>
      </c>
      <c r="B621">
        <v>56</v>
      </c>
      <c r="C621" t="s">
        <v>7</v>
      </c>
      <c r="D621">
        <v>11</v>
      </c>
      <c r="E621">
        <v>66</v>
      </c>
      <c r="F621">
        <v>6.96E-3</v>
      </c>
      <c r="G621">
        <v>0</v>
      </c>
      <c r="H621" t="str">
        <f t="shared" si="27"/>
        <v>60-69</v>
      </c>
      <c r="I621" t="str">
        <f t="shared" si="28"/>
        <v>10-19</v>
      </c>
      <c r="J621">
        <f t="shared" si="29"/>
        <v>6.96E-3</v>
      </c>
    </row>
    <row r="622" spans="1:10">
      <c r="A622" t="s">
        <v>704</v>
      </c>
      <c r="B622">
        <v>40</v>
      </c>
      <c r="C622" t="s">
        <v>9</v>
      </c>
      <c r="D622">
        <v>8</v>
      </c>
      <c r="E622">
        <v>47</v>
      </c>
      <c r="F622">
        <v>1.4400000000000001E-3</v>
      </c>
      <c r="G622">
        <v>0</v>
      </c>
      <c r="H622" t="str">
        <f t="shared" si="27"/>
        <v>40-49</v>
      </c>
      <c r="I622" t="str">
        <f t="shared" si="28"/>
        <v>0-9</v>
      </c>
      <c r="J622">
        <f t="shared" si="29"/>
        <v>1.4400000000000001E-3</v>
      </c>
    </row>
    <row r="623" spans="1:10">
      <c r="A623" t="s">
        <v>705</v>
      </c>
      <c r="B623">
        <v>62</v>
      </c>
      <c r="C623" t="s">
        <v>9</v>
      </c>
      <c r="D623">
        <v>17</v>
      </c>
      <c r="E623">
        <v>78</v>
      </c>
      <c r="F623">
        <v>3.943E-2</v>
      </c>
      <c r="G623">
        <v>0</v>
      </c>
      <c r="H623" t="str">
        <f t="shared" si="27"/>
        <v>70-79</v>
      </c>
      <c r="I623" t="str">
        <f t="shared" si="28"/>
        <v>10-19</v>
      </c>
      <c r="J623">
        <f t="shared" si="29"/>
        <v>3.943E-2</v>
      </c>
    </row>
    <row r="624" spans="1:10">
      <c r="A624" t="s">
        <v>706</v>
      </c>
      <c r="B624">
        <v>23</v>
      </c>
      <c r="C624" t="s">
        <v>7</v>
      </c>
      <c r="D624">
        <v>18</v>
      </c>
      <c r="E624">
        <v>40</v>
      </c>
      <c r="F624">
        <v>1.0499999999999999E-3</v>
      </c>
      <c r="G624">
        <v>0</v>
      </c>
      <c r="H624" t="str">
        <f t="shared" si="27"/>
        <v>40-49</v>
      </c>
      <c r="I624" t="str">
        <f t="shared" si="28"/>
        <v>10-19</v>
      </c>
      <c r="J624">
        <f t="shared" si="29"/>
        <v>1.0499999999999999E-3</v>
      </c>
    </row>
    <row r="625" spans="1:10">
      <c r="A625" t="s">
        <v>707</v>
      </c>
      <c r="B625">
        <v>31</v>
      </c>
      <c r="C625" t="s">
        <v>7</v>
      </c>
      <c r="D625">
        <v>21</v>
      </c>
      <c r="E625">
        <v>51</v>
      </c>
      <c r="F625">
        <v>2.1900000000000001E-3</v>
      </c>
      <c r="G625">
        <v>0</v>
      </c>
      <c r="H625" t="str">
        <f t="shared" si="27"/>
        <v>50-59</v>
      </c>
      <c r="I625" t="str">
        <f t="shared" si="28"/>
        <v>20-29</v>
      </c>
      <c r="J625">
        <f t="shared" si="29"/>
        <v>2.1900000000000001E-3</v>
      </c>
    </row>
    <row r="626" spans="1:10">
      <c r="A626" t="s">
        <v>708</v>
      </c>
      <c r="B626">
        <v>23</v>
      </c>
      <c r="C626" t="s">
        <v>7</v>
      </c>
      <c r="D626">
        <v>12</v>
      </c>
      <c r="E626">
        <v>34</v>
      </c>
      <c r="F626">
        <v>5.0000000000000001E-4</v>
      </c>
      <c r="G626">
        <v>0</v>
      </c>
      <c r="H626" t="str">
        <f t="shared" si="27"/>
        <v>30-39</v>
      </c>
      <c r="I626" t="str">
        <f t="shared" si="28"/>
        <v>10-19</v>
      </c>
      <c r="J626">
        <f t="shared" si="29"/>
        <v>5.0000000000000001E-4</v>
      </c>
    </row>
    <row r="627" spans="1:10">
      <c r="A627" t="s">
        <v>709</v>
      </c>
      <c r="B627">
        <v>53</v>
      </c>
      <c r="C627" t="s">
        <v>7</v>
      </c>
      <c r="D627">
        <v>11</v>
      </c>
      <c r="E627">
        <v>63</v>
      </c>
      <c r="F627">
        <v>5.3299999999999997E-3</v>
      </c>
      <c r="G627">
        <v>0</v>
      </c>
      <c r="H627" t="str">
        <f t="shared" si="27"/>
        <v>60-69</v>
      </c>
      <c r="I627" t="str">
        <f t="shared" si="28"/>
        <v>10-19</v>
      </c>
      <c r="J627">
        <f t="shared" si="29"/>
        <v>5.3299999999999997E-3</v>
      </c>
    </row>
    <row r="628" spans="1:10">
      <c r="A628" t="s">
        <v>710</v>
      </c>
      <c r="B628">
        <v>39</v>
      </c>
      <c r="C628" t="s">
        <v>9</v>
      </c>
      <c r="D628">
        <v>13</v>
      </c>
      <c r="E628">
        <v>51</v>
      </c>
      <c r="F628">
        <v>2.3999999999999998E-3</v>
      </c>
      <c r="G628">
        <v>0</v>
      </c>
      <c r="H628" t="str">
        <f t="shared" si="27"/>
        <v>50-59</v>
      </c>
      <c r="I628" t="str">
        <f t="shared" si="28"/>
        <v>10-19</v>
      </c>
      <c r="J628">
        <f t="shared" si="29"/>
        <v>2.3999999999999998E-3</v>
      </c>
    </row>
    <row r="629" spans="1:10">
      <c r="A629" t="s">
        <v>711</v>
      </c>
      <c r="B629">
        <v>35</v>
      </c>
      <c r="C629" t="s">
        <v>9</v>
      </c>
      <c r="D629">
        <v>28</v>
      </c>
      <c r="E629">
        <v>62</v>
      </c>
      <c r="F629">
        <v>6.3299999999999997E-3</v>
      </c>
      <c r="G629">
        <v>0</v>
      </c>
      <c r="H629" t="str">
        <f t="shared" si="27"/>
        <v>60-69</v>
      </c>
      <c r="I629" t="str">
        <f t="shared" si="28"/>
        <v>20-29</v>
      </c>
      <c r="J629">
        <f t="shared" si="29"/>
        <v>6.3299999999999997E-3</v>
      </c>
    </row>
    <row r="630" spans="1:10">
      <c r="A630" t="s">
        <v>712</v>
      </c>
      <c r="B630">
        <v>29</v>
      </c>
      <c r="C630" t="s">
        <v>9</v>
      </c>
      <c r="D630">
        <v>26</v>
      </c>
      <c r="E630">
        <v>54</v>
      </c>
      <c r="F630">
        <v>3.7499999999999999E-3</v>
      </c>
      <c r="G630">
        <v>0</v>
      </c>
      <c r="H630" t="str">
        <f t="shared" si="27"/>
        <v>50-59</v>
      </c>
      <c r="I630" t="str">
        <f t="shared" si="28"/>
        <v>20-29</v>
      </c>
      <c r="J630">
        <f t="shared" si="29"/>
        <v>3.7499999999999999E-3</v>
      </c>
    </row>
    <row r="631" spans="1:10">
      <c r="A631" t="s">
        <v>713</v>
      </c>
      <c r="B631">
        <v>46</v>
      </c>
      <c r="C631" t="s">
        <v>7</v>
      </c>
      <c r="D631">
        <v>14</v>
      </c>
      <c r="E631">
        <v>59</v>
      </c>
      <c r="F631">
        <v>4.0899999999999999E-3</v>
      </c>
      <c r="G631">
        <v>0</v>
      </c>
      <c r="H631" t="str">
        <f t="shared" si="27"/>
        <v>50-59</v>
      </c>
      <c r="I631" t="str">
        <f t="shared" si="28"/>
        <v>10-19</v>
      </c>
      <c r="J631">
        <f t="shared" si="29"/>
        <v>4.0899999999999999E-3</v>
      </c>
    </row>
    <row r="632" spans="1:10">
      <c r="A632" t="s">
        <v>714</v>
      </c>
      <c r="B632">
        <v>35</v>
      </c>
      <c r="C632" t="s">
        <v>9</v>
      </c>
      <c r="D632">
        <v>9</v>
      </c>
      <c r="E632">
        <v>43</v>
      </c>
      <c r="F632">
        <v>1.16E-3</v>
      </c>
      <c r="G632">
        <v>0</v>
      </c>
      <c r="H632" t="str">
        <f t="shared" si="27"/>
        <v>40-49</v>
      </c>
      <c r="I632" t="str">
        <f t="shared" si="28"/>
        <v>0-9</v>
      </c>
      <c r="J632">
        <f t="shared" si="29"/>
        <v>1.16E-3</v>
      </c>
    </row>
    <row r="633" spans="1:10">
      <c r="A633" t="s">
        <v>715</v>
      </c>
      <c r="B633">
        <v>48</v>
      </c>
      <c r="C633" t="s">
        <v>9</v>
      </c>
      <c r="D633">
        <v>28</v>
      </c>
      <c r="E633">
        <v>75</v>
      </c>
      <c r="F633">
        <v>2.3939999999999999E-2</v>
      </c>
      <c r="G633">
        <v>0</v>
      </c>
      <c r="H633" t="str">
        <f t="shared" si="27"/>
        <v>70-79</v>
      </c>
      <c r="I633" t="str">
        <f t="shared" si="28"/>
        <v>20-29</v>
      </c>
      <c r="J633">
        <f t="shared" si="29"/>
        <v>2.3939999999999999E-2</v>
      </c>
    </row>
    <row r="634" spans="1:10">
      <c r="A634" t="s">
        <v>716</v>
      </c>
      <c r="B634">
        <v>32</v>
      </c>
      <c r="C634" t="s">
        <v>9</v>
      </c>
      <c r="D634">
        <v>2</v>
      </c>
      <c r="E634">
        <v>33</v>
      </c>
      <c r="F634">
        <v>2.9999999999999997E-4</v>
      </c>
      <c r="G634">
        <v>0</v>
      </c>
      <c r="H634" t="str">
        <f t="shared" si="27"/>
        <v>30-39</v>
      </c>
      <c r="I634" t="str">
        <f t="shared" si="28"/>
        <v>0-9</v>
      </c>
      <c r="J634">
        <f t="shared" si="29"/>
        <v>2.9999999999999997E-4</v>
      </c>
    </row>
    <row r="635" spans="1:10">
      <c r="A635" t="s">
        <v>717</v>
      </c>
      <c r="B635">
        <v>58</v>
      </c>
      <c r="C635" t="s">
        <v>7</v>
      </c>
      <c r="D635">
        <v>2</v>
      </c>
      <c r="E635">
        <v>59</v>
      </c>
      <c r="F635">
        <v>1.42E-3</v>
      </c>
      <c r="G635">
        <v>0</v>
      </c>
      <c r="H635" t="str">
        <f t="shared" si="27"/>
        <v>50-59</v>
      </c>
      <c r="I635" t="str">
        <f t="shared" si="28"/>
        <v>0-9</v>
      </c>
      <c r="J635">
        <f t="shared" si="29"/>
        <v>1.42E-3</v>
      </c>
    </row>
    <row r="636" spans="1:10">
      <c r="A636" t="s">
        <v>718</v>
      </c>
      <c r="B636">
        <v>57</v>
      </c>
      <c r="C636" t="s">
        <v>7</v>
      </c>
      <c r="D636">
        <v>24</v>
      </c>
      <c r="E636">
        <v>80</v>
      </c>
      <c r="F636">
        <v>3.986E-2</v>
      </c>
      <c r="G636">
        <v>0</v>
      </c>
      <c r="H636" t="str">
        <f t="shared" si="27"/>
        <v>80-89</v>
      </c>
      <c r="I636" t="str">
        <f t="shared" si="28"/>
        <v>20-29</v>
      </c>
      <c r="J636">
        <f t="shared" si="29"/>
        <v>3.986E-2</v>
      </c>
    </row>
    <row r="637" spans="1:10">
      <c r="A637" t="s">
        <v>719</v>
      </c>
      <c r="B637">
        <v>33</v>
      </c>
      <c r="C637" t="s">
        <v>7</v>
      </c>
      <c r="D637">
        <v>28</v>
      </c>
      <c r="E637">
        <v>60</v>
      </c>
      <c r="F637">
        <v>4.0499999999999998E-3</v>
      </c>
      <c r="G637">
        <v>0</v>
      </c>
      <c r="H637" t="str">
        <f t="shared" si="27"/>
        <v>60-69</v>
      </c>
      <c r="I637" t="str">
        <f t="shared" si="28"/>
        <v>20-29</v>
      </c>
      <c r="J637">
        <f t="shared" si="29"/>
        <v>4.0499999999999998E-3</v>
      </c>
    </row>
    <row r="638" spans="1:10">
      <c r="A638" t="s">
        <v>720</v>
      </c>
      <c r="B638">
        <v>20</v>
      </c>
      <c r="C638" t="s">
        <v>7</v>
      </c>
      <c r="D638">
        <v>7</v>
      </c>
      <c r="E638">
        <v>26</v>
      </c>
      <c r="F638">
        <v>3.1E-4</v>
      </c>
      <c r="G638">
        <v>0</v>
      </c>
      <c r="H638" t="str">
        <f t="shared" si="27"/>
        <v>20-29</v>
      </c>
      <c r="I638" t="str">
        <f t="shared" si="28"/>
        <v>0-9</v>
      </c>
      <c r="J638">
        <f t="shared" si="29"/>
        <v>3.1E-4</v>
      </c>
    </row>
    <row r="639" spans="1:10">
      <c r="A639" t="s">
        <v>721</v>
      </c>
      <c r="B639">
        <v>27</v>
      </c>
      <c r="C639" t="s">
        <v>7</v>
      </c>
      <c r="D639">
        <v>24</v>
      </c>
      <c r="E639">
        <v>50</v>
      </c>
      <c r="F639">
        <v>2.0200000000000001E-3</v>
      </c>
      <c r="G639">
        <v>0</v>
      </c>
      <c r="H639" t="str">
        <f t="shared" si="27"/>
        <v>50-59</v>
      </c>
      <c r="I639" t="str">
        <f t="shared" si="28"/>
        <v>20-29</v>
      </c>
      <c r="J639">
        <f t="shared" si="29"/>
        <v>2.0200000000000001E-3</v>
      </c>
    </row>
    <row r="640" spans="1:10">
      <c r="A640" t="s">
        <v>722</v>
      </c>
      <c r="B640">
        <v>35</v>
      </c>
      <c r="C640" t="s">
        <v>7</v>
      </c>
      <c r="D640">
        <v>23</v>
      </c>
      <c r="E640">
        <v>57</v>
      </c>
      <c r="F640">
        <v>3.6900000000000001E-3</v>
      </c>
      <c r="G640">
        <v>0</v>
      </c>
      <c r="H640" t="str">
        <f t="shared" si="27"/>
        <v>50-59</v>
      </c>
      <c r="I640" t="str">
        <f t="shared" si="28"/>
        <v>20-29</v>
      </c>
      <c r="J640">
        <f t="shared" si="29"/>
        <v>3.6900000000000001E-3</v>
      </c>
    </row>
    <row r="641" spans="1:10">
      <c r="A641" t="s">
        <v>723</v>
      </c>
      <c r="B641">
        <v>35</v>
      </c>
      <c r="C641" t="s">
        <v>9</v>
      </c>
      <c r="D641">
        <v>18</v>
      </c>
      <c r="E641">
        <v>52</v>
      </c>
      <c r="F641">
        <v>2.9099999999999998E-3</v>
      </c>
      <c r="G641">
        <v>0</v>
      </c>
      <c r="H641" t="str">
        <f t="shared" si="27"/>
        <v>50-59</v>
      </c>
      <c r="I641" t="str">
        <f t="shared" si="28"/>
        <v>10-19</v>
      </c>
      <c r="J641">
        <f t="shared" si="29"/>
        <v>2.9099999999999998E-3</v>
      </c>
    </row>
    <row r="642" spans="1:10">
      <c r="A642" t="s">
        <v>724</v>
      </c>
      <c r="B642">
        <v>49</v>
      </c>
      <c r="C642" t="s">
        <v>7</v>
      </c>
      <c r="D642">
        <v>18</v>
      </c>
      <c r="E642">
        <v>66</v>
      </c>
      <c r="F642">
        <v>8.9499999999999996E-3</v>
      </c>
      <c r="G642">
        <v>0</v>
      </c>
      <c r="H642" t="str">
        <f t="shared" si="27"/>
        <v>60-69</v>
      </c>
      <c r="I642" t="str">
        <f t="shared" si="28"/>
        <v>10-19</v>
      </c>
      <c r="J642">
        <f t="shared" si="29"/>
        <v>8.9499999999999996E-3</v>
      </c>
    </row>
    <row r="643" spans="1:10">
      <c r="A643" t="s">
        <v>725</v>
      </c>
      <c r="B643">
        <v>43</v>
      </c>
      <c r="C643" t="s">
        <v>7</v>
      </c>
      <c r="D643">
        <v>17</v>
      </c>
      <c r="E643">
        <v>59</v>
      </c>
      <c r="F643">
        <v>4.2199999999999998E-3</v>
      </c>
      <c r="G643">
        <v>0</v>
      </c>
      <c r="H643" t="str">
        <f t="shared" ref="H643:H706" si="30">FLOOR(E643,10) &amp; "-" &amp; FLOOR(E643,10)+9</f>
        <v>50-59</v>
      </c>
      <c r="I643" t="str">
        <f t="shared" ref="I643:I706" si="31">FLOOR(D643, 10) &amp; "-"&amp;FLOOR(D643, 10)+9</f>
        <v>10-19</v>
      </c>
      <c r="J643">
        <f t="shared" ref="J643:J706" si="32">F643</f>
        <v>4.2199999999999998E-3</v>
      </c>
    </row>
    <row r="644" spans="1:10">
      <c r="A644" t="s">
        <v>726</v>
      </c>
      <c r="B644">
        <v>50</v>
      </c>
      <c r="C644" t="s">
        <v>7</v>
      </c>
      <c r="D644">
        <v>25</v>
      </c>
      <c r="E644">
        <v>74</v>
      </c>
      <c r="F644">
        <v>2.0979999999999999E-2</v>
      </c>
      <c r="G644">
        <v>0</v>
      </c>
      <c r="H644" t="str">
        <f t="shared" si="30"/>
        <v>70-79</v>
      </c>
      <c r="I644" t="str">
        <f t="shared" si="31"/>
        <v>20-29</v>
      </c>
      <c r="J644">
        <f t="shared" si="32"/>
        <v>2.0979999999999999E-2</v>
      </c>
    </row>
    <row r="645" spans="1:10">
      <c r="A645" t="s">
        <v>727</v>
      </c>
      <c r="B645">
        <v>43</v>
      </c>
      <c r="C645" t="s">
        <v>9</v>
      </c>
      <c r="D645">
        <v>11</v>
      </c>
      <c r="E645">
        <v>53</v>
      </c>
      <c r="F645">
        <v>2.7799999999999999E-3</v>
      </c>
      <c r="G645">
        <v>0</v>
      </c>
      <c r="H645" t="str">
        <f t="shared" si="30"/>
        <v>50-59</v>
      </c>
      <c r="I645" t="str">
        <f t="shared" si="31"/>
        <v>10-19</v>
      </c>
      <c r="J645">
        <f t="shared" si="32"/>
        <v>2.7799999999999999E-3</v>
      </c>
    </row>
    <row r="646" spans="1:10">
      <c r="A646" t="s">
        <v>728</v>
      </c>
      <c r="B646">
        <v>34</v>
      </c>
      <c r="C646" t="s">
        <v>9</v>
      </c>
      <c r="D646">
        <v>24</v>
      </c>
      <c r="E646">
        <v>57</v>
      </c>
      <c r="F646">
        <v>4.7800000000000004E-3</v>
      </c>
      <c r="G646">
        <v>0</v>
      </c>
      <c r="H646" t="str">
        <f t="shared" si="30"/>
        <v>50-59</v>
      </c>
      <c r="I646" t="str">
        <f t="shared" si="31"/>
        <v>20-29</v>
      </c>
      <c r="J646">
        <f t="shared" si="32"/>
        <v>4.7800000000000004E-3</v>
      </c>
    </row>
    <row r="647" spans="1:10">
      <c r="A647" t="s">
        <v>729</v>
      </c>
      <c r="B647">
        <v>57</v>
      </c>
      <c r="C647" t="s">
        <v>7</v>
      </c>
      <c r="D647">
        <v>19</v>
      </c>
      <c r="E647">
        <v>75</v>
      </c>
      <c r="F647">
        <v>2.2349999999999998E-2</v>
      </c>
      <c r="G647">
        <v>0</v>
      </c>
      <c r="H647" t="str">
        <f t="shared" si="30"/>
        <v>70-79</v>
      </c>
      <c r="I647" t="str">
        <f t="shared" si="31"/>
        <v>10-19</v>
      </c>
      <c r="J647">
        <f t="shared" si="32"/>
        <v>2.2349999999999998E-2</v>
      </c>
    </row>
    <row r="648" spans="1:10">
      <c r="A648" t="s">
        <v>730</v>
      </c>
      <c r="B648">
        <v>32</v>
      </c>
      <c r="C648" t="s">
        <v>9</v>
      </c>
      <c r="D648">
        <v>11</v>
      </c>
      <c r="E648">
        <v>42</v>
      </c>
      <c r="F648">
        <v>1.16E-3</v>
      </c>
      <c r="G648">
        <v>0</v>
      </c>
      <c r="H648" t="str">
        <f t="shared" si="30"/>
        <v>40-49</v>
      </c>
      <c r="I648" t="str">
        <f t="shared" si="31"/>
        <v>10-19</v>
      </c>
      <c r="J648">
        <f t="shared" si="32"/>
        <v>1.16E-3</v>
      </c>
    </row>
    <row r="649" spans="1:10">
      <c r="A649" t="s">
        <v>731</v>
      </c>
      <c r="B649">
        <v>35</v>
      </c>
      <c r="C649" t="s">
        <v>7</v>
      </c>
      <c r="D649">
        <v>16</v>
      </c>
      <c r="E649">
        <v>50</v>
      </c>
      <c r="F649">
        <v>1.7799999999999999E-3</v>
      </c>
      <c r="G649">
        <v>0</v>
      </c>
      <c r="H649" t="str">
        <f t="shared" si="30"/>
        <v>50-59</v>
      </c>
      <c r="I649" t="str">
        <f t="shared" si="31"/>
        <v>10-19</v>
      </c>
      <c r="J649">
        <f t="shared" si="32"/>
        <v>1.7799999999999999E-3</v>
      </c>
    </row>
    <row r="650" spans="1:10">
      <c r="A650" t="s">
        <v>732</v>
      </c>
      <c r="B650">
        <v>41</v>
      </c>
      <c r="C650" t="s">
        <v>7</v>
      </c>
      <c r="D650">
        <v>9</v>
      </c>
      <c r="E650">
        <v>49</v>
      </c>
      <c r="F650">
        <v>1.3500000000000001E-3</v>
      </c>
      <c r="G650">
        <v>0</v>
      </c>
      <c r="H650" t="str">
        <f t="shared" si="30"/>
        <v>40-49</v>
      </c>
      <c r="I650" t="str">
        <f t="shared" si="31"/>
        <v>0-9</v>
      </c>
      <c r="J650">
        <f t="shared" si="32"/>
        <v>1.3500000000000001E-3</v>
      </c>
    </row>
    <row r="651" spans="1:10">
      <c r="A651" t="s">
        <v>733</v>
      </c>
      <c r="B651">
        <v>61</v>
      </c>
      <c r="C651" t="s">
        <v>9</v>
      </c>
      <c r="D651">
        <v>24</v>
      </c>
      <c r="E651">
        <v>84</v>
      </c>
      <c r="F651">
        <v>8.0629999999999993E-2</v>
      </c>
      <c r="G651">
        <v>0</v>
      </c>
      <c r="H651" t="str">
        <f t="shared" si="30"/>
        <v>80-89</v>
      </c>
      <c r="I651" t="str">
        <f t="shared" si="31"/>
        <v>20-29</v>
      </c>
      <c r="J651">
        <f t="shared" si="32"/>
        <v>8.0629999999999993E-2</v>
      </c>
    </row>
    <row r="652" spans="1:10">
      <c r="A652" t="s">
        <v>734</v>
      </c>
      <c r="B652">
        <v>42</v>
      </c>
      <c r="C652" t="s">
        <v>9</v>
      </c>
      <c r="D652">
        <v>6</v>
      </c>
      <c r="E652">
        <v>47</v>
      </c>
      <c r="F652">
        <v>1.33E-3</v>
      </c>
      <c r="G652">
        <v>0</v>
      </c>
      <c r="H652" t="str">
        <f t="shared" si="30"/>
        <v>40-49</v>
      </c>
      <c r="I652" t="str">
        <f t="shared" si="31"/>
        <v>0-9</v>
      </c>
      <c r="J652">
        <f t="shared" si="32"/>
        <v>1.33E-3</v>
      </c>
    </row>
    <row r="653" spans="1:10">
      <c r="A653" t="s">
        <v>735</v>
      </c>
      <c r="B653">
        <v>31</v>
      </c>
      <c r="C653" t="s">
        <v>7</v>
      </c>
      <c r="D653">
        <v>30</v>
      </c>
      <c r="E653">
        <v>60</v>
      </c>
      <c r="F653">
        <v>3.3700000000000002E-3</v>
      </c>
      <c r="G653">
        <v>0</v>
      </c>
      <c r="H653" t="str">
        <f t="shared" si="30"/>
        <v>60-69</v>
      </c>
      <c r="I653" t="str">
        <f t="shared" si="31"/>
        <v>30-39</v>
      </c>
      <c r="J653">
        <f t="shared" si="32"/>
        <v>3.3700000000000002E-3</v>
      </c>
    </row>
    <row r="654" spans="1:10">
      <c r="A654" t="s">
        <v>736</v>
      </c>
      <c r="B654">
        <v>23</v>
      </c>
      <c r="C654" t="s">
        <v>9</v>
      </c>
      <c r="D654">
        <v>17</v>
      </c>
      <c r="E654">
        <v>39</v>
      </c>
      <c r="F654">
        <v>1.2800000000000001E-3</v>
      </c>
      <c r="G654">
        <v>0</v>
      </c>
      <c r="H654" t="str">
        <f t="shared" si="30"/>
        <v>30-39</v>
      </c>
      <c r="I654" t="str">
        <f t="shared" si="31"/>
        <v>10-19</v>
      </c>
      <c r="J654">
        <f t="shared" si="32"/>
        <v>1.2800000000000001E-3</v>
      </c>
    </row>
    <row r="655" spans="1:10">
      <c r="A655" t="s">
        <v>737</v>
      </c>
      <c r="B655">
        <v>62</v>
      </c>
      <c r="C655" t="s">
        <v>7</v>
      </c>
      <c r="D655">
        <v>2</v>
      </c>
      <c r="E655">
        <v>63</v>
      </c>
      <c r="F655">
        <v>1.8500000000000001E-3</v>
      </c>
      <c r="G655">
        <v>0</v>
      </c>
      <c r="H655" t="str">
        <f t="shared" si="30"/>
        <v>60-69</v>
      </c>
      <c r="I655" t="str">
        <f t="shared" si="31"/>
        <v>0-9</v>
      </c>
      <c r="J655">
        <f t="shared" si="32"/>
        <v>1.8500000000000001E-3</v>
      </c>
    </row>
    <row r="656" spans="1:10">
      <c r="A656" t="s">
        <v>738</v>
      </c>
      <c r="B656">
        <v>60</v>
      </c>
      <c r="C656" t="s">
        <v>9</v>
      </c>
      <c r="D656">
        <v>8</v>
      </c>
      <c r="E656">
        <v>67</v>
      </c>
      <c r="F656">
        <v>1.074E-2</v>
      </c>
      <c r="G656">
        <v>0</v>
      </c>
      <c r="H656" t="str">
        <f t="shared" si="30"/>
        <v>60-69</v>
      </c>
      <c r="I656" t="str">
        <f t="shared" si="31"/>
        <v>0-9</v>
      </c>
      <c r="J656">
        <f t="shared" si="32"/>
        <v>1.074E-2</v>
      </c>
    </row>
    <row r="657" spans="1:10">
      <c r="A657" t="s">
        <v>739</v>
      </c>
      <c r="B657">
        <v>33</v>
      </c>
      <c r="C657" t="s">
        <v>9</v>
      </c>
      <c r="D657">
        <v>17</v>
      </c>
      <c r="E657">
        <v>49</v>
      </c>
      <c r="F657">
        <v>2.2799999999999999E-3</v>
      </c>
      <c r="G657">
        <v>0</v>
      </c>
      <c r="H657" t="str">
        <f t="shared" si="30"/>
        <v>40-49</v>
      </c>
      <c r="I657" t="str">
        <f t="shared" si="31"/>
        <v>10-19</v>
      </c>
      <c r="J657">
        <f t="shared" si="32"/>
        <v>2.2799999999999999E-3</v>
      </c>
    </row>
    <row r="658" spans="1:10">
      <c r="A658" t="s">
        <v>740</v>
      </c>
      <c r="B658">
        <v>60</v>
      </c>
      <c r="C658" t="s">
        <v>7</v>
      </c>
      <c r="D658">
        <v>22</v>
      </c>
      <c r="E658">
        <v>81</v>
      </c>
      <c r="F658">
        <v>4.4880000000000003E-2</v>
      </c>
      <c r="G658">
        <v>0</v>
      </c>
      <c r="H658" t="str">
        <f t="shared" si="30"/>
        <v>80-89</v>
      </c>
      <c r="I658" t="str">
        <f t="shared" si="31"/>
        <v>20-29</v>
      </c>
      <c r="J658">
        <f t="shared" si="32"/>
        <v>4.4880000000000003E-2</v>
      </c>
    </row>
    <row r="659" spans="1:10">
      <c r="A659" t="s">
        <v>741</v>
      </c>
      <c r="B659">
        <v>62</v>
      </c>
      <c r="C659" t="s">
        <v>9</v>
      </c>
      <c r="D659">
        <v>16</v>
      </c>
      <c r="E659">
        <v>77</v>
      </c>
      <c r="F659">
        <v>3.492E-2</v>
      </c>
      <c r="G659">
        <v>0</v>
      </c>
      <c r="H659" t="str">
        <f t="shared" si="30"/>
        <v>70-79</v>
      </c>
      <c r="I659" t="str">
        <f t="shared" si="31"/>
        <v>10-19</v>
      </c>
      <c r="J659">
        <f t="shared" si="32"/>
        <v>3.492E-2</v>
      </c>
    </row>
    <row r="660" spans="1:10">
      <c r="A660" t="s">
        <v>742</v>
      </c>
      <c r="B660">
        <v>46</v>
      </c>
      <c r="C660" t="s">
        <v>9</v>
      </c>
      <c r="D660">
        <v>1</v>
      </c>
      <c r="E660">
        <v>46</v>
      </c>
      <c r="F660">
        <v>6.0999999999999997E-4</v>
      </c>
      <c r="G660">
        <v>0</v>
      </c>
      <c r="H660" t="str">
        <f t="shared" si="30"/>
        <v>40-49</v>
      </c>
      <c r="I660" t="str">
        <f t="shared" si="31"/>
        <v>0-9</v>
      </c>
      <c r="J660">
        <f t="shared" si="32"/>
        <v>6.0999999999999997E-4</v>
      </c>
    </row>
    <row r="661" spans="1:10">
      <c r="A661" t="s">
        <v>743</v>
      </c>
      <c r="B661">
        <v>54</v>
      </c>
      <c r="C661" t="s">
        <v>9</v>
      </c>
      <c r="D661">
        <v>10</v>
      </c>
      <c r="E661">
        <v>63</v>
      </c>
      <c r="F661">
        <v>8.0300000000000007E-3</v>
      </c>
      <c r="G661">
        <v>0</v>
      </c>
      <c r="H661" t="str">
        <f t="shared" si="30"/>
        <v>60-69</v>
      </c>
      <c r="I661" t="str">
        <f t="shared" si="31"/>
        <v>10-19</v>
      </c>
      <c r="J661">
        <f t="shared" si="32"/>
        <v>8.0300000000000007E-3</v>
      </c>
    </row>
    <row r="662" spans="1:10">
      <c r="A662" t="s">
        <v>744</v>
      </c>
      <c r="B662">
        <v>63</v>
      </c>
      <c r="C662" t="s">
        <v>7</v>
      </c>
      <c r="D662">
        <v>14</v>
      </c>
      <c r="E662">
        <v>76</v>
      </c>
      <c r="F662">
        <v>2.12E-2</v>
      </c>
      <c r="G662">
        <v>0</v>
      </c>
      <c r="H662" t="str">
        <f t="shared" si="30"/>
        <v>70-79</v>
      </c>
      <c r="I662" t="str">
        <f t="shared" si="31"/>
        <v>10-19</v>
      </c>
      <c r="J662">
        <f t="shared" si="32"/>
        <v>2.12E-2</v>
      </c>
    </row>
    <row r="663" spans="1:10">
      <c r="A663" t="s">
        <v>745</v>
      </c>
      <c r="B663">
        <v>26</v>
      </c>
      <c r="C663" t="s">
        <v>9</v>
      </c>
      <c r="D663">
        <v>30</v>
      </c>
      <c r="E663">
        <v>55</v>
      </c>
      <c r="F663">
        <v>3.0899999999999999E-3</v>
      </c>
      <c r="G663">
        <v>0</v>
      </c>
      <c r="H663" t="str">
        <f t="shared" si="30"/>
        <v>50-59</v>
      </c>
      <c r="I663" t="str">
        <f t="shared" si="31"/>
        <v>30-39</v>
      </c>
      <c r="J663">
        <f t="shared" si="32"/>
        <v>3.0899999999999999E-3</v>
      </c>
    </row>
    <row r="664" spans="1:10">
      <c r="A664" t="s">
        <v>746</v>
      </c>
      <c r="B664">
        <v>32</v>
      </c>
      <c r="C664" t="s">
        <v>7</v>
      </c>
      <c r="D664">
        <v>20</v>
      </c>
      <c r="E664">
        <v>51</v>
      </c>
      <c r="F664">
        <v>2.1199999999999999E-3</v>
      </c>
      <c r="G664">
        <v>0</v>
      </c>
      <c r="H664" t="str">
        <f t="shared" si="30"/>
        <v>50-59</v>
      </c>
      <c r="I664" t="str">
        <f t="shared" si="31"/>
        <v>20-29</v>
      </c>
      <c r="J664">
        <f t="shared" si="32"/>
        <v>2.1199999999999999E-3</v>
      </c>
    </row>
    <row r="665" spans="1:10">
      <c r="A665" t="s">
        <v>747</v>
      </c>
      <c r="B665">
        <v>37</v>
      </c>
      <c r="C665" t="s">
        <v>9</v>
      </c>
      <c r="D665">
        <v>26</v>
      </c>
      <c r="E665">
        <v>62</v>
      </c>
      <c r="F665">
        <v>7.79E-3</v>
      </c>
      <c r="G665">
        <v>0</v>
      </c>
      <c r="H665" t="str">
        <f t="shared" si="30"/>
        <v>60-69</v>
      </c>
      <c r="I665" t="str">
        <f t="shared" si="31"/>
        <v>20-29</v>
      </c>
      <c r="J665">
        <f t="shared" si="32"/>
        <v>7.79E-3</v>
      </c>
    </row>
    <row r="666" spans="1:10">
      <c r="A666" t="s">
        <v>748</v>
      </c>
      <c r="B666">
        <v>45</v>
      </c>
      <c r="C666" t="s">
        <v>7</v>
      </c>
      <c r="D666">
        <v>15</v>
      </c>
      <c r="E666">
        <v>59</v>
      </c>
      <c r="F666">
        <v>4.1200000000000004E-3</v>
      </c>
      <c r="G666">
        <v>0</v>
      </c>
      <c r="H666" t="str">
        <f t="shared" si="30"/>
        <v>50-59</v>
      </c>
      <c r="I666" t="str">
        <f t="shared" si="31"/>
        <v>10-19</v>
      </c>
      <c r="J666">
        <f t="shared" si="32"/>
        <v>4.1200000000000004E-3</v>
      </c>
    </row>
    <row r="667" spans="1:10">
      <c r="A667" t="s">
        <v>749</v>
      </c>
      <c r="B667">
        <v>34</v>
      </c>
      <c r="C667" t="s">
        <v>7</v>
      </c>
      <c r="D667">
        <v>10</v>
      </c>
      <c r="E667">
        <v>43</v>
      </c>
      <c r="F667">
        <v>8.4000000000000003E-4</v>
      </c>
      <c r="G667">
        <v>0</v>
      </c>
      <c r="H667" t="str">
        <f t="shared" si="30"/>
        <v>40-49</v>
      </c>
      <c r="I667" t="str">
        <f t="shared" si="31"/>
        <v>10-19</v>
      </c>
      <c r="J667">
        <f t="shared" si="32"/>
        <v>8.4000000000000003E-4</v>
      </c>
    </row>
    <row r="668" spans="1:10">
      <c r="A668" t="s">
        <v>750</v>
      </c>
      <c r="B668">
        <v>61</v>
      </c>
      <c r="C668" t="s">
        <v>7</v>
      </c>
      <c r="D668">
        <v>28</v>
      </c>
      <c r="E668">
        <v>88</v>
      </c>
      <c r="F668">
        <v>8.2710000000000006E-2</v>
      </c>
      <c r="G668">
        <v>1</v>
      </c>
      <c r="H668" t="str">
        <f t="shared" si="30"/>
        <v>80-89</v>
      </c>
      <c r="I668" t="str">
        <f t="shared" si="31"/>
        <v>20-29</v>
      </c>
      <c r="J668">
        <f t="shared" si="32"/>
        <v>8.2710000000000006E-2</v>
      </c>
    </row>
    <row r="669" spans="1:10">
      <c r="A669" t="s">
        <v>751</v>
      </c>
      <c r="B669">
        <v>45</v>
      </c>
      <c r="C669" t="s">
        <v>9</v>
      </c>
      <c r="D669">
        <v>13</v>
      </c>
      <c r="E669">
        <v>57</v>
      </c>
      <c r="F669">
        <v>4.3600000000000002E-3</v>
      </c>
      <c r="G669">
        <v>0</v>
      </c>
      <c r="H669" t="str">
        <f t="shared" si="30"/>
        <v>50-59</v>
      </c>
      <c r="I669" t="str">
        <f t="shared" si="31"/>
        <v>10-19</v>
      </c>
      <c r="J669">
        <f t="shared" si="32"/>
        <v>4.3600000000000002E-3</v>
      </c>
    </row>
    <row r="670" spans="1:10">
      <c r="A670" t="s">
        <v>752</v>
      </c>
      <c r="B670">
        <v>60</v>
      </c>
      <c r="C670" t="s">
        <v>7</v>
      </c>
      <c r="D670">
        <v>1</v>
      </c>
      <c r="E670">
        <v>60</v>
      </c>
      <c r="F670">
        <v>7.2999999999999996E-4</v>
      </c>
      <c r="G670">
        <v>0</v>
      </c>
      <c r="H670" t="str">
        <f t="shared" si="30"/>
        <v>60-69</v>
      </c>
      <c r="I670" t="str">
        <f t="shared" si="31"/>
        <v>0-9</v>
      </c>
      <c r="J670">
        <f t="shared" si="32"/>
        <v>7.2999999999999996E-4</v>
      </c>
    </row>
    <row r="671" spans="1:10">
      <c r="A671" t="s">
        <v>753</v>
      </c>
      <c r="B671">
        <v>47</v>
      </c>
      <c r="C671" t="s">
        <v>7</v>
      </c>
      <c r="D671">
        <v>21</v>
      </c>
      <c r="E671">
        <v>67</v>
      </c>
      <c r="F671">
        <v>1.027E-2</v>
      </c>
      <c r="G671">
        <v>0</v>
      </c>
      <c r="H671" t="str">
        <f t="shared" si="30"/>
        <v>60-69</v>
      </c>
      <c r="I671" t="str">
        <f t="shared" si="31"/>
        <v>20-29</v>
      </c>
      <c r="J671">
        <f t="shared" si="32"/>
        <v>1.027E-2</v>
      </c>
    </row>
    <row r="672" spans="1:10">
      <c r="A672" t="s">
        <v>754</v>
      </c>
      <c r="B672">
        <v>26</v>
      </c>
      <c r="C672" t="s">
        <v>7</v>
      </c>
      <c r="D672">
        <v>29</v>
      </c>
      <c r="E672">
        <v>54</v>
      </c>
      <c r="F672">
        <v>2.1900000000000001E-3</v>
      </c>
      <c r="G672">
        <v>0</v>
      </c>
      <c r="H672" t="str">
        <f t="shared" si="30"/>
        <v>50-59</v>
      </c>
      <c r="I672" t="str">
        <f t="shared" si="31"/>
        <v>20-29</v>
      </c>
      <c r="J672">
        <f t="shared" si="32"/>
        <v>2.1900000000000001E-3</v>
      </c>
    </row>
    <row r="673" spans="1:10">
      <c r="A673" t="s">
        <v>755</v>
      </c>
      <c r="B673">
        <v>33</v>
      </c>
      <c r="C673" t="s">
        <v>7</v>
      </c>
      <c r="D673">
        <v>29</v>
      </c>
      <c r="E673">
        <v>61</v>
      </c>
      <c r="F673">
        <v>4.0499999999999998E-3</v>
      </c>
      <c r="G673">
        <v>0</v>
      </c>
      <c r="H673" t="str">
        <f t="shared" si="30"/>
        <v>60-69</v>
      </c>
      <c r="I673" t="str">
        <f t="shared" si="31"/>
        <v>20-29</v>
      </c>
      <c r="J673">
        <f t="shared" si="32"/>
        <v>4.0499999999999998E-3</v>
      </c>
    </row>
    <row r="674" spans="1:10">
      <c r="A674" t="s">
        <v>756</v>
      </c>
      <c r="B674">
        <v>50</v>
      </c>
      <c r="C674" t="s">
        <v>9</v>
      </c>
      <c r="D674">
        <v>9</v>
      </c>
      <c r="E674">
        <v>58</v>
      </c>
      <c r="F674">
        <v>4.5999999999999999E-3</v>
      </c>
      <c r="G674">
        <v>0</v>
      </c>
      <c r="H674" t="str">
        <f t="shared" si="30"/>
        <v>50-59</v>
      </c>
      <c r="I674" t="str">
        <f t="shared" si="31"/>
        <v>0-9</v>
      </c>
      <c r="J674">
        <f t="shared" si="32"/>
        <v>4.5999999999999999E-3</v>
      </c>
    </row>
    <row r="675" spans="1:10">
      <c r="A675" t="s">
        <v>757</v>
      </c>
      <c r="B675">
        <v>37</v>
      </c>
      <c r="C675" t="s">
        <v>7</v>
      </c>
      <c r="D675">
        <v>29</v>
      </c>
      <c r="E675">
        <v>65</v>
      </c>
      <c r="F675">
        <v>6.0499999999999998E-3</v>
      </c>
      <c r="G675">
        <v>0</v>
      </c>
      <c r="H675" t="str">
        <f t="shared" si="30"/>
        <v>60-69</v>
      </c>
      <c r="I675" t="str">
        <f t="shared" si="31"/>
        <v>20-29</v>
      </c>
      <c r="J675">
        <f t="shared" si="32"/>
        <v>6.0499999999999998E-3</v>
      </c>
    </row>
    <row r="676" spans="1:10">
      <c r="A676" t="s">
        <v>758</v>
      </c>
      <c r="B676">
        <v>31</v>
      </c>
      <c r="C676" t="s">
        <v>7</v>
      </c>
      <c r="D676">
        <v>30</v>
      </c>
      <c r="E676">
        <v>60</v>
      </c>
      <c r="F676">
        <v>3.3700000000000002E-3</v>
      </c>
      <c r="G676">
        <v>0</v>
      </c>
      <c r="H676" t="str">
        <f t="shared" si="30"/>
        <v>60-69</v>
      </c>
      <c r="I676" t="str">
        <f t="shared" si="31"/>
        <v>30-39</v>
      </c>
      <c r="J676">
        <f t="shared" si="32"/>
        <v>3.3700000000000002E-3</v>
      </c>
    </row>
    <row r="677" spans="1:10">
      <c r="A677" t="s">
        <v>759</v>
      </c>
      <c r="B677">
        <v>33</v>
      </c>
      <c r="C677" t="s">
        <v>9</v>
      </c>
      <c r="D677">
        <v>19</v>
      </c>
      <c r="E677">
        <v>51</v>
      </c>
      <c r="F677">
        <v>2.7200000000000002E-3</v>
      </c>
      <c r="G677">
        <v>0</v>
      </c>
      <c r="H677" t="str">
        <f t="shared" si="30"/>
        <v>50-59</v>
      </c>
      <c r="I677" t="str">
        <f t="shared" si="31"/>
        <v>10-19</v>
      </c>
      <c r="J677">
        <f t="shared" si="32"/>
        <v>2.7200000000000002E-3</v>
      </c>
    </row>
    <row r="678" spans="1:10">
      <c r="A678" t="s">
        <v>760</v>
      </c>
      <c r="B678">
        <v>45</v>
      </c>
      <c r="C678" t="s">
        <v>9</v>
      </c>
      <c r="D678">
        <v>30</v>
      </c>
      <c r="E678">
        <v>74</v>
      </c>
      <c r="F678">
        <v>1.7160000000000002E-2</v>
      </c>
      <c r="G678">
        <v>0</v>
      </c>
      <c r="H678" t="str">
        <f t="shared" si="30"/>
        <v>70-79</v>
      </c>
      <c r="I678" t="str">
        <f t="shared" si="31"/>
        <v>30-39</v>
      </c>
      <c r="J678">
        <f t="shared" si="32"/>
        <v>1.7160000000000002E-2</v>
      </c>
    </row>
    <row r="679" spans="1:10">
      <c r="A679" t="s">
        <v>761</v>
      </c>
      <c r="B679">
        <v>35</v>
      </c>
      <c r="C679" t="s">
        <v>7</v>
      </c>
      <c r="D679">
        <v>19</v>
      </c>
      <c r="E679">
        <v>53</v>
      </c>
      <c r="F679">
        <v>2.4399999999999999E-3</v>
      </c>
      <c r="G679">
        <v>0</v>
      </c>
      <c r="H679" t="str">
        <f t="shared" si="30"/>
        <v>50-59</v>
      </c>
      <c r="I679" t="str">
        <f t="shared" si="31"/>
        <v>10-19</v>
      </c>
      <c r="J679">
        <f t="shared" si="32"/>
        <v>2.4399999999999999E-3</v>
      </c>
    </row>
    <row r="680" spans="1:10">
      <c r="A680" t="s">
        <v>762</v>
      </c>
      <c r="B680">
        <v>54</v>
      </c>
      <c r="C680" t="s">
        <v>9</v>
      </c>
      <c r="D680">
        <v>11</v>
      </c>
      <c r="E680">
        <v>64</v>
      </c>
      <c r="F680">
        <v>8.8699999999999994E-3</v>
      </c>
      <c r="G680">
        <v>0</v>
      </c>
      <c r="H680" t="str">
        <f t="shared" si="30"/>
        <v>60-69</v>
      </c>
      <c r="I680" t="str">
        <f t="shared" si="31"/>
        <v>10-19</v>
      </c>
      <c r="J680">
        <f t="shared" si="32"/>
        <v>8.8699999999999994E-3</v>
      </c>
    </row>
    <row r="681" spans="1:10">
      <c r="A681" t="s">
        <v>763</v>
      </c>
      <c r="B681">
        <v>64</v>
      </c>
      <c r="C681" t="s">
        <v>9</v>
      </c>
      <c r="D681">
        <v>24</v>
      </c>
      <c r="E681">
        <v>87</v>
      </c>
      <c r="F681">
        <v>0.11718000000000001</v>
      </c>
      <c r="G681">
        <v>0</v>
      </c>
      <c r="H681" t="str">
        <f t="shared" si="30"/>
        <v>80-89</v>
      </c>
      <c r="I681" t="str">
        <f t="shared" si="31"/>
        <v>20-29</v>
      </c>
      <c r="J681">
        <f t="shared" si="32"/>
        <v>0.11718000000000001</v>
      </c>
    </row>
    <row r="682" spans="1:10">
      <c r="A682" t="s">
        <v>764</v>
      </c>
      <c r="B682">
        <v>42</v>
      </c>
      <c r="C682" t="s">
        <v>9</v>
      </c>
      <c r="D682">
        <v>2</v>
      </c>
      <c r="E682">
        <v>43</v>
      </c>
      <c r="F682">
        <v>6.7000000000000002E-4</v>
      </c>
      <c r="G682">
        <v>0</v>
      </c>
      <c r="H682" t="str">
        <f t="shared" si="30"/>
        <v>40-49</v>
      </c>
      <c r="I682" t="str">
        <f t="shared" si="31"/>
        <v>0-9</v>
      </c>
      <c r="J682">
        <f t="shared" si="32"/>
        <v>6.7000000000000002E-4</v>
      </c>
    </row>
    <row r="683" spans="1:10">
      <c r="A683" t="s">
        <v>765</v>
      </c>
      <c r="B683">
        <v>24</v>
      </c>
      <c r="C683" t="s">
        <v>7</v>
      </c>
      <c r="D683">
        <v>11</v>
      </c>
      <c r="E683">
        <v>34</v>
      </c>
      <c r="F683">
        <v>4.8000000000000001E-4</v>
      </c>
      <c r="G683">
        <v>0</v>
      </c>
      <c r="H683" t="str">
        <f t="shared" si="30"/>
        <v>30-39</v>
      </c>
      <c r="I683" t="str">
        <f t="shared" si="31"/>
        <v>10-19</v>
      </c>
      <c r="J683">
        <f t="shared" si="32"/>
        <v>4.8000000000000001E-4</v>
      </c>
    </row>
    <row r="684" spans="1:10">
      <c r="A684" t="s">
        <v>766</v>
      </c>
      <c r="B684">
        <v>58</v>
      </c>
      <c r="C684" t="s">
        <v>7</v>
      </c>
      <c r="D684">
        <v>13</v>
      </c>
      <c r="E684">
        <v>70</v>
      </c>
      <c r="F684">
        <v>1.0829999999999999E-2</v>
      </c>
      <c r="G684">
        <v>0</v>
      </c>
      <c r="H684" t="str">
        <f t="shared" si="30"/>
        <v>70-79</v>
      </c>
      <c r="I684" t="str">
        <f t="shared" si="31"/>
        <v>10-19</v>
      </c>
      <c r="J684">
        <f t="shared" si="32"/>
        <v>1.0829999999999999E-2</v>
      </c>
    </row>
    <row r="685" spans="1:10">
      <c r="A685" t="s">
        <v>767</v>
      </c>
      <c r="B685">
        <v>60</v>
      </c>
      <c r="C685" t="s">
        <v>7</v>
      </c>
      <c r="D685">
        <v>9</v>
      </c>
      <c r="E685">
        <v>68</v>
      </c>
      <c r="F685">
        <v>7.4900000000000001E-3</v>
      </c>
      <c r="G685">
        <v>0</v>
      </c>
      <c r="H685" t="str">
        <f t="shared" si="30"/>
        <v>60-69</v>
      </c>
      <c r="I685" t="str">
        <f t="shared" si="31"/>
        <v>0-9</v>
      </c>
      <c r="J685">
        <f t="shared" si="32"/>
        <v>7.4900000000000001E-3</v>
      </c>
    </row>
    <row r="686" spans="1:10">
      <c r="A686" t="s">
        <v>768</v>
      </c>
      <c r="B686">
        <v>34</v>
      </c>
      <c r="C686" t="s">
        <v>7</v>
      </c>
      <c r="D686">
        <v>12</v>
      </c>
      <c r="E686">
        <v>45</v>
      </c>
      <c r="F686">
        <v>1.0499999999999999E-3</v>
      </c>
      <c r="G686">
        <v>0</v>
      </c>
      <c r="H686" t="str">
        <f t="shared" si="30"/>
        <v>40-49</v>
      </c>
      <c r="I686" t="str">
        <f t="shared" si="31"/>
        <v>10-19</v>
      </c>
      <c r="J686">
        <f t="shared" si="32"/>
        <v>1.0499999999999999E-3</v>
      </c>
    </row>
    <row r="687" spans="1:10">
      <c r="A687" t="s">
        <v>769</v>
      </c>
      <c r="B687">
        <v>31</v>
      </c>
      <c r="C687" t="s">
        <v>7</v>
      </c>
      <c r="D687">
        <v>22</v>
      </c>
      <c r="E687">
        <v>52</v>
      </c>
      <c r="F687">
        <v>2.3800000000000002E-3</v>
      </c>
      <c r="G687">
        <v>0</v>
      </c>
      <c r="H687" t="str">
        <f t="shared" si="30"/>
        <v>50-59</v>
      </c>
      <c r="I687" t="str">
        <f t="shared" si="31"/>
        <v>20-29</v>
      </c>
      <c r="J687">
        <f t="shared" si="32"/>
        <v>2.3800000000000002E-3</v>
      </c>
    </row>
    <row r="688" spans="1:10">
      <c r="A688" t="s">
        <v>770</v>
      </c>
      <c r="B688">
        <v>59</v>
      </c>
      <c r="C688" t="s">
        <v>7</v>
      </c>
      <c r="D688">
        <v>10</v>
      </c>
      <c r="E688">
        <v>68</v>
      </c>
      <c r="F688">
        <v>7.77E-3</v>
      </c>
      <c r="G688">
        <v>0</v>
      </c>
      <c r="H688" t="str">
        <f t="shared" si="30"/>
        <v>60-69</v>
      </c>
      <c r="I688" t="str">
        <f t="shared" si="31"/>
        <v>10-19</v>
      </c>
      <c r="J688">
        <f t="shared" si="32"/>
        <v>7.77E-3</v>
      </c>
    </row>
    <row r="689" spans="1:10">
      <c r="A689" t="s">
        <v>771</v>
      </c>
      <c r="B689">
        <v>25</v>
      </c>
      <c r="C689" t="s">
        <v>9</v>
      </c>
      <c r="D689">
        <v>9</v>
      </c>
      <c r="E689">
        <v>33</v>
      </c>
      <c r="F689">
        <v>5.8E-4</v>
      </c>
      <c r="G689">
        <v>0</v>
      </c>
      <c r="H689" t="str">
        <f t="shared" si="30"/>
        <v>30-39</v>
      </c>
      <c r="I689" t="str">
        <f t="shared" si="31"/>
        <v>0-9</v>
      </c>
      <c r="J689">
        <f t="shared" si="32"/>
        <v>5.8E-4</v>
      </c>
    </row>
    <row r="690" spans="1:10">
      <c r="A690" t="s">
        <v>772</v>
      </c>
      <c r="B690">
        <v>60</v>
      </c>
      <c r="C690" t="s">
        <v>7</v>
      </c>
      <c r="D690">
        <v>5</v>
      </c>
      <c r="E690">
        <v>64</v>
      </c>
      <c r="F690">
        <v>4.9800000000000001E-3</v>
      </c>
      <c r="G690">
        <v>0</v>
      </c>
      <c r="H690" t="str">
        <f t="shared" si="30"/>
        <v>60-69</v>
      </c>
      <c r="I690" t="str">
        <f t="shared" si="31"/>
        <v>0-9</v>
      </c>
      <c r="J690">
        <f t="shared" si="32"/>
        <v>4.9800000000000001E-3</v>
      </c>
    </row>
    <row r="691" spans="1:10">
      <c r="A691" t="s">
        <v>773</v>
      </c>
      <c r="B691">
        <v>26</v>
      </c>
      <c r="C691" t="s">
        <v>9</v>
      </c>
      <c r="D691">
        <v>3</v>
      </c>
      <c r="E691">
        <v>28</v>
      </c>
      <c r="F691">
        <v>3.8000000000000002E-4</v>
      </c>
      <c r="G691">
        <v>0</v>
      </c>
      <c r="H691" t="str">
        <f t="shared" si="30"/>
        <v>20-29</v>
      </c>
      <c r="I691" t="str">
        <f t="shared" si="31"/>
        <v>0-9</v>
      </c>
      <c r="J691">
        <f t="shared" si="32"/>
        <v>3.8000000000000002E-4</v>
      </c>
    </row>
    <row r="692" spans="1:10">
      <c r="A692" t="s">
        <v>774</v>
      </c>
      <c r="B692">
        <v>43</v>
      </c>
      <c r="C692" t="s">
        <v>9</v>
      </c>
      <c r="D692">
        <v>25</v>
      </c>
      <c r="E692">
        <v>67</v>
      </c>
      <c r="F692">
        <v>1.278E-2</v>
      </c>
      <c r="G692">
        <v>0</v>
      </c>
      <c r="H692" t="str">
        <f t="shared" si="30"/>
        <v>60-69</v>
      </c>
      <c r="I692" t="str">
        <f t="shared" si="31"/>
        <v>20-29</v>
      </c>
      <c r="J692">
        <f t="shared" si="32"/>
        <v>1.278E-2</v>
      </c>
    </row>
    <row r="693" spans="1:10">
      <c r="A693" t="s">
        <v>775</v>
      </c>
      <c r="B693">
        <v>31</v>
      </c>
      <c r="C693" t="s">
        <v>9</v>
      </c>
      <c r="D693">
        <v>14</v>
      </c>
      <c r="E693">
        <v>44</v>
      </c>
      <c r="F693">
        <v>1.4499999999999999E-3</v>
      </c>
      <c r="G693">
        <v>0</v>
      </c>
      <c r="H693" t="str">
        <f t="shared" si="30"/>
        <v>40-49</v>
      </c>
      <c r="I693" t="str">
        <f t="shared" si="31"/>
        <v>10-19</v>
      </c>
      <c r="J693">
        <f t="shared" si="32"/>
        <v>1.4499999999999999E-3</v>
      </c>
    </row>
    <row r="694" spans="1:10">
      <c r="A694" t="s">
        <v>776</v>
      </c>
      <c r="B694">
        <v>46</v>
      </c>
      <c r="C694" t="s">
        <v>9</v>
      </c>
      <c r="D694">
        <v>4</v>
      </c>
      <c r="E694">
        <v>49</v>
      </c>
      <c r="F694">
        <v>1.4400000000000001E-3</v>
      </c>
      <c r="G694">
        <v>0</v>
      </c>
      <c r="H694" t="str">
        <f t="shared" si="30"/>
        <v>40-49</v>
      </c>
      <c r="I694" t="str">
        <f t="shared" si="31"/>
        <v>0-9</v>
      </c>
      <c r="J694">
        <f t="shared" si="32"/>
        <v>1.4400000000000001E-3</v>
      </c>
    </row>
    <row r="695" spans="1:10">
      <c r="A695" t="s">
        <v>777</v>
      </c>
      <c r="B695">
        <v>25</v>
      </c>
      <c r="C695" t="s">
        <v>7</v>
      </c>
      <c r="D695">
        <v>20</v>
      </c>
      <c r="E695">
        <v>44</v>
      </c>
      <c r="F695">
        <v>1.31E-3</v>
      </c>
      <c r="G695">
        <v>0</v>
      </c>
      <c r="H695" t="str">
        <f t="shared" si="30"/>
        <v>40-49</v>
      </c>
      <c r="I695" t="str">
        <f t="shared" si="31"/>
        <v>20-29</v>
      </c>
      <c r="J695">
        <f t="shared" si="32"/>
        <v>1.31E-3</v>
      </c>
    </row>
    <row r="696" spans="1:10">
      <c r="A696" t="s">
        <v>778</v>
      </c>
      <c r="B696">
        <v>44</v>
      </c>
      <c r="C696" t="s">
        <v>9</v>
      </c>
      <c r="D696">
        <v>1</v>
      </c>
      <c r="E696">
        <v>44</v>
      </c>
      <c r="F696">
        <v>5.0000000000000001E-4</v>
      </c>
      <c r="G696">
        <v>0</v>
      </c>
      <c r="H696" t="str">
        <f t="shared" si="30"/>
        <v>40-49</v>
      </c>
      <c r="I696" t="str">
        <f t="shared" si="31"/>
        <v>0-9</v>
      </c>
      <c r="J696">
        <f t="shared" si="32"/>
        <v>5.0000000000000001E-4</v>
      </c>
    </row>
    <row r="697" spans="1:10">
      <c r="A697" t="s">
        <v>779</v>
      </c>
      <c r="B697">
        <v>25</v>
      </c>
      <c r="C697" t="s">
        <v>7</v>
      </c>
      <c r="D697">
        <v>24</v>
      </c>
      <c r="E697">
        <v>48</v>
      </c>
      <c r="F697">
        <v>1.73E-3</v>
      </c>
      <c r="G697">
        <v>0</v>
      </c>
      <c r="H697" t="str">
        <f t="shared" si="30"/>
        <v>40-49</v>
      </c>
      <c r="I697" t="str">
        <f t="shared" si="31"/>
        <v>20-29</v>
      </c>
      <c r="J697">
        <f t="shared" si="32"/>
        <v>1.73E-3</v>
      </c>
    </row>
    <row r="698" spans="1:10">
      <c r="A698" t="s">
        <v>780</v>
      </c>
      <c r="B698">
        <v>35</v>
      </c>
      <c r="C698" t="s">
        <v>7</v>
      </c>
      <c r="D698">
        <v>19</v>
      </c>
      <c r="E698">
        <v>53</v>
      </c>
      <c r="F698">
        <v>2.4399999999999999E-3</v>
      </c>
      <c r="G698">
        <v>0</v>
      </c>
      <c r="H698" t="str">
        <f t="shared" si="30"/>
        <v>50-59</v>
      </c>
      <c r="I698" t="str">
        <f t="shared" si="31"/>
        <v>10-19</v>
      </c>
      <c r="J698">
        <f t="shared" si="32"/>
        <v>2.4399999999999999E-3</v>
      </c>
    </row>
    <row r="699" spans="1:10">
      <c r="A699" t="s">
        <v>781</v>
      </c>
      <c r="B699">
        <v>30</v>
      </c>
      <c r="C699" t="s">
        <v>9</v>
      </c>
      <c r="D699">
        <v>5</v>
      </c>
      <c r="E699">
        <v>34</v>
      </c>
      <c r="F699">
        <v>4.8000000000000001E-4</v>
      </c>
      <c r="G699">
        <v>0</v>
      </c>
      <c r="H699" t="str">
        <f t="shared" si="30"/>
        <v>30-39</v>
      </c>
      <c r="I699" t="str">
        <f t="shared" si="31"/>
        <v>0-9</v>
      </c>
      <c r="J699">
        <f t="shared" si="32"/>
        <v>4.8000000000000001E-4</v>
      </c>
    </row>
    <row r="700" spans="1:10">
      <c r="A700" t="s">
        <v>782</v>
      </c>
      <c r="B700">
        <v>29</v>
      </c>
      <c r="C700" t="s">
        <v>9</v>
      </c>
      <c r="D700">
        <v>3</v>
      </c>
      <c r="E700">
        <v>31</v>
      </c>
      <c r="F700">
        <v>3.5E-4</v>
      </c>
      <c r="G700">
        <v>0</v>
      </c>
      <c r="H700" t="str">
        <f t="shared" si="30"/>
        <v>30-39</v>
      </c>
      <c r="I700" t="str">
        <f t="shared" si="31"/>
        <v>0-9</v>
      </c>
      <c r="J700">
        <f t="shared" si="32"/>
        <v>3.5E-4</v>
      </c>
    </row>
    <row r="701" spans="1:10">
      <c r="A701" t="s">
        <v>783</v>
      </c>
      <c r="B701">
        <v>39</v>
      </c>
      <c r="C701" t="s">
        <v>7</v>
      </c>
      <c r="D701">
        <v>16</v>
      </c>
      <c r="E701">
        <v>54</v>
      </c>
      <c r="F701">
        <v>2.5400000000000002E-3</v>
      </c>
      <c r="G701">
        <v>0</v>
      </c>
      <c r="H701" t="str">
        <f t="shared" si="30"/>
        <v>50-59</v>
      </c>
      <c r="I701" t="str">
        <f t="shared" si="31"/>
        <v>10-19</v>
      </c>
      <c r="J701">
        <f t="shared" si="32"/>
        <v>2.5400000000000002E-3</v>
      </c>
    </row>
    <row r="702" spans="1:10">
      <c r="A702" t="s">
        <v>784</v>
      </c>
      <c r="B702">
        <v>35</v>
      </c>
      <c r="C702" t="s">
        <v>7</v>
      </c>
      <c r="D702">
        <v>24</v>
      </c>
      <c r="E702">
        <v>58</v>
      </c>
      <c r="F702">
        <v>4.0499999999999998E-3</v>
      </c>
      <c r="G702">
        <v>0</v>
      </c>
      <c r="H702" t="str">
        <f t="shared" si="30"/>
        <v>50-59</v>
      </c>
      <c r="I702" t="str">
        <f t="shared" si="31"/>
        <v>20-29</v>
      </c>
      <c r="J702">
        <f t="shared" si="32"/>
        <v>4.0499999999999998E-3</v>
      </c>
    </row>
    <row r="703" spans="1:10">
      <c r="A703" t="s">
        <v>785</v>
      </c>
      <c r="B703">
        <v>32</v>
      </c>
      <c r="C703" t="s">
        <v>9</v>
      </c>
      <c r="D703">
        <v>15</v>
      </c>
      <c r="E703">
        <v>46</v>
      </c>
      <c r="F703">
        <v>1.6999999999999999E-3</v>
      </c>
      <c r="G703">
        <v>0</v>
      </c>
      <c r="H703" t="str">
        <f t="shared" si="30"/>
        <v>40-49</v>
      </c>
      <c r="I703" t="str">
        <f t="shared" si="31"/>
        <v>10-19</v>
      </c>
      <c r="J703">
        <f t="shared" si="32"/>
        <v>1.6999999999999999E-3</v>
      </c>
    </row>
    <row r="704" spans="1:10">
      <c r="A704" t="s">
        <v>786</v>
      </c>
      <c r="B704">
        <v>45</v>
      </c>
      <c r="C704" t="s">
        <v>7</v>
      </c>
      <c r="D704">
        <v>11</v>
      </c>
      <c r="E704">
        <v>55</v>
      </c>
      <c r="F704">
        <v>2.5100000000000001E-3</v>
      </c>
      <c r="G704">
        <v>0</v>
      </c>
      <c r="H704" t="str">
        <f t="shared" si="30"/>
        <v>50-59</v>
      </c>
      <c r="I704" t="str">
        <f t="shared" si="31"/>
        <v>10-19</v>
      </c>
      <c r="J704">
        <f t="shared" si="32"/>
        <v>2.5100000000000001E-3</v>
      </c>
    </row>
    <row r="705" spans="1:10">
      <c r="A705" t="s">
        <v>787</v>
      </c>
      <c r="B705">
        <v>41</v>
      </c>
      <c r="C705" t="s">
        <v>9</v>
      </c>
      <c r="D705">
        <v>15</v>
      </c>
      <c r="E705">
        <v>55</v>
      </c>
      <c r="F705">
        <v>3.6099999999999999E-3</v>
      </c>
      <c r="G705">
        <v>0</v>
      </c>
      <c r="H705" t="str">
        <f t="shared" si="30"/>
        <v>50-59</v>
      </c>
      <c r="I705" t="str">
        <f t="shared" si="31"/>
        <v>10-19</v>
      </c>
      <c r="J705">
        <f t="shared" si="32"/>
        <v>3.6099999999999999E-3</v>
      </c>
    </row>
    <row r="706" spans="1:10">
      <c r="A706" t="s">
        <v>788</v>
      </c>
      <c r="B706">
        <v>61</v>
      </c>
      <c r="C706" t="s">
        <v>9</v>
      </c>
      <c r="D706">
        <v>20</v>
      </c>
      <c r="E706">
        <v>80</v>
      </c>
      <c r="F706">
        <v>5.0909999999999997E-2</v>
      </c>
      <c r="G706">
        <v>0</v>
      </c>
      <c r="H706" t="str">
        <f t="shared" si="30"/>
        <v>80-89</v>
      </c>
      <c r="I706" t="str">
        <f t="shared" si="31"/>
        <v>20-29</v>
      </c>
      <c r="J706">
        <f t="shared" si="32"/>
        <v>5.0909999999999997E-2</v>
      </c>
    </row>
    <row r="707" spans="1:10">
      <c r="A707" t="s">
        <v>789</v>
      </c>
      <c r="B707">
        <v>64</v>
      </c>
      <c r="C707" t="s">
        <v>9</v>
      </c>
      <c r="D707">
        <v>7</v>
      </c>
      <c r="E707">
        <v>70</v>
      </c>
      <c r="F707">
        <v>1.1650000000000001E-2</v>
      </c>
      <c r="G707">
        <v>0</v>
      </c>
      <c r="H707" t="str">
        <f t="shared" ref="H707:H770" si="33">FLOOR(E707,10) &amp; "-" &amp; FLOOR(E707,10)+9</f>
        <v>70-79</v>
      </c>
      <c r="I707" t="str">
        <f t="shared" ref="I707:I770" si="34">FLOOR(D707, 10) &amp; "-"&amp;FLOOR(D707, 10)+9</f>
        <v>0-9</v>
      </c>
      <c r="J707">
        <f t="shared" ref="J707:J770" si="35">F707</f>
        <v>1.1650000000000001E-2</v>
      </c>
    </row>
    <row r="708" spans="1:10">
      <c r="A708" t="s">
        <v>790</v>
      </c>
      <c r="B708">
        <v>45</v>
      </c>
      <c r="C708" t="s">
        <v>9</v>
      </c>
      <c r="D708">
        <v>11</v>
      </c>
      <c r="E708">
        <v>55</v>
      </c>
      <c r="F708">
        <v>3.3700000000000002E-3</v>
      </c>
      <c r="G708">
        <v>0</v>
      </c>
      <c r="H708" t="str">
        <f t="shared" si="33"/>
        <v>50-59</v>
      </c>
      <c r="I708" t="str">
        <f t="shared" si="34"/>
        <v>10-19</v>
      </c>
      <c r="J708">
        <f t="shared" si="35"/>
        <v>3.3700000000000002E-3</v>
      </c>
    </row>
    <row r="709" spans="1:10">
      <c r="A709" t="s">
        <v>791</v>
      </c>
      <c r="B709">
        <v>51</v>
      </c>
      <c r="C709" t="s">
        <v>7</v>
      </c>
      <c r="D709">
        <v>19</v>
      </c>
      <c r="E709">
        <v>69</v>
      </c>
      <c r="F709">
        <v>1.209E-2</v>
      </c>
      <c r="G709">
        <v>0</v>
      </c>
      <c r="H709" t="str">
        <f t="shared" si="33"/>
        <v>60-69</v>
      </c>
      <c r="I709" t="str">
        <f t="shared" si="34"/>
        <v>10-19</v>
      </c>
      <c r="J709">
        <f t="shared" si="35"/>
        <v>1.209E-2</v>
      </c>
    </row>
    <row r="710" spans="1:10">
      <c r="A710" t="s">
        <v>792</v>
      </c>
      <c r="B710">
        <v>37</v>
      </c>
      <c r="C710" t="s">
        <v>7</v>
      </c>
      <c r="D710">
        <v>27</v>
      </c>
      <c r="E710">
        <v>63</v>
      </c>
      <c r="F710">
        <v>6.0499999999999998E-3</v>
      </c>
      <c r="G710">
        <v>0</v>
      </c>
      <c r="H710" t="str">
        <f t="shared" si="33"/>
        <v>60-69</v>
      </c>
      <c r="I710" t="str">
        <f t="shared" si="34"/>
        <v>20-29</v>
      </c>
      <c r="J710">
        <f t="shared" si="35"/>
        <v>6.0499999999999998E-3</v>
      </c>
    </row>
    <row r="711" spans="1:10">
      <c r="A711" t="s">
        <v>793</v>
      </c>
      <c r="B711">
        <v>56</v>
      </c>
      <c r="C711" t="s">
        <v>7</v>
      </c>
      <c r="D711">
        <v>7</v>
      </c>
      <c r="E711">
        <v>62</v>
      </c>
      <c r="F711">
        <v>4.3299999999999996E-3</v>
      </c>
      <c r="G711">
        <v>0</v>
      </c>
      <c r="H711" t="str">
        <f t="shared" si="33"/>
        <v>60-69</v>
      </c>
      <c r="I711" t="str">
        <f t="shared" si="34"/>
        <v>0-9</v>
      </c>
      <c r="J711">
        <f t="shared" si="35"/>
        <v>4.3299999999999996E-3</v>
      </c>
    </row>
    <row r="712" spans="1:10">
      <c r="A712" t="s">
        <v>794</v>
      </c>
      <c r="B712">
        <v>63</v>
      </c>
      <c r="C712" t="s">
        <v>7</v>
      </c>
      <c r="D712">
        <v>25</v>
      </c>
      <c r="E712">
        <v>87</v>
      </c>
      <c r="F712">
        <v>9.3240000000000003E-2</v>
      </c>
      <c r="G712">
        <v>0</v>
      </c>
      <c r="H712" t="str">
        <f t="shared" si="33"/>
        <v>80-89</v>
      </c>
      <c r="I712" t="str">
        <f t="shared" si="34"/>
        <v>20-29</v>
      </c>
      <c r="J712">
        <f t="shared" si="35"/>
        <v>9.3240000000000003E-2</v>
      </c>
    </row>
    <row r="713" spans="1:10">
      <c r="A713" t="s">
        <v>795</v>
      </c>
      <c r="B713">
        <v>49</v>
      </c>
      <c r="C713" t="s">
        <v>9</v>
      </c>
      <c r="D713">
        <v>23</v>
      </c>
      <c r="E713">
        <v>71</v>
      </c>
      <c r="F713">
        <v>1.9089999999999999E-2</v>
      </c>
      <c r="G713">
        <v>0</v>
      </c>
      <c r="H713" t="str">
        <f t="shared" si="33"/>
        <v>70-79</v>
      </c>
      <c r="I713" t="str">
        <f t="shared" si="34"/>
        <v>20-29</v>
      </c>
      <c r="J713">
        <f t="shared" si="35"/>
        <v>1.9089999999999999E-2</v>
      </c>
    </row>
    <row r="714" spans="1:10">
      <c r="A714" t="s">
        <v>796</v>
      </c>
      <c r="B714">
        <v>64</v>
      </c>
      <c r="C714" t="s">
        <v>7</v>
      </c>
      <c r="D714">
        <v>3</v>
      </c>
      <c r="E714">
        <v>66</v>
      </c>
      <c r="F714">
        <v>4.2300000000000003E-3</v>
      </c>
      <c r="G714">
        <v>0</v>
      </c>
      <c r="H714" t="str">
        <f t="shared" si="33"/>
        <v>60-69</v>
      </c>
      <c r="I714" t="str">
        <f t="shared" si="34"/>
        <v>0-9</v>
      </c>
      <c r="J714">
        <f t="shared" si="35"/>
        <v>4.2300000000000003E-3</v>
      </c>
    </row>
    <row r="715" spans="1:10">
      <c r="A715" t="s">
        <v>797</v>
      </c>
      <c r="B715">
        <v>46</v>
      </c>
      <c r="C715" t="s">
        <v>9</v>
      </c>
      <c r="D715">
        <v>22</v>
      </c>
      <c r="E715">
        <v>67</v>
      </c>
      <c r="F715">
        <v>1.2710000000000001E-2</v>
      </c>
      <c r="G715">
        <v>0</v>
      </c>
      <c r="H715" t="str">
        <f t="shared" si="33"/>
        <v>60-69</v>
      </c>
      <c r="I715" t="str">
        <f t="shared" si="34"/>
        <v>20-29</v>
      </c>
      <c r="J715">
        <f t="shared" si="35"/>
        <v>1.2710000000000001E-2</v>
      </c>
    </row>
    <row r="716" spans="1:10">
      <c r="A716" t="s">
        <v>798</v>
      </c>
      <c r="B716">
        <v>35</v>
      </c>
      <c r="C716" t="s">
        <v>7</v>
      </c>
      <c r="D716">
        <v>9</v>
      </c>
      <c r="E716">
        <v>43</v>
      </c>
      <c r="F716">
        <v>8.0000000000000004E-4</v>
      </c>
      <c r="G716">
        <v>0</v>
      </c>
      <c r="H716" t="str">
        <f t="shared" si="33"/>
        <v>40-49</v>
      </c>
      <c r="I716" t="str">
        <f t="shared" si="34"/>
        <v>0-9</v>
      </c>
      <c r="J716">
        <f t="shared" si="35"/>
        <v>8.0000000000000004E-4</v>
      </c>
    </row>
    <row r="717" spans="1:10">
      <c r="A717" t="s">
        <v>799</v>
      </c>
      <c r="B717">
        <v>44</v>
      </c>
      <c r="C717" t="s">
        <v>9</v>
      </c>
      <c r="D717">
        <v>3</v>
      </c>
      <c r="E717">
        <v>46</v>
      </c>
      <c r="F717">
        <v>9.8999999999999999E-4</v>
      </c>
      <c r="G717">
        <v>0</v>
      </c>
      <c r="H717" t="str">
        <f t="shared" si="33"/>
        <v>40-49</v>
      </c>
      <c r="I717" t="str">
        <f t="shared" si="34"/>
        <v>0-9</v>
      </c>
      <c r="J717">
        <f t="shared" si="35"/>
        <v>9.8999999999999999E-4</v>
      </c>
    </row>
    <row r="718" spans="1:10">
      <c r="A718" t="s">
        <v>800</v>
      </c>
      <c r="B718">
        <v>57</v>
      </c>
      <c r="C718" t="s">
        <v>7</v>
      </c>
      <c r="D718">
        <v>13</v>
      </c>
      <c r="E718">
        <v>69</v>
      </c>
      <c r="F718">
        <v>9.9299999999999996E-3</v>
      </c>
      <c r="G718">
        <v>0</v>
      </c>
      <c r="H718" t="str">
        <f t="shared" si="33"/>
        <v>60-69</v>
      </c>
      <c r="I718" t="str">
        <f t="shared" si="34"/>
        <v>10-19</v>
      </c>
      <c r="J718">
        <f t="shared" si="35"/>
        <v>9.9299999999999996E-3</v>
      </c>
    </row>
    <row r="719" spans="1:10">
      <c r="A719" t="s">
        <v>801</v>
      </c>
      <c r="B719">
        <v>64</v>
      </c>
      <c r="C719" t="s">
        <v>7</v>
      </c>
      <c r="D719">
        <v>14</v>
      </c>
      <c r="E719">
        <v>77</v>
      </c>
      <c r="F719">
        <v>2.3390000000000001E-2</v>
      </c>
      <c r="G719">
        <v>0</v>
      </c>
      <c r="H719" t="str">
        <f t="shared" si="33"/>
        <v>70-79</v>
      </c>
      <c r="I719" t="str">
        <f t="shared" si="34"/>
        <v>10-19</v>
      </c>
      <c r="J719">
        <f t="shared" si="35"/>
        <v>2.3390000000000001E-2</v>
      </c>
    </row>
    <row r="720" spans="1:10">
      <c r="A720" t="s">
        <v>802</v>
      </c>
      <c r="B720">
        <v>43</v>
      </c>
      <c r="C720" t="s">
        <v>7</v>
      </c>
      <c r="D720">
        <v>23</v>
      </c>
      <c r="E720">
        <v>65</v>
      </c>
      <c r="F720">
        <v>8.3099999999999997E-3</v>
      </c>
      <c r="G720">
        <v>0</v>
      </c>
      <c r="H720" t="str">
        <f t="shared" si="33"/>
        <v>60-69</v>
      </c>
      <c r="I720" t="str">
        <f t="shared" si="34"/>
        <v>20-29</v>
      </c>
      <c r="J720">
        <f t="shared" si="35"/>
        <v>8.3099999999999997E-3</v>
      </c>
    </row>
    <row r="721" spans="1:10">
      <c r="A721" t="s">
        <v>803</v>
      </c>
      <c r="B721">
        <v>60</v>
      </c>
      <c r="C721" t="s">
        <v>9</v>
      </c>
      <c r="D721">
        <v>30</v>
      </c>
      <c r="E721">
        <v>89</v>
      </c>
      <c r="F721">
        <v>9.1270000000000004E-2</v>
      </c>
      <c r="G721">
        <v>0</v>
      </c>
      <c r="H721" t="str">
        <f t="shared" si="33"/>
        <v>80-89</v>
      </c>
      <c r="I721" t="str">
        <f t="shared" si="34"/>
        <v>30-39</v>
      </c>
      <c r="J721">
        <f t="shared" si="35"/>
        <v>9.1270000000000004E-2</v>
      </c>
    </row>
    <row r="722" spans="1:10">
      <c r="A722" t="s">
        <v>804</v>
      </c>
      <c r="B722">
        <v>62</v>
      </c>
      <c r="C722" t="s">
        <v>9</v>
      </c>
      <c r="D722">
        <v>22</v>
      </c>
      <c r="E722">
        <v>83</v>
      </c>
      <c r="F722">
        <v>7.1389999999999995E-2</v>
      </c>
      <c r="G722">
        <v>0</v>
      </c>
      <c r="H722" t="str">
        <f t="shared" si="33"/>
        <v>80-89</v>
      </c>
      <c r="I722" t="str">
        <f t="shared" si="34"/>
        <v>20-29</v>
      </c>
      <c r="J722">
        <f t="shared" si="35"/>
        <v>7.1389999999999995E-2</v>
      </c>
    </row>
    <row r="723" spans="1:10">
      <c r="A723" t="s">
        <v>805</v>
      </c>
      <c r="B723">
        <v>22</v>
      </c>
      <c r="C723" t="s">
        <v>7</v>
      </c>
      <c r="D723">
        <v>19</v>
      </c>
      <c r="E723">
        <v>40</v>
      </c>
      <c r="F723">
        <v>1.1000000000000001E-3</v>
      </c>
      <c r="G723">
        <v>0</v>
      </c>
      <c r="H723" t="str">
        <f t="shared" si="33"/>
        <v>40-49</v>
      </c>
      <c r="I723" t="str">
        <f t="shared" si="34"/>
        <v>10-19</v>
      </c>
      <c r="J723">
        <f t="shared" si="35"/>
        <v>1.1000000000000001E-3</v>
      </c>
    </row>
    <row r="724" spans="1:10">
      <c r="A724" t="s">
        <v>806</v>
      </c>
      <c r="B724">
        <v>45</v>
      </c>
      <c r="C724" t="s">
        <v>9</v>
      </c>
      <c r="D724">
        <v>25</v>
      </c>
      <c r="E724">
        <v>69</v>
      </c>
      <c r="F724">
        <v>1.5509999999999999E-2</v>
      </c>
      <c r="G724">
        <v>0</v>
      </c>
      <c r="H724" t="str">
        <f t="shared" si="33"/>
        <v>60-69</v>
      </c>
      <c r="I724" t="str">
        <f t="shared" si="34"/>
        <v>20-29</v>
      </c>
      <c r="J724">
        <f t="shared" si="35"/>
        <v>1.5509999999999999E-2</v>
      </c>
    </row>
    <row r="725" spans="1:10">
      <c r="A725" t="s">
        <v>807</v>
      </c>
      <c r="B725">
        <v>26</v>
      </c>
      <c r="C725" t="s">
        <v>9</v>
      </c>
      <c r="D725">
        <v>1</v>
      </c>
      <c r="E725">
        <v>26</v>
      </c>
      <c r="F725">
        <v>3.5E-4</v>
      </c>
      <c r="G725">
        <v>0</v>
      </c>
      <c r="H725" t="str">
        <f t="shared" si="33"/>
        <v>20-29</v>
      </c>
      <c r="I725" t="str">
        <f t="shared" si="34"/>
        <v>0-9</v>
      </c>
      <c r="J725">
        <f t="shared" si="35"/>
        <v>3.5E-4</v>
      </c>
    </row>
    <row r="726" spans="1:10">
      <c r="A726" t="s">
        <v>808</v>
      </c>
      <c r="B726">
        <v>53</v>
      </c>
      <c r="C726" t="s">
        <v>7</v>
      </c>
      <c r="D726">
        <v>18</v>
      </c>
      <c r="E726">
        <v>70</v>
      </c>
      <c r="F726">
        <v>1.302E-2</v>
      </c>
      <c r="G726">
        <v>0</v>
      </c>
      <c r="H726" t="str">
        <f t="shared" si="33"/>
        <v>70-79</v>
      </c>
      <c r="I726" t="str">
        <f t="shared" si="34"/>
        <v>10-19</v>
      </c>
      <c r="J726">
        <f t="shared" si="35"/>
        <v>1.302E-2</v>
      </c>
    </row>
    <row r="727" spans="1:10">
      <c r="A727" t="s">
        <v>809</v>
      </c>
      <c r="B727">
        <v>48</v>
      </c>
      <c r="C727" t="s">
        <v>9</v>
      </c>
      <c r="D727">
        <v>12</v>
      </c>
      <c r="E727">
        <v>59</v>
      </c>
      <c r="F727">
        <v>5.3400000000000001E-3</v>
      </c>
      <c r="G727">
        <v>0</v>
      </c>
      <c r="H727" t="str">
        <f t="shared" si="33"/>
        <v>50-59</v>
      </c>
      <c r="I727" t="str">
        <f t="shared" si="34"/>
        <v>10-19</v>
      </c>
      <c r="J727">
        <f t="shared" si="35"/>
        <v>5.3400000000000001E-3</v>
      </c>
    </row>
    <row r="728" spans="1:10">
      <c r="A728" t="s">
        <v>810</v>
      </c>
      <c r="B728">
        <v>57</v>
      </c>
      <c r="C728" t="s">
        <v>7</v>
      </c>
      <c r="D728">
        <v>23</v>
      </c>
      <c r="E728">
        <v>79</v>
      </c>
      <c r="F728">
        <v>3.569E-2</v>
      </c>
      <c r="G728">
        <v>0</v>
      </c>
      <c r="H728" t="str">
        <f t="shared" si="33"/>
        <v>70-79</v>
      </c>
      <c r="I728" t="str">
        <f t="shared" si="34"/>
        <v>20-29</v>
      </c>
      <c r="J728">
        <f t="shared" si="35"/>
        <v>3.569E-2</v>
      </c>
    </row>
    <row r="729" spans="1:10">
      <c r="A729" t="s">
        <v>811</v>
      </c>
      <c r="B729">
        <v>21</v>
      </c>
      <c r="C729" t="s">
        <v>9</v>
      </c>
      <c r="D729">
        <v>16</v>
      </c>
      <c r="E729">
        <v>36</v>
      </c>
      <c r="F729">
        <v>1.01E-3</v>
      </c>
      <c r="G729">
        <v>0</v>
      </c>
      <c r="H729" t="str">
        <f t="shared" si="33"/>
        <v>30-39</v>
      </c>
      <c r="I729" t="str">
        <f t="shared" si="34"/>
        <v>10-19</v>
      </c>
      <c r="J729">
        <f t="shared" si="35"/>
        <v>1.01E-3</v>
      </c>
    </row>
    <row r="730" spans="1:10">
      <c r="A730" t="s">
        <v>812</v>
      </c>
      <c r="B730">
        <v>25</v>
      </c>
      <c r="C730" t="s">
        <v>7</v>
      </c>
      <c r="D730">
        <v>4</v>
      </c>
      <c r="E730">
        <v>28</v>
      </c>
      <c r="F730">
        <v>2.2000000000000001E-4</v>
      </c>
      <c r="G730">
        <v>0</v>
      </c>
      <c r="H730" t="str">
        <f t="shared" si="33"/>
        <v>20-29</v>
      </c>
      <c r="I730" t="str">
        <f t="shared" si="34"/>
        <v>0-9</v>
      </c>
      <c r="J730">
        <f t="shared" si="35"/>
        <v>2.2000000000000001E-4</v>
      </c>
    </row>
    <row r="731" spans="1:10">
      <c r="A731" t="s">
        <v>813</v>
      </c>
      <c r="B731">
        <v>42</v>
      </c>
      <c r="C731" t="s">
        <v>9</v>
      </c>
      <c r="D731">
        <v>10</v>
      </c>
      <c r="E731">
        <v>51</v>
      </c>
      <c r="F731">
        <v>2.2799999999999999E-3</v>
      </c>
      <c r="G731">
        <v>0</v>
      </c>
      <c r="H731" t="str">
        <f t="shared" si="33"/>
        <v>50-59</v>
      </c>
      <c r="I731" t="str">
        <f t="shared" si="34"/>
        <v>10-19</v>
      </c>
      <c r="J731">
        <f t="shared" si="35"/>
        <v>2.2799999999999999E-3</v>
      </c>
    </row>
    <row r="732" spans="1:10">
      <c r="A732" t="s">
        <v>814</v>
      </c>
      <c r="B732">
        <v>53</v>
      </c>
      <c r="C732" t="s">
        <v>9</v>
      </c>
      <c r="D732">
        <v>16</v>
      </c>
      <c r="E732">
        <v>68</v>
      </c>
      <c r="F732">
        <v>1.3690000000000001E-2</v>
      </c>
      <c r="G732">
        <v>0</v>
      </c>
      <c r="H732" t="str">
        <f t="shared" si="33"/>
        <v>60-69</v>
      </c>
      <c r="I732" t="str">
        <f t="shared" si="34"/>
        <v>10-19</v>
      </c>
      <c r="J732">
        <f t="shared" si="35"/>
        <v>1.3690000000000001E-2</v>
      </c>
    </row>
    <row r="733" spans="1:10">
      <c r="A733" t="s">
        <v>815</v>
      </c>
      <c r="B733">
        <v>64</v>
      </c>
      <c r="C733" t="s">
        <v>9</v>
      </c>
      <c r="D733">
        <v>15</v>
      </c>
      <c r="E733">
        <v>78</v>
      </c>
      <c r="F733">
        <v>3.6339999999999997E-2</v>
      </c>
      <c r="G733">
        <v>0</v>
      </c>
      <c r="H733" t="str">
        <f t="shared" si="33"/>
        <v>70-79</v>
      </c>
      <c r="I733" t="str">
        <f t="shared" si="34"/>
        <v>10-19</v>
      </c>
      <c r="J733">
        <f t="shared" si="35"/>
        <v>3.6339999999999997E-2</v>
      </c>
    </row>
    <row r="734" spans="1:10">
      <c r="A734" t="s">
        <v>816</v>
      </c>
      <c r="B734">
        <v>65</v>
      </c>
      <c r="C734" t="s">
        <v>9</v>
      </c>
      <c r="D734">
        <v>4</v>
      </c>
      <c r="E734">
        <v>68</v>
      </c>
      <c r="F734">
        <v>8.1499999999999993E-3</v>
      </c>
      <c r="G734">
        <v>0</v>
      </c>
      <c r="H734" t="str">
        <f t="shared" si="33"/>
        <v>60-69</v>
      </c>
      <c r="I734" t="str">
        <f t="shared" si="34"/>
        <v>0-9</v>
      </c>
      <c r="J734">
        <f t="shared" si="35"/>
        <v>8.1499999999999993E-3</v>
      </c>
    </row>
    <row r="735" spans="1:10">
      <c r="A735" t="s">
        <v>817</v>
      </c>
      <c r="B735">
        <v>26</v>
      </c>
      <c r="C735" t="s">
        <v>7</v>
      </c>
      <c r="D735">
        <v>22</v>
      </c>
      <c r="E735">
        <v>47</v>
      </c>
      <c r="F735">
        <v>1.6000000000000001E-3</v>
      </c>
      <c r="G735">
        <v>0</v>
      </c>
      <c r="H735" t="str">
        <f t="shared" si="33"/>
        <v>40-49</v>
      </c>
      <c r="I735" t="str">
        <f t="shared" si="34"/>
        <v>20-29</v>
      </c>
      <c r="J735">
        <f t="shared" si="35"/>
        <v>1.6000000000000001E-3</v>
      </c>
    </row>
    <row r="736" spans="1:10">
      <c r="A736" t="s">
        <v>818</v>
      </c>
      <c r="B736">
        <v>35</v>
      </c>
      <c r="C736" t="s">
        <v>9</v>
      </c>
      <c r="D736">
        <v>17</v>
      </c>
      <c r="E736">
        <v>51</v>
      </c>
      <c r="F736">
        <v>2.65E-3</v>
      </c>
      <c r="G736">
        <v>0</v>
      </c>
      <c r="H736" t="str">
        <f t="shared" si="33"/>
        <v>50-59</v>
      </c>
      <c r="I736" t="str">
        <f t="shared" si="34"/>
        <v>10-19</v>
      </c>
      <c r="J736">
        <f t="shared" si="35"/>
        <v>2.65E-3</v>
      </c>
    </row>
    <row r="737" spans="1:10">
      <c r="A737" t="s">
        <v>819</v>
      </c>
      <c r="B737">
        <v>55</v>
      </c>
      <c r="C737" t="s">
        <v>7</v>
      </c>
      <c r="D737">
        <v>14</v>
      </c>
      <c r="E737">
        <v>68</v>
      </c>
      <c r="F737">
        <v>9.5999999999999992E-3</v>
      </c>
      <c r="G737">
        <v>0</v>
      </c>
      <c r="H737" t="str">
        <f t="shared" si="33"/>
        <v>60-69</v>
      </c>
      <c r="I737" t="str">
        <f t="shared" si="34"/>
        <v>10-19</v>
      </c>
      <c r="J737">
        <f t="shared" si="35"/>
        <v>9.5999999999999992E-3</v>
      </c>
    </row>
    <row r="738" spans="1:10">
      <c r="A738" t="s">
        <v>820</v>
      </c>
      <c r="B738">
        <v>45</v>
      </c>
      <c r="C738" t="s">
        <v>9</v>
      </c>
      <c r="D738">
        <v>21</v>
      </c>
      <c r="E738">
        <v>65</v>
      </c>
      <c r="F738">
        <v>1.022E-2</v>
      </c>
      <c r="G738">
        <v>0</v>
      </c>
      <c r="H738" t="str">
        <f t="shared" si="33"/>
        <v>60-69</v>
      </c>
      <c r="I738" t="str">
        <f t="shared" si="34"/>
        <v>20-29</v>
      </c>
      <c r="J738">
        <f t="shared" si="35"/>
        <v>1.022E-2</v>
      </c>
    </row>
    <row r="739" spans="1:10">
      <c r="A739" t="s">
        <v>821</v>
      </c>
      <c r="B739">
        <v>47</v>
      </c>
      <c r="C739" t="s">
        <v>9</v>
      </c>
      <c r="D739">
        <v>13</v>
      </c>
      <c r="E739">
        <v>59</v>
      </c>
      <c r="F739">
        <v>5.3800000000000002E-3</v>
      </c>
      <c r="G739">
        <v>0</v>
      </c>
      <c r="H739" t="str">
        <f t="shared" si="33"/>
        <v>50-59</v>
      </c>
      <c r="I739" t="str">
        <f t="shared" si="34"/>
        <v>10-19</v>
      </c>
      <c r="J739">
        <f t="shared" si="35"/>
        <v>5.3800000000000002E-3</v>
      </c>
    </row>
    <row r="740" spans="1:10">
      <c r="A740" t="s">
        <v>822</v>
      </c>
      <c r="B740">
        <v>32</v>
      </c>
      <c r="C740" t="s">
        <v>7</v>
      </c>
      <c r="D740">
        <v>15</v>
      </c>
      <c r="E740">
        <v>46</v>
      </c>
      <c r="F740">
        <v>1.2600000000000001E-3</v>
      </c>
      <c r="G740">
        <v>0</v>
      </c>
      <c r="H740" t="str">
        <f t="shared" si="33"/>
        <v>40-49</v>
      </c>
      <c r="I740" t="str">
        <f t="shared" si="34"/>
        <v>10-19</v>
      </c>
      <c r="J740">
        <f t="shared" si="35"/>
        <v>1.2600000000000001E-3</v>
      </c>
    </row>
    <row r="741" spans="1:10">
      <c r="A741" t="s">
        <v>823</v>
      </c>
      <c r="B741">
        <v>65</v>
      </c>
      <c r="C741" t="s">
        <v>9</v>
      </c>
      <c r="D741">
        <v>7</v>
      </c>
      <c r="E741">
        <v>71</v>
      </c>
      <c r="F741">
        <v>1.257E-2</v>
      </c>
      <c r="G741">
        <v>0</v>
      </c>
      <c r="H741" t="str">
        <f t="shared" si="33"/>
        <v>70-79</v>
      </c>
      <c r="I741" t="str">
        <f t="shared" si="34"/>
        <v>0-9</v>
      </c>
      <c r="J741">
        <f t="shared" si="35"/>
        <v>1.257E-2</v>
      </c>
    </row>
    <row r="742" spans="1:10">
      <c r="A742" t="s">
        <v>824</v>
      </c>
      <c r="B742">
        <v>24</v>
      </c>
      <c r="C742" t="s">
        <v>9</v>
      </c>
      <c r="D742">
        <v>19</v>
      </c>
      <c r="E742">
        <v>42</v>
      </c>
      <c r="F742">
        <v>1.72E-3</v>
      </c>
      <c r="G742">
        <v>0</v>
      </c>
      <c r="H742" t="str">
        <f t="shared" si="33"/>
        <v>40-49</v>
      </c>
      <c r="I742" t="str">
        <f t="shared" si="34"/>
        <v>10-19</v>
      </c>
      <c r="J742">
        <f t="shared" si="35"/>
        <v>1.72E-3</v>
      </c>
    </row>
    <row r="743" spans="1:10">
      <c r="A743" t="s">
        <v>825</v>
      </c>
      <c r="B743">
        <v>31</v>
      </c>
      <c r="C743" t="s">
        <v>9</v>
      </c>
      <c r="D743">
        <v>12</v>
      </c>
      <c r="E743">
        <v>42</v>
      </c>
      <c r="F743">
        <v>1.17E-3</v>
      </c>
      <c r="G743">
        <v>0</v>
      </c>
      <c r="H743" t="str">
        <f t="shared" si="33"/>
        <v>40-49</v>
      </c>
      <c r="I743" t="str">
        <f t="shared" si="34"/>
        <v>10-19</v>
      </c>
      <c r="J743">
        <f t="shared" si="35"/>
        <v>1.17E-3</v>
      </c>
    </row>
    <row r="744" spans="1:10">
      <c r="A744" t="s">
        <v>826</v>
      </c>
      <c r="B744">
        <v>36</v>
      </c>
      <c r="C744" t="s">
        <v>7</v>
      </c>
      <c r="D744">
        <v>22</v>
      </c>
      <c r="E744">
        <v>57</v>
      </c>
      <c r="F744">
        <v>3.6900000000000001E-3</v>
      </c>
      <c r="G744">
        <v>0</v>
      </c>
      <c r="H744" t="str">
        <f t="shared" si="33"/>
        <v>50-59</v>
      </c>
      <c r="I744" t="str">
        <f t="shared" si="34"/>
        <v>20-29</v>
      </c>
      <c r="J744">
        <f t="shared" si="35"/>
        <v>3.6900000000000001E-3</v>
      </c>
    </row>
    <row r="745" spans="1:10">
      <c r="A745" t="s">
        <v>827</v>
      </c>
      <c r="B745">
        <v>60</v>
      </c>
      <c r="C745" t="s">
        <v>7</v>
      </c>
      <c r="D745">
        <v>11</v>
      </c>
      <c r="E745">
        <v>70</v>
      </c>
      <c r="F745">
        <v>9.3900000000000008E-3</v>
      </c>
      <c r="G745">
        <v>0</v>
      </c>
      <c r="H745" t="str">
        <f t="shared" si="33"/>
        <v>70-79</v>
      </c>
      <c r="I745" t="str">
        <f t="shared" si="34"/>
        <v>10-19</v>
      </c>
      <c r="J745">
        <f t="shared" si="35"/>
        <v>9.3900000000000008E-3</v>
      </c>
    </row>
    <row r="746" spans="1:10">
      <c r="A746" t="s">
        <v>828</v>
      </c>
      <c r="B746">
        <v>57</v>
      </c>
      <c r="C746" t="s">
        <v>9</v>
      </c>
      <c r="D746">
        <v>4</v>
      </c>
      <c r="E746">
        <v>60</v>
      </c>
      <c r="F746">
        <v>4.6899999999999997E-3</v>
      </c>
      <c r="G746">
        <v>0</v>
      </c>
      <c r="H746" t="str">
        <f t="shared" si="33"/>
        <v>60-69</v>
      </c>
      <c r="I746" t="str">
        <f t="shared" si="34"/>
        <v>0-9</v>
      </c>
      <c r="J746">
        <f t="shared" si="35"/>
        <v>4.6899999999999997E-3</v>
      </c>
    </row>
    <row r="747" spans="1:10">
      <c r="A747" t="s">
        <v>829</v>
      </c>
      <c r="B747">
        <v>59</v>
      </c>
      <c r="C747" t="s">
        <v>7</v>
      </c>
      <c r="D747">
        <v>6</v>
      </c>
      <c r="E747">
        <v>64</v>
      </c>
      <c r="F747">
        <v>5.1599999999999997E-3</v>
      </c>
      <c r="G747">
        <v>0</v>
      </c>
      <c r="H747" t="str">
        <f t="shared" si="33"/>
        <v>60-69</v>
      </c>
      <c r="I747" t="str">
        <f t="shared" si="34"/>
        <v>0-9</v>
      </c>
      <c r="J747">
        <f t="shared" si="35"/>
        <v>5.1599999999999997E-3</v>
      </c>
    </row>
    <row r="748" spans="1:10">
      <c r="A748" t="s">
        <v>830</v>
      </c>
      <c r="B748">
        <v>39</v>
      </c>
      <c r="C748" t="s">
        <v>7</v>
      </c>
      <c r="D748">
        <v>30</v>
      </c>
      <c r="E748">
        <v>68</v>
      </c>
      <c r="F748">
        <v>7.4700000000000001E-3</v>
      </c>
      <c r="G748">
        <v>0</v>
      </c>
      <c r="H748" t="str">
        <f t="shared" si="33"/>
        <v>60-69</v>
      </c>
      <c r="I748" t="str">
        <f t="shared" si="34"/>
        <v>30-39</v>
      </c>
      <c r="J748">
        <f t="shared" si="35"/>
        <v>7.4700000000000001E-3</v>
      </c>
    </row>
    <row r="749" spans="1:10">
      <c r="A749" t="s">
        <v>831</v>
      </c>
      <c r="B749">
        <v>28</v>
      </c>
      <c r="C749" t="s">
        <v>9</v>
      </c>
      <c r="D749">
        <v>11</v>
      </c>
      <c r="E749">
        <v>38</v>
      </c>
      <c r="F749">
        <v>8.7000000000000001E-4</v>
      </c>
      <c r="G749">
        <v>0</v>
      </c>
      <c r="H749" t="str">
        <f t="shared" si="33"/>
        <v>30-39</v>
      </c>
      <c r="I749" t="str">
        <f t="shared" si="34"/>
        <v>10-19</v>
      </c>
      <c r="J749">
        <f t="shared" si="35"/>
        <v>8.7000000000000001E-4</v>
      </c>
    </row>
    <row r="750" spans="1:10">
      <c r="A750" t="s">
        <v>832</v>
      </c>
      <c r="B750">
        <v>31</v>
      </c>
      <c r="C750" t="s">
        <v>7</v>
      </c>
      <c r="D750">
        <v>12</v>
      </c>
      <c r="E750">
        <v>42</v>
      </c>
      <c r="F750">
        <v>9.1E-4</v>
      </c>
      <c r="G750">
        <v>0</v>
      </c>
      <c r="H750" t="str">
        <f t="shared" si="33"/>
        <v>40-49</v>
      </c>
      <c r="I750" t="str">
        <f t="shared" si="34"/>
        <v>10-19</v>
      </c>
      <c r="J750">
        <f t="shared" si="35"/>
        <v>9.1E-4</v>
      </c>
    </row>
    <row r="751" spans="1:10">
      <c r="A751" t="s">
        <v>833</v>
      </c>
      <c r="B751">
        <v>46</v>
      </c>
      <c r="C751" t="s">
        <v>9</v>
      </c>
      <c r="D751">
        <v>20</v>
      </c>
      <c r="E751">
        <v>65</v>
      </c>
      <c r="F751">
        <v>1.022E-2</v>
      </c>
      <c r="G751">
        <v>0</v>
      </c>
      <c r="H751" t="str">
        <f t="shared" si="33"/>
        <v>60-69</v>
      </c>
      <c r="I751" t="str">
        <f t="shared" si="34"/>
        <v>20-29</v>
      </c>
      <c r="J751">
        <f t="shared" si="35"/>
        <v>1.022E-2</v>
      </c>
    </row>
    <row r="752" spans="1:10">
      <c r="A752" t="s">
        <v>834</v>
      </c>
      <c r="B752">
        <v>31</v>
      </c>
      <c r="C752" t="s">
        <v>7</v>
      </c>
      <c r="D752">
        <v>16</v>
      </c>
      <c r="E752">
        <v>46</v>
      </c>
      <c r="F752">
        <v>1.2899999999999999E-3</v>
      </c>
      <c r="G752">
        <v>0</v>
      </c>
      <c r="H752" t="str">
        <f t="shared" si="33"/>
        <v>40-49</v>
      </c>
      <c r="I752" t="str">
        <f t="shared" si="34"/>
        <v>10-19</v>
      </c>
      <c r="J752">
        <f t="shared" si="35"/>
        <v>1.2899999999999999E-3</v>
      </c>
    </row>
    <row r="753" spans="1:10">
      <c r="A753" t="s">
        <v>835</v>
      </c>
      <c r="B753">
        <v>61</v>
      </c>
      <c r="C753" t="s">
        <v>7</v>
      </c>
      <c r="D753">
        <v>30</v>
      </c>
      <c r="E753">
        <v>90</v>
      </c>
      <c r="F753">
        <v>8.2710000000000006E-2</v>
      </c>
      <c r="G753">
        <v>0</v>
      </c>
      <c r="H753" t="str">
        <f t="shared" si="33"/>
        <v>90-99</v>
      </c>
      <c r="I753" t="str">
        <f t="shared" si="34"/>
        <v>30-39</v>
      </c>
      <c r="J753">
        <f t="shared" si="35"/>
        <v>8.2710000000000006E-2</v>
      </c>
    </row>
    <row r="754" spans="1:10">
      <c r="A754" t="s">
        <v>836</v>
      </c>
      <c r="B754">
        <v>51</v>
      </c>
      <c r="C754" t="s">
        <v>9</v>
      </c>
      <c r="D754">
        <v>10</v>
      </c>
      <c r="E754">
        <v>60</v>
      </c>
      <c r="F754">
        <v>5.8999999999999999E-3</v>
      </c>
      <c r="G754">
        <v>0</v>
      </c>
      <c r="H754" t="str">
        <f t="shared" si="33"/>
        <v>60-69</v>
      </c>
      <c r="I754" t="str">
        <f t="shared" si="34"/>
        <v>10-19</v>
      </c>
      <c r="J754">
        <f t="shared" si="35"/>
        <v>5.8999999999999999E-3</v>
      </c>
    </row>
    <row r="755" spans="1:10">
      <c r="A755" t="s">
        <v>837</v>
      </c>
      <c r="B755">
        <v>48</v>
      </c>
      <c r="C755" t="s">
        <v>9</v>
      </c>
      <c r="D755">
        <v>20</v>
      </c>
      <c r="E755">
        <v>67</v>
      </c>
      <c r="F755">
        <v>1.247E-2</v>
      </c>
      <c r="G755">
        <v>0</v>
      </c>
      <c r="H755" t="str">
        <f t="shared" si="33"/>
        <v>60-69</v>
      </c>
      <c r="I755" t="str">
        <f t="shared" si="34"/>
        <v>20-29</v>
      </c>
      <c r="J755">
        <f t="shared" si="35"/>
        <v>1.247E-2</v>
      </c>
    </row>
    <row r="756" spans="1:10">
      <c r="A756" t="s">
        <v>838</v>
      </c>
      <c r="B756">
        <v>20</v>
      </c>
      <c r="C756" t="s">
        <v>9</v>
      </c>
      <c r="D756">
        <v>16</v>
      </c>
      <c r="E756">
        <v>35</v>
      </c>
      <c r="F756">
        <v>9.7999999999999997E-4</v>
      </c>
      <c r="G756">
        <v>0</v>
      </c>
      <c r="H756" t="str">
        <f t="shared" si="33"/>
        <v>30-39</v>
      </c>
      <c r="I756" t="str">
        <f t="shared" si="34"/>
        <v>10-19</v>
      </c>
      <c r="J756">
        <f t="shared" si="35"/>
        <v>9.7999999999999997E-4</v>
      </c>
    </row>
    <row r="757" spans="1:10">
      <c r="A757" t="s">
        <v>839</v>
      </c>
      <c r="B757">
        <v>55</v>
      </c>
      <c r="C757" t="s">
        <v>7</v>
      </c>
      <c r="D757">
        <v>17</v>
      </c>
      <c r="E757">
        <v>71</v>
      </c>
      <c r="F757">
        <v>1.409E-2</v>
      </c>
      <c r="G757">
        <v>0</v>
      </c>
      <c r="H757" t="str">
        <f t="shared" si="33"/>
        <v>70-79</v>
      </c>
      <c r="I757" t="str">
        <f t="shared" si="34"/>
        <v>10-19</v>
      </c>
      <c r="J757">
        <f t="shared" si="35"/>
        <v>1.409E-2</v>
      </c>
    </row>
    <row r="758" spans="1:10">
      <c r="A758" t="s">
        <v>840</v>
      </c>
      <c r="B758">
        <v>51</v>
      </c>
      <c r="C758" t="s">
        <v>7</v>
      </c>
      <c r="D758">
        <v>14</v>
      </c>
      <c r="E758">
        <v>64</v>
      </c>
      <c r="F758">
        <v>6.6100000000000004E-3</v>
      </c>
      <c r="G758">
        <v>0</v>
      </c>
      <c r="H758" t="str">
        <f t="shared" si="33"/>
        <v>60-69</v>
      </c>
      <c r="I758" t="str">
        <f t="shared" si="34"/>
        <v>10-19</v>
      </c>
      <c r="J758">
        <f t="shared" si="35"/>
        <v>6.6100000000000004E-3</v>
      </c>
    </row>
    <row r="759" spans="1:10">
      <c r="A759" t="s">
        <v>841</v>
      </c>
      <c r="B759">
        <v>30</v>
      </c>
      <c r="C759" t="s">
        <v>7</v>
      </c>
      <c r="D759">
        <v>3</v>
      </c>
      <c r="E759">
        <v>32</v>
      </c>
      <c r="F759">
        <v>2.2000000000000001E-4</v>
      </c>
      <c r="G759">
        <v>0</v>
      </c>
      <c r="H759" t="str">
        <f t="shared" si="33"/>
        <v>30-39</v>
      </c>
      <c r="I759" t="str">
        <f t="shared" si="34"/>
        <v>0-9</v>
      </c>
      <c r="J759">
        <f t="shared" si="35"/>
        <v>2.2000000000000001E-4</v>
      </c>
    </row>
    <row r="760" spans="1:10">
      <c r="A760" t="s">
        <v>842</v>
      </c>
      <c r="B760">
        <v>34</v>
      </c>
      <c r="C760" t="s">
        <v>9</v>
      </c>
      <c r="D760">
        <v>10</v>
      </c>
      <c r="E760">
        <v>43</v>
      </c>
      <c r="F760">
        <v>1.2199999999999999E-3</v>
      </c>
      <c r="G760">
        <v>0</v>
      </c>
      <c r="H760" t="str">
        <f t="shared" si="33"/>
        <v>40-49</v>
      </c>
      <c r="I760" t="str">
        <f t="shared" si="34"/>
        <v>10-19</v>
      </c>
      <c r="J760">
        <f t="shared" si="35"/>
        <v>1.2199999999999999E-3</v>
      </c>
    </row>
    <row r="761" spans="1:10">
      <c r="A761" t="s">
        <v>843</v>
      </c>
      <c r="B761">
        <v>38</v>
      </c>
      <c r="C761" t="s">
        <v>7</v>
      </c>
      <c r="D761">
        <v>6</v>
      </c>
      <c r="E761">
        <v>43</v>
      </c>
      <c r="F761">
        <v>7.5000000000000002E-4</v>
      </c>
      <c r="G761">
        <v>0</v>
      </c>
      <c r="H761" t="str">
        <f t="shared" si="33"/>
        <v>40-49</v>
      </c>
      <c r="I761" t="str">
        <f t="shared" si="34"/>
        <v>0-9</v>
      </c>
      <c r="J761">
        <f t="shared" si="35"/>
        <v>7.5000000000000002E-4</v>
      </c>
    </row>
    <row r="762" spans="1:10">
      <c r="A762" t="s">
        <v>844</v>
      </c>
      <c r="B762">
        <v>51</v>
      </c>
      <c r="C762" t="s">
        <v>7</v>
      </c>
      <c r="D762">
        <v>18</v>
      </c>
      <c r="E762">
        <v>68</v>
      </c>
      <c r="F762">
        <v>1.0800000000000001E-2</v>
      </c>
      <c r="G762">
        <v>0</v>
      </c>
      <c r="H762" t="str">
        <f t="shared" si="33"/>
        <v>60-69</v>
      </c>
      <c r="I762" t="str">
        <f t="shared" si="34"/>
        <v>10-19</v>
      </c>
      <c r="J762">
        <f t="shared" si="35"/>
        <v>1.0800000000000001E-2</v>
      </c>
    </row>
    <row r="763" spans="1:10">
      <c r="A763" t="s">
        <v>845</v>
      </c>
      <c r="B763">
        <v>37</v>
      </c>
      <c r="C763" t="s">
        <v>7</v>
      </c>
      <c r="D763">
        <v>25</v>
      </c>
      <c r="E763">
        <v>61</v>
      </c>
      <c r="F763">
        <v>5.4599999999999996E-3</v>
      </c>
      <c r="G763">
        <v>0</v>
      </c>
      <c r="H763" t="str">
        <f t="shared" si="33"/>
        <v>60-69</v>
      </c>
      <c r="I763" t="str">
        <f t="shared" si="34"/>
        <v>20-29</v>
      </c>
      <c r="J763">
        <f t="shared" si="35"/>
        <v>5.4599999999999996E-3</v>
      </c>
    </row>
    <row r="764" spans="1:10">
      <c r="A764" t="s">
        <v>846</v>
      </c>
      <c r="B764">
        <v>54</v>
      </c>
      <c r="C764" t="s">
        <v>7</v>
      </c>
      <c r="D764">
        <v>27</v>
      </c>
      <c r="E764">
        <v>80</v>
      </c>
      <c r="F764">
        <v>3.569E-2</v>
      </c>
      <c r="G764">
        <v>0</v>
      </c>
      <c r="H764" t="str">
        <f t="shared" si="33"/>
        <v>80-89</v>
      </c>
      <c r="I764" t="str">
        <f t="shared" si="34"/>
        <v>20-29</v>
      </c>
      <c r="J764">
        <f t="shared" si="35"/>
        <v>3.569E-2</v>
      </c>
    </row>
    <row r="765" spans="1:10">
      <c r="A765" t="s">
        <v>847</v>
      </c>
      <c r="B765">
        <v>48</v>
      </c>
      <c r="C765" t="s">
        <v>9</v>
      </c>
      <c r="D765">
        <v>18</v>
      </c>
      <c r="E765">
        <v>65</v>
      </c>
      <c r="F765">
        <v>1.022E-2</v>
      </c>
      <c r="G765">
        <v>0</v>
      </c>
      <c r="H765" t="str">
        <f t="shared" si="33"/>
        <v>60-69</v>
      </c>
      <c r="I765" t="str">
        <f t="shared" si="34"/>
        <v>10-19</v>
      </c>
      <c r="J765">
        <f t="shared" si="35"/>
        <v>1.022E-2</v>
      </c>
    </row>
    <row r="766" spans="1:10">
      <c r="A766" t="s">
        <v>848</v>
      </c>
      <c r="B766">
        <v>61</v>
      </c>
      <c r="C766" t="s">
        <v>9</v>
      </c>
      <c r="D766">
        <v>25</v>
      </c>
      <c r="E766">
        <v>85</v>
      </c>
      <c r="F766">
        <v>9.1270000000000004E-2</v>
      </c>
      <c r="G766">
        <v>0</v>
      </c>
      <c r="H766" t="str">
        <f t="shared" si="33"/>
        <v>80-89</v>
      </c>
      <c r="I766" t="str">
        <f t="shared" si="34"/>
        <v>20-29</v>
      </c>
      <c r="J766">
        <f t="shared" si="35"/>
        <v>9.1270000000000004E-2</v>
      </c>
    </row>
    <row r="767" spans="1:10">
      <c r="A767" t="s">
        <v>849</v>
      </c>
      <c r="B767">
        <v>22</v>
      </c>
      <c r="C767" t="s">
        <v>9</v>
      </c>
      <c r="D767">
        <v>15</v>
      </c>
      <c r="E767">
        <v>36</v>
      </c>
      <c r="F767">
        <v>9.6000000000000002E-4</v>
      </c>
      <c r="G767">
        <v>0</v>
      </c>
      <c r="H767" t="str">
        <f t="shared" si="33"/>
        <v>30-39</v>
      </c>
      <c r="I767" t="str">
        <f t="shared" si="34"/>
        <v>10-19</v>
      </c>
      <c r="J767">
        <f t="shared" si="35"/>
        <v>9.6000000000000002E-4</v>
      </c>
    </row>
    <row r="768" spans="1:10">
      <c r="A768" t="s">
        <v>850</v>
      </c>
      <c r="B768">
        <v>25</v>
      </c>
      <c r="C768" t="s">
        <v>7</v>
      </c>
      <c r="D768">
        <v>15</v>
      </c>
      <c r="E768">
        <v>39</v>
      </c>
      <c r="F768">
        <v>8.8999999999999995E-4</v>
      </c>
      <c r="G768">
        <v>0</v>
      </c>
      <c r="H768" t="str">
        <f t="shared" si="33"/>
        <v>30-39</v>
      </c>
      <c r="I768" t="str">
        <f t="shared" si="34"/>
        <v>10-19</v>
      </c>
      <c r="J768">
        <f t="shared" si="35"/>
        <v>8.8999999999999995E-4</v>
      </c>
    </row>
    <row r="769" spans="1:10">
      <c r="A769" t="s">
        <v>851</v>
      </c>
      <c r="B769">
        <v>35</v>
      </c>
      <c r="C769" t="s">
        <v>7</v>
      </c>
      <c r="D769">
        <v>7</v>
      </c>
      <c r="E769">
        <v>41</v>
      </c>
      <c r="F769">
        <v>6.8000000000000005E-4</v>
      </c>
      <c r="G769">
        <v>0</v>
      </c>
      <c r="H769" t="str">
        <f t="shared" si="33"/>
        <v>40-49</v>
      </c>
      <c r="I769" t="str">
        <f t="shared" si="34"/>
        <v>0-9</v>
      </c>
      <c r="J769">
        <f t="shared" si="35"/>
        <v>6.8000000000000005E-4</v>
      </c>
    </row>
    <row r="770" spans="1:10">
      <c r="A770" t="s">
        <v>852</v>
      </c>
      <c r="B770">
        <v>42</v>
      </c>
      <c r="C770" t="s">
        <v>7</v>
      </c>
      <c r="D770">
        <v>28</v>
      </c>
      <c r="E770">
        <v>69</v>
      </c>
      <c r="F770">
        <v>1.027E-2</v>
      </c>
      <c r="G770">
        <v>0</v>
      </c>
      <c r="H770" t="str">
        <f t="shared" si="33"/>
        <v>60-69</v>
      </c>
      <c r="I770" t="str">
        <f t="shared" si="34"/>
        <v>20-29</v>
      </c>
      <c r="J770">
        <f t="shared" si="35"/>
        <v>1.027E-2</v>
      </c>
    </row>
    <row r="771" spans="1:10">
      <c r="A771" t="s">
        <v>853</v>
      </c>
      <c r="B771">
        <v>30</v>
      </c>
      <c r="C771" t="s">
        <v>9</v>
      </c>
      <c r="D771">
        <v>20</v>
      </c>
      <c r="E771">
        <v>49</v>
      </c>
      <c r="F771">
        <v>2.3E-3</v>
      </c>
      <c r="G771">
        <v>0</v>
      </c>
      <c r="H771" t="str">
        <f t="shared" ref="H771:H834" si="36">FLOOR(E771,10) &amp; "-" &amp; FLOOR(E771,10)+9</f>
        <v>40-49</v>
      </c>
      <c r="I771" t="str">
        <f t="shared" ref="I771:I834" si="37">FLOOR(D771, 10) &amp; "-"&amp;FLOOR(D771, 10)+9</f>
        <v>20-29</v>
      </c>
      <c r="J771">
        <f t="shared" ref="J771:J834" si="38">F771</f>
        <v>2.3E-3</v>
      </c>
    </row>
    <row r="772" spans="1:10">
      <c r="A772" t="s">
        <v>854</v>
      </c>
      <c r="B772">
        <v>33</v>
      </c>
      <c r="C772" t="s">
        <v>9</v>
      </c>
      <c r="D772">
        <v>26</v>
      </c>
      <c r="E772">
        <v>58</v>
      </c>
      <c r="F772">
        <v>5.2199999999999998E-3</v>
      </c>
      <c r="G772">
        <v>0</v>
      </c>
      <c r="H772" t="str">
        <f t="shared" si="36"/>
        <v>50-59</v>
      </c>
      <c r="I772" t="str">
        <f t="shared" si="37"/>
        <v>20-29</v>
      </c>
      <c r="J772">
        <f t="shared" si="38"/>
        <v>5.2199999999999998E-3</v>
      </c>
    </row>
    <row r="773" spans="1:10">
      <c r="A773" t="s">
        <v>855</v>
      </c>
      <c r="B773">
        <v>37</v>
      </c>
      <c r="C773" t="s">
        <v>7</v>
      </c>
      <c r="D773">
        <v>20</v>
      </c>
      <c r="E773">
        <v>56</v>
      </c>
      <c r="F773">
        <v>3.32E-3</v>
      </c>
      <c r="G773">
        <v>0</v>
      </c>
      <c r="H773" t="str">
        <f t="shared" si="36"/>
        <v>50-59</v>
      </c>
      <c r="I773" t="str">
        <f t="shared" si="37"/>
        <v>20-29</v>
      </c>
      <c r="J773">
        <f t="shared" si="38"/>
        <v>3.32E-3</v>
      </c>
    </row>
    <row r="774" spans="1:10">
      <c r="A774" t="s">
        <v>856</v>
      </c>
      <c r="B774">
        <v>65</v>
      </c>
      <c r="C774" t="s">
        <v>9</v>
      </c>
      <c r="D774">
        <v>10</v>
      </c>
      <c r="E774">
        <v>74</v>
      </c>
      <c r="F774">
        <v>1.9689999999999999E-2</v>
      </c>
      <c r="G774">
        <v>0</v>
      </c>
      <c r="H774" t="str">
        <f t="shared" si="36"/>
        <v>70-79</v>
      </c>
      <c r="I774" t="str">
        <f t="shared" si="37"/>
        <v>10-19</v>
      </c>
      <c r="J774">
        <f t="shared" si="38"/>
        <v>1.9689999999999999E-2</v>
      </c>
    </row>
    <row r="775" spans="1:10">
      <c r="A775" t="s">
        <v>857</v>
      </c>
      <c r="B775">
        <v>52</v>
      </c>
      <c r="C775" t="s">
        <v>7</v>
      </c>
      <c r="D775">
        <v>29</v>
      </c>
      <c r="E775">
        <v>80</v>
      </c>
      <c r="F775">
        <v>2.8719999999999999E-2</v>
      </c>
      <c r="G775">
        <v>0</v>
      </c>
      <c r="H775" t="str">
        <f t="shared" si="36"/>
        <v>80-89</v>
      </c>
      <c r="I775" t="str">
        <f t="shared" si="37"/>
        <v>20-29</v>
      </c>
      <c r="J775">
        <f t="shared" si="38"/>
        <v>2.8719999999999999E-2</v>
      </c>
    </row>
    <row r="776" spans="1:10">
      <c r="A776" t="s">
        <v>858</v>
      </c>
      <c r="B776">
        <v>46</v>
      </c>
      <c r="C776" t="s">
        <v>9</v>
      </c>
      <c r="D776">
        <v>30</v>
      </c>
      <c r="E776">
        <v>75</v>
      </c>
      <c r="F776">
        <v>1.9089999999999999E-2</v>
      </c>
      <c r="G776">
        <v>0</v>
      </c>
      <c r="H776" t="str">
        <f t="shared" si="36"/>
        <v>70-79</v>
      </c>
      <c r="I776" t="str">
        <f t="shared" si="37"/>
        <v>30-39</v>
      </c>
      <c r="J776">
        <f t="shared" si="38"/>
        <v>1.9089999999999999E-2</v>
      </c>
    </row>
    <row r="777" spans="1:10">
      <c r="A777" t="s">
        <v>859</v>
      </c>
      <c r="B777">
        <v>61</v>
      </c>
      <c r="C777" t="s">
        <v>7</v>
      </c>
      <c r="D777">
        <v>5</v>
      </c>
      <c r="E777">
        <v>65</v>
      </c>
      <c r="F777">
        <v>5.4400000000000004E-3</v>
      </c>
      <c r="G777">
        <v>0</v>
      </c>
      <c r="H777" t="str">
        <f t="shared" si="36"/>
        <v>60-69</v>
      </c>
      <c r="I777" t="str">
        <f t="shared" si="37"/>
        <v>0-9</v>
      </c>
      <c r="J777">
        <f t="shared" si="38"/>
        <v>5.4400000000000004E-3</v>
      </c>
    </row>
    <row r="778" spans="1:10">
      <c r="A778" t="s">
        <v>860</v>
      </c>
      <c r="B778">
        <v>29</v>
      </c>
      <c r="C778" t="s">
        <v>9</v>
      </c>
      <c r="D778">
        <v>23</v>
      </c>
      <c r="E778">
        <v>51</v>
      </c>
      <c r="F778">
        <v>2.82E-3</v>
      </c>
      <c r="G778">
        <v>0</v>
      </c>
      <c r="H778" t="str">
        <f t="shared" si="36"/>
        <v>50-59</v>
      </c>
      <c r="I778" t="str">
        <f t="shared" si="37"/>
        <v>20-29</v>
      </c>
      <c r="J778">
        <f t="shared" si="38"/>
        <v>2.82E-3</v>
      </c>
    </row>
    <row r="779" spans="1:10">
      <c r="A779" t="s">
        <v>861</v>
      </c>
      <c r="B779">
        <v>63</v>
      </c>
      <c r="C779" t="s">
        <v>9</v>
      </c>
      <c r="D779">
        <v>13</v>
      </c>
      <c r="E779">
        <v>75</v>
      </c>
      <c r="F779">
        <v>2.5520000000000001E-2</v>
      </c>
      <c r="G779">
        <v>0</v>
      </c>
      <c r="H779" t="str">
        <f t="shared" si="36"/>
        <v>70-79</v>
      </c>
      <c r="I779" t="str">
        <f t="shared" si="37"/>
        <v>10-19</v>
      </c>
      <c r="J779">
        <f t="shared" si="38"/>
        <v>2.5520000000000001E-2</v>
      </c>
    </row>
    <row r="780" spans="1:10">
      <c r="A780" t="s">
        <v>862</v>
      </c>
      <c r="B780">
        <v>37</v>
      </c>
      <c r="C780" t="s">
        <v>9</v>
      </c>
      <c r="D780">
        <v>21</v>
      </c>
      <c r="E780">
        <v>57</v>
      </c>
      <c r="F780">
        <v>4.7800000000000004E-3</v>
      </c>
      <c r="G780">
        <v>0</v>
      </c>
      <c r="H780" t="str">
        <f t="shared" si="36"/>
        <v>50-59</v>
      </c>
      <c r="I780" t="str">
        <f t="shared" si="37"/>
        <v>20-29</v>
      </c>
      <c r="J780">
        <f t="shared" si="38"/>
        <v>4.7800000000000004E-3</v>
      </c>
    </row>
    <row r="781" spans="1:10">
      <c r="A781" t="s">
        <v>863</v>
      </c>
      <c r="B781">
        <v>60</v>
      </c>
      <c r="C781" t="s">
        <v>7</v>
      </c>
      <c r="D781">
        <v>26</v>
      </c>
      <c r="E781">
        <v>85</v>
      </c>
      <c r="F781">
        <v>7.2980000000000003E-2</v>
      </c>
      <c r="G781">
        <v>0</v>
      </c>
      <c r="H781" t="str">
        <f t="shared" si="36"/>
        <v>80-89</v>
      </c>
      <c r="I781" t="str">
        <f t="shared" si="37"/>
        <v>20-29</v>
      </c>
      <c r="J781">
        <f t="shared" si="38"/>
        <v>7.2980000000000003E-2</v>
      </c>
    </row>
    <row r="782" spans="1:10">
      <c r="A782" t="s">
        <v>864</v>
      </c>
      <c r="B782">
        <v>52</v>
      </c>
      <c r="C782" t="s">
        <v>9</v>
      </c>
      <c r="D782">
        <v>24</v>
      </c>
      <c r="E782">
        <v>75</v>
      </c>
      <c r="F782">
        <v>2.9940000000000001E-2</v>
      </c>
      <c r="G782">
        <v>0</v>
      </c>
      <c r="H782" t="str">
        <f t="shared" si="36"/>
        <v>70-79</v>
      </c>
      <c r="I782" t="str">
        <f t="shared" si="37"/>
        <v>20-29</v>
      </c>
      <c r="J782">
        <f t="shared" si="38"/>
        <v>2.9940000000000001E-2</v>
      </c>
    </row>
    <row r="783" spans="1:10">
      <c r="A783" t="s">
        <v>865</v>
      </c>
      <c r="B783">
        <v>43</v>
      </c>
      <c r="C783" t="s">
        <v>7</v>
      </c>
      <c r="D783">
        <v>15</v>
      </c>
      <c r="E783">
        <v>57</v>
      </c>
      <c r="F783">
        <v>3.3700000000000002E-3</v>
      </c>
      <c r="G783">
        <v>0</v>
      </c>
      <c r="H783" t="str">
        <f t="shared" si="36"/>
        <v>50-59</v>
      </c>
      <c r="I783" t="str">
        <f t="shared" si="37"/>
        <v>10-19</v>
      </c>
      <c r="J783">
        <f t="shared" si="38"/>
        <v>3.3700000000000002E-3</v>
      </c>
    </row>
    <row r="784" spans="1:10">
      <c r="A784" t="s">
        <v>866</v>
      </c>
      <c r="B784">
        <v>20</v>
      </c>
      <c r="C784" t="s">
        <v>7</v>
      </c>
      <c r="D784">
        <v>28</v>
      </c>
      <c r="E784">
        <v>47</v>
      </c>
      <c r="F784">
        <v>1.3799999999999999E-3</v>
      </c>
      <c r="G784">
        <v>0</v>
      </c>
      <c r="H784" t="str">
        <f t="shared" si="36"/>
        <v>40-49</v>
      </c>
      <c r="I784" t="str">
        <f t="shared" si="37"/>
        <v>20-29</v>
      </c>
      <c r="J784">
        <f t="shared" si="38"/>
        <v>1.3799999999999999E-3</v>
      </c>
    </row>
    <row r="785" spans="1:10">
      <c r="A785" t="s">
        <v>867</v>
      </c>
      <c r="B785">
        <v>49</v>
      </c>
      <c r="C785" t="s">
        <v>7</v>
      </c>
      <c r="D785">
        <v>21</v>
      </c>
      <c r="E785">
        <v>69</v>
      </c>
      <c r="F785">
        <v>1.2659999999999999E-2</v>
      </c>
      <c r="G785">
        <v>0</v>
      </c>
      <c r="H785" t="str">
        <f t="shared" si="36"/>
        <v>60-69</v>
      </c>
      <c r="I785" t="str">
        <f t="shared" si="37"/>
        <v>20-29</v>
      </c>
      <c r="J785">
        <f t="shared" si="38"/>
        <v>1.2659999999999999E-2</v>
      </c>
    </row>
    <row r="786" spans="1:10">
      <c r="A786" t="s">
        <v>868</v>
      </c>
      <c r="B786">
        <v>24</v>
      </c>
      <c r="C786" t="s">
        <v>7</v>
      </c>
      <c r="D786">
        <v>26</v>
      </c>
      <c r="E786">
        <v>49</v>
      </c>
      <c r="F786">
        <v>1.8699999999999999E-3</v>
      </c>
      <c r="G786">
        <v>0</v>
      </c>
      <c r="H786" t="str">
        <f t="shared" si="36"/>
        <v>40-49</v>
      </c>
      <c r="I786" t="str">
        <f t="shared" si="37"/>
        <v>20-29</v>
      </c>
      <c r="J786">
        <f t="shared" si="38"/>
        <v>1.8699999999999999E-3</v>
      </c>
    </row>
    <row r="787" spans="1:10">
      <c r="A787" t="s">
        <v>869</v>
      </c>
      <c r="B787">
        <v>47</v>
      </c>
      <c r="C787" t="s">
        <v>9</v>
      </c>
      <c r="D787">
        <v>27</v>
      </c>
      <c r="E787">
        <v>73</v>
      </c>
      <c r="F787">
        <v>2.1340000000000001E-2</v>
      </c>
      <c r="G787">
        <v>0</v>
      </c>
      <c r="H787" t="str">
        <f t="shared" si="36"/>
        <v>70-79</v>
      </c>
      <c r="I787" t="str">
        <f t="shared" si="37"/>
        <v>20-29</v>
      </c>
      <c r="J787">
        <f t="shared" si="38"/>
        <v>2.1340000000000001E-2</v>
      </c>
    </row>
    <row r="788" spans="1:10">
      <c r="A788" t="s">
        <v>870</v>
      </c>
      <c r="B788">
        <v>38</v>
      </c>
      <c r="C788" t="s">
        <v>7</v>
      </c>
      <c r="D788">
        <v>11</v>
      </c>
      <c r="E788">
        <v>48</v>
      </c>
      <c r="F788">
        <v>1.3500000000000001E-3</v>
      </c>
      <c r="G788">
        <v>0</v>
      </c>
      <c r="H788" t="str">
        <f t="shared" si="36"/>
        <v>40-49</v>
      </c>
      <c r="I788" t="str">
        <f t="shared" si="37"/>
        <v>10-19</v>
      </c>
      <c r="J788">
        <f t="shared" si="38"/>
        <v>1.3500000000000001E-3</v>
      </c>
    </row>
    <row r="789" spans="1:10">
      <c r="A789" t="s">
        <v>871</v>
      </c>
      <c r="B789">
        <v>51</v>
      </c>
      <c r="C789" t="s">
        <v>9</v>
      </c>
      <c r="D789">
        <v>26</v>
      </c>
      <c r="E789">
        <v>76</v>
      </c>
      <c r="F789">
        <v>3.3509999999999998E-2</v>
      </c>
      <c r="G789">
        <v>0</v>
      </c>
      <c r="H789" t="str">
        <f t="shared" si="36"/>
        <v>70-79</v>
      </c>
      <c r="I789" t="str">
        <f t="shared" si="37"/>
        <v>20-29</v>
      </c>
      <c r="J789">
        <f t="shared" si="38"/>
        <v>3.3509999999999998E-2</v>
      </c>
    </row>
    <row r="790" spans="1:10">
      <c r="A790" t="s">
        <v>872</v>
      </c>
      <c r="B790">
        <v>23</v>
      </c>
      <c r="C790" t="s">
        <v>9</v>
      </c>
      <c r="D790">
        <v>2</v>
      </c>
      <c r="E790">
        <v>24</v>
      </c>
      <c r="F790">
        <v>5.1999999999999995E-4</v>
      </c>
      <c r="G790">
        <v>0</v>
      </c>
      <c r="H790" t="str">
        <f t="shared" si="36"/>
        <v>20-29</v>
      </c>
      <c r="I790" t="str">
        <f t="shared" si="37"/>
        <v>0-9</v>
      </c>
      <c r="J790">
        <f t="shared" si="38"/>
        <v>5.1999999999999995E-4</v>
      </c>
    </row>
    <row r="791" spans="1:10">
      <c r="A791" t="s">
        <v>873</v>
      </c>
      <c r="B791">
        <v>49</v>
      </c>
      <c r="C791" t="s">
        <v>9</v>
      </c>
      <c r="D791">
        <v>1</v>
      </c>
      <c r="E791">
        <v>49</v>
      </c>
      <c r="F791">
        <v>7.7999999999999999E-4</v>
      </c>
      <c r="G791">
        <v>0</v>
      </c>
      <c r="H791" t="str">
        <f t="shared" si="36"/>
        <v>40-49</v>
      </c>
      <c r="I791" t="str">
        <f t="shared" si="37"/>
        <v>0-9</v>
      </c>
      <c r="J791">
        <f t="shared" si="38"/>
        <v>7.7999999999999999E-4</v>
      </c>
    </row>
    <row r="792" spans="1:10">
      <c r="A792" t="s">
        <v>874</v>
      </c>
      <c r="B792">
        <v>48</v>
      </c>
      <c r="C792" t="s">
        <v>9</v>
      </c>
      <c r="D792">
        <v>15</v>
      </c>
      <c r="E792">
        <v>62</v>
      </c>
      <c r="F792">
        <v>7.5100000000000002E-3</v>
      </c>
      <c r="G792">
        <v>0</v>
      </c>
      <c r="H792" t="str">
        <f t="shared" si="36"/>
        <v>60-69</v>
      </c>
      <c r="I792" t="str">
        <f t="shared" si="37"/>
        <v>10-19</v>
      </c>
      <c r="J792">
        <f t="shared" si="38"/>
        <v>7.5100000000000002E-3</v>
      </c>
    </row>
    <row r="793" spans="1:10">
      <c r="A793" t="s">
        <v>875</v>
      </c>
      <c r="B793">
        <v>32</v>
      </c>
      <c r="C793" t="s">
        <v>7</v>
      </c>
      <c r="D793">
        <v>23</v>
      </c>
      <c r="E793">
        <v>54</v>
      </c>
      <c r="F793">
        <v>2.82E-3</v>
      </c>
      <c r="G793">
        <v>0</v>
      </c>
      <c r="H793" t="str">
        <f t="shared" si="36"/>
        <v>50-59</v>
      </c>
      <c r="I793" t="str">
        <f t="shared" si="37"/>
        <v>20-29</v>
      </c>
      <c r="J793">
        <f t="shared" si="38"/>
        <v>2.82E-3</v>
      </c>
    </row>
    <row r="794" spans="1:10">
      <c r="A794" t="s">
        <v>876</v>
      </c>
      <c r="B794">
        <v>39</v>
      </c>
      <c r="C794" t="s">
        <v>7</v>
      </c>
      <c r="D794">
        <v>6</v>
      </c>
      <c r="E794">
        <v>44</v>
      </c>
      <c r="F794">
        <v>7.9000000000000001E-4</v>
      </c>
      <c r="G794">
        <v>0</v>
      </c>
      <c r="H794" t="str">
        <f t="shared" si="36"/>
        <v>40-49</v>
      </c>
      <c r="I794" t="str">
        <f t="shared" si="37"/>
        <v>0-9</v>
      </c>
      <c r="J794">
        <f t="shared" si="38"/>
        <v>7.9000000000000001E-4</v>
      </c>
    </row>
    <row r="795" spans="1:10">
      <c r="A795" t="s">
        <v>877</v>
      </c>
      <c r="B795">
        <v>25</v>
      </c>
      <c r="C795" t="s">
        <v>9</v>
      </c>
      <c r="D795">
        <v>21</v>
      </c>
      <c r="E795">
        <v>45</v>
      </c>
      <c r="F795">
        <v>1.98E-3</v>
      </c>
      <c r="G795">
        <v>0</v>
      </c>
      <c r="H795" t="str">
        <f t="shared" si="36"/>
        <v>40-49</v>
      </c>
      <c r="I795" t="str">
        <f t="shared" si="37"/>
        <v>20-29</v>
      </c>
      <c r="J795">
        <f t="shared" si="38"/>
        <v>1.98E-3</v>
      </c>
    </row>
    <row r="796" spans="1:10">
      <c r="A796" t="s">
        <v>878</v>
      </c>
      <c r="B796">
        <v>62</v>
      </c>
      <c r="C796" t="s">
        <v>7</v>
      </c>
      <c r="D796">
        <v>29</v>
      </c>
      <c r="E796">
        <v>90</v>
      </c>
      <c r="F796">
        <v>9.3240000000000003E-2</v>
      </c>
      <c r="G796">
        <v>1</v>
      </c>
      <c r="H796" t="str">
        <f t="shared" si="36"/>
        <v>90-99</v>
      </c>
      <c r="I796" t="str">
        <f t="shared" si="37"/>
        <v>20-29</v>
      </c>
      <c r="J796">
        <f t="shared" si="38"/>
        <v>9.3240000000000003E-2</v>
      </c>
    </row>
    <row r="797" spans="1:10">
      <c r="A797" t="s">
        <v>879</v>
      </c>
      <c r="B797">
        <v>60</v>
      </c>
      <c r="C797" t="s">
        <v>7</v>
      </c>
      <c r="D797">
        <v>10</v>
      </c>
      <c r="E797">
        <v>69</v>
      </c>
      <c r="F797">
        <v>8.3300000000000006E-3</v>
      </c>
      <c r="G797">
        <v>0</v>
      </c>
      <c r="H797" t="str">
        <f t="shared" si="36"/>
        <v>60-69</v>
      </c>
      <c r="I797" t="str">
        <f t="shared" si="37"/>
        <v>10-19</v>
      </c>
      <c r="J797">
        <f t="shared" si="38"/>
        <v>8.3300000000000006E-3</v>
      </c>
    </row>
    <row r="798" spans="1:10">
      <c r="A798" t="s">
        <v>880</v>
      </c>
      <c r="B798">
        <v>47</v>
      </c>
      <c r="C798" t="s">
        <v>9</v>
      </c>
      <c r="D798">
        <v>21</v>
      </c>
      <c r="E798">
        <v>67</v>
      </c>
      <c r="F798">
        <v>1.255E-2</v>
      </c>
      <c r="G798">
        <v>0</v>
      </c>
      <c r="H798" t="str">
        <f t="shared" si="36"/>
        <v>60-69</v>
      </c>
      <c r="I798" t="str">
        <f t="shared" si="37"/>
        <v>20-29</v>
      </c>
      <c r="J798">
        <f t="shared" si="38"/>
        <v>1.255E-2</v>
      </c>
    </row>
    <row r="799" spans="1:10">
      <c r="A799" t="s">
        <v>881</v>
      </c>
      <c r="B799">
        <v>33</v>
      </c>
      <c r="C799" t="s">
        <v>9</v>
      </c>
      <c r="D799">
        <v>16</v>
      </c>
      <c r="E799">
        <v>48</v>
      </c>
      <c r="F799">
        <v>2.0500000000000002E-3</v>
      </c>
      <c r="G799">
        <v>0</v>
      </c>
      <c r="H799" t="str">
        <f t="shared" si="36"/>
        <v>40-49</v>
      </c>
      <c r="I799" t="str">
        <f t="shared" si="37"/>
        <v>10-19</v>
      </c>
      <c r="J799">
        <f t="shared" si="38"/>
        <v>2.0500000000000002E-3</v>
      </c>
    </row>
    <row r="800" spans="1:10">
      <c r="A800" t="s">
        <v>882</v>
      </c>
      <c r="B800">
        <v>53</v>
      </c>
      <c r="C800" t="s">
        <v>9</v>
      </c>
      <c r="D800">
        <v>22</v>
      </c>
      <c r="E800">
        <v>74</v>
      </c>
      <c r="F800">
        <v>2.657E-2</v>
      </c>
      <c r="G800">
        <v>1</v>
      </c>
      <c r="H800" t="str">
        <f t="shared" si="36"/>
        <v>70-79</v>
      </c>
      <c r="I800" t="str">
        <f t="shared" si="37"/>
        <v>20-29</v>
      </c>
      <c r="J800">
        <f t="shared" si="38"/>
        <v>2.657E-2</v>
      </c>
    </row>
    <row r="801" spans="1:10">
      <c r="A801" t="s">
        <v>883</v>
      </c>
      <c r="B801">
        <v>41</v>
      </c>
      <c r="C801" t="s">
        <v>9</v>
      </c>
      <c r="D801">
        <v>27</v>
      </c>
      <c r="E801">
        <v>67</v>
      </c>
      <c r="F801">
        <v>1.1730000000000001E-2</v>
      </c>
      <c r="G801">
        <v>0</v>
      </c>
      <c r="H801" t="str">
        <f t="shared" si="36"/>
        <v>60-69</v>
      </c>
      <c r="I801" t="str">
        <f t="shared" si="37"/>
        <v>20-29</v>
      </c>
      <c r="J801">
        <f t="shared" si="38"/>
        <v>1.1730000000000001E-2</v>
      </c>
    </row>
    <row r="802" spans="1:10">
      <c r="A802" t="s">
        <v>884</v>
      </c>
      <c r="B802">
        <v>64</v>
      </c>
      <c r="C802" t="s">
        <v>9</v>
      </c>
      <c r="D802">
        <v>5</v>
      </c>
      <c r="E802">
        <v>68</v>
      </c>
      <c r="F802">
        <v>9.1599999999999997E-3</v>
      </c>
      <c r="G802">
        <v>0</v>
      </c>
      <c r="H802" t="str">
        <f t="shared" si="36"/>
        <v>60-69</v>
      </c>
      <c r="I802" t="str">
        <f t="shared" si="37"/>
        <v>0-9</v>
      </c>
      <c r="J802">
        <f t="shared" si="38"/>
        <v>9.1599999999999997E-3</v>
      </c>
    </row>
    <row r="803" spans="1:10">
      <c r="A803" t="s">
        <v>885</v>
      </c>
      <c r="B803">
        <v>25</v>
      </c>
      <c r="C803" t="s">
        <v>7</v>
      </c>
      <c r="D803">
        <v>24</v>
      </c>
      <c r="E803">
        <v>48</v>
      </c>
      <c r="F803">
        <v>1.73E-3</v>
      </c>
      <c r="G803">
        <v>0</v>
      </c>
      <c r="H803" t="str">
        <f t="shared" si="36"/>
        <v>40-49</v>
      </c>
      <c r="I803" t="str">
        <f t="shared" si="37"/>
        <v>20-29</v>
      </c>
      <c r="J803">
        <f t="shared" si="38"/>
        <v>1.73E-3</v>
      </c>
    </row>
    <row r="804" spans="1:10">
      <c r="A804" t="s">
        <v>886</v>
      </c>
      <c r="B804">
        <v>43</v>
      </c>
      <c r="C804" t="s">
        <v>9</v>
      </c>
      <c r="D804">
        <v>29</v>
      </c>
      <c r="E804">
        <v>71</v>
      </c>
      <c r="F804">
        <v>1.413E-2</v>
      </c>
      <c r="G804">
        <v>0</v>
      </c>
      <c r="H804" t="str">
        <f t="shared" si="36"/>
        <v>70-79</v>
      </c>
      <c r="I804" t="str">
        <f t="shared" si="37"/>
        <v>20-29</v>
      </c>
      <c r="J804">
        <f t="shared" si="38"/>
        <v>1.413E-2</v>
      </c>
    </row>
    <row r="805" spans="1:10">
      <c r="A805" t="s">
        <v>887</v>
      </c>
      <c r="B805">
        <v>28</v>
      </c>
      <c r="C805" t="s">
        <v>7</v>
      </c>
      <c r="D805">
        <v>21</v>
      </c>
      <c r="E805">
        <v>48</v>
      </c>
      <c r="F805">
        <v>1.73E-3</v>
      </c>
      <c r="G805">
        <v>0</v>
      </c>
      <c r="H805" t="str">
        <f t="shared" si="36"/>
        <v>40-49</v>
      </c>
      <c r="I805" t="str">
        <f t="shared" si="37"/>
        <v>20-29</v>
      </c>
      <c r="J805">
        <f t="shared" si="38"/>
        <v>1.73E-3</v>
      </c>
    </row>
    <row r="806" spans="1:10">
      <c r="A806" t="s">
        <v>888</v>
      </c>
      <c r="B806">
        <v>53</v>
      </c>
      <c r="C806" t="s">
        <v>9</v>
      </c>
      <c r="D806">
        <v>19</v>
      </c>
      <c r="E806">
        <v>71</v>
      </c>
      <c r="F806">
        <v>1.8769999999999998E-2</v>
      </c>
      <c r="G806">
        <v>0</v>
      </c>
      <c r="H806" t="str">
        <f t="shared" si="36"/>
        <v>70-79</v>
      </c>
      <c r="I806" t="str">
        <f t="shared" si="37"/>
        <v>10-19</v>
      </c>
      <c r="J806">
        <f t="shared" si="38"/>
        <v>1.8769999999999998E-2</v>
      </c>
    </row>
    <row r="807" spans="1:10">
      <c r="A807" t="s">
        <v>889</v>
      </c>
      <c r="B807">
        <v>48</v>
      </c>
      <c r="C807" t="s">
        <v>7</v>
      </c>
      <c r="D807">
        <v>12</v>
      </c>
      <c r="E807">
        <v>59</v>
      </c>
      <c r="F807">
        <v>3.82E-3</v>
      </c>
      <c r="G807">
        <v>0</v>
      </c>
      <c r="H807" t="str">
        <f t="shared" si="36"/>
        <v>50-59</v>
      </c>
      <c r="I807" t="str">
        <f t="shared" si="37"/>
        <v>10-19</v>
      </c>
      <c r="J807">
        <f t="shared" si="38"/>
        <v>3.82E-3</v>
      </c>
    </row>
    <row r="808" spans="1:10">
      <c r="A808" t="s">
        <v>890</v>
      </c>
      <c r="B808">
        <v>29</v>
      </c>
      <c r="C808" t="s">
        <v>9</v>
      </c>
      <c r="D808">
        <v>30</v>
      </c>
      <c r="E808">
        <v>58</v>
      </c>
      <c r="F808">
        <v>3.7499999999999999E-3</v>
      </c>
      <c r="G808">
        <v>0</v>
      </c>
      <c r="H808" t="str">
        <f t="shared" si="36"/>
        <v>50-59</v>
      </c>
      <c r="I808" t="str">
        <f t="shared" si="37"/>
        <v>30-39</v>
      </c>
      <c r="J808">
        <f t="shared" si="38"/>
        <v>3.7499999999999999E-3</v>
      </c>
    </row>
    <row r="809" spans="1:10">
      <c r="A809" t="s">
        <v>891</v>
      </c>
      <c r="B809">
        <v>33</v>
      </c>
      <c r="C809" t="s">
        <v>7</v>
      </c>
      <c r="D809">
        <v>3</v>
      </c>
      <c r="E809">
        <v>35</v>
      </c>
      <c r="F809">
        <v>2.7999999999999998E-4</v>
      </c>
      <c r="G809">
        <v>0</v>
      </c>
      <c r="H809" t="str">
        <f t="shared" si="36"/>
        <v>30-39</v>
      </c>
      <c r="I809" t="str">
        <f t="shared" si="37"/>
        <v>0-9</v>
      </c>
      <c r="J809">
        <f t="shared" si="38"/>
        <v>2.7999999999999998E-4</v>
      </c>
    </row>
    <row r="810" spans="1:10">
      <c r="A810" t="s">
        <v>892</v>
      </c>
      <c r="B810">
        <v>27</v>
      </c>
      <c r="C810" t="s">
        <v>7</v>
      </c>
      <c r="D810">
        <v>19</v>
      </c>
      <c r="E810">
        <v>45</v>
      </c>
      <c r="F810">
        <v>1.34E-3</v>
      </c>
      <c r="G810">
        <v>0</v>
      </c>
      <c r="H810" t="str">
        <f t="shared" si="36"/>
        <v>40-49</v>
      </c>
      <c r="I810" t="str">
        <f t="shared" si="37"/>
        <v>10-19</v>
      </c>
      <c r="J810">
        <f t="shared" si="38"/>
        <v>1.34E-3</v>
      </c>
    </row>
    <row r="811" spans="1:10">
      <c r="A811" t="s">
        <v>893</v>
      </c>
      <c r="B811">
        <v>47</v>
      </c>
      <c r="C811" t="s">
        <v>7</v>
      </c>
      <c r="D811">
        <v>11</v>
      </c>
      <c r="E811">
        <v>57</v>
      </c>
      <c r="F811">
        <v>2.98E-3</v>
      </c>
      <c r="G811">
        <v>0</v>
      </c>
      <c r="H811" t="str">
        <f t="shared" si="36"/>
        <v>50-59</v>
      </c>
      <c r="I811" t="str">
        <f t="shared" si="37"/>
        <v>10-19</v>
      </c>
      <c r="J811">
        <f t="shared" si="38"/>
        <v>2.98E-3</v>
      </c>
    </row>
    <row r="812" spans="1:10">
      <c r="A812" t="s">
        <v>894</v>
      </c>
      <c r="B812">
        <v>61</v>
      </c>
      <c r="C812" t="s">
        <v>9</v>
      </c>
      <c r="D812">
        <v>3</v>
      </c>
      <c r="E812">
        <v>63</v>
      </c>
      <c r="F812">
        <v>4.9100000000000003E-3</v>
      </c>
      <c r="G812">
        <v>0</v>
      </c>
      <c r="H812" t="str">
        <f t="shared" si="36"/>
        <v>60-69</v>
      </c>
      <c r="I812" t="str">
        <f t="shared" si="37"/>
        <v>0-9</v>
      </c>
      <c r="J812">
        <f t="shared" si="38"/>
        <v>4.9100000000000003E-3</v>
      </c>
    </row>
    <row r="813" spans="1:10">
      <c r="A813" t="s">
        <v>895</v>
      </c>
      <c r="B813">
        <v>58</v>
      </c>
      <c r="C813" t="s">
        <v>7</v>
      </c>
      <c r="D813">
        <v>10</v>
      </c>
      <c r="E813">
        <v>67</v>
      </c>
      <c r="F813">
        <v>7.2700000000000004E-3</v>
      </c>
      <c r="G813">
        <v>0</v>
      </c>
      <c r="H813" t="str">
        <f t="shared" si="36"/>
        <v>60-69</v>
      </c>
      <c r="I813" t="str">
        <f t="shared" si="37"/>
        <v>10-19</v>
      </c>
      <c r="J813">
        <f t="shared" si="38"/>
        <v>7.2700000000000004E-3</v>
      </c>
    </row>
    <row r="814" spans="1:10">
      <c r="A814" t="s">
        <v>896</v>
      </c>
      <c r="B814">
        <v>62</v>
      </c>
      <c r="C814" t="s">
        <v>9</v>
      </c>
      <c r="D814">
        <v>29</v>
      </c>
      <c r="E814">
        <v>90</v>
      </c>
      <c r="F814">
        <v>0.11724</v>
      </c>
      <c r="G814">
        <v>0</v>
      </c>
      <c r="H814" t="str">
        <f t="shared" si="36"/>
        <v>90-99</v>
      </c>
      <c r="I814" t="str">
        <f t="shared" si="37"/>
        <v>20-29</v>
      </c>
      <c r="J814">
        <f t="shared" si="38"/>
        <v>0.11724</v>
      </c>
    </row>
    <row r="815" spans="1:10">
      <c r="A815" t="s">
        <v>897</v>
      </c>
      <c r="B815">
        <v>52</v>
      </c>
      <c r="C815" t="s">
        <v>7</v>
      </c>
      <c r="D815">
        <v>7</v>
      </c>
      <c r="E815">
        <v>58</v>
      </c>
      <c r="F815">
        <v>2.8400000000000001E-3</v>
      </c>
      <c r="G815">
        <v>0</v>
      </c>
      <c r="H815" t="str">
        <f t="shared" si="36"/>
        <v>50-59</v>
      </c>
      <c r="I815" t="str">
        <f t="shared" si="37"/>
        <v>0-9</v>
      </c>
      <c r="J815">
        <f t="shared" si="38"/>
        <v>2.8400000000000001E-3</v>
      </c>
    </row>
    <row r="816" spans="1:10">
      <c r="A816" t="s">
        <v>898</v>
      </c>
      <c r="B816">
        <v>23</v>
      </c>
      <c r="C816" t="s">
        <v>7</v>
      </c>
      <c r="D816">
        <v>26</v>
      </c>
      <c r="E816">
        <v>48</v>
      </c>
      <c r="F816">
        <v>1.73E-3</v>
      </c>
      <c r="G816">
        <v>0</v>
      </c>
      <c r="H816" t="str">
        <f t="shared" si="36"/>
        <v>40-49</v>
      </c>
      <c r="I816" t="str">
        <f t="shared" si="37"/>
        <v>20-29</v>
      </c>
      <c r="J816">
        <f t="shared" si="38"/>
        <v>1.73E-3</v>
      </c>
    </row>
    <row r="817" spans="1:10">
      <c r="A817" t="s">
        <v>899</v>
      </c>
      <c r="B817">
        <v>51</v>
      </c>
      <c r="C817" t="s">
        <v>9</v>
      </c>
      <c r="D817">
        <v>13</v>
      </c>
      <c r="E817">
        <v>63</v>
      </c>
      <c r="F817">
        <v>8.0300000000000007E-3</v>
      </c>
      <c r="G817">
        <v>0</v>
      </c>
      <c r="H817" t="str">
        <f t="shared" si="36"/>
        <v>60-69</v>
      </c>
      <c r="I817" t="str">
        <f t="shared" si="37"/>
        <v>10-19</v>
      </c>
      <c r="J817">
        <f t="shared" si="38"/>
        <v>8.0300000000000007E-3</v>
      </c>
    </row>
    <row r="818" spans="1:10">
      <c r="A818" t="s">
        <v>900</v>
      </c>
      <c r="B818">
        <v>58</v>
      </c>
      <c r="C818" t="s">
        <v>7</v>
      </c>
      <c r="D818">
        <v>3</v>
      </c>
      <c r="E818">
        <v>60</v>
      </c>
      <c r="F818">
        <v>2.1099999999999999E-3</v>
      </c>
      <c r="G818">
        <v>0</v>
      </c>
      <c r="H818" t="str">
        <f t="shared" si="36"/>
        <v>60-69</v>
      </c>
      <c r="I818" t="str">
        <f t="shared" si="37"/>
        <v>0-9</v>
      </c>
      <c r="J818">
        <f t="shared" si="38"/>
        <v>2.1099999999999999E-3</v>
      </c>
    </row>
    <row r="819" spans="1:10">
      <c r="A819" t="s">
        <v>901</v>
      </c>
      <c r="B819">
        <v>43</v>
      </c>
      <c r="C819" t="s">
        <v>9</v>
      </c>
      <c r="D819">
        <v>30</v>
      </c>
      <c r="E819">
        <v>72</v>
      </c>
      <c r="F819">
        <v>1.413E-2</v>
      </c>
      <c r="G819">
        <v>0</v>
      </c>
      <c r="H819" t="str">
        <f t="shared" si="36"/>
        <v>70-79</v>
      </c>
      <c r="I819" t="str">
        <f t="shared" si="37"/>
        <v>30-39</v>
      </c>
      <c r="J819">
        <f t="shared" si="38"/>
        <v>1.413E-2</v>
      </c>
    </row>
    <row r="820" spans="1:10">
      <c r="A820" t="s">
        <v>902</v>
      </c>
      <c r="B820">
        <v>56</v>
      </c>
      <c r="C820" t="s">
        <v>9</v>
      </c>
      <c r="D820">
        <v>14</v>
      </c>
      <c r="E820">
        <v>69</v>
      </c>
      <c r="F820">
        <v>1.5049999999999999E-2</v>
      </c>
      <c r="G820">
        <v>0</v>
      </c>
      <c r="H820" t="str">
        <f t="shared" si="36"/>
        <v>60-69</v>
      </c>
      <c r="I820" t="str">
        <f t="shared" si="37"/>
        <v>10-19</v>
      </c>
      <c r="J820">
        <f t="shared" si="38"/>
        <v>1.5049999999999999E-2</v>
      </c>
    </row>
    <row r="821" spans="1:10">
      <c r="A821" t="s">
        <v>903</v>
      </c>
      <c r="B821">
        <v>50</v>
      </c>
      <c r="C821" t="s">
        <v>9</v>
      </c>
      <c r="D821">
        <v>25</v>
      </c>
      <c r="E821">
        <v>74</v>
      </c>
      <c r="F821">
        <v>2.6859999999999998E-2</v>
      </c>
      <c r="G821">
        <v>0</v>
      </c>
      <c r="H821" t="str">
        <f t="shared" si="36"/>
        <v>70-79</v>
      </c>
      <c r="I821" t="str">
        <f t="shared" si="37"/>
        <v>20-29</v>
      </c>
      <c r="J821">
        <f t="shared" si="38"/>
        <v>2.6859999999999998E-2</v>
      </c>
    </row>
    <row r="822" spans="1:10">
      <c r="A822" t="s">
        <v>904</v>
      </c>
      <c r="B822">
        <v>20</v>
      </c>
      <c r="C822" t="s">
        <v>9</v>
      </c>
      <c r="D822">
        <v>9</v>
      </c>
      <c r="E822">
        <v>28</v>
      </c>
      <c r="F822">
        <v>7.1000000000000002E-4</v>
      </c>
      <c r="G822">
        <v>0</v>
      </c>
      <c r="H822" t="str">
        <f t="shared" si="36"/>
        <v>20-29</v>
      </c>
      <c r="I822" t="str">
        <f t="shared" si="37"/>
        <v>0-9</v>
      </c>
      <c r="J822">
        <f t="shared" si="38"/>
        <v>7.1000000000000002E-4</v>
      </c>
    </row>
    <row r="823" spans="1:10">
      <c r="A823" t="s">
        <v>905</v>
      </c>
      <c r="B823">
        <v>45</v>
      </c>
      <c r="C823" t="s">
        <v>9</v>
      </c>
      <c r="D823">
        <v>17</v>
      </c>
      <c r="E823">
        <v>61</v>
      </c>
      <c r="F823">
        <v>7.0200000000000002E-3</v>
      </c>
      <c r="G823">
        <v>0</v>
      </c>
      <c r="H823" t="str">
        <f t="shared" si="36"/>
        <v>60-69</v>
      </c>
      <c r="I823" t="str">
        <f t="shared" si="37"/>
        <v>10-19</v>
      </c>
      <c r="J823">
        <f t="shared" si="38"/>
        <v>7.0200000000000002E-3</v>
      </c>
    </row>
    <row r="824" spans="1:10">
      <c r="A824" t="s">
        <v>906</v>
      </c>
      <c r="B824">
        <v>46</v>
      </c>
      <c r="C824" t="s">
        <v>7</v>
      </c>
      <c r="D824">
        <v>14</v>
      </c>
      <c r="E824">
        <v>59</v>
      </c>
      <c r="F824">
        <v>4.0899999999999999E-3</v>
      </c>
      <c r="G824">
        <v>0</v>
      </c>
      <c r="H824" t="str">
        <f t="shared" si="36"/>
        <v>50-59</v>
      </c>
      <c r="I824" t="str">
        <f t="shared" si="37"/>
        <v>10-19</v>
      </c>
      <c r="J824">
        <f t="shared" si="38"/>
        <v>4.0899999999999999E-3</v>
      </c>
    </row>
    <row r="825" spans="1:10">
      <c r="A825" t="s">
        <v>907</v>
      </c>
      <c r="B825">
        <v>54</v>
      </c>
      <c r="C825" t="s">
        <v>7</v>
      </c>
      <c r="D825">
        <v>18</v>
      </c>
      <c r="E825">
        <v>71</v>
      </c>
      <c r="F825">
        <v>1.44E-2</v>
      </c>
      <c r="G825">
        <v>0</v>
      </c>
      <c r="H825" t="str">
        <f t="shared" si="36"/>
        <v>70-79</v>
      </c>
      <c r="I825" t="str">
        <f t="shared" si="37"/>
        <v>10-19</v>
      </c>
      <c r="J825">
        <f t="shared" si="38"/>
        <v>1.44E-2</v>
      </c>
    </row>
    <row r="826" spans="1:10">
      <c r="A826" t="s">
        <v>908</v>
      </c>
      <c r="B826">
        <v>39</v>
      </c>
      <c r="C826" t="s">
        <v>7</v>
      </c>
      <c r="D826">
        <v>3</v>
      </c>
      <c r="E826">
        <v>41</v>
      </c>
      <c r="F826">
        <v>4.8000000000000001E-4</v>
      </c>
      <c r="G826">
        <v>0</v>
      </c>
      <c r="H826" t="str">
        <f t="shared" si="36"/>
        <v>40-49</v>
      </c>
      <c r="I826" t="str">
        <f t="shared" si="37"/>
        <v>0-9</v>
      </c>
      <c r="J826">
        <f t="shared" si="38"/>
        <v>4.8000000000000001E-4</v>
      </c>
    </row>
    <row r="827" spans="1:10">
      <c r="A827" t="s">
        <v>909</v>
      </c>
      <c r="B827">
        <v>29</v>
      </c>
      <c r="C827" t="s">
        <v>9</v>
      </c>
      <c r="D827">
        <v>18</v>
      </c>
      <c r="E827">
        <v>46</v>
      </c>
      <c r="F827">
        <v>1.8799999999999999E-3</v>
      </c>
      <c r="G827">
        <v>0</v>
      </c>
      <c r="H827" t="str">
        <f t="shared" si="36"/>
        <v>40-49</v>
      </c>
      <c r="I827" t="str">
        <f t="shared" si="37"/>
        <v>10-19</v>
      </c>
      <c r="J827">
        <f t="shared" si="38"/>
        <v>1.8799999999999999E-3</v>
      </c>
    </row>
    <row r="828" spans="1:10">
      <c r="A828" t="s">
        <v>910</v>
      </c>
      <c r="B828">
        <v>61</v>
      </c>
      <c r="C828" t="s">
        <v>7</v>
      </c>
      <c r="D828">
        <v>22</v>
      </c>
      <c r="E828">
        <v>82</v>
      </c>
      <c r="F828">
        <v>5.0599999999999999E-2</v>
      </c>
      <c r="G828">
        <v>0</v>
      </c>
      <c r="H828" t="str">
        <f t="shared" si="36"/>
        <v>80-89</v>
      </c>
      <c r="I828" t="str">
        <f t="shared" si="37"/>
        <v>20-29</v>
      </c>
      <c r="J828">
        <f t="shared" si="38"/>
        <v>5.0599999999999999E-2</v>
      </c>
    </row>
    <row r="829" spans="1:10">
      <c r="A829" t="s">
        <v>911</v>
      </c>
      <c r="B829">
        <v>47</v>
      </c>
      <c r="C829" t="s">
        <v>7</v>
      </c>
      <c r="D829">
        <v>24</v>
      </c>
      <c r="E829">
        <v>70</v>
      </c>
      <c r="F829">
        <v>1.404E-2</v>
      </c>
      <c r="G829">
        <v>0</v>
      </c>
      <c r="H829" t="str">
        <f t="shared" si="36"/>
        <v>70-79</v>
      </c>
      <c r="I829" t="str">
        <f t="shared" si="37"/>
        <v>20-29</v>
      </c>
      <c r="J829">
        <f t="shared" si="38"/>
        <v>1.404E-2</v>
      </c>
    </row>
    <row r="830" spans="1:10">
      <c r="A830" t="s">
        <v>912</v>
      </c>
      <c r="B830">
        <v>35</v>
      </c>
      <c r="C830" t="s">
        <v>7</v>
      </c>
      <c r="D830">
        <v>3</v>
      </c>
      <c r="E830">
        <v>37</v>
      </c>
      <c r="F830">
        <v>3.5E-4</v>
      </c>
      <c r="G830">
        <v>0</v>
      </c>
      <c r="H830" t="str">
        <f t="shared" si="36"/>
        <v>30-39</v>
      </c>
      <c r="I830" t="str">
        <f t="shared" si="37"/>
        <v>0-9</v>
      </c>
      <c r="J830">
        <f t="shared" si="38"/>
        <v>3.5E-4</v>
      </c>
    </row>
    <row r="831" spans="1:10">
      <c r="A831" t="s">
        <v>913</v>
      </c>
      <c r="B831">
        <v>59</v>
      </c>
      <c r="C831" t="s">
        <v>9</v>
      </c>
      <c r="D831">
        <v>20</v>
      </c>
      <c r="E831">
        <v>78</v>
      </c>
      <c r="F831">
        <v>4.079E-2</v>
      </c>
      <c r="G831">
        <v>0</v>
      </c>
      <c r="H831" t="str">
        <f t="shared" si="36"/>
        <v>70-79</v>
      </c>
      <c r="I831" t="str">
        <f t="shared" si="37"/>
        <v>20-29</v>
      </c>
      <c r="J831">
        <f t="shared" si="38"/>
        <v>4.079E-2</v>
      </c>
    </row>
    <row r="832" spans="1:10">
      <c r="A832" t="s">
        <v>914</v>
      </c>
      <c r="B832">
        <v>62</v>
      </c>
      <c r="C832" t="s">
        <v>9</v>
      </c>
      <c r="D832">
        <v>24</v>
      </c>
      <c r="E832">
        <v>85</v>
      </c>
      <c r="F832">
        <v>9.1270000000000004E-2</v>
      </c>
      <c r="G832">
        <v>1</v>
      </c>
      <c r="H832" t="str">
        <f t="shared" si="36"/>
        <v>80-89</v>
      </c>
      <c r="I832" t="str">
        <f t="shared" si="37"/>
        <v>20-29</v>
      </c>
      <c r="J832">
        <f t="shared" si="38"/>
        <v>9.1270000000000004E-2</v>
      </c>
    </row>
    <row r="833" spans="1:10">
      <c r="A833" t="s">
        <v>915</v>
      </c>
      <c r="B833">
        <v>28</v>
      </c>
      <c r="C833" t="s">
        <v>9</v>
      </c>
      <c r="D833">
        <v>23</v>
      </c>
      <c r="E833">
        <v>50</v>
      </c>
      <c r="F833">
        <v>2.63E-3</v>
      </c>
      <c r="G833">
        <v>0</v>
      </c>
      <c r="H833" t="str">
        <f t="shared" si="36"/>
        <v>50-59</v>
      </c>
      <c r="I833" t="str">
        <f t="shared" si="37"/>
        <v>20-29</v>
      </c>
      <c r="J833">
        <f t="shared" si="38"/>
        <v>2.63E-3</v>
      </c>
    </row>
    <row r="834" spans="1:10">
      <c r="A834" t="s">
        <v>916</v>
      </c>
      <c r="B834">
        <v>42</v>
      </c>
      <c r="C834" t="s">
        <v>7</v>
      </c>
      <c r="D834">
        <v>17</v>
      </c>
      <c r="E834">
        <v>58</v>
      </c>
      <c r="F834">
        <v>3.81E-3</v>
      </c>
      <c r="G834">
        <v>0</v>
      </c>
      <c r="H834" t="str">
        <f t="shared" si="36"/>
        <v>50-59</v>
      </c>
      <c r="I834" t="str">
        <f t="shared" si="37"/>
        <v>10-19</v>
      </c>
      <c r="J834">
        <f t="shared" si="38"/>
        <v>3.81E-3</v>
      </c>
    </row>
    <row r="835" spans="1:10">
      <c r="A835" t="s">
        <v>917</v>
      </c>
      <c r="B835">
        <v>36</v>
      </c>
      <c r="C835" t="s">
        <v>9</v>
      </c>
      <c r="D835">
        <v>6</v>
      </c>
      <c r="E835">
        <v>41</v>
      </c>
      <c r="F835">
        <v>8.3000000000000001E-4</v>
      </c>
      <c r="G835">
        <v>0</v>
      </c>
      <c r="H835" t="str">
        <f t="shared" ref="H835:H898" si="39">FLOOR(E835,10) &amp; "-" &amp; FLOOR(E835,10)+9</f>
        <v>40-49</v>
      </c>
      <c r="I835" t="str">
        <f t="shared" ref="I835:I898" si="40">FLOOR(D835, 10) &amp; "-"&amp;FLOOR(D835, 10)+9</f>
        <v>0-9</v>
      </c>
      <c r="J835">
        <f t="shared" ref="J835:J898" si="41">F835</f>
        <v>8.3000000000000001E-4</v>
      </c>
    </row>
    <row r="836" spans="1:10">
      <c r="A836" t="s">
        <v>918</v>
      </c>
      <c r="B836">
        <v>37</v>
      </c>
      <c r="C836" t="s">
        <v>7</v>
      </c>
      <c r="D836">
        <v>24</v>
      </c>
      <c r="E836">
        <v>60</v>
      </c>
      <c r="F836">
        <v>4.9300000000000004E-3</v>
      </c>
      <c r="G836">
        <v>0</v>
      </c>
      <c r="H836" t="str">
        <f t="shared" si="39"/>
        <v>60-69</v>
      </c>
      <c r="I836" t="str">
        <f t="shared" si="40"/>
        <v>20-29</v>
      </c>
      <c r="J836">
        <f t="shared" si="41"/>
        <v>4.9300000000000004E-3</v>
      </c>
    </row>
    <row r="837" spans="1:10">
      <c r="A837" t="s">
        <v>919</v>
      </c>
      <c r="B837">
        <v>21</v>
      </c>
      <c r="C837" t="s">
        <v>7</v>
      </c>
      <c r="D837">
        <v>11</v>
      </c>
      <c r="E837">
        <v>31</v>
      </c>
      <c r="F837">
        <v>4.0999999999999999E-4</v>
      </c>
      <c r="G837">
        <v>0</v>
      </c>
      <c r="H837" t="str">
        <f t="shared" si="39"/>
        <v>30-39</v>
      </c>
      <c r="I837" t="str">
        <f t="shared" si="40"/>
        <v>10-19</v>
      </c>
      <c r="J837">
        <f t="shared" si="41"/>
        <v>4.0999999999999999E-4</v>
      </c>
    </row>
    <row r="838" spans="1:10">
      <c r="A838" t="s">
        <v>920</v>
      </c>
      <c r="B838">
        <v>24</v>
      </c>
      <c r="C838" t="s">
        <v>7</v>
      </c>
      <c r="D838">
        <v>9</v>
      </c>
      <c r="E838">
        <v>32</v>
      </c>
      <c r="F838">
        <v>3.8999999999999999E-4</v>
      </c>
      <c r="G838">
        <v>0</v>
      </c>
      <c r="H838" t="str">
        <f t="shared" si="39"/>
        <v>30-39</v>
      </c>
      <c r="I838" t="str">
        <f t="shared" si="40"/>
        <v>0-9</v>
      </c>
      <c r="J838">
        <f t="shared" si="41"/>
        <v>3.8999999999999999E-4</v>
      </c>
    </row>
    <row r="839" spans="1:10">
      <c r="A839" t="s">
        <v>921</v>
      </c>
      <c r="B839">
        <v>24</v>
      </c>
      <c r="C839" t="s">
        <v>9</v>
      </c>
      <c r="D839">
        <v>16</v>
      </c>
      <c r="E839">
        <v>39</v>
      </c>
      <c r="F839">
        <v>1.1999999999999999E-3</v>
      </c>
      <c r="G839">
        <v>0</v>
      </c>
      <c r="H839" t="str">
        <f t="shared" si="39"/>
        <v>30-39</v>
      </c>
      <c r="I839" t="str">
        <f t="shared" si="40"/>
        <v>10-19</v>
      </c>
      <c r="J839">
        <f t="shared" si="41"/>
        <v>1.1999999999999999E-3</v>
      </c>
    </row>
    <row r="840" spans="1:10">
      <c r="A840" t="s">
        <v>922</v>
      </c>
      <c r="B840">
        <v>51</v>
      </c>
      <c r="C840" t="s">
        <v>7</v>
      </c>
      <c r="D840">
        <v>28</v>
      </c>
      <c r="E840">
        <v>78</v>
      </c>
      <c r="F840">
        <v>2.58E-2</v>
      </c>
      <c r="G840">
        <v>0</v>
      </c>
      <c r="H840" t="str">
        <f t="shared" si="39"/>
        <v>70-79</v>
      </c>
      <c r="I840" t="str">
        <f t="shared" si="40"/>
        <v>20-29</v>
      </c>
      <c r="J840">
        <f t="shared" si="41"/>
        <v>2.58E-2</v>
      </c>
    </row>
    <row r="841" spans="1:10">
      <c r="A841" t="s">
        <v>923</v>
      </c>
      <c r="B841">
        <v>36</v>
      </c>
      <c r="C841" t="s">
        <v>9</v>
      </c>
      <c r="D841">
        <v>25</v>
      </c>
      <c r="E841">
        <v>60</v>
      </c>
      <c r="F841">
        <v>6.3299999999999997E-3</v>
      </c>
      <c r="G841">
        <v>0</v>
      </c>
      <c r="H841" t="str">
        <f t="shared" si="39"/>
        <v>60-69</v>
      </c>
      <c r="I841" t="str">
        <f t="shared" si="40"/>
        <v>20-29</v>
      </c>
      <c r="J841">
        <f t="shared" si="41"/>
        <v>6.3299999999999997E-3</v>
      </c>
    </row>
    <row r="842" spans="1:10">
      <c r="A842" t="s">
        <v>924</v>
      </c>
      <c r="B842">
        <v>27</v>
      </c>
      <c r="C842" t="s">
        <v>7</v>
      </c>
      <c r="D842">
        <v>8</v>
      </c>
      <c r="E842">
        <v>34</v>
      </c>
      <c r="F842">
        <v>4.0000000000000002E-4</v>
      </c>
      <c r="G842">
        <v>0</v>
      </c>
      <c r="H842" t="str">
        <f t="shared" si="39"/>
        <v>30-39</v>
      </c>
      <c r="I842" t="str">
        <f t="shared" si="40"/>
        <v>0-9</v>
      </c>
      <c r="J842">
        <f t="shared" si="41"/>
        <v>4.0000000000000002E-4</v>
      </c>
    </row>
    <row r="843" spans="1:10">
      <c r="A843" t="s">
        <v>925</v>
      </c>
      <c r="B843">
        <v>20</v>
      </c>
      <c r="C843" t="s">
        <v>9</v>
      </c>
      <c r="D843">
        <v>8</v>
      </c>
      <c r="E843">
        <v>27</v>
      </c>
      <c r="F843">
        <v>7.5000000000000002E-4</v>
      </c>
      <c r="G843">
        <v>0</v>
      </c>
      <c r="H843" t="str">
        <f t="shared" si="39"/>
        <v>20-29</v>
      </c>
      <c r="I843" t="str">
        <f t="shared" si="40"/>
        <v>0-9</v>
      </c>
      <c r="J843">
        <f t="shared" si="41"/>
        <v>7.5000000000000002E-4</v>
      </c>
    </row>
    <row r="844" spans="1:10">
      <c r="A844" t="s">
        <v>926</v>
      </c>
      <c r="B844">
        <v>29</v>
      </c>
      <c r="C844" t="s">
        <v>7</v>
      </c>
      <c r="D844">
        <v>6</v>
      </c>
      <c r="E844">
        <v>34</v>
      </c>
      <c r="F844">
        <v>3.2000000000000003E-4</v>
      </c>
      <c r="G844">
        <v>0</v>
      </c>
      <c r="H844" t="str">
        <f t="shared" si="39"/>
        <v>30-39</v>
      </c>
      <c r="I844" t="str">
        <f t="shared" si="40"/>
        <v>0-9</v>
      </c>
      <c r="J844">
        <f t="shared" si="41"/>
        <v>3.2000000000000003E-4</v>
      </c>
    </row>
    <row r="845" spans="1:10">
      <c r="A845" t="s">
        <v>927</v>
      </c>
      <c r="B845">
        <v>55</v>
      </c>
      <c r="C845" t="s">
        <v>7</v>
      </c>
      <c r="D845">
        <v>26</v>
      </c>
      <c r="E845">
        <v>80</v>
      </c>
      <c r="F845">
        <v>3.986E-2</v>
      </c>
      <c r="G845">
        <v>0</v>
      </c>
      <c r="H845" t="str">
        <f t="shared" si="39"/>
        <v>80-89</v>
      </c>
      <c r="I845" t="str">
        <f t="shared" si="40"/>
        <v>20-29</v>
      </c>
      <c r="J845">
        <f t="shared" si="41"/>
        <v>3.986E-2</v>
      </c>
    </row>
    <row r="846" spans="1:10">
      <c r="A846" t="s">
        <v>928</v>
      </c>
      <c r="B846">
        <v>46</v>
      </c>
      <c r="C846" t="s">
        <v>9</v>
      </c>
      <c r="D846">
        <v>8</v>
      </c>
      <c r="E846">
        <v>53</v>
      </c>
      <c r="F846">
        <v>2.5600000000000002E-3</v>
      </c>
      <c r="G846">
        <v>0</v>
      </c>
      <c r="H846" t="str">
        <f t="shared" si="39"/>
        <v>50-59</v>
      </c>
      <c r="I846" t="str">
        <f t="shared" si="40"/>
        <v>0-9</v>
      </c>
      <c r="J846">
        <f t="shared" si="41"/>
        <v>2.5600000000000002E-3</v>
      </c>
    </row>
    <row r="847" spans="1:10">
      <c r="A847" t="s">
        <v>929</v>
      </c>
      <c r="B847">
        <v>40</v>
      </c>
      <c r="C847" t="s">
        <v>7</v>
      </c>
      <c r="D847">
        <v>9</v>
      </c>
      <c r="E847">
        <v>48</v>
      </c>
      <c r="F847">
        <v>1.23E-3</v>
      </c>
      <c r="G847">
        <v>0</v>
      </c>
      <c r="H847" t="str">
        <f t="shared" si="39"/>
        <v>40-49</v>
      </c>
      <c r="I847" t="str">
        <f t="shared" si="40"/>
        <v>0-9</v>
      </c>
      <c r="J847">
        <f t="shared" si="41"/>
        <v>1.23E-3</v>
      </c>
    </row>
    <row r="848" spans="1:10">
      <c r="A848" t="s">
        <v>930</v>
      </c>
      <c r="B848">
        <v>27</v>
      </c>
      <c r="C848" t="s">
        <v>7</v>
      </c>
      <c r="D848">
        <v>17</v>
      </c>
      <c r="E848">
        <v>43</v>
      </c>
      <c r="F848">
        <v>1.1299999999999999E-3</v>
      </c>
      <c r="G848">
        <v>0</v>
      </c>
      <c r="H848" t="str">
        <f t="shared" si="39"/>
        <v>40-49</v>
      </c>
      <c r="I848" t="str">
        <f t="shared" si="40"/>
        <v>10-19</v>
      </c>
      <c r="J848">
        <f t="shared" si="41"/>
        <v>1.1299999999999999E-3</v>
      </c>
    </row>
    <row r="849" spans="1:10">
      <c r="A849" t="s">
        <v>931</v>
      </c>
      <c r="B849">
        <v>34</v>
      </c>
      <c r="C849" t="s">
        <v>7</v>
      </c>
      <c r="D849">
        <v>26</v>
      </c>
      <c r="E849">
        <v>59</v>
      </c>
      <c r="F849">
        <v>4.4600000000000004E-3</v>
      </c>
      <c r="G849">
        <v>0</v>
      </c>
      <c r="H849" t="str">
        <f t="shared" si="39"/>
        <v>50-59</v>
      </c>
      <c r="I849" t="str">
        <f t="shared" si="40"/>
        <v>20-29</v>
      </c>
      <c r="J849">
        <f t="shared" si="41"/>
        <v>4.4600000000000004E-3</v>
      </c>
    </row>
    <row r="850" spans="1:10">
      <c r="A850" t="s">
        <v>932</v>
      </c>
      <c r="B850">
        <v>45</v>
      </c>
      <c r="C850" t="s">
        <v>7</v>
      </c>
      <c r="D850">
        <v>3</v>
      </c>
      <c r="E850">
        <v>47</v>
      </c>
      <c r="F850">
        <v>6.8000000000000005E-4</v>
      </c>
      <c r="G850">
        <v>0</v>
      </c>
      <c r="H850" t="str">
        <f t="shared" si="39"/>
        <v>40-49</v>
      </c>
      <c r="I850" t="str">
        <f t="shared" si="40"/>
        <v>0-9</v>
      </c>
      <c r="J850">
        <f t="shared" si="41"/>
        <v>6.8000000000000005E-4</v>
      </c>
    </row>
    <row r="851" spans="1:10">
      <c r="A851" t="s">
        <v>933</v>
      </c>
      <c r="B851">
        <v>39</v>
      </c>
      <c r="C851" t="s">
        <v>9</v>
      </c>
      <c r="D851">
        <v>11</v>
      </c>
      <c r="E851">
        <v>49</v>
      </c>
      <c r="F851">
        <v>1.92E-3</v>
      </c>
      <c r="G851">
        <v>0</v>
      </c>
      <c r="H851" t="str">
        <f t="shared" si="39"/>
        <v>40-49</v>
      </c>
      <c r="I851" t="str">
        <f t="shared" si="40"/>
        <v>10-19</v>
      </c>
      <c r="J851">
        <f t="shared" si="41"/>
        <v>1.92E-3</v>
      </c>
    </row>
    <row r="852" spans="1:10">
      <c r="A852" t="s">
        <v>934</v>
      </c>
      <c r="B852">
        <v>43</v>
      </c>
      <c r="C852" t="s">
        <v>9</v>
      </c>
      <c r="D852">
        <v>7</v>
      </c>
      <c r="E852">
        <v>49</v>
      </c>
      <c r="F852">
        <v>1.66E-3</v>
      </c>
      <c r="G852">
        <v>0</v>
      </c>
      <c r="H852" t="str">
        <f t="shared" si="39"/>
        <v>40-49</v>
      </c>
      <c r="I852" t="str">
        <f t="shared" si="40"/>
        <v>0-9</v>
      </c>
      <c r="J852">
        <f t="shared" si="41"/>
        <v>1.66E-3</v>
      </c>
    </row>
    <row r="853" spans="1:10">
      <c r="A853" t="s">
        <v>935</v>
      </c>
      <c r="B853">
        <v>59</v>
      </c>
      <c r="C853" t="s">
        <v>9</v>
      </c>
      <c r="D853">
        <v>8</v>
      </c>
      <c r="E853">
        <v>66</v>
      </c>
      <c r="F853">
        <v>0.01</v>
      </c>
      <c r="G853">
        <v>0</v>
      </c>
      <c r="H853" t="str">
        <f t="shared" si="39"/>
        <v>60-69</v>
      </c>
      <c r="I853" t="str">
        <f t="shared" si="40"/>
        <v>0-9</v>
      </c>
      <c r="J853">
        <f t="shared" si="41"/>
        <v>0.01</v>
      </c>
    </row>
    <row r="854" spans="1:10">
      <c r="A854" t="s">
        <v>936</v>
      </c>
      <c r="B854">
        <v>51</v>
      </c>
      <c r="C854" t="s">
        <v>7</v>
      </c>
      <c r="D854">
        <v>25</v>
      </c>
      <c r="E854">
        <v>75</v>
      </c>
      <c r="F854">
        <v>2.325E-2</v>
      </c>
      <c r="G854">
        <v>0</v>
      </c>
      <c r="H854" t="str">
        <f t="shared" si="39"/>
        <v>70-79</v>
      </c>
      <c r="I854" t="str">
        <f t="shared" si="40"/>
        <v>20-29</v>
      </c>
      <c r="J854">
        <f t="shared" si="41"/>
        <v>2.325E-2</v>
      </c>
    </row>
    <row r="855" spans="1:10">
      <c r="A855" t="s">
        <v>937</v>
      </c>
      <c r="B855">
        <v>54</v>
      </c>
      <c r="C855" t="s">
        <v>7</v>
      </c>
      <c r="D855">
        <v>25</v>
      </c>
      <c r="E855">
        <v>78</v>
      </c>
      <c r="F855">
        <v>3.1989999999999998E-2</v>
      </c>
      <c r="G855">
        <v>0</v>
      </c>
      <c r="H855" t="str">
        <f t="shared" si="39"/>
        <v>70-79</v>
      </c>
      <c r="I855" t="str">
        <f t="shared" si="40"/>
        <v>20-29</v>
      </c>
      <c r="J855">
        <f t="shared" si="41"/>
        <v>3.1989999999999998E-2</v>
      </c>
    </row>
    <row r="856" spans="1:10">
      <c r="A856" t="s">
        <v>938</v>
      </c>
      <c r="B856">
        <v>46</v>
      </c>
      <c r="C856" t="s">
        <v>9</v>
      </c>
      <c r="D856">
        <v>1</v>
      </c>
      <c r="E856">
        <v>46</v>
      </c>
      <c r="F856">
        <v>6.0999999999999997E-4</v>
      </c>
      <c r="G856">
        <v>0</v>
      </c>
      <c r="H856" t="str">
        <f t="shared" si="39"/>
        <v>40-49</v>
      </c>
      <c r="I856" t="str">
        <f t="shared" si="40"/>
        <v>0-9</v>
      </c>
      <c r="J856">
        <f t="shared" si="41"/>
        <v>6.0999999999999997E-4</v>
      </c>
    </row>
    <row r="857" spans="1:10">
      <c r="A857" t="s">
        <v>939</v>
      </c>
      <c r="B857">
        <v>64</v>
      </c>
      <c r="C857" t="s">
        <v>9</v>
      </c>
      <c r="D857">
        <v>29</v>
      </c>
      <c r="E857">
        <v>92</v>
      </c>
      <c r="F857">
        <v>0.14893999999999999</v>
      </c>
      <c r="G857">
        <v>0</v>
      </c>
      <c r="H857" t="str">
        <f t="shared" si="39"/>
        <v>90-99</v>
      </c>
      <c r="I857" t="str">
        <f t="shared" si="40"/>
        <v>20-29</v>
      </c>
      <c r="J857">
        <f t="shared" si="41"/>
        <v>0.14893999999999999</v>
      </c>
    </row>
    <row r="858" spans="1:10">
      <c r="A858" t="s">
        <v>940</v>
      </c>
      <c r="B858">
        <v>62</v>
      </c>
      <c r="C858" t="s">
        <v>7</v>
      </c>
      <c r="D858">
        <v>13</v>
      </c>
      <c r="E858">
        <v>74</v>
      </c>
      <c r="F858">
        <v>1.6240000000000001E-2</v>
      </c>
      <c r="G858">
        <v>0</v>
      </c>
      <c r="H858" t="str">
        <f t="shared" si="39"/>
        <v>70-79</v>
      </c>
      <c r="I858" t="str">
        <f t="shared" si="40"/>
        <v>10-19</v>
      </c>
      <c r="J858">
        <f t="shared" si="41"/>
        <v>1.6240000000000001E-2</v>
      </c>
    </row>
    <row r="859" spans="1:10">
      <c r="A859" t="s">
        <v>941</v>
      </c>
      <c r="B859">
        <v>26</v>
      </c>
      <c r="C859" t="s">
        <v>7</v>
      </c>
      <c r="D859">
        <v>7</v>
      </c>
      <c r="E859">
        <v>32</v>
      </c>
      <c r="F859">
        <v>3.3E-4</v>
      </c>
      <c r="G859">
        <v>0</v>
      </c>
      <c r="H859" t="str">
        <f t="shared" si="39"/>
        <v>30-39</v>
      </c>
      <c r="I859" t="str">
        <f t="shared" si="40"/>
        <v>0-9</v>
      </c>
      <c r="J859">
        <f t="shared" si="41"/>
        <v>3.3E-4</v>
      </c>
    </row>
    <row r="860" spans="1:10">
      <c r="A860" t="s">
        <v>942</v>
      </c>
      <c r="B860">
        <v>51</v>
      </c>
      <c r="C860" t="s">
        <v>7</v>
      </c>
      <c r="D860">
        <v>2</v>
      </c>
      <c r="E860">
        <v>52</v>
      </c>
      <c r="F860">
        <v>8.8000000000000003E-4</v>
      </c>
      <c r="G860">
        <v>0</v>
      </c>
      <c r="H860" t="str">
        <f t="shared" si="39"/>
        <v>50-59</v>
      </c>
      <c r="I860" t="str">
        <f t="shared" si="40"/>
        <v>0-9</v>
      </c>
      <c r="J860">
        <f t="shared" si="41"/>
        <v>8.8000000000000003E-4</v>
      </c>
    </row>
    <row r="861" spans="1:10">
      <c r="A861" t="s">
        <v>943</v>
      </c>
      <c r="B861">
        <v>37</v>
      </c>
      <c r="C861" t="s">
        <v>9</v>
      </c>
      <c r="D861">
        <v>3</v>
      </c>
      <c r="E861">
        <v>39</v>
      </c>
      <c r="F861">
        <v>5.8E-4</v>
      </c>
      <c r="G861">
        <v>0</v>
      </c>
      <c r="H861" t="str">
        <f t="shared" si="39"/>
        <v>30-39</v>
      </c>
      <c r="I861" t="str">
        <f t="shared" si="40"/>
        <v>0-9</v>
      </c>
      <c r="J861">
        <f t="shared" si="41"/>
        <v>5.8E-4</v>
      </c>
    </row>
    <row r="862" spans="1:10">
      <c r="A862" t="s">
        <v>944</v>
      </c>
      <c r="B862">
        <v>53</v>
      </c>
      <c r="C862" t="s">
        <v>7</v>
      </c>
      <c r="D862">
        <v>14</v>
      </c>
      <c r="E862">
        <v>66</v>
      </c>
      <c r="F862">
        <v>7.9100000000000004E-3</v>
      </c>
      <c r="G862">
        <v>0</v>
      </c>
      <c r="H862" t="str">
        <f t="shared" si="39"/>
        <v>60-69</v>
      </c>
      <c r="I862" t="str">
        <f t="shared" si="40"/>
        <v>10-19</v>
      </c>
      <c r="J862">
        <f t="shared" si="41"/>
        <v>7.9100000000000004E-3</v>
      </c>
    </row>
    <row r="863" spans="1:10">
      <c r="A863" t="s">
        <v>945</v>
      </c>
      <c r="B863">
        <v>25</v>
      </c>
      <c r="C863" t="s">
        <v>9</v>
      </c>
      <c r="D863">
        <v>19</v>
      </c>
      <c r="E863">
        <v>43</v>
      </c>
      <c r="F863">
        <v>1.7799999999999999E-3</v>
      </c>
      <c r="G863">
        <v>0</v>
      </c>
      <c r="H863" t="str">
        <f t="shared" si="39"/>
        <v>40-49</v>
      </c>
      <c r="I863" t="str">
        <f t="shared" si="40"/>
        <v>10-19</v>
      </c>
      <c r="J863">
        <f t="shared" si="41"/>
        <v>1.7799999999999999E-3</v>
      </c>
    </row>
    <row r="864" spans="1:10">
      <c r="A864" t="s">
        <v>946</v>
      </c>
      <c r="B864">
        <v>45</v>
      </c>
      <c r="C864" t="s">
        <v>7</v>
      </c>
      <c r="D864">
        <v>3</v>
      </c>
      <c r="E864">
        <v>47</v>
      </c>
      <c r="F864">
        <v>6.8000000000000005E-4</v>
      </c>
      <c r="G864">
        <v>0</v>
      </c>
      <c r="H864" t="str">
        <f t="shared" si="39"/>
        <v>40-49</v>
      </c>
      <c r="I864" t="str">
        <f t="shared" si="40"/>
        <v>0-9</v>
      </c>
      <c r="J864">
        <f t="shared" si="41"/>
        <v>6.8000000000000005E-4</v>
      </c>
    </row>
    <row r="865" spans="1:10">
      <c r="A865" t="s">
        <v>947</v>
      </c>
      <c r="B865">
        <v>62</v>
      </c>
      <c r="C865" t="s">
        <v>9</v>
      </c>
      <c r="D865">
        <v>5</v>
      </c>
      <c r="E865">
        <v>66</v>
      </c>
      <c r="F865">
        <v>7.9399999999999991E-3</v>
      </c>
      <c r="G865">
        <v>0</v>
      </c>
      <c r="H865" t="str">
        <f t="shared" si="39"/>
        <v>60-69</v>
      </c>
      <c r="I865" t="str">
        <f t="shared" si="40"/>
        <v>0-9</v>
      </c>
      <c r="J865">
        <f t="shared" si="41"/>
        <v>7.9399999999999991E-3</v>
      </c>
    </row>
    <row r="866" spans="1:10">
      <c r="A866" t="s">
        <v>948</v>
      </c>
      <c r="B866">
        <v>40</v>
      </c>
      <c r="C866" t="s">
        <v>7</v>
      </c>
      <c r="D866">
        <v>30</v>
      </c>
      <c r="E866">
        <v>69</v>
      </c>
      <c r="F866">
        <v>8.3099999999999997E-3</v>
      </c>
      <c r="G866">
        <v>0</v>
      </c>
      <c r="H866" t="str">
        <f t="shared" si="39"/>
        <v>60-69</v>
      </c>
      <c r="I866" t="str">
        <f t="shared" si="40"/>
        <v>30-39</v>
      </c>
      <c r="J866">
        <f t="shared" si="41"/>
        <v>8.3099999999999997E-3</v>
      </c>
    </row>
    <row r="867" spans="1:10">
      <c r="A867" t="s">
        <v>949</v>
      </c>
      <c r="B867">
        <v>40</v>
      </c>
      <c r="C867" t="s">
        <v>9</v>
      </c>
      <c r="D867">
        <v>11</v>
      </c>
      <c r="E867">
        <v>50</v>
      </c>
      <c r="F867">
        <v>2.1099999999999999E-3</v>
      </c>
      <c r="G867">
        <v>0</v>
      </c>
      <c r="H867" t="str">
        <f t="shared" si="39"/>
        <v>50-59</v>
      </c>
      <c r="I867" t="str">
        <f t="shared" si="40"/>
        <v>10-19</v>
      </c>
      <c r="J867">
        <f t="shared" si="41"/>
        <v>2.1099999999999999E-3</v>
      </c>
    </row>
    <row r="868" spans="1:10">
      <c r="A868" t="s">
        <v>950</v>
      </c>
      <c r="B868">
        <v>32</v>
      </c>
      <c r="C868" t="s">
        <v>7</v>
      </c>
      <c r="D868">
        <v>5</v>
      </c>
      <c r="E868">
        <v>36</v>
      </c>
      <c r="F868">
        <v>3.6999999999999999E-4</v>
      </c>
      <c r="G868">
        <v>0</v>
      </c>
      <c r="H868" t="str">
        <f t="shared" si="39"/>
        <v>30-39</v>
      </c>
      <c r="I868" t="str">
        <f t="shared" si="40"/>
        <v>0-9</v>
      </c>
      <c r="J868">
        <f t="shared" si="41"/>
        <v>3.6999999999999999E-4</v>
      </c>
    </row>
    <row r="869" spans="1:10">
      <c r="A869" t="s">
        <v>951</v>
      </c>
      <c r="B869">
        <v>29</v>
      </c>
      <c r="C869" t="s">
        <v>9</v>
      </c>
      <c r="D869">
        <v>4</v>
      </c>
      <c r="E869">
        <v>32</v>
      </c>
      <c r="F869">
        <v>4.0999999999999999E-4</v>
      </c>
      <c r="G869">
        <v>0</v>
      </c>
      <c r="H869" t="str">
        <f t="shared" si="39"/>
        <v>30-39</v>
      </c>
      <c r="I869" t="str">
        <f t="shared" si="40"/>
        <v>0-9</v>
      </c>
      <c r="J869">
        <f t="shared" si="41"/>
        <v>4.0999999999999999E-4</v>
      </c>
    </row>
    <row r="870" spans="1:10">
      <c r="A870" t="s">
        <v>952</v>
      </c>
      <c r="B870">
        <v>46</v>
      </c>
      <c r="C870" t="s">
        <v>7</v>
      </c>
      <c r="D870">
        <v>4</v>
      </c>
      <c r="E870">
        <v>49</v>
      </c>
      <c r="F870">
        <v>1.0499999999999999E-3</v>
      </c>
      <c r="G870">
        <v>0</v>
      </c>
      <c r="H870" t="str">
        <f t="shared" si="39"/>
        <v>40-49</v>
      </c>
      <c r="I870" t="str">
        <f t="shared" si="40"/>
        <v>0-9</v>
      </c>
      <c r="J870">
        <f t="shared" si="41"/>
        <v>1.0499999999999999E-3</v>
      </c>
    </row>
    <row r="871" spans="1:10">
      <c r="A871" t="s">
        <v>953</v>
      </c>
      <c r="B871">
        <v>33</v>
      </c>
      <c r="C871" t="s">
        <v>9</v>
      </c>
      <c r="D871">
        <v>15</v>
      </c>
      <c r="E871">
        <v>47</v>
      </c>
      <c r="F871">
        <v>1.83E-3</v>
      </c>
      <c r="G871">
        <v>0</v>
      </c>
      <c r="H871" t="str">
        <f t="shared" si="39"/>
        <v>40-49</v>
      </c>
      <c r="I871" t="str">
        <f t="shared" si="40"/>
        <v>10-19</v>
      </c>
      <c r="J871">
        <f t="shared" si="41"/>
        <v>1.83E-3</v>
      </c>
    </row>
    <row r="872" spans="1:10">
      <c r="A872" t="s">
        <v>954</v>
      </c>
      <c r="B872">
        <v>27</v>
      </c>
      <c r="C872" t="s">
        <v>9</v>
      </c>
      <c r="D872">
        <v>3</v>
      </c>
      <c r="E872">
        <v>29</v>
      </c>
      <c r="F872">
        <v>3.5E-4</v>
      </c>
      <c r="G872">
        <v>0</v>
      </c>
      <c r="H872" t="str">
        <f t="shared" si="39"/>
        <v>20-29</v>
      </c>
      <c r="I872" t="str">
        <f t="shared" si="40"/>
        <v>0-9</v>
      </c>
      <c r="J872">
        <f t="shared" si="41"/>
        <v>3.5E-4</v>
      </c>
    </row>
    <row r="873" spans="1:10">
      <c r="A873" t="s">
        <v>955</v>
      </c>
      <c r="B873">
        <v>65</v>
      </c>
      <c r="C873" t="s">
        <v>7</v>
      </c>
      <c r="D873">
        <v>23</v>
      </c>
      <c r="E873">
        <v>87</v>
      </c>
      <c r="F873">
        <v>9.3240000000000003E-2</v>
      </c>
      <c r="G873">
        <v>0</v>
      </c>
      <c r="H873" t="str">
        <f t="shared" si="39"/>
        <v>80-89</v>
      </c>
      <c r="I873" t="str">
        <f t="shared" si="40"/>
        <v>20-29</v>
      </c>
      <c r="J873">
        <f t="shared" si="41"/>
        <v>9.3240000000000003E-2</v>
      </c>
    </row>
    <row r="874" spans="1:10">
      <c r="A874" t="s">
        <v>956</v>
      </c>
      <c r="B874">
        <v>40</v>
      </c>
      <c r="C874" t="s">
        <v>9</v>
      </c>
      <c r="D874">
        <v>5</v>
      </c>
      <c r="E874">
        <v>44</v>
      </c>
      <c r="F874">
        <v>1.01E-3</v>
      </c>
      <c r="G874">
        <v>0</v>
      </c>
      <c r="H874" t="str">
        <f t="shared" si="39"/>
        <v>40-49</v>
      </c>
      <c r="I874" t="str">
        <f t="shared" si="40"/>
        <v>0-9</v>
      </c>
      <c r="J874">
        <f t="shared" si="41"/>
        <v>1.01E-3</v>
      </c>
    </row>
    <row r="875" spans="1:10">
      <c r="A875" t="s">
        <v>957</v>
      </c>
      <c r="B875">
        <v>42</v>
      </c>
      <c r="C875" t="s">
        <v>7</v>
      </c>
      <c r="D875">
        <v>13</v>
      </c>
      <c r="E875">
        <v>54</v>
      </c>
      <c r="F875">
        <v>2.4499999999999999E-3</v>
      </c>
      <c r="G875">
        <v>0</v>
      </c>
      <c r="H875" t="str">
        <f t="shared" si="39"/>
        <v>50-59</v>
      </c>
      <c r="I875" t="str">
        <f t="shared" si="40"/>
        <v>10-19</v>
      </c>
      <c r="J875">
        <f t="shared" si="41"/>
        <v>2.4499999999999999E-3</v>
      </c>
    </row>
    <row r="876" spans="1:10">
      <c r="A876" t="s">
        <v>958</v>
      </c>
      <c r="B876">
        <v>36</v>
      </c>
      <c r="C876" t="s">
        <v>7</v>
      </c>
      <c r="D876">
        <v>27</v>
      </c>
      <c r="E876">
        <v>62</v>
      </c>
      <c r="F876">
        <v>5.4599999999999996E-3</v>
      </c>
      <c r="G876">
        <v>0</v>
      </c>
      <c r="H876" t="str">
        <f t="shared" si="39"/>
        <v>60-69</v>
      </c>
      <c r="I876" t="str">
        <f t="shared" si="40"/>
        <v>20-29</v>
      </c>
      <c r="J876">
        <f t="shared" si="41"/>
        <v>5.4599999999999996E-3</v>
      </c>
    </row>
    <row r="877" spans="1:10">
      <c r="A877" t="s">
        <v>959</v>
      </c>
      <c r="B877">
        <v>45</v>
      </c>
      <c r="C877" t="s">
        <v>9</v>
      </c>
      <c r="D877">
        <v>28</v>
      </c>
      <c r="E877">
        <v>72</v>
      </c>
      <c r="F877">
        <v>1.7160000000000002E-2</v>
      </c>
      <c r="G877">
        <v>0</v>
      </c>
      <c r="H877" t="str">
        <f t="shared" si="39"/>
        <v>70-79</v>
      </c>
      <c r="I877" t="str">
        <f t="shared" si="40"/>
        <v>20-29</v>
      </c>
      <c r="J877">
        <f t="shared" si="41"/>
        <v>1.7160000000000002E-2</v>
      </c>
    </row>
    <row r="878" spans="1:10">
      <c r="A878" t="s">
        <v>960</v>
      </c>
      <c r="B878">
        <v>35</v>
      </c>
      <c r="C878" t="s">
        <v>9</v>
      </c>
      <c r="D878">
        <v>4</v>
      </c>
      <c r="E878">
        <v>38</v>
      </c>
      <c r="F878">
        <v>5.8E-4</v>
      </c>
      <c r="G878">
        <v>0</v>
      </c>
      <c r="H878" t="str">
        <f t="shared" si="39"/>
        <v>30-39</v>
      </c>
      <c r="I878" t="str">
        <f t="shared" si="40"/>
        <v>0-9</v>
      </c>
      <c r="J878">
        <f t="shared" si="41"/>
        <v>5.8E-4</v>
      </c>
    </row>
    <row r="879" spans="1:10">
      <c r="A879" t="s">
        <v>961</v>
      </c>
      <c r="B879">
        <v>28</v>
      </c>
      <c r="C879" t="s">
        <v>9</v>
      </c>
      <c r="D879">
        <v>4</v>
      </c>
      <c r="E879">
        <v>31</v>
      </c>
      <c r="F879">
        <v>3.8000000000000002E-4</v>
      </c>
      <c r="G879">
        <v>0</v>
      </c>
      <c r="H879" t="str">
        <f t="shared" si="39"/>
        <v>30-39</v>
      </c>
      <c r="I879" t="str">
        <f t="shared" si="40"/>
        <v>0-9</v>
      </c>
      <c r="J879">
        <f t="shared" si="41"/>
        <v>3.8000000000000002E-4</v>
      </c>
    </row>
    <row r="880" spans="1:10">
      <c r="A880" t="s">
        <v>962</v>
      </c>
      <c r="B880">
        <v>34</v>
      </c>
      <c r="C880" t="s">
        <v>9</v>
      </c>
      <c r="D880">
        <v>5</v>
      </c>
      <c r="E880">
        <v>38</v>
      </c>
      <c r="F880">
        <v>6.0999999999999997E-4</v>
      </c>
      <c r="G880">
        <v>0</v>
      </c>
      <c r="H880" t="str">
        <f t="shared" si="39"/>
        <v>30-39</v>
      </c>
      <c r="I880" t="str">
        <f t="shared" si="40"/>
        <v>0-9</v>
      </c>
      <c r="J880">
        <f t="shared" si="41"/>
        <v>6.0999999999999997E-4</v>
      </c>
    </row>
    <row r="881" spans="1:10">
      <c r="A881" t="s">
        <v>963</v>
      </c>
      <c r="B881">
        <v>63</v>
      </c>
      <c r="C881" t="s">
        <v>7</v>
      </c>
      <c r="D881">
        <v>21</v>
      </c>
      <c r="E881">
        <v>83</v>
      </c>
      <c r="F881">
        <v>5.704E-2</v>
      </c>
      <c r="G881">
        <v>0</v>
      </c>
      <c r="H881" t="str">
        <f t="shared" si="39"/>
        <v>80-89</v>
      </c>
      <c r="I881" t="str">
        <f t="shared" si="40"/>
        <v>20-29</v>
      </c>
      <c r="J881">
        <f t="shared" si="41"/>
        <v>5.704E-2</v>
      </c>
    </row>
    <row r="882" spans="1:10">
      <c r="A882" t="s">
        <v>964</v>
      </c>
      <c r="B882">
        <v>57</v>
      </c>
      <c r="C882" t="s">
        <v>7</v>
      </c>
      <c r="D882">
        <v>9</v>
      </c>
      <c r="E882">
        <v>65</v>
      </c>
      <c r="F882">
        <v>6.13E-3</v>
      </c>
      <c r="G882">
        <v>0</v>
      </c>
      <c r="H882" t="str">
        <f t="shared" si="39"/>
        <v>60-69</v>
      </c>
      <c r="I882" t="str">
        <f t="shared" si="40"/>
        <v>0-9</v>
      </c>
      <c r="J882">
        <f t="shared" si="41"/>
        <v>6.13E-3</v>
      </c>
    </row>
    <row r="883" spans="1:10">
      <c r="A883" t="s">
        <v>965</v>
      </c>
      <c r="B883">
        <v>24</v>
      </c>
      <c r="C883" t="s">
        <v>7</v>
      </c>
      <c r="D883">
        <v>7</v>
      </c>
      <c r="E883">
        <v>30</v>
      </c>
      <c r="F883">
        <v>3.1E-4</v>
      </c>
      <c r="G883">
        <v>0</v>
      </c>
      <c r="H883" t="str">
        <f t="shared" si="39"/>
        <v>30-39</v>
      </c>
      <c r="I883" t="str">
        <f t="shared" si="40"/>
        <v>0-9</v>
      </c>
      <c r="J883">
        <f t="shared" si="41"/>
        <v>3.1E-4</v>
      </c>
    </row>
    <row r="884" spans="1:10">
      <c r="A884" t="s">
        <v>966</v>
      </c>
      <c r="B884">
        <v>28</v>
      </c>
      <c r="C884" t="s">
        <v>7</v>
      </c>
      <c r="D884">
        <v>3</v>
      </c>
      <c r="E884">
        <v>30</v>
      </c>
      <c r="F884">
        <v>2.0000000000000001E-4</v>
      </c>
      <c r="G884">
        <v>0</v>
      </c>
      <c r="H884" t="str">
        <f t="shared" si="39"/>
        <v>30-39</v>
      </c>
      <c r="I884" t="str">
        <f t="shared" si="40"/>
        <v>0-9</v>
      </c>
      <c r="J884">
        <f t="shared" si="41"/>
        <v>2.0000000000000001E-4</v>
      </c>
    </row>
    <row r="885" spans="1:10">
      <c r="A885" t="s">
        <v>967</v>
      </c>
      <c r="B885">
        <v>41</v>
      </c>
      <c r="C885" t="s">
        <v>9</v>
      </c>
      <c r="D885">
        <v>4</v>
      </c>
      <c r="E885">
        <v>44</v>
      </c>
      <c r="F885">
        <v>9.5E-4</v>
      </c>
      <c r="G885">
        <v>0</v>
      </c>
      <c r="H885" t="str">
        <f t="shared" si="39"/>
        <v>40-49</v>
      </c>
      <c r="I885" t="str">
        <f t="shared" si="40"/>
        <v>0-9</v>
      </c>
      <c r="J885">
        <f t="shared" si="41"/>
        <v>9.5E-4</v>
      </c>
    </row>
    <row r="886" spans="1:10">
      <c r="A886" t="s">
        <v>968</v>
      </c>
      <c r="B886">
        <v>30</v>
      </c>
      <c r="C886" t="s">
        <v>7</v>
      </c>
      <c r="D886">
        <v>30</v>
      </c>
      <c r="E886">
        <v>59</v>
      </c>
      <c r="F886">
        <v>3.0799999999999998E-3</v>
      </c>
      <c r="G886">
        <v>0</v>
      </c>
      <c r="H886" t="str">
        <f t="shared" si="39"/>
        <v>50-59</v>
      </c>
      <c r="I886" t="str">
        <f t="shared" si="40"/>
        <v>30-39</v>
      </c>
      <c r="J886">
        <f t="shared" si="41"/>
        <v>3.0799999999999998E-3</v>
      </c>
    </row>
    <row r="887" spans="1:10">
      <c r="A887" t="s">
        <v>969</v>
      </c>
      <c r="B887">
        <v>45</v>
      </c>
      <c r="C887" t="s">
        <v>9</v>
      </c>
      <c r="D887">
        <v>16</v>
      </c>
      <c r="E887">
        <v>60</v>
      </c>
      <c r="F887">
        <v>6.2500000000000003E-3</v>
      </c>
      <c r="G887">
        <v>0</v>
      </c>
      <c r="H887" t="str">
        <f t="shared" si="39"/>
        <v>60-69</v>
      </c>
      <c r="I887" t="str">
        <f t="shared" si="40"/>
        <v>10-19</v>
      </c>
      <c r="J887">
        <f t="shared" si="41"/>
        <v>6.2500000000000003E-3</v>
      </c>
    </row>
    <row r="888" spans="1:10">
      <c r="A888" t="s">
        <v>970</v>
      </c>
      <c r="B888">
        <v>31</v>
      </c>
      <c r="C888" t="s">
        <v>9</v>
      </c>
      <c r="D888">
        <v>12</v>
      </c>
      <c r="E888">
        <v>42</v>
      </c>
      <c r="F888">
        <v>1.17E-3</v>
      </c>
      <c r="G888">
        <v>0</v>
      </c>
      <c r="H888" t="str">
        <f t="shared" si="39"/>
        <v>40-49</v>
      </c>
      <c r="I888" t="str">
        <f t="shared" si="40"/>
        <v>10-19</v>
      </c>
      <c r="J888">
        <f t="shared" si="41"/>
        <v>1.17E-3</v>
      </c>
    </row>
    <row r="889" spans="1:10">
      <c r="A889" t="s">
        <v>971</v>
      </c>
      <c r="B889">
        <v>37</v>
      </c>
      <c r="C889" t="s">
        <v>7</v>
      </c>
      <c r="D889">
        <v>15</v>
      </c>
      <c r="E889">
        <v>51</v>
      </c>
      <c r="F889">
        <v>1.92E-3</v>
      </c>
      <c r="G889">
        <v>0</v>
      </c>
      <c r="H889" t="str">
        <f t="shared" si="39"/>
        <v>50-59</v>
      </c>
      <c r="I889" t="str">
        <f t="shared" si="40"/>
        <v>10-19</v>
      </c>
      <c r="J889">
        <f t="shared" si="41"/>
        <v>1.92E-3</v>
      </c>
    </row>
    <row r="890" spans="1:10">
      <c r="A890" t="s">
        <v>972</v>
      </c>
      <c r="B890">
        <v>59</v>
      </c>
      <c r="C890" t="s">
        <v>9</v>
      </c>
      <c r="D890">
        <v>20</v>
      </c>
      <c r="E890">
        <v>78</v>
      </c>
      <c r="F890">
        <v>4.079E-2</v>
      </c>
      <c r="G890">
        <v>0</v>
      </c>
      <c r="H890" t="str">
        <f t="shared" si="39"/>
        <v>70-79</v>
      </c>
      <c r="I890" t="str">
        <f t="shared" si="40"/>
        <v>20-29</v>
      </c>
      <c r="J890">
        <f t="shared" si="41"/>
        <v>4.079E-2</v>
      </c>
    </row>
    <row r="891" spans="1:10">
      <c r="A891" t="s">
        <v>973</v>
      </c>
      <c r="B891">
        <v>46</v>
      </c>
      <c r="C891" t="s">
        <v>7</v>
      </c>
      <c r="D891">
        <v>29</v>
      </c>
      <c r="E891">
        <v>74</v>
      </c>
      <c r="F891">
        <v>1.553E-2</v>
      </c>
      <c r="G891">
        <v>0</v>
      </c>
      <c r="H891" t="str">
        <f t="shared" si="39"/>
        <v>70-79</v>
      </c>
      <c r="I891" t="str">
        <f t="shared" si="40"/>
        <v>20-29</v>
      </c>
      <c r="J891">
        <f t="shared" si="41"/>
        <v>1.553E-2</v>
      </c>
    </row>
    <row r="892" spans="1:10">
      <c r="A892" t="s">
        <v>974</v>
      </c>
      <c r="B892">
        <v>37</v>
      </c>
      <c r="C892" t="s">
        <v>9</v>
      </c>
      <c r="D892">
        <v>13</v>
      </c>
      <c r="E892">
        <v>49</v>
      </c>
      <c r="F892">
        <v>2E-3</v>
      </c>
      <c r="G892">
        <v>0</v>
      </c>
      <c r="H892" t="str">
        <f t="shared" si="39"/>
        <v>40-49</v>
      </c>
      <c r="I892" t="str">
        <f t="shared" si="40"/>
        <v>10-19</v>
      </c>
      <c r="J892">
        <f t="shared" si="41"/>
        <v>2E-3</v>
      </c>
    </row>
    <row r="893" spans="1:10">
      <c r="A893" t="s">
        <v>975</v>
      </c>
      <c r="B893">
        <v>53</v>
      </c>
      <c r="C893" t="s">
        <v>7</v>
      </c>
      <c r="D893">
        <v>8</v>
      </c>
      <c r="E893">
        <v>60</v>
      </c>
      <c r="F893">
        <v>3.5699999999999998E-3</v>
      </c>
      <c r="G893">
        <v>0</v>
      </c>
      <c r="H893" t="str">
        <f t="shared" si="39"/>
        <v>60-69</v>
      </c>
      <c r="I893" t="str">
        <f t="shared" si="40"/>
        <v>0-9</v>
      </c>
      <c r="J893">
        <f t="shared" si="41"/>
        <v>3.5699999999999998E-3</v>
      </c>
    </row>
    <row r="894" spans="1:10">
      <c r="A894" t="s">
        <v>976</v>
      </c>
      <c r="B894">
        <v>21</v>
      </c>
      <c r="C894" t="s">
        <v>7</v>
      </c>
      <c r="D894">
        <v>13</v>
      </c>
      <c r="E894">
        <v>33</v>
      </c>
      <c r="F894">
        <v>4.4999999999999999E-4</v>
      </c>
      <c r="G894">
        <v>0</v>
      </c>
      <c r="H894" t="str">
        <f t="shared" si="39"/>
        <v>30-39</v>
      </c>
      <c r="I894" t="str">
        <f t="shared" si="40"/>
        <v>10-19</v>
      </c>
      <c r="J894">
        <f t="shared" si="41"/>
        <v>4.4999999999999999E-4</v>
      </c>
    </row>
    <row r="895" spans="1:10">
      <c r="A895" t="s">
        <v>977</v>
      </c>
      <c r="B895">
        <v>54</v>
      </c>
      <c r="C895" t="s">
        <v>9</v>
      </c>
      <c r="D895">
        <v>26</v>
      </c>
      <c r="E895">
        <v>79</v>
      </c>
      <c r="F895">
        <v>4.5769999999999998E-2</v>
      </c>
      <c r="G895">
        <v>0</v>
      </c>
      <c r="H895" t="str">
        <f t="shared" si="39"/>
        <v>70-79</v>
      </c>
      <c r="I895" t="str">
        <f t="shared" si="40"/>
        <v>20-29</v>
      </c>
      <c r="J895">
        <f t="shared" si="41"/>
        <v>4.5769999999999998E-2</v>
      </c>
    </row>
    <row r="896" spans="1:10">
      <c r="A896" t="s">
        <v>978</v>
      </c>
      <c r="B896">
        <v>52</v>
      </c>
      <c r="C896" t="s">
        <v>9</v>
      </c>
      <c r="D896">
        <v>11</v>
      </c>
      <c r="E896">
        <v>62</v>
      </c>
      <c r="F896">
        <v>7.2700000000000004E-3</v>
      </c>
      <c r="G896">
        <v>0</v>
      </c>
      <c r="H896" t="str">
        <f t="shared" si="39"/>
        <v>60-69</v>
      </c>
      <c r="I896" t="str">
        <f t="shared" si="40"/>
        <v>10-19</v>
      </c>
      <c r="J896">
        <f t="shared" si="41"/>
        <v>7.2700000000000004E-3</v>
      </c>
    </row>
    <row r="897" spans="1:10">
      <c r="A897" t="s">
        <v>979</v>
      </c>
      <c r="B897">
        <v>40</v>
      </c>
      <c r="C897" t="s">
        <v>9</v>
      </c>
      <c r="D897">
        <v>20</v>
      </c>
      <c r="E897">
        <v>59</v>
      </c>
      <c r="F897">
        <v>5.7400000000000003E-3</v>
      </c>
      <c r="G897">
        <v>0</v>
      </c>
      <c r="H897" t="str">
        <f t="shared" si="39"/>
        <v>50-59</v>
      </c>
      <c r="I897" t="str">
        <f t="shared" si="40"/>
        <v>20-29</v>
      </c>
      <c r="J897">
        <f t="shared" si="41"/>
        <v>5.7400000000000003E-3</v>
      </c>
    </row>
    <row r="898" spans="1:10">
      <c r="A898" t="s">
        <v>980</v>
      </c>
      <c r="B898">
        <v>37</v>
      </c>
      <c r="C898" t="s">
        <v>7</v>
      </c>
      <c r="D898">
        <v>2</v>
      </c>
      <c r="E898">
        <v>38</v>
      </c>
      <c r="F898">
        <v>2.9E-4</v>
      </c>
      <c r="G898">
        <v>0</v>
      </c>
      <c r="H898" t="str">
        <f t="shared" si="39"/>
        <v>30-39</v>
      </c>
      <c r="I898" t="str">
        <f t="shared" si="40"/>
        <v>0-9</v>
      </c>
      <c r="J898">
        <f t="shared" si="41"/>
        <v>2.9E-4</v>
      </c>
    </row>
    <row r="899" spans="1:10">
      <c r="A899" t="s">
        <v>981</v>
      </c>
      <c r="B899">
        <v>42</v>
      </c>
      <c r="C899" t="s">
        <v>7</v>
      </c>
      <c r="D899">
        <v>25</v>
      </c>
      <c r="E899">
        <v>66</v>
      </c>
      <c r="F899">
        <v>9.2399999999999999E-3</v>
      </c>
      <c r="G899">
        <v>0</v>
      </c>
      <c r="H899" t="str">
        <f t="shared" ref="H899:H962" si="42">FLOOR(E899,10) &amp; "-" &amp; FLOOR(E899,10)+9</f>
        <v>60-69</v>
      </c>
      <c r="I899" t="str">
        <f t="shared" ref="I899:I962" si="43">FLOOR(D899, 10) &amp; "-"&amp;FLOOR(D899, 10)+9</f>
        <v>20-29</v>
      </c>
      <c r="J899">
        <f t="shared" ref="J899:J962" si="44">F899</f>
        <v>9.2399999999999999E-3</v>
      </c>
    </row>
    <row r="900" spans="1:10">
      <c r="A900" t="s">
        <v>982</v>
      </c>
      <c r="B900">
        <v>30</v>
      </c>
      <c r="C900" t="s">
        <v>9</v>
      </c>
      <c r="D900">
        <v>4</v>
      </c>
      <c r="E900">
        <v>33</v>
      </c>
      <c r="F900">
        <v>4.2999999999999999E-4</v>
      </c>
      <c r="G900">
        <v>0</v>
      </c>
      <c r="H900" t="str">
        <f t="shared" si="42"/>
        <v>30-39</v>
      </c>
      <c r="I900" t="str">
        <f t="shared" si="43"/>
        <v>0-9</v>
      </c>
      <c r="J900">
        <f t="shared" si="44"/>
        <v>4.2999999999999999E-4</v>
      </c>
    </row>
    <row r="901" spans="1:10">
      <c r="A901" t="s">
        <v>983</v>
      </c>
      <c r="B901">
        <v>54</v>
      </c>
      <c r="C901" t="s">
        <v>7</v>
      </c>
      <c r="D901">
        <v>27</v>
      </c>
      <c r="E901">
        <v>80</v>
      </c>
      <c r="F901">
        <v>3.569E-2</v>
      </c>
      <c r="G901">
        <v>0</v>
      </c>
      <c r="H901" t="str">
        <f t="shared" si="42"/>
        <v>80-89</v>
      </c>
      <c r="I901" t="str">
        <f t="shared" si="43"/>
        <v>20-29</v>
      </c>
      <c r="J901">
        <f t="shared" si="44"/>
        <v>3.569E-2</v>
      </c>
    </row>
    <row r="902" spans="1:10">
      <c r="A902" t="s">
        <v>984</v>
      </c>
      <c r="B902">
        <v>34</v>
      </c>
      <c r="C902" t="s">
        <v>7</v>
      </c>
      <c r="D902">
        <v>19</v>
      </c>
      <c r="E902">
        <v>52</v>
      </c>
      <c r="F902">
        <v>2.2300000000000002E-3</v>
      </c>
      <c r="G902">
        <v>0</v>
      </c>
      <c r="H902" t="str">
        <f t="shared" si="42"/>
        <v>50-59</v>
      </c>
      <c r="I902" t="str">
        <f t="shared" si="43"/>
        <v>10-19</v>
      </c>
      <c r="J902">
        <f t="shared" si="44"/>
        <v>2.2300000000000002E-3</v>
      </c>
    </row>
    <row r="903" spans="1:10">
      <c r="A903" t="s">
        <v>985</v>
      </c>
      <c r="B903">
        <v>42</v>
      </c>
      <c r="C903" t="s">
        <v>7</v>
      </c>
      <c r="D903">
        <v>30</v>
      </c>
      <c r="E903">
        <v>71</v>
      </c>
      <c r="F903">
        <v>1.027E-2</v>
      </c>
      <c r="G903">
        <v>0</v>
      </c>
      <c r="H903" t="str">
        <f t="shared" si="42"/>
        <v>70-79</v>
      </c>
      <c r="I903" t="str">
        <f t="shared" si="43"/>
        <v>30-39</v>
      </c>
      <c r="J903">
        <f t="shared" si="44"/>
        <v>1.027E-2</v>
      </c>
    </row>
    <row r="904" spans="1:10">
      <c r="A904" t="s">
        <v>986</v>
      </c>
      <c r="B904">
        <v>31</v>
      </c>
      <c r="C904" t="s">
        <v>7</v>
      </c>
      <c r="D904">
        <v>8</v>
      </c>
      <c r="E904">
        <v>38</v>
      </c>
      <c r="F904">
        <v>5.6999999999999998E-4</v>
      </c>
      <c r="G904">
        <v>0</v>
      </c>
      <c r="H904" t="str">
        <f t="shared" si="42"/>
        <v>30-39</v>
      </c>
      <c r="I904" t="str">
        <f t="shared" si="43"/>
        <v>0-9</v>
      </c>
      <c r="J904">
        <f t="shared" si="44"/>
        <v>5.6999999999999998E-4</v>
      </c>
    </row>
    <row r="905" spans="1:10">
      <c r="A905" t="s">
        <v>987</v>
      </c>
      <c r="B905">
        <v>64</v>
      </c>
      <c r="C905" t="s">
        <v>7</v>
      </c>
      <c r="D905">
        <v>12</v>
      </c>
      <c r="E905">
        <v>75</v>
      </c>
      <c r="F905">
        <v>1.7270000000000001E-2</v>
      </c>
      <c r="G905">
        <v>0</v>
      </c>
      <c r="H905" t="str">
        <f t="shared" si="42"/>
        <v>70-79</v>
      </c>
      <c r="I905" t="str">
        <f t="shared" si="43"/>
        <v>10-19</v>
      </c>
      <c r="J905">
        <f t="shared" si="44"/>
        <v>1.7270000000000001E-2</v>
      </c>
    </row>
    <row r="906" spans="1:10">
      <c r="A906" t="s">
        <v>988</v>
      </c>
      <c r="B906">
        <v>64</v>
      </c>
      <c r="C906" t="s">
        <v>7</v>
      </c>
      <c r="D906">
        <v>12</v>
      </c>
      <c r="E906">
        <v>75</v>
      </c>
      <c r="F906">
        <v>1.7270000000000001E-2</v>
      </c>
      <c r="G906">
        <v>0</v>
      </c>
      <c r="H906" t="str">
        <f t="shared" si="42"/>
        <v>70-79</v>
      </c>
      <c r="I906" t="str">
        <f t="shared" si="43"/>
        <v>10-19</v>
      </c>
      <c r="J906">
        <f t="shared" si="44"/>
        <v>1.7270000000000001E-2</v>
      </c>
    </row>
    <row r="907" spans="1:10">
      <c r="A907" t="s">
        <v>989</v>
      </c>
      <c r="B907">
        <v>56</v>
      </c>
      <c r="C907" t="s">
        <v>7</v>
      </c>
      <c r="D907">
        <v>7</v>
      </c>
      <c r="E907">
        <v>62</v>
      </c>
      <c r="F907">
        <v>4.3299999999999996E-3</v>
      </c>
      <c r="G907">
        <v>0</v>
      </c>
      <c r="H907" t="str">
        <f t="shared" si="42"/>
        <v>60-69</v>
      </c>
      <c r="I907" t="str">
        <f t="shared" si="43"/>
        <v>0-9</v>
      </c>
      <c r="J907">
        <f t="shared" si="44"/>
        <v>4.3299999999999996E-3</v>
      </c>
    </row>
    <row r="908" spans="1:10">
      <c r="A908" t="s">
        <v>990</v>
      </c>
      <c r="B908">
        <v>51</v>
      </c>
      <c r="C908" t="s">
        <v>9</v>
      </c>
      <c r="D908">
        <v>18</v>
      </c>
      <c r="E908">
        <v>68</v>
      </c>
      <c r="F908">
        <v>1.3690000000000001E-2</v>
      </c>
      <c r="G908">
        <v>0</v>
      </c>
      <c r="H908" t="str">
        <f t="shared" si="42"/>
        <v>60-69</v>
      </c>
      <c r="I908" t="str">
        <f t="shared" si="43"/>
        <v>10-19</v>
      </c>
      <c r="J908">
        <f t="shared" si="44"/>
        <v>1.3690000000000001E-2</v>
      </c>
    </row>
    <row r="909" spans="1:10">
      <c r="A909" t="s">
        <v>991</v>
      </c>
      <c r="B909">
        <v>25</v>
      </c>
      <c r="C909" t="s">
        <v>9</v>
      </c>
      <c r="D909">
        <v>2</v>
      </c>
      <c r="E909">
        <v>26</v>
      </c>
      <c r="F909">
        <v>4.2000000000000002E-4</v>
      </c>
      <c r="G909">
        <v>0</v>
      </c>
      <c r="H909" t="str">
        <f t="shared" si="42"/>
        <v>20-29</v>
      </c>
      <c r="I909" t="str">
        <f t="shared" si="43"/>
        <v>0-9</v>
      </c>
      <c r="J909">
        <f t="shared" si="44"/>
        <v>4.2000000000000002E-4</v>
      </c>
    </row>
    <row r="910" spans="1:10">
      <c r="A910" t="s">
        <v>992</v>
      </c>
      <c r="B910">
        <v>53</v>
      </c>
      <c r="C910" t="s">
        <v>9</v>
      </c>
      <c r="D910">
        <v>16</v>
      </c>
      <c r="E910">
        <v>68</v>
      </c>
      <c r="F910">
        <v>1.3690000000000001E-2</v>
      </c>
      <c r="G910">
        <v>0</v>
      </c>
      <c r="H910" t="str">
        <f t="shared" si="42"/>
        <v>60-69</v>
      </c>
      <c r="I910" t="str">
        <f t="shared" si="43"/>
        <v>10-19</v>
      </c>
      <c r="J910">
        <f t="shared" si="44"/>
        <v>1.3690000000000001E-2</v>
      </c>
    </row>
    <row r="911" spans="1:10">
      <c r="A911" t="s">
        <v>993</v>
      </c>
      <c r="B911">
        <v>32</v>
      </c>
      <c r="C911" t="s">
        <v>9</v>
      </c>
      <c r="D911">
        <v>26</v>
      </c>
      <c r="E911">
        <v>57</v>
      </c>
      <c r="F911">
        <v>4.7800000000000004E-3</v>
      </c>
      <c r="G911">
        <v>0</v>
      </c>
      <c r="H911" t="str">
        <f t="shared" si="42"/>
        <v>50-59</v>
      </c>
      <c r="I911" t="str">
        <f t="shared" si="43"/>
        <v>20-29</v>
      </c>
      <c r="J911">
        <f t="shared" si="44"/>
        <v>4.7800000000000004E-3</v>
      </c>
    </row>
    <row r="912" spans="1:10">
      <c r="A912" t="s">
        <v>994</v>
      </c>
      <c r="B912">
        <v>40</v>
      </c>
      <c r="C912" t="s">
        <v>9</v>
      </c>
      <c r="D912">
        <v>2</v>
      </c>
      <c r="E912">
        <v>41</v>
      </c>
      <c r="F912">
        <v>5.4000000000000001E-4</v>
      </c>
      <c r="G912">
        <v>0</v>
      </c>
      <c r="H912" t="str">
        <f t="shared" si="42"/>
        <v>40-49</v>
      </c>
      <c r="I912" t="str">
        <f t="shared" si="43"/>
        <v>0-9</v>
      </c>
      <c r="J912">
        <f t="shared" si="44"/>
        <v>5.4000000000000001E-4</v>
      </c>
    </row>
    <row r="913" spans="1:10">
      <c r="A913" t="s">
        <v>995</v>
      </c>
      <c r="B913">
        <v>29</v>
      </c>
      <c r="C913" t="s">
        <v>9</v>
      </c>
      <c r="D913">
        <v>25</v>
      </c>
      <c r="E913">
        <v>53</v>
      </c>
      <c r="F913">
        <v>3.4199999999999999E-3</v>
      </c>
      <c r="G913">
        <v>0</v>
      </c>
      <c r="H913" t="str">
        <f t="shared" si="42"/>
        <v>50-59</v>
      </c>
      <c r="I913" t="str">
        <f t="shared" si="43"/>
        <v>20-29</v>
      </c>
      <c r="J913">
        <f t="shared" si="44"/>
        <v>3.4199999999999999E-3</v>
      </c>
    </row>
    <row r="914" spans="1:10">
      <c r="A914" t="s">
        <v>996</v>
      </c>
      <c r="B914">
        <v>43</v>
      </c>
      <c r="C914" t="s">
        <v>9</v>
      </c>
      <c r="D914">
        <v>3</v>
      </c>
      <c r="E914">
        <v>45</v>
      </c>
      <c r="F914">
        <v>9.2000000000000003E-4</v>
      </c>
      <c r="G914">
        <v>0</v>
      </c>
      <c r="H914" t="str">
        <f t="shared" si="42"/>
        <v>40-49</v>
      </c>
      <c r="I914" t="str">
        <f t="shared" si="43"/>
        <v>0-9</v>
      </c>
      <c r="J914">
        <f t="shared" si="44"/>
        <v>9.2000000000000003E-4</v>
      </c>
    </row>
    <row r="915" spans="1:10">
      <c r="A915" t="s">
        <v>997</v>
      </c>
      <c r="B915">
        <v>45</v>
      </c>
      <c r="C915" t="s">
        <v>9</v>
      </c>
      <c r="D915">
        <v>19</v>
      </c>
      <c r="E915">
        <v>63</v>
      </c>
      <c r="F915">
        <v>8.4899999999999993E-3</v>
      </c>
      <c r="G915">
        <v>0</v>
      </c>
      <c r="H915" t="str">
        <f t="shared" si="42"/>
        <v>60-69</v>
      </c>
      <c r="I915" t="str">
        <f t="shared" si="43"/>
        <v>10-19</v>
      </c>
      <c r="J915">
        <f t="shared" si="44"/>
        <v>8.4899999999999993E-3</v>
      </c>
    </row>
    <row r="916" spans="1:10">
      <c r="A916" t="s">
        <v>998</v>
      </c>
      <c r="B916">
        <v>28</v>
      </c>
      <c r="C916" t="s">
        <v>7</v>
      </c>
      <c r="D916">
        <v>6</v>
      </c>
      <c r="E916">
        <v>33</v>
      </c>
      <c r="F916">
        <v>2.9999999999999997E-4</v>
      </c>
      <c r="G916">
        <v>0</v>
      </c>
      <c r="H916" t="str">
        <f t="shared" si="42"/>
        <v>30-39</v>
      </c>
      <c r="I916" t="str">
        <f t="shared" si="43"/>
        <v>0-9</v>
      </c>
      <c r="J916">
        <f t="shared" si="44"/>
        <v>2.9999999999999997E-4</v>
      </c>
    </row>
    <row r="917" spans="1:10">
      <c r="A917" t="s">
        <v>999</v>
      </c>
      <c r="B917">
        <v>60</v>
      </c>
      <c r="C917" t="s">
        <v>7</v>
      </c>
      <c r="D917">
        <v>16</v>
      </c>
      <c r="E917">
        <v>75</v>
      </c>
      <c r="F917">
        <v>2.053E-2</v>
      </c>
      <c r="G917">
        <v>0</v>
      </c>
      <c r="H917" t="str">
        <f t="shared" si="42"/>
        <v>70-79</v>
      </c>
      <c r="I917" t="str">
        <f t="shared" si="43"/>
        <v>10-19</v>
      </c>
      <c r="J917">
        <f t="shared" si="44"/>
        <v>2.053E-2</v>
      </c>
    </row>
    <row r="918" spans="1:10">
      <c r="A918" t="s">
        <v>1000</v>
      </c>
      <c r="B918">
        <v>55</v>
      </c>
      <c r="C918" t="s">
        <v>7</v>
      </c>
      <c r="D918">
        <v>23</v>
      </c>
      <c r="E918">
        <v>77</v>
      </c>
      <c r="F918">
        <v>2.8719999999999999E-2</v>
      </c>
      <c r="G918">
        <v>0</v>
      </c>
      <c r="H918" t="str">
        <f t="shared" si="42"/>
        <v>70-79</v>
      </c>
      <c r="I918" t="str">
        <f t="shared" si="43"/>
        <v>20-29</v>
      </c>
      <c r="J918">
        <f t="shared" si="44"/>
        <v>2.8719999999999999E-2</v>
      </c>
    </row>
    <row r="919" spans="1:10">
      <c r="A919" t="s">
        <v>1001</v>
      </c>
      <c r="B919">
        <v>42</v>
      </c>
      <c r="C919" t="s">
        <v>7</v>
      </c>
      <c r="D919">
        <v>8</v>
      </c>
      <c r="E919">
        <v>49</v>
      </c>
      <c r="F919">
        <v>1.2800000000000001E-3</v>
      </c>
      <c r="G919">
        <v>0</v>
      </c>
      <c r="H919" t="str">
        <f t="shared" si="42"/>
        <v>40-49</v>
      </c>
      <c r="I919" t="str">
        <f t="shared" si="43"/>
        <v>0-9</v>
      </c>
      <c r="J919">
        <f t="shared" si="44"/>
        <v>1.2800000000000001E-3</v>
      </c>
    </row>
    <row r="920" spans="1:10">
      <c r="A920" t="s">
        <v>1002</v>
      </c>
      <c r="B920">
        <v>44</v>
      </c>
      <c r="C920" t="s">
        <v>7</v>
      </c>
      <c r="D920">
        <v>10</v>
      </c>
      <c r="E920">
        <v>53</v>
      </c>
      <c r="F920">
        <v>2.0600000000000002E-3</v>
      </c>
      <c r="G920">
        <v>0</v>
      </c>
      <c r="H920" t="str">
        <f t="shared" si="42"/>
        <v>50-59</v>
      </c>
      <c r="I920" t="str">
        <f t="shared" si="43"/>
        <v>10-19</v>
      </c>
      <c r="J920">
        <f t="shared" si="44"/>
        <v>2.0600000000000002E-3</v>
      </c>
    </row>
    <row r="921" spans="1:10">
      <c r="A921" t="s">
        <v>1003</v>
      </c>
      <c r="B921">
        <v>31</v>
      </c>
      <c r="C921" t="s">
        <v>9</v>
      </c>
      <c r="D921">
        <v>24</v>
      </c>
      <c r="E921">
        <v>54</v>
      </c>
      <c r="F921">
        <v>3.6800000000000001E-3</v>
      </c>
      <c r="G921">
        <v>0</v>
      </c>
      <c r="H921" t="str">
        <f t="shared" si="42"/>
        <v>50-59</v>
      </c>
      <c r="I921" t="str">
        <f t="shared" si="43"/>
        <v>20-29</v>
      </c>
      <c r="J921">
        <f t="shared" si="44"/>
        <v>3.6800000000000001E-3</v>
      </c>
    </row>
    <row r="922" spans="1:10">
      <c r="A922" t="s">
        <v>1004</v>
      </c>
      <c r="B922">
        <v>56</v>
      </c>
      <c r="C922" t="s">
        <v>7</v>
      </c>
      <c r="D922">
        <v>13</v>
      </c>
      <c r="E922">
        <v>68</v>
      </c>
      <c r="F922">
        <v>9.1299999999999992E-3</v>
      </c>
      <c r="G922">
        <v>0</v>
      </c>
      <c r="H922" t="str">
        <f t="shared" si="42"/>
        <v>60-69</v>
      </c>
      <c r="I922" t="str">
        <f t="shared" si="43"/>
        <v>10-19</v>
      </c>
      <c r="J922">
        <f t="shared" si="44"/>
        <v>9.1299999999999992E-3</v>
      </c>
    </row>
    <row r="923" spans="1:10">
      <c r="A923" t="s">
        <v>1005</v>
      </c>
      <c r="B923">
        <v>56</v>
      </c>
      <c r="C923" t="s">
        <v>9</v>
      </c>
      <c r="D923">
        <v>2</v>
      </c>
      <c r="E923">
        <v>57</v>
      </c>
      <c r="F923">
        <v>2.15E-3</v>
      </c>
      <c r="G923">
        <v>0</v>
      </c>
      <c r="H923" t="str">
        <f t="shared" si="42"/>
        <v>50-59</v>
      </c>
      <c r="I923" t="str">
        <f t="shared" si="43"/>
        <v>0-9</v>
      </c>
      <c r="J923">
        <f t="shared" si="44"/>
        <v>2.15E-3</v>
      </c>
    </row>
    <row r="924" spans="1:10">
      <c r="A924" t="s">
        <v>1006</v>
      </c>
      <c r="B924">
        <v>59</v>
      </c>
      <c r="C924" t="s">
        <v>7</v>
      </c>
      <c r="D924">
        <v>8</v>
      </c>
      <c r="E924">
        <v>66</v>
      </c>
      <c r="F924">
        <v>6.3899999999999998E-3</v>
      </c>
      <c r="G924">
        <v>0</v>
      </c>
      <c r="H924" t="str">
        <f t="shared" si="42"/>
        <v>60-69</v>
      </c>
      <c r="I924" t="str">
        <f t="shared" si="43"/>
        <v>0-9</v>
      </c>
      <c r="J924">
        <f t="shared" si="44"/>
        <v>6.3899999999999998E-3</v>
      </c>
    </row>
    <row r="925" spans="1:10">
      <c r="A925" t="s">
        <v>1007</v>
      </c>
      <c r="B925">
        <v>51</v>
      </c>
      <c r="C925" t="s">
        <v>9</v>
      </c>
      <c r="D925">
        <v>5</v>
      </c>
      <c r="E925">
        <v>55</v>
      </c>
      <c r="F925">
        <v>2.8900000000000002E-3</v>
      </c>
      <c r="G925">
        <v>0</v>
      </c>
      <c r="H925" t="str">
        <f t="shared" si="42"/>
        <v>50-59</v>
      </c>
      <c r="I925" t="str">
        <f t="shared" si="43"/>
        <v>0-9</v>
      </c>
      <c r="J925">
        <f t="shared" si="44"/>
        <v>2.8900000000000002E-3</v>
      </c>
    </row>
    <row r="926" spans="1:10">
      <c r="A926" t="s">
        <v>1008</v>
      </c>
      <c r="B926">
        <v>42</v>
      </c>
      <c r="C926" t="s">
        <v>9</v>
      </c>
      <c r="D926">
        <v>11</v>
      </c>
      <c r="E926">
        <v>52</v>
      </c>
      <c r="F926">
        <v>2.5400000000000002E-3</v>
      </c>
      <c r="G926">
        <v>0</v>
      </c>
      <c r="H926" t="str">
        <f t="shared" si="42"/>
        <v>50-59</v>
      </c>
      <c r="I926" t="str">
        <f t="shared" si="43"/>
        <v>10-19</v>
      </c>
      <c r="J926">
        <f t="shared" si="44"/>
        <v>2.5400000000000002E-3</v>
      </c>
    </row>
    <row r="927" spans="1:10">
      <c r="A927" t="s">
        <v>1009</v>
      </c>
      <c r="B927">
        <v>25</v>
      </c>
      <c r="C927" t="s">
        <v>7</v>
      </c>
      <c r="D927">
        <v>27</v>
      </c>
      <c r="E927">
        <v>51</v>
      </c>
      <c r="F927">
        <v>2.0200000000000001E-3</v>
      </c>
      <c r="G927">
        <v>0</v>
      </c>
      <c r="H927" t="str">
        <f t="shared" si="42"/>
        <v>50-59</v>
      </c>
      <c r="I927" t="str">
        <f t="shared" si="43"/>
        <v>20-29</v>
      </c>
      <c r="J927">
        <f t="shared" si="44"/>
        <v>2.0200000000000001E-3</v>
      </c>
    </row>
    <row r="928" spans="1:10">
      <c r="A928" t="s">
        <v>1010</v>
      </c>
      <c r="B928">
        <v>41</v>
      </c>
      <c r="C928" t="s">
        <v>9</v>
      </c>
      <c r="D928">
        <v>15</v>
      </c>
      <c r="E928">
        <v>55</v>
      </c>
      <c r="F928">
        <v>3.6099999999999999E-3</v>
      </c>
      <c r="G928">
        <v>0</v>
      </c>
      <c r="H928" t="str">
        <f t="shared" si="42"/>
        <v>50-59</v>
      </c>
      <c r="I928" t="str">
        <f t="shared" si="43"/>
        <v>10-19</v>
      </c>
      <c r="J928">
        <f t="shared" si="44"/>
        <v>3.6099999999999999E-3</v>
      </c>
    </row>
    <row r="929" spans="1:10">
      <c r="A929" t="s">
        <v>1011</v>
      </c>
      <c r="B929">
        <v>64</v>
      </c>
      <c r="C929" t="s">
        <v>9</v>
      </c>
      <c r="D929">
        <v>3</v>
      </c>
      <c r="E929">
        <v>66</v>
      </c>
      <c r="F929">
        <v>5.8999999999999999E-3</v>
      </c>
      <c r="G929">
        <v>0</v>
      </c>
      <c r="H929" t="str">
        <f t="shared" si="42"/>
        <v>60-69</v>
      </c>
      <c r="I929" t="str">
        <f t="shared" si="43"/>
        <v>0-9</v>
      </c>
      <c r="J929">
        <f t="shared" si="44"/>
        <v>5.8999999999999999E-3</v>
      </c>
    </row>
    <row r="930" spans="1:10">
      <c r="A930" t="s">
        <v>1012</v>
      </c>
      <c r="B930">
        <v>20</v>
      </c>
      <c r="C930" t="s">
        <v>9</v>
      </c>
      <c r="D930">
        <v>2</v>
      </c>
      <c r="E930">
        <v>21</v>
      </c>
      <c r="F930">
        <v>7.2000000000000005E-4</v>
      </c>
      <c r="G930">
        <v>0</v>
      </c>
      <c r="H930" t="str">
        <f t="shared" si="42"/>
        <v>20-29</v>
      </c>
      <c r="I930" t="str">
        <f t="shared" si="43"/>
        <v>0-9</v>
      </c>
      <c r="J930">
        <f t="shared" si="44"/>
        <v>7.2000000000000005E-4</v>
      </c>
    </row>
    <row r="931" spans="1:10">
      <c r="A931" t="s">
        <v>1013</v>
      </c>
      <c r="B931">
        <v>30</v>
      </c>
      <c r="C931" t="s">
        <v>9</v>
      </c>
      <c r="D931">
        <v>29</v>
      </c>
      <c r="E931">
        <v>58</v>
      </c>
      <c r="F931">
        <v>4.0499999999999998E-3</v>
      </c>
      <c r="G931">
        <v>0</v>
      </c>
      <c r="H931" t="str">
        <f t="shared" si="42"/>
        <v>50-59</v>
      </c>
      <c r="I931" t="str">
        <f t="shared" si="43"/>
        <v>20-29</v>
      </c>
      <c r="J931">
        <f t="shared" si="44"/>
        <v>4.0499999999999998E-3</v>
      </c>
    </row>
    <row r="932" spans="1:10">
      <c r="A932" t="s">
        <v>1014</v>
      </c>
      <c r="B932">
        <v>42</v>
      </c>
      <c r="C932" t="s">
        <v>9</v>
      </c>
      <c r="D932">
        <v>18</v>
      </c>
      <c r="E932">
        <v>59</v>
      </c>
      <c r="F932">
        <v>5.7400000000000003E-3</v>
      </c>
      <c r="G932">
        <v>0</v>
      </c>
      <c r="H932" t="str">
        <f t="shared" si="42"/>
        <v>50-59</v>
      </c>
      <c r="I932" t="str">
        <f t="shared" si="43"/>
        <v>10-19</v>
      </c>
      <c r="J932">
        <f t="shared" si="44"/>
        <v>5.7400000000000003E-3</v>
      </c>
    </row>
    <row r="933" spans="1:10">
      <c r="A933" t="s">
        <v>1015</v>
      </c>
      <c r="B933">
        <v>56</v>
      </c>
      <c r="C933" t="s">
        <v>7</v>
      </c>
      <c r="D933">
        <v>21</v>
      </c>
      <c r="E933">
        <v>76</v>
      </c>
      <c r="F933">
        <v>2.58E-2</v>
      </c>
      <c r="G933">
        <v>0</v>
      </c>
      <c r="H933" t="str">
        <f t="shared" si="42"/>
        <v>70-79</v>
      </c>
      <c r="I933" t="str">
        <f t="shared" si="43"/>
        <v>20-29</v>
      </c>
      <c r="J933">
        <f t="shared" si="44"/>
        <v>2.58E-2</v>
      </c>
    </row>
    <row r="934" spans="1:10">
      <c r="A934" t="s">
        <v>1016</v>
      </c>
      <c r="B934">
        <v>48</v>
      </c>
      <c r="C934" t="s">
        <v>7</v>
      </c>
      <c r="D934">
        <v>3</v>
      </c>
      <c r="E934">
        <v>50</v>
      </c>
      <c r="F934">
        <v>9.7999999999999997E-4</v>
      </c>
      <c r="G934">
        <v>0</v>
      </c>
      <c r="H934" t="str">
        <f t="shared" si="42"/>
        <v>50-59</v>
      </c>
      <c r="I934" t="str">
        <f t="shared" si="43"/>
        <v>0-9</v>
      </c>
      <c r="J934">
        <f t="shared" si="44"/>
        <v>9.7999999999999997E-4</v>
      </c>
    </row>
    <row r="935" spans="1:10">
      <c r="A935" t="s">
        <v>1017</v>
      </c>
      <c r="B935">
        <v>21</v>
      </c>
      <c r="C935" t="s">
        <v>9</v>
      </c>
      <c r="D935">
        <v>11</v>
      </c>
      <c r="E935">
        <v>31</v>
      </c>
      <c r="F935">
        <v>6.8000000000000005E-4</v>
      </c>
      <c r="G935">
        <v>0</v>
      </c>
      <c r="H935" t="str">
        <f t="shared" si="42"/>
        <v>30-39</v>
      </c>
      <c r="I935" t="str">
        <f t="shared" si="43"/>
        <v>10-19</v>
      </c>
      <c r="J935">
        <f t="shared" si="44"/>
        <v>6.8000000000000005E-4</v>
      </c>
    </row>
    <row r="936" spans="1:10">
      <c r="A936" t="s">
        <v>1018</v>
      </c>
      <c r="B936">
        <v>41</v>
      </c>
      <c r="C936" t="s">
        <v>7</v>
      </c>
      <c r="D936">
        <v>6</v>
      </c>
      <c r="E936">
        <v>46</v>
      </c>
      <c r="F936">
        <v>9.2000000000000003E-4</v>
      </c>
      <c r="G936">
        <v>0</v>
      </c>
      <c r="H936" t="str">
        <f t="shared" si="42"/>
        <v>40-49</v>
      </c>
      <c r="I936" t="str">
        <f t="shared" si="43"/>
        <v>0-9</v>
      </c>
      <c r="J936">
        <f t="shared" si="44"/>
        <v>9.2000000000000003E-4</v>
      </c>
    </row>
    <row r="937" spans="1:10">
      <c r="A937" t="s">
        <v>1019</v>
      </c>
      <c r="B937">
        <v>24</v>
      </c>
      <c r="C937" t="s">
        <v>7</v>
      </c>
      <c r="D937">
        <v>18</v>
      </c>
      <c r="E937">
        <v>41</v>
      </c>
      <c r="F937">
        <v>1.08E-3</v>
      </c>
      <c r="G937">
        <v>0</v>
      </c>
      <c r="H937" t="str">
        <f t="shared" si="42"/>
        <v>40-49</v>
      </c>
      <c r="I937" t="str">
        <f t="shared" si="43"/>
        <v>10-19</v>
      </c>
      <c r="J937">
        <f t="shared" si="44"/>
        <v>1.08E-3</v>
      </c>
    </row>
    <row r="938" spans="1:10">
      <c r="A938" t="s">
        <v>1020</v>
      </c>
      <c r="B938">
        <v>41</v>
      </c>
      <c r="C938" t="s">
        <v>7</v>
      </c>
      <c r="D938">
        <v>20</v>
      </c>
      <c r="E938">
        <v>60</v>
      </c>
      <c r="F938">
        <v>4.8799999999999998E-3</v>
      </c>
      <c r="G938">
        <v>0</v>
      </c>
      <c r="H938" t="str">
        <f t="shared" si="42"/>
        <v>60-69</v>
      </c>
      <c r="I938" t="str">
        <f t="shared" si="43"/>
        <v>20-29</v>
      </c>
      <c r="J938">
        <f t="shared" si="44"/>
        <v>4.8799999999999998E-3</v>
      </c>
    </row>
    <row r="939" spans="1:10">
      <c r="A939" t="s">
        <v>1021</v>
      </c>
      <c r="B939">
        <v>65</v>
      </c>
      <c r="C939" t="s">
        <v>9</v>
      </c>
      <c r="D939">
        <v>1</v>
      </c>
      <c r="E939">
        <v>65</v>
      </c>
      <c r="F939">
        <v>2.7799999999999999E-3</v>
      </c>
      <c r="G939">
        <v>0</v>
      </c>
      <c r="H939" t="str">
        <f t="shared" si="42"/>
        <v>60-69</v>
      </c>
      <c r="I939" t="str">
        <f t="shared" si="43"/>
        <v>0-9</v>
      </c>
      <c r="J939">
        <f t="shared" si="44"/>
        <v>2.7799999999999999E-3</v>
      </c>
    </row>
    <row r="940" spans="1:10">
      <c r="A940" t="s">
        <v>1022</v>
      </c>
      <c r="B940">
        <v>58</v>
      </c>
      <c r="C940" t="s">
        <v>9</v>
      </c>
      <c r="D940">
        <v>29</v>
      </c>
      <c r="E940">
        <v>86</v>
      </c>
      <c r="F940">
        <v>7.1389999999999995E-2</v>
      </c>
      <c r="G940">
        <v>1</v>
      </c>
      <c r="H940" t="str">
        <f t="shared" si="42"/>
        <v>80-89</v>
      </c>
      <c r="I940" t="str">
        <f t="shared" si="43"/>
        <v>20-29</v>
      </c>
      <c r="J940">
        <f t="shared" si="44"/>
        <v>7.1389999999999995E-2</v>
      </c>
    </row>
    <row r="941" spans="1:10">
      <c r="A941" t="s">
        <v>1023</v>
      </c>
      <c r="B941">
        <v>41</v>
      </c>
      <c r="C941" t="s">
        <v>7</v>
      </c>
      <c r="D941">
        <v>7</v>
      </c>
      <c r="E941">
        <v>47</v>
      </c>
      <c r="F941">
        <v>1.0499999999999999E-3</v>
      </c>
      <c r="G941">
        <v>0</v>
      </c>
      <c r="H941" t="str">
        <f t="shared" si="42"/>
        <v>40-49</v>
      </c>
      <c r="I941" t="str">
        <f t="shared" si="43"/>
        <v>0-9</v>
      </c>
      <c r="J941">
        <f t="shared" si="44"/>
        <v>1.0499999999999999E-3</v>
      </c>
    </row>
    <row r="942" spans="1:10">
      <c r="A942" t="s">
        <v>1024</v>
      </c>
      <c r="B942">
        <v>55</v>
      </c>
      <c r="C942" t="s">
        <v>7</v>
      </c>
      <c r="D942">
        <v>24</v>
      </c>
      <c r="E942">
        <v>78</v>
      </c>
      <c r="F942">
        <v>3.1989999999999998E-2</v>
      </c>
      <c r="G942">
        <v>0</v>
      </c>
      <c r="H942" t="str">
        <f t="shared" si="42"/>
        <v>70-79</v>
      </c>
      <c r="I942" t="str">
        <f t="shared" si="43"/>
        <v>20-29</v>
      </c>
      <c r="J942">
        <f t="shared" si="44"/>
        <v>3.1989999999999998E-2</v>
      </c>
    </row>
    <row r="943" spans="1:10">
      <c r="A943" t="s">
        <v>1025</v>
      </c>
      <c r="B943">
        <v>62</v>
      </c>
      <c r="C943" t="s">
        <v>9</v>
      </c>
      <c r="D943">
        <v>10</v>
      </c>
      <c r="E943">
        <v>71</v>
      </c>
      <c r="F943">
        <v>1.5980000000000001E-2</v>
      </c>
      <c r="G943">
        <v>0</v>
      </c>
      <c r="H943" t="str">
        <f t="shared" si="42"/>
        <v>70-79</v>
      </c>
      <c r="I943" t="str">
        <f t="shared" si="43"/>
        <v>10-19</v>
      </c>
      <c r="J943">
        <f t="shared" si="44"/>
        <v>1.5980000000000001E-2</v>
      </c>
    </row>
    <row r="944" spans="1:10">
      <c r="A944" t="s">
        <v>1026</v>
      </c>
      <c r="B944">
        <v>45</v>
      </c>
      <c r="C944" t="s">
        <v>7</v>
      </c>
      <c r="D944">
        <v>19</v>
      </c>
      <c r="E944">
        <v>63</v>
      </c>
      <c r="F944">
        <v>6.5500000000000003E-3</v>
      </c>
      <c r="G944">
        <v>0</v>
      </c>
      <c r="H944" t="str">
        <f t="shared" si="42"/>
        <v>60-69</v>
      </c>
      <c r="I944" t="str">
        <f t="shared" si="43"/>
        <v>10-19</v>
      </c>
      <c r="J944">
        <f t="shared" si="44"/>
        <v>6.5500000000000003E-3</v>
      </c>
    </row>
    <row r="945" spans="1:10">
      <c r="A945" t="s">
        <v>1027</v>
      </c>
      <c r="B945">
        <v>23</v>
      </c>
      <c r="C945" t="s">
        <v>9</v>
      </c>
      <c r="D945">
        <v>12</v>
      </c>
      <c r="E945">
        <v>34</v>
      </c>
      <c r="F945">
        <v>7.5000000000000002E-4</v>
      </c>
      <c r="G945">
        <v>0</v>
      </c>
      <c r="H945" t="str">
        <f t="shared" si="42"/>
        <v>30-39</v>
      </c>
      <c r="I945" t="str">
        <f t="shared" si="43"/>
        <v>10-19</v>
      </c>
      <c r="J945">
        <f t="shared" si="44"/>
        <v>7.5000000000000002E-4</v>
      </c>
    </row>
    <row r="946" spans="1:10">
      <c r="A946" t="s">
        <v>1028</v>
      </c>
      <c r="B946">
        <v>62</v>
      </c>
      <c r="C946" t="s">
        <v>7</v>
      </c>
      <c r="D946">
        <v>21</v>
      </c>
      <c r="E946">
        <v>82</v>
      </c>
      <c r="F946">
        <v>5.0599999999999999E-2</v>
      </c>
      <c r="G946">
        <v>0</v>
      </c>
      <c r="H946" t="str">
        <f t="shared" si="42"/>
        <v>80-89</v>
      </c>
      <c r="I946" t="str">
        <f t="shared" si="43"/>
        <v>20-29</v>
      </c>
      <c r="J946">
        <f t="shared" si="44"/>
        <v>5.0599999999999999E-2</v>
      </c>
    </row>
    <row r="947" spans="1:10">
      <c r="A947" t="s">
        <v>1029</v>
      </c>
      <c r="B947">
        <v>21</v>
      </c>
      <c r="C947" t="s">
        <v>9</v>
      </c>
      <c r="D947">
        <v>7</v>
      </c>
      <c r="E947">
        <v>27</v>
      </c>
      <c r="F947">
        <v>6.8000000000000005E-4</v>
      </c>
      <c r="G947">
        <v>0</v>
      </c>
      <c r="H947" t="str">
        <f t="shared" si="42"/>
        <v>20-29</v>
      </c>
      <c r="I947" t="str">
        <f t="shared" si="43"/>
        <v>0-9</v>
      </c>
      <c r="J947">
        <f t="shared" si="44"/>
        <v>6.8000000000000005E-4</v>
      </c>
    </row>
    <row r="948" spans="1:10">
      <c r="A948" t="s">
        <v>1030</v>
      </c>
      <c r="B948">
        <v>25</v>
      </c>
      <c r="C948" t="s">
        <v>7</v>
      </c>
      <c r="D948">
        <v>16</v>
      </c>
      <c r="E948">
        <v>40</v>
      </c>
      <c r="F948">
        <v>9.6000000000000002E-4</v>
      </c>
      <c r="G948">
        <v>0</v>
      </c>
      <c r="H948" t="str">
        <f t="shared" si="42"/>
        <v>40-49</v>
      </c>
      <c r="I948" t="str">
        <f t="shared" si="43"/>
        <v>10-19</v>
      </c>
      <c r="J948">
        <f t="shared" si="44"/>
        <v>9.6000000000000002E-4</v>
      </c>
    </row>
    <row r="949" spans="1:10">
      <c r="A949" t="s">
        <v>1031</v>
      </c>
      <c r="B949">
        <v>45</v>
      </c>
      <c r="C949" t="s">
        <v>9</v>
      </c>
      <c r="D949">
        <v>16</v>
      </c>
      <c r="E949">
        <v>60</v>
      </c>
      <c r="F949">
        <v>6.2500000000000003E-3</v>
      </c>
      <c r="G949">
        <v>0</v>
      </c>
      <c r="H949" t="str">
        <f t="shared" si="42"/>
        <v>60-69</v>
      </c>
      <c r="I949" t="str">
        <f t="shared" si="43"/>
        <v>10-19</v>
      </c>
      <c r="J949">
        <f t="shared" si="44"/>
        <v>6.2500000000000003E-3</v>
      </c>
    </row>
    <row r="950" spans="1:10">
      <c r="A950" t="s">
        <v>1032</v>
      </c>
      <c r="B950">
        <v>25</v>
      </c>
      <c r="C950" t="s">
        <v>7</v>
      </c>
      <c r="D950">
        <v>21</v>
      </c>
      <c r="E950">
        <v>45</v>
      </c>
      <c r="F950">
        <v>1.3799999999999999E-3</v>
      </c>
      <c r="G950">
        <v>0</v>
      </c>
      <c r="H950" t="str">
        <f t="shared" si="42"/>
        <v>40-49</v>
      </c>
      <c r="I950" t="str">
        <f t="shared" si="43"/>
        <v>20-29</v>
      </c>
      <c r="J950">
        <f t="shared" si="44"/>
        <v>1.3799999999999999E-3</v>
      </c>
    </row>
    <row r="951" spans="1:10">
      <c r="A951" t="s">
        <v>1033</v>
      </c>
      <c r="B951">
        <v>44</v>
      </c>
      <c r="C951" t="s">
        <v>9</v>
      </c>
      <c r="D951">
        <v>12</v>
      </c>
      <c r="E951">
        <v>55</v>
      </c>
      <c r="F951">
        <v>3.4499999999999999E-3</v>
      </c>
      <c r="G951">
        <v>0</v>
      </c>
      <c r="H951" t="str">
        <f t="shared" si="42"/>
        <v>50-59</v>
      </c>
      <c r="I951" t="str">
        <f t="shared" si="43"/>
        <v>10-19</v>
      </c>
      <c r="J951">
        <f t="shared" si="44"/>
        <v>3.4499999999999999E-3</v>
      </c>
    </row>
    <row r="952" spans="1:10">
      <c r="A952" t="s">
        <v>1034</v>
      </c>
      <c r="B952">
        <v>48</v>
      </c>
      <c r="C952" t="s">
        <v>9</v>
      </c>
      <c r="D952">
        <v>15</v>
      </c>
      <c r="E952">
        <v>62</v>
      </c>
      <c r="F952">
        <v>7.5100000000000002E-3</v>
      </c>
      <c r="G952">
        <v>0</v>
      </c>
      <c r="H952" t="str">
        <f t="shared" si="42"/>
        <v>60-69</v>
      </c>
      <c r="I952" t="str">
        <f t="shared" si="43"/>
        <v>10-19</v>
      </c>
      <c r="J952">
        <f t="shared" si="44"/>
        <v>7.5100000000000002E-3</v>
      </c>
    </row>
    <row r="953" spans="1:10">
      <c r="A953" t="s">
        <v>1035</v>
      </c>
      <c r="B953">
        <v>56</v>
      </c>
      <c r="C953" t="s">
        <v>9</v>
      </c>
      <c r="D953">
        <v>2</v>
      </c>
      <c r="E953">
        <v>57</v>
      </c>
      <c r="F953">
        <v>2.15E-3</v>
      </c>
      <c r="G953">
        <v>0</v>
      </c>
      <c r="H953" t="str">
        <f t="shared" si="42"/>
        <v>50-59</v>
      </c>
      <c r="I953" t="str">
        <f t="shared" si="43"/>
        <v>0-9</v>
      </c>
      <c r="J953">
        <f t="shared" si="44"/>
        <v>2.15E-3</v>
      </c>
    </row>
    <row r="954" spans="1:10">
      <c r="A954" t="s">
        <v>1036</v>
      </c>
      <c r="B954">
        <v>26</v>
      </c>
      <c r="C954" t="s">
        <v>7</v>
      </c>
      <c r="D954">
        <v>3</v>
      </c>
      <c r="E954">
        <v>28</v>
      </c>
      <c r="F954">
        <v>1.9000000000000001E-4</v>
      </c>
      <c r="G954">
        <v>0</v>
      </c>
      <c r="H954" t="str">
        <f t="shared" si="42"/>
        <v>20-29</v>
      </c>
      <c r="I954" t="str">
        <f t="shared" si="43"/>
        <v>0-9</v>
      </c>
      <c r="J954">
        <f t="shared" si="44"/>
        <v>1.9000000000000001E-4</v>
      </c>
    </row>
    <row r="955" spans="1:10">
      <c r="A955" t="s">
        <v>1037</v>
      </c>
      <c r="B955">
        <v>46</v>
      </c>
      <c r="C955" t="s">
        <v>7</v>
      </c>
      <c r="D955">
        <v>25</v>
      </c>
      <c r="E955">
        <v>70</v>
      </c>
      <c r="F955">
        <v>1.404E-2</v>
      </c>
      <c r="G955">
        <v>0</v>
      </c>
      <c r="H955" t="str">
        <f t="shared" si="42"/>
        <v>70-79</v>
      </c>
      <c r="I955" t="str">
        <f t="shared" si="43"/>
        <v>20-29</v>
      </c>
      <c r="J955">
        <f t="shared" si="44"/>
        <v>1.404E-2</v>
      </c>
    </row>
    <row r="956" spans="1:10">
      <c r="A956" t="s">
        <v>1038</v>
      </c>
      <c r="B956">
        <v>44</v>
      </c>
      <c r="C956" t="s">
        <v>7</v>
      </c>
      <c r="D956">
        <v>27</v>
      </c>
      <c r="E956">
        <v>70</v>
      </c>
      <c r="F956">
        <v>1.2659999999999999E-2</v>
      </c>
      <c r="G956">
        <v>0</v>
      </c>
      <c r="H956" t="str">
        <f t="shared" si="42"/>
        <v>70-79</v>
      </c>
      <c r="I956" t="str">
        <f t="shared" si="43"/>
        <v>20-29</v>
      </c>
      <c r="J956">
        <f t="shared" si="44"/>
        <v>1.2659999999999999E-2</v>
      </c>
    </row>
    <row r="957" spans="1:10">
      <c r="A957" t="s">
        <v>1039</v>
      </c>
      <c r="B957">
        <v>63</v>
      </c>
      <c r="C957" t="s">
        <v>7</v>
      </c>
      <c r="D957">
        <v>28</v>
      </c>
      <c r="E957">
        <v>90</v>
      </c>
      <c r="F957">
        <v>0.10484</v>
      </c>
      <c r="G957">
        <v>0</v>
      </c>
      <c r="H957" t="str">
        <f t="shared" si="42"/>
        <v>90-99</v>
      </c>
      <c r="I957" t="str">
        <f t="shared" si="43"/>
        <v>20-29</v>
      </c>
      <c r="J957">
        <f t="shared" si="44"/>
        <v>0.10484</v>
      </c>
    </row>
    <row r="958" spans="1:10">
      <c r="A958" t="s">
        <v>1040</v>
      </c>
      <c r="B958">
        <v>35</v>
      </c>
      <c r="C958" t="s">
        <v>9</v>
      </c>
      <c r="D958">
        <v>16</v>
      </c>
      <c r="E958">
        <v>50</v>
      </c>
      <c r="F958">
        <v>2.3900000000000002E-3</v>
      </c>
      <c r="G958">
        <v>0</v>
      </c>
      <c r="H958" t="str">
        <f t="shared" si="42"/>
        <v>50-59</v>
      </c>
      <c r="I958" t="str">
        <f t="shared" si="43"/>
        <v>10-19</v>
      </c>
      <c r="J958">
        <f t="shared" si="44"/>
        <v>2.3900000000000002E-3</v>
      </c>
    </row>
    <row r="959" spans="1:10">
      <c r="A959" t="s">
        <v>1041</v>
      </c>
      <c r="B959">
        <v>65</v>
      </c>
      <c r="C959" t="s">
        <v>7</v>
      </c>
      <c r="D959">
        <v>2</v>
      </c>
      <c r="E959">
        <v>66</v>
      </c>
      <c r="F959">
        <v>2.8999999999999998E-3</v>
      </c>
      <c r="G959">
        <v>0</v>
      </c>
      <c r="H959" t="str">
        <f t="shared" si="42"/>
        <v>60-69</v>
      </c>
      <c r="I959" t="str">
        <f t="shared" si="43"/>
        <v>0-9</v>
      </c>
      <c r="J959">
        <f t="shared" si="44"/>
        <v>2.8999999999999998E-3</v>
      </c>
    </row>
    <row r="960" spans="1:10">
      <c r="A960" t="s">
        <v>1042</v>
      </c>
      <c r="B960">
        <v>56</v>
      </c>
      <c r="C960" t="s">
        <v>7</v>
      </c>
      <c r="D960">
        <v>22</v>
      </c>
      <c r="E960">
        <v>77</v>
      </c>
      <c r="F960">
        <v>2.8719999999999999E-2</v>
      </c>
      <c r="G960">
        <v>0</v>
      </c>
      <c r="H960" t="str">
        <f t="shared" si="42"/>
        <v>70-79</v>
      </c>
      <c r="I960" t="str">
        <f t="shared" si="43"/>
        <v>20-29</v>
      </c>
      <c r="J960">
        <f t="shared" si="44"/>
        <v>2.8719999999999999E-2</v>
      </c>
    </row>
    <row r="961" spans="1:10">
      <c r="A961" t="s">
        <v>1043</v>
      </c>
      <c r="B961">
        <v>48</v>
      </c>
      <c r="C961" t="s">
        <v>7</v>
      </c>
      <c r="D961">
        <v>6</v>
      </c>
      <c r="E961">
        <v>53</v>
      </c>
      <c r="F961">
        <v>1.6900000000000001E-3</v>
      </c>
      <c r="G961">
        <v>0</v>
      </c>
      <c r="H961" t="str">
        <f t="shared" si="42"/>
        <v>50-59</v>
      </c>
      <c r="I961" t="str">
        <f t="shared" si="43"/>
        <v>0-9</v>
      </c>
      <c r="J961">
        <f t="shared" si="44"/>
        <v>1.6900000000000001E-3</v>
      </c>
    </row>
    <row r="962" spans="1:10">
      <c r="A962" t="s">
        <v>1044</v>
      </c>
      <c r="B962">
        <v>33</v>
      </c>
      <c r="C962" t="s">
        <v>9</v>
      </c>
      <c r="D962">
        <v>26</v>
      </c>
      <c r="E962">
        <v>58</v>
      </c>
      <c r="F962">
        <v>5.2199999999999998E-3</v>
      </c>
      <c r="G962">
        <v>0</v>
      </c>
      <c r="H962" t="str">
        <f t="shared" si="42"/>
        <v>50-59</v>
      </c>
      <c r="I962" t="str">
        <f t="shared" si="43"/>
        <v>20-29</v>
      </c>
      <c r="J962">
        <f t="shared" si="44"/>
        <v>5.2199999999999998E-3</v>
      </c>
    </row>
    <row r="963" spans="1:10">
      <c r="A963" t="s">
        <v>1045</v>
      </c>
      <c r="B963">
        <v>25</v>
      </c>
      <c r="C963" t="s">
        <v>9</v>
      </c>
      <c r="D963">
        <v>22</v>
      </c>
      <c r="E963">
        <v>46</v>
      </c>
      <c r="F963">
        <v>2.0799999999999998E-3</v>
      </c>
      <c r="G963">
        <v>0</v>
      </c>
      <c r="H963" t="str">
        <f t="shared" ref="H963:H1026" si="45">FLOOR(E963,10) &amp; "-" &amp; FLOOR(E963,10)+9</f>
        <v>40-49</v>
      </c>
      <c r="I963" t="str">
        <f t="shared" ref="I963:I1026" si="46">FLOOR(D963, 10) &amp; "-"&amp;FLOOR(D963, 10)+9</f>
        <v>20-29</v>
      </c>
      <c r="J963">
        <f t="shared" ref="J963:J1026" si="47">F963</f>
        <v>2.0799999999999998E-3</v>
      </c>
    </row>
    <row r="964" spans="1:10">
      <c r="A964" t="s">
        <v>1046</v>
      </c>
      <c r="B964">
        <v>60</v>
      </c>
      <c r="C964" t="s">
        <v>7</v>
      </c>
      <c r="D964">
        <v>5</v>
      </c>
      <c r="E964">
        <v>64</v>
      </c>
      <c r="F964">
        <v>4.9800000000000001E-3</v>
      </c>
      <c r="G964">
        <v>0</v>
      </c>
      <c r="H964" t="str">
        <f t="shared" si="45"/>
        <v>60-69</v>
      </c>
      <c r="I964" t="str">
        <f t="shared" si="46"/>
        <v>0-9</v>
      </c>
      <c r="J964">
        <f t="shared" si="47"/>
        <v>4.9800000000000001E-3</v>
      </c>
    </row>
    <row r="965" spans="1:10">
      <c r="A965" t="s">
        <v>1047</v>
      </c>
      <c r="B965">
        <v>24</v>
      </c>
      <c r="C965" t="s">
        <v>9</v>
      </c>
      <c r="D965">
        <v>3</v>
      </c>
      <c r="E965">
        <v>26</v>
      </c>
      <c r="F965">
        <v>4.4999999999999999E-4</v>
      </c>
      <c r="G965">
        <v>0</v>
      </c>
      <c r="H965" t="str">
        <f t="shared" si="45"/>
        <v>20-29</v>
      </c>
      <c r="I965" t="str">
        <f t="shared" si="46"/>
        <v>0-9</v>
      </c>
      <c r="J965">
        <f t="shared" si="47"/>
        <v>4.4999999999999999E-4</v>
      </c>
    </row>
    <row r="966" spans="1:10">
      <c r="A966" t="s">
        <v>1048</v>
      </c>
      <c r="B966">
        <v>40</v>
      </c>
      <c r="C966" t="s">
        <v>9</v>
      </c>
      <c r="D966">
        <v>28</v>
      </c>
      <c r="E966">
        <v>67</v>
      </c>
      <c r="F966">
        <v>1.064E-2</v>
      </c>
      <c r="G966">
        <v>0</v>
      </c>
      <c r="H966" t="str">
        <f t="shared" si="45"/>
        <v>60-69</v>
      </c>
      <c r="I966" t="str">
        <f t="shared" si="46"/>
        <v>20-29</v>
      </c>
      <c r="J966">
        <f t="shared" si="47"/>
        <v>1.064E-2</v>
      </c>
    </row>
    <row r="967" spans="1:10">
      <c r="A967" t="s">
        <v>1049</v>
      </c>
      <c r="B967">
        <v>20</v>
      </c>
      <c r="C967" t="s">
        <v>7</v>
      </c>
      <c r="D967">
        <v>26</v>
      </c>
      <c r="E967">
        <v>45</v>
      </c>
      <c r="F967">
        <v>1.3799999999999999E-3</v>
      </c>
      <c r="G967">
        <v>0</v>
      </c>
      <c r="H967" t="str">
        <f t="shared" si="45"/>
        <v>40-49</v>
      </c>
      <c r="I967" t="str">
        <f t="shared" si="46"/>
        <v>20-29</v>
      </c>
      <c r="J967">
        <f t="shared" si="47"/>
        <v>1.3799999999999999E-3</v>
      </c>
    </row>
    <row r="968" spans="1:10">
      <c r="A968" t="s">
        <v>1050</v>
      </c>
      <c r="B968">
        <v>46</v>
      </c>
      <c r="C968" t="s">
        <v>9</v>
      </c>
      <c r="D968">
        <v>4</v>
      </c>
      <c r="E968">
        <v>49</v>
      </c>
      <c r="F968">
        <v>1.4400000000000001E-3</v>
      </c>
      <c r="G968">
        <v>0</v>
      </c>
      <c r="H968" t="str">
        <f t="shared" si="45"/>
        <v>40-49</v>
      </c>
      <c r="I968" t="str">
        <f t="shared" si="46"/>
        <v>0-9</v>
      </c>
      <c r="J968">
        <f t="shared" si="47"/>
        <v>1.4400000000000001E-3</v>
      </c>
    </row>
    <row r="969" spans="1:10">
      <c r="A969" t="s">
        <v>1051</v>
      </c>
      <c r="B969">
        <v>57</v>
      </c>
      <c r="C969" t="s">
        <v>7</v>
      </c>
      <c r="D969">
        <v>19</v>
      </c>
      <c r="E969">
        <v>75</v>
      </c>
      <c r="F969">
        <v>2.2349999999999998E-2</v>
      </c>
      <c r="G969">
        <v>0</v>
      </c>
      <c r="H969" t="str">
        <f t="shared" si="45"/>
        <v>70-79</v>
      </c>
      <c r="I969" t="str">
        <f t="shared" si="46"/>
        <v>10-19</v>
      </c>
      <c r="J969">
        <f t="shared" si="47"/>
        <v>2.2349999999999998E-2</v>
      </c>
    </row>
    <row r="970" spans="1:10">
      <c r="A970" t="s">
        <v>1052</v>
      </c>
      <c r="B970">
        <v>26</v>
      </c>
      <c r="C970" t="s">
        <v>7</v>
      </c>
      <c r="D970">
        <v>19</v>
      </c>
      <c r="E970">
        <v>44</v>
      </c>
      <c r="F970">
        <v>1.2700000000000001E-3</v>
      </c>
      <c r="G970">
        <v>0</v>
      </c>
      <c r="H970" t="str">
        <f t="shared" si="45"/>
        <v>40-49</v>
      </c>
      <c r="I970" t="str">
        <f t="shared" si="46"/>
        <v>10-19</v>
      </c>
      <c r="J970">
        <f t="shared" si="47"/>
        <v>1.2700000000000001E-3</v>
      </c>
    </row>
    <row r="971" spans="1:10">
      <c r="A971" t="s">
        <v>1053</v>
      </c>
      <c r="B971">
        <v>54</v>
      </c>
      <c r="C971" t="s">
        <v>9</v>
      </c>
      <c r="D971">
        <v>29</v>
      </c>
      <c r="E971">
        <v>82</v>
      </c>
      <c r="F971">
        <v>4.5769999999999998E-2</v>
      </c>
      <c r="G971">
        <v>0</v>
      </c>
      <c r="H971" t="str">
        <f t="shared" si="45"/>
        <v>80-89</v>
      </c>
      <c r="I971" t="str">
        <f t="shared" si="46"/>
        <v>20-29</v>
      </c>
      <c r="J971">
        <f t="shared" si="47"/>
        <v>4.5769999999999998E-2</v>
      </c>
    </row>
    <row r="972" spans="1:10">
      <c r="A972" t="s">
        <v>1054</v>
      </c>
      <c r="B972">
        <v>44</v>
      </c>
      <c r="C972" t="s">
        <v>9</v>
      </c>
      <c r="D972">
        <v>21</v>
      </c>
      <c r="E972">
        <v>64</v>
      </c>
      <c r="F972">
        <v>9.2899999999999996E-3</v>
      </c>
      <c r="G972">
        <v>0</v>
      </c>
      <c r="H972" t="str">
        <f t="shared" si="45"/>
        <v>60-69</v>
      </c>
      <c r="I972" t="str">
        <f t="shared" si="46"/>
        <v>20-29</v>
      </c>
      <c r="J972">
        <f t="shared" si="47"/>
        <v>9.2899999999999996E-3</v>
      </c>
    </row>
    <row r="973" spans="1:10">
      <c r="A973" t="s">
        <v>1055</v>
      </c>
      <c r="B973">
        <v>22</v>
      </c>
      <c r="C973" t="s">
        <v>9</v>
      </c>
      <c r="D973">
        <v>6</v>
      </c>
      <c r="E973">
        <v>27</v>
      </c>
      <c r="F973">
        <v>5.9000000000000003E-4</v>
      </c>
      <c r="G973">
        <v>0</v>
      </c>
      <c r="H973" t="str">
        <f t="shared" si="45"/>
        <v>20-29</v>
      </c>
      <c r="I973" t="str">
        <f t="shared" si="46"/>
        <v>0-9</v>
      </c>
      <c r="J973">
        <f t="shared" si="47"/>
        <v>5.9000000000000003E-4</v>
      </c>
    </row>
    <row r="974" spans="1:10">
      <c r="A974" t="s">
        <v>1056</v>
      </c>
      <c r="B974">
        <v>58</v>
      </c>
      <c r="C974" t="s">
        <v>7</v>
      </c>
      <c r="D974">
        <v>22</v>
      </c>
      <c r="E974">
        <v>79</v>
      </c>
      <c r="F974">
        <v>3.569E-2</v>
      </c>
      <c r="G974">
        <v>0</v>
      </c>
      <c r="H974" t="str">
        <f t="shared" si="45"/>
        <v>70-79</v>
      </c>
      <c r="I974" t="str">
        <f t="shared" si="46"/>
        <v>20-29</v>
      </c>
      <c r="J974">
        <f t="shared" si="47"/>
        <v>3.569E-2</v>
      </c>
    </row>
    <row r="975" spans="1:10">
      <c r="A975" t="s">
        <v>1057</v>
      </c>
      <c r="B975">
        <v>41</v>
      </c>
      <c r="C975" t="s">
        <v>9</v>
      </c>
      <c r="D975">
        <v>23</v>
      </c>
      <c r="E975">
        <v>63</v>
      </c>
      <c r="F975">
        <v>8.5299999999999994E-3</v>
      </c>
      <c r="G975">
        <v>0</v>
      </c>
      <c r="H975" t="str">
        <f t="shared" si="45"/>
        <v>60-69</v>
      </c>
      <c r="I975" t="str">
        <f t="shared" si="46"/>
        <v>20-29</v>
      </c>
      <c r="J975">
        <f t="shared" si="47"/>
        <v>8.5299999999999994E-3</v>
      </c>
    </row>
    <row r="976" spans="1:10">
      <c r="A976" t="s">
        <v>1058</v>
      </c>
      <c r="B976">
        <v>37</v>
      </c>
      <c r="C976" t="s">
        <v>9</v>
      </c>
      <c r="D976">
        <v>29</v>
      </c>
      <c r="E976">
        <v>65</v>
      </c>
      <c r="F976">
        <v>7.79E-3</v>
      </c>
      <c r="G976">
        <v>0</v>
      </c>
      <c r="H976" t="str">
        <f t="shared" si="45"/>
        <v>60-69</v>
      </c>
      <c r="I976" t="str">
        <f t="shared" si="46"/>
        <v>20-29</v>
      </c>
      <c r="J976">
        <f t="shared" si="47"/>
        <v>7.79E-3</v>
      </c>
    </row>
    <row r="977" spans="1:10">
      <c r="A977" t="s">
        <v>1059</v>
      </c>
      <c r="B977">
        <v>39</v>
      </c>
      <c r="C977" t="s">
        <v>9</v>
      </c>
      <c r="D977">
        <v>10</v>
      </c>
      <c r="E977">
        <v>48</v>
      </c>
      <c r="F977">
        <v>1.7099999999999999E-3</v>
      </c>
      <c r="G977">
        <v>0</v>
      </c>
      <c r="H977" t="str">
        <f t="shared" si="45"/>
        <v>40-49</v>
      </c>
      <c r="I977" t="str">
        <f t="shared" si="46"/>
        <v>10-19</v>
      </c>
      <c r="J977">
        <f t="shared" si="47"/>
        <v>1.7099999999999999E-3</v>
      </c>
    </row>
    <row r="978" spans="1:10">
      <c r="A978" t="s">
        <v>1060</v>
      </c>
      <c r="B978">
        <v>64</v>
      </c>
      <c r="C978" t="s">
        <v>9</v>
      </c>
      <c r="D978">
        <v>22</v>
      </c>
      <c r="E978">
        <v>85</v>
      </c>
      <c r="F978">
        <v>9.1270000000000004E-2</v>
      </c>
      <c r="G978">
        <v>0</v>
      </c>
      <c r="H978" t="str">
        <f t="shared" si="45"/>
        <v>80-89</v>
      </c>
      <c r="I978" t="str">
        <f t="shared" si="46"/>
        <v>20-29</v>
      </c>
      <c r="J978">
        <f t="shared" si="47"/>
        <v>9.1270000000000004E-2</v>
      </c>
    </row>
    <row r="979" spans="1:10">
      <c r="A979" t="s">
        <v>1061</v>
      </c>
      <c r="B979">
        <v>28</v>
      </c>
      <c r="C979" t="s">
        <v>7</v>
      </c>
      <c r="D979">
        <v>10</v>
      </c>
      <c r="E979">
        <v>37</v>
      </c>
      <c r="F979">
        <v>5.9000000000000003E-4</v>
      </c>
      <c r="G979">
        <v>0</v>
      </c>
      <c r="H979" t="str">
        <f t="shared" si="45"/>
        <v>30-39</v>
      </c>
      <c r="I979" t="str">
        <f t="shared" si="46"/>
        <v>10-19</v>
      </c>
      <c r="J979">
        <f t="shared" si="47"/>
        <v>5.9000000000000003E-4</v>
      </c>
    </row>
    <row r="980" spans="1:10">
      <c r="A980" t="s">
        <v>1062</v>
      </c>
      <c r="B980">
        <v>40</v>
      </c>
      <c r="C980" t="s">
        <v>7</v>
      </c>
      <c r="D980">
        <v>9</v>
      </c>
      <c r="E980">
        <v>48</v>
      </c>
      <c r="F980">
        <v>1.23E-3</v>
      </c>
      <c r="G980">
        <v>0</v>
      </c>
      <c r="H980" t="str">
        <f t="shared" si="45"/>
        <v>40-49</v>
      </c>
      <c r="I980" t="str">
        <f t="shared" si="46"/>
        <v>0-9</v>
      </c>
      <c r="J980">
        <f t="shared" si="47"/>
        <v>1.23E-3</v>
      </c>
    </row>
    <row r="981" spans="1:10">
      <c r="A981" t="s">
        <v>1063</v>
      </c>
      <c r="B981">
        <v>25</v>
      </c>
      <c r="C981" t="s">
        <v>9</v>
      </c>
      <c r="D981">
        <v>7</v>
      </c>
      <c r="E981">
        <v>31</v>
      </c>
      <c r="F981">
        <v>4.8000000000000001E-4</v>
      </c>
      <c r="G981">
        <v>0</v>
      </c>
      <c r="H981" t="str">
        <f t="shared" si="45"/>
        <v>30-39</v>
      </c>
      <c r="I981" t="str">
        <f t="shared" si="46"/>
        <v>0-9</v>
      </c>
      <c r="J981">
        <f t="shared" si="47"/>
        <v>4.8000000000000001E-4</v>
      </c>
    </row>
    <row r="982" spans="1:10">
      <c r="A982" t="s">
        <v>1064</v>
      </c>
      <c r="B982">
        <v>46</v>
      </c>
      <c r="C982" t="s">
        <v>9</v>
      </c>
      <c r="D982">
        <v>24</v>
      </c>
      <c r="E982">
        <v>69</v>
      </c>
      <c r="F982">
        <v>1.5509999999999999E-2</v>
      </c>
      <c r="G982">
        <v>0</v>
      </c>
      <c r="H982" t="str">
        <f t="shared" si="45"/>
        <v>60-69</v>
      </c>
      <c r="I982" t="str">
        <f t="shared" si="46"/>
        <v>20-29</v>
      </c>
      <c r="J982">
        <f t="shared" si="47"/>
        <v>1.5509999999999999E-2</v>
      </c>
    </row>
    <row r="983" spans="1:10">
      <c r="A983" t="s">
        <v>1065</v>
      </c>
      <c r="B983">
        <v>43</v>
      </c>
      <c r="C983" t="s">
        <v>9</v>
      </c>
      <c r="D983">
        <v>27</v>
      </c>
      <c r="E983">
        <v>69</v>
      </c>
      <c r="F983">
        <v>1.413E-2</v>
      </c>
      <c r="G983">
        <v>0</v>
      </c>
      <c r="H983" t="str">
        <f t="shared" si="45"/>
        <v>60-69</v>
      </c>
      <c r="I983" t="str">
        <f t="shared" si="46"/>
        <v>20-29</v>
      </c>
      <c r="J983">
        <f t="shared" si="47"/>
        <v>1.413E-2</v>
      </c>
    </row>
    <row r="984" spans="1:10">
      <c r="A984" t="s">
        <v>1066</v>
      </c>
      <c r="B984">
        <v>24</v>
      </c>
      <c r="C984" t="s">
        <v>7</v>
      </c>
      <c r="D984">
        <v>10</v>
      </c>
      <c r="E984">
        <v>33</v>
      </c>
      <c r="F984">
        <v>4.2000000000000002E-4</v>
      </c>
      <c r="G984">
        <v>0</v>
      </c>
      <c r="H984" t="str">
        <f t="shared" si="45"/>
        <v>30-39</v>
      </c>
      <c r="I984" t="str">
        <f t="shared" si="46"/>
        <v>10-19</v>
      </c>
      <c r="J984">
        <f t="shared" si="47"/>
        <v>4.2000000000000002E-4</v>
      </c>
    </row>
    <row r="985" spans="1:10">
      <c r="A985" t="s">
        <v>1067</v>
      </c>
      <c r="B985">
        <v>53</v>
      </c>
      <c r="C985" t="s">
        <v>7</v>
      </c>
      <c r="D985">
        <v>29</v>
      </c>
      <c r="E985">
        <v>81</v>
      </c>
      <c r="F985">
        <v>3.1989999999999998E-2</v>
      </c>
      <c r="G985">
        <v>0</v>
      </c>
      <c r="H985" t="str">
        <f t="shared" si="45"/>
        <v>80-89</v>
      </c>
      <c r="I985" t="str">
        <f t="shared" si="46"/>
        <v>20-29</v>
      </c>
      <c r="J985">
        <f t="shared" si="47"/>
        <v>3.1989999999999998E-2</v>
      </c>
    </row>
    <row r="986" spans="1:10">
      <c r="A986" t="s">
        <v>1068</v>
      </c>
      <c r="B986">
        <v>32</v>
      </c>
      <c r="C986" t="s">
        <v>9</v>
      </c>
      <c r="D986">
        <v>27</v>
      </c>
      <c r="E986">
        <v>58</v>
      </c>
      <c r="F986">
        <v>4.7800000000000004E-3</v>
      </c>
      <c r="G986">
        <v>0</v>
      </c>
      <c r="H986" t="str">
        <f t="shared" si="45"/>
        <v>50-59</v>
      </c>
      <c r="I986" t="str">
        <f t="shared" si="46"/>
        <v>20-29</v>
      </c>
      <c r="J986">
        <f t="shared" si="47"/>
        <v>4.7800000000000004E-3</v>
      </c>
    </row>
    <row r="987" spans="1:10">
      <c r="A987" t="s">
        <v>1069</v>
      </c>
      <c r="B987">
        <v>23</v>
      </c>
      <c r="C987" t="s">
        <v>9</v>
      </c>
      <c r="D987">
        <v>30</v>
      </c>
      <c r="E987">
        <v>52</v>
      </c>
      <c r="F987">
        <v>2.7399999999999998E-3</v>
      </c>
      <c r="G987">
        <v>0</v>
      </c>
      <c r="H987" t="str">
        <f t="shared" si="45"/>
        <v>50-59</v>
      </c>
      <c r="I987" t="str">
        <f t="shared" si="46"/>
        <v>30-39</v>
      </c>
      <c r="J987">
        <f t="shared" si="47"/>
        <v>2.7399999999999998E-3</v>
      </c>
    </row>
    <row r="988" spans="1:10">
      <c r="A988" t="s">
        <v>1070</v>
      </c>
      <c r="B988">
        <v>43</v>
      </c>
      <c r="C988" t="s">
        <v>9</v>
      </c>
      <c r="D988">
        <v>27</v>
      </c>
      <c r="E988">
        <v>69</v>
      </c>
      <c r="F988">
        <v>1.413E-2</v>
      </c>
      <c r="G988">
        <v>0</v>
      </c>
      <c r="H988" t="str">
        <f t="shared" si="45"/>
        <v>60-69</v>
      </c>
      <c r="I988" t="str">
        <f t="shared" si="46"/>
        <v>20-29</v>
      </c>
      <c r="J988">
        <f t="shared" si="47"/>
        <v>1.413E-2</v>
      </c>
    </row>
    <row r="989" spans="1:10">
      <c r="A989" t="s">
        <v>1071</v>
      </c>
      <c r="B989">
        <v>27</v>
      </c>
      <c r="C989" t="s">
        <v>9</v>
      </c>
      <c r="D989">
        <v>22</v>
      </c>
      <c r="E989">
        <v>48</v>
      </c>
      <c r="F989">
        <v>2.2699999999999999E-3</v>
      </c>
      <c r="G989">
        <v>0</v>
      </c>
      <c r="H989" t="str">
        <f t="shared" si="45"/>
        <v>40-49</v>
      </c>
      <c r="I989" t="str">
        <f t="shared" si="46"/>
        <v>20-29</v>
      </c>
      <c r="J989">
        <f t="shared" si="47"/>
        <v>2.2699999999999999E-3</v>
      </c>
    </row>
    <row r="990" spans="1:10">
      <c r="A990" t="s">
        <v>1072</v>
      </c>
      <c r="B990">
        <v>58</v>
      </c>
      <c r="C990" t="s">
        <v>9</v>
      </c>
      <c r="D990">
        <v>15</v>
      </c>
      <c r="E990">
        <v>72</v>
      </c>
      <c r="F990">
        <v>2.0910000000000002E-2</v>
      </c>
      <c r="G990">
        <v>0</v>
      </c>
      <c r="H990" t="str">
        <f t="shared" si="45"/>
        <v>70-79</v>
      </c>
      <c r="I990" t="str">
        <f t="shared" si="46"/>
        <v>10-19</v>
      </c>
      <c r="J990">
        <f t="shared" si="47"/>
        <v>2.0910000000000002E-2</v>
      </c>
    </row>
    <row r="991" spans="1:10">
      <c r="A991" t="s">
        <v>1073</v>
      </c>
      <c r="B991">
        <v>57</v>
      </c>
      <c r="C991" t="s">
        <v>9</v>
      </c>
      <c r="D991">
        <v>18</v>
      </c>
      <c r="E991">
        <v>74</v>
      </c>
      <c r="F991">
        <v>2.6550000000000001E-2</v>
      </c>
      <c r="G991">
        <v>0</v>
      </c>
      <c r="H991" t="str">
        <f t="shared" si="45"/>
        <v>70-79</v>
      </c>
      <c r="I991" t="str">
        <f t="shared" si="46"/>
        <v>10-19</v>
      </c>
      <c r="J991">
        <f t="shared" si="47"/>
        <v>2.6550000000000001E-2</v>
      </c>
    </row>
    <row r="992" spans="1:10">
      <c r="A992" t="s">
        <v>1074</v>
      </c>
      <c r="B992">
        <v>36</v>
      </c>
      <c r="C992" t="s">
        <v>7</v>
      </c>
      <c r="D992">
        <v>24</v>
      </c>
      <c r="E992">
        <v>59</v>
      </c>
      <c r="F992">
        <v>4.4600000000000004E-3</v>
      </c>
      <c r="G992">
        <v>0</v>
      </c>
      <c r="H992" t="str">
        <f t="shared" si="45"/>
        <v>50-59</v>
      </c>
      <c r="I992" t="str">
        <f t="shared" si="46"/>
        <v>20-29</v>
      </c>
      <c r="J992">
        <f t="shared" si="47"/>
        <v>4.4600000000000004E-3</v>
      </c>
    </row>
    <row r="993" spans="1:10">
      <c r="A993" t="s">
        <v>1075</v>
      </c>
      <c r="B993">
        <v>21</v>
      </c>
      <c r="C993" t="s">
        <v>9</v>
      </c>
      <c r="D993">
        <v>13</v>
      </c>
      <c r="E993">
        <v>33</v>
      </c>
      <c r="F993">
        <v>7.7999999999999999E-4</v>
      </c>
      <c r="G993">
        <v>0</v>
      </c>
      <c r="H993" t="str">
        <f t="shared" si="45"/>
        <v>30-39</v>
      </c>
      <c r="I993" t="str">
        <f t="shared" si="46"/>
        <v>10-19</v>
      </c>
      <c r="J993">
        <f t="shared" si="47"/>
        <v>7.7999999999999999E-4</v>
      </c>
    </row>
    <row r="994" spans="1:10">
      <c r="A994" t="s">
        <v>1076</v>
      </c>
      <c r="B994">
        <v>33</v>
      </c>
      <c r="C994" t="s">
        <v>9</v>
      </c>
      <c r="D994">
        <v>28</v>
      </c>
      <c r="E994">
        <v>60</v>
      </c>
      <c r="F994">
        <v>5.2199999999999998E-3</v>
      </c>
      <c r="G994">
        <v>0</v>
      </c>
      <c r="H994" t="str">
        <f t="shared" si="45"/>
        <v>60-69</v>
      </c>
      <c r="I994" t="str">
        <f t="shared" si="46"/>
        <v>20-29</v>
      </c>
      <c r="J994">
        <f t="shared" si="47"/>
        <v>5.2199999999999998E-3</v>
      </c>
    </row>
    <row r="995" spans="1:10">
      <c r="A995" t="s">
        <v>1077</v>
      </c>
      <c r="B995">
        <v>33</v>
      </c>
      <c r="C995" t="s">
        <v>7</v>
      </c>
      <c r="D995">
        <v>9</v>
      </c>
      <c r="E995">
        <v>41</v>
      </c>
      <c r="F995">
        <v>7.2999999999999996E-4</v>
      </c>
      <c r="G995">
        <v>0</v>
      </c>
      <c r="H995" t="str">
        <f t="shared" si="45"/>
        <v>40-49</v>
      </c>
      <c r="I995" t="str">
        <f t="shared" si="46"/>
        <v>0-9</v>
      </c>
      <c r="J995">
        <f t="shared" si="47"/>
        <v>7.2999999999999996E-4</v>
      </c>
    </row>
    <row r="996" spans="1:10">
      <c r="A996" t="s">
        <v>1078</v>
      </c>
      <c r="B996">
        <v>63</v>
      </c>
      <c r="C996" t="s">
        <v>9</v>
      </c>
      <c r="D996">
        <v>1</v>
      </c>
      <c r="E996">
        <v>63</v>
      </c>
      <c r="F996">
        <v>2.5400000000000002E-3</v>
      </c>
      <c r="G996">
        <v>0</v>
      </c>
      <c r="H996" t="str">
        <f t="shared" si="45"/>
        <v>60-69</v>
      </c>
      <c r="I996" t="str">
        <f t="shared" si="46"/>
        <v>0-9</v>
      </c>
      <c r="J996">
        <f t="shared" si="47"/>
        <v>2.5400000000000002E-3</v>
      </c>
    </row>
    <row r="997" spans="1:10">
      <c r="A997" t="s">
        <v>1079</v>
      </c>
      <c r="B997">
        <v>31</v>
      </c>
      <c r="C997" t="s">
        <v>7</v>
      </c>
      <c r="D997">
        <v>20</v>
      </c>
      <c r="E997">
        <v>50</v>
      </c>
      <c r="F997">
        <v>1.9599999999999999E-3</v>
      </c>
      <c r="G997">
        <v>0</v>
      </c>
      <c r="H997" t="str">
        <f t="shared" si="45"/>
        <v>50-59</v>
      </c>
      <c r="I997" t="str">
        <f t="shared" si="46"/>
        <v>20-29</v>
      </c>
      <c r="J997">
        <f t="shared" si="47"/>
        <v>1.9599999999999999E-3</v>
      </c>
    </row>
    <row r="998" spans="1:10">
      <c r="A998" t="s">
        <v>1080</v>
      </c>
      <c r="B998">
        <v>58</v>
      </c>
      <c r="C998" t="s">
        <v>7</v>
      </c>
      <c r="D998">
        <v>26</v>
      </c>
      <c r="E998">
        <v>83</v>
      </c>
      <c r="F998">
        <v>5.704E-2</v>
      </c>
      <c r="G998">
        <v>0</v>
      </c>
      <c r="H998" t="str">
        <f t="shared" si="45"/>
        <v>80-89</v>
      </c>
      <c r="I998" t="str">
        <f t="shared" si="46"/>
        <v>20-29</v>
      </c>
      <c r="J998">
        <f t="shared" si="47"/>
        <v>5.704E-2</v>
      </c>
    </row>
    <row r="999" spans="1:10">
      <c r="A999" t="s">
        <v>1081</v>
      </c>
      <c r="B999">
        <v>65</v>
      </c>
      <c r="C999" t="s">
        <v>9</v>
      </c>
      <c r="D999">
        <v>21</v>
      </c>
      <c r="E999">
        <v>85</v>
      </c>
      <c r="F999">
        <v>9.1139999999999999E-2</v>
      </c>
      <c r="G999">
        <v>0</v>
      </c>
      <c r="H999" t="str">
        <f t="shared" si="45"/>
        <v>80-89</v>
      </c>
      <c r="I999" t="str">
        <f t="shared" si="46"/>
        <v>20-29</v>
      </c>
      <c r="J999">
        <f t="shared" si="47"/>
        <v>9.1139999999999999E-2</v>
      </c>
    </row>
    <row r="1000" spans="1:10">
      <c r="A1000" t="s">
        <v>1082</v>
      </c>
      <c r="B1000">
        <v>42</v>
      </c>
      <c r="C1000" t="s">
        <v>9</v>
      </c>
      <c r="D1000">
        <v>15</v>
      </c>
      <c r="E1000">
        <v>56</v>
      </c>
      <c r="F1000">
        <v>3.9899999999999996E-3</v>
      </c>
      <c r="G1000">
        <v>0</v>
      </c>
      <c r="H1000" t="str">
        <f t="shared" si="45"/>
        <v>50-59</v>
      </c>
      <c r="I1000" t="str">
        <f t="shared" si="46"/>
        <v>10-19</v>
      </c>
      <c r="J1000">
        <f t="shared" si="47"/>
        <v>3.9899999999999996E-3</v>
      </c>
    </row>
    <row r="1001" spans="1:10">
      <c r="A1001" t="s">
        <v>1083</v>
      </c>
      <c r="B1001">
        <v>63</v>
      </c>
      <c r="C1001" t="s">
        <v>7</v>
      </c>
      <c r="D1001">
        <v>17</v>
      </c>
      <c r="E1001">
        <v>79</v>
      </c>
      <c r="F1001">
        <v>3.2660000000000002E-2</v>
      </c>
      <c r="G1001">
        <v>0</v>
      </c>
      <c r="H1001" t="str">
        <f t="shared" si="45"/>
        <v>70-79</v>
      </c>
      <c r="I1001" t="str">
        <f t="shared" si="46"/>
        <v>10-19</v>
      </c>
      <c r="J1001">
        <f t="shared" si="47"/>
        <v>3.2660000000000002E-2</v>
      </c>
    </row>
    <row r="1002" spans="1:10">
      <c r="A1002" t="s">
        <v>1084</v>
      </c>
      <c r="B1002">
        <v>26</v>
      </c>
      <c r="C1002" t="s">
        <v>7</v>
      </c>
      <c r="D1002">
        <v>1</v>
      </c>
      <c r="E1002">
        <v>26</v>
      </c>
      <c r="F1002">
        <v>1.3999999999999999E-4</v>
      </c>
      <c r="G1002">
        <v>0</v>
      </c>
      <c r="H1002" t="str">
        <f t="shared" si="45"/>
        <v>20-29</v>
      </c>
      <c r="I1002" t="str">
        <f t="shared" si="46"/>
        <v>0-9</v>
      </c>
      <c r="J1002">
        <f t="shared" si="47"/>
        <v>1.3999999999999999E-4</v>
      </c>
    </row>
    <row r="1003" spans="1:10">
      <c r="A1003" t="s">
        <v>1085</v>
      </c>
      <c r="B1003">
        <v>43</v>
      </c>
      <c r="C1003" t="s">
        <v>7</v>
      </c>
      <c r="D1003">
        <v>18</v>
      </c>
      <c r="E1003">
        <v>60</v>
      </c>
      <c r="F1003">
        <v>4.7299999999999998E-3</v>
      </c>
      <c r="G1003">
        <v>0</v>
      </c>
      <c r="H1003" t="str">
        <f t="shared" si="45"/>
        <v>60-69</v>
      </c>
      <c r="I1003" t="str">
        <f t="shared" si="46"/>
        <v>10-19</v>
      </c>
      <c r="J1003">
        <f t="shared" si="47"/>
        <v>4.7299999999999998E-3</v>
      </c>
    </row>
    <row r="1004" spans="1:10">
      <c r="A1004" t="s">
        <v>1086</v>
      </c>
      <c r="B1004">
        <v>39</v>
      </c>
      <c r="C1004" t="s">
        <v>9</v>
      </c>
      <c r="D1004">
        <v>22</v>
      </c>
      <c r="E1004">
        <v>60</v>
      </c>
      <c r="F1004">
        <v>6.3299999999999997E-3</v>
      </c>
      <c r="G1004">
        <v>0</v>
      </c>
      <c r="H1004" t="str">
        <f t="shared" si="45"/>
        <v>60-69</v>
      </c>
      <c r="I1004" t="str">
        <f t="shared" si="46"/>
        <v>20-29</v>
      </c>
      <c r="J1004">
        <f t="shared" si="47"/>
        <v>6.3299999999999997E-3</v>
      </c>
    </row>
    <row r="1005" spans="1:10">
      <c r="A1005" t="s">
        <v>1087</v>
      </c>
      <c r="B1005">
        <v>37</v>
      </c>
      <c r="C1005" t="s">
        <v>9</v>
      </c>
      <c r="D1005">
        <v>21</v>
      </c>
      <c r="E1005">
        <v>57</v>
      </c>
      <c r="F1005">
        <v>4.7800000000000004E-3</v>
      </c>
      <c r="G1005">
        <v>0</v>
      </c>
      <c r="H1005" t="str">
        <f t="shared" si="45"/>
        <v>50-59</v>
      </c>
      <c r="I1005" t="str">
        <f t="shared" si="46"/>
        <v>20-29</v>
      </c>
      <c r="J1005">
        <f t="shared" si="47"/>
        <v>4.7800000000000004E-3</v>
      </c>
    </row>
    <row r="1006" spans="1:10">
      <c r="A1006" t="s">
        <v>1088</v>
      </c>
      <c r="B1006">
        <v>61</v>
      </c>
      <c r="C1006" t="s">
        <v>7</v>
      </c>
      <c r="D1006">
        <v>23</v>
      </c>
      <c r="E1006">
        <v>83</v>
      </c>
      <c r="F1006">
        <v>5.704E-2</v>
      </c>
      <c r="G1006">
        <v>0</v>
      </c>
      <c r="H1006" t="str">
        <f t="shared" si="45"/>
        <v>80-89</v>
      </c>
      <c r="I1006" t="str">
        <f t="shared" si="46"/>
        <v>20-29</v>
      </c>
      <c r="J1006">
        <f t="shared" si="47"/>
        <v>5.704E-2</v>
      </c>
    </row>
    <row r="1007" spans="1:10">
      <c r="A1007" t="s">
        <v>1089</v>
      </c>
      <c r="B1007">
        <v>32</v>
      </c>
      <c r="C1007" t="s">
        <v>7</v>
      </c>
      <c r="D1007">
        <v>5</v>
      </c>
      <c r="E1007">
        <v>36</v>
      </c>
      <c r="F1007">
        <v>3.6999999999999999E-4</v>
      </c>
      <c r="G1007">
        <v>0</v>
      </c>
      <c r="H1007" t="str">
        <f t="shared" si="45"/>
        <v>30-39</v>
      </c>
      <c r="I1007" t="str">
        <f t="shared" si="46"/>
        <v>0-9</v>
      </c>
      <c r="J1007">
        <f t="shared" si="47"/>
        <v>3.6999999999999999E-4</v>
      </c>
    </row>
    <row r="1008" spans="1:10">
      <c r="A1008" t="s">
        <v>1090</v>
      </c>
      <c r="B1008">
        <v>23</v>
      </c>
      <c r="C1008" t="s">
        <v>7</v>
      </c>
      <c r="D1008">
        <v>26</v>
      </c>
      <c r="E1008">
        <v>48</v>
      </c>
      <c r="F1008">
        <v>1.73E-3</v>
      </c>
      <c r="G1008">
        <v>0</v>
      </c>
      <c r="H1008" t="str">
        <f t="shared" si="45"/>
        <v>40-49</v>
      </c>
      <c r="I1008" t="str">
        <f t="shared" si="46"/>
        <v>20-29</v>
      </c>
      <c r="J1008">
        <f t="shared" si="47"/>
        <v>1.73E-3</v>
      </c>
    </row>
    <row r="1009" spans="1:10">
      <c r="A1009" t="s">
        <v>1091</v>
      </c>
      <c r="B1009">
        <v>45</v>
      </c>
      <c r="C1009" t="s">
        <v>9</v>
      </c>
      <c r="D1009">
        <v>22</v>
      </c>
      <c r="E1009">
        <v>66</v>
      </c>
      <c r="F1009">
        <v>1.1440000000000001E-2</v>
      </c>
      <c r="G1009">
        <v>0</v>
      </c>
      <c r="H1009" t="str">
        <f t="shared" si="45"/>
        <v>60-69</v>
      </c>
      <c r="I1009" t="str">
        <f t="shared" si="46"/>
        <v>20-29</v>
      </c>
      <c r="J1009">
        <f t="shared" si="47"/>
        <v>1.1440000000000001E-2</v>
      </c>
    </row>
    <row r="1010" spans="1:10">
      <c r="A1010" t="s">
        <v>1092</v>
      </c>
      <c r="B1010">
        <v>21</v>
      </c>
      <c r="C1010" t="s">
        <v>9</v>
      </c>
      <c r="D1010">
        <v>21</v>
      </c>
      <c r="E1010">
        <v>41</v>
      </c>
      <c r="F1010">
        <v>1.8400000000000001E-3</v>
      </c>
      <c r="G1010">
        <v>0</v>
      </c>
      <c r="H1010" t="str">
        <f t="shared" si="45"/>
        <v>40-49</v>
      </c>
      <c r="I1010" t="str">
        <f t="shared" si="46"/>
        <v>20-29</v>
      </c>
      <c r="J1010">
        <f t="shared" si="47"/>
        <v>1.8400000000000001E-3</v>
      </c>
    </row>
    <row r="1011" spans="1:10">
      <c r="A1011" t="s">
        <v>1093</v>
      </c>
      <c r="B1011">
        <v>46</v>
      </c>
      <c r="C1011" t="s">
        <v>9</v>
      </c>
      <c r="D1011">
        <v>13</v>
      </c>
      <c r="E1011">
        <v>58</v>
      </c>
      <c r="F1011">
        <v>4.8399999999999997E-3</v>
      </c>
      <c r="G1011">
        <v>0</v>
      </c>
      <c r="H1011" t="str">
        <f t="shared" si="45"/>
        <v>50-59</v>
      </c>
      <c r="I1011" t="str">
        <f t="shared" si="46"/>
        <v>10-19</v>
      </c>
      <c r="J1011">
        <f t="shared" si="47"/>
        <v>4.8399999999999997E-3</v>
      </c>
    </row>
    <row r="1012" spans="1:10">
      <c r="A1012" t="s">
        <v>1094</v>
      </c>
      <c r="B1012">
        <v>65</v>
      </c>
      <c r="C1012" t="s">
        <v>7</v>
      </c>
      <c r="D1012">
        <v>19</v>
      </c>
      <c r="E1012">
        <v>83</v>
      </c>
      <c r="F1012">
        <v>5.5640000000000002E-2</v>
      </c>
      <c r="G1012">
        <v>0</v>
      </c>
      <c r="H1012" t="str">
        <f t="shared" si="45"/>
        <v>80-89</v>
      </c>
      <c r="I1012" t="str">
        <f t="shared" si="46"/>
        <v>10-19</v>
      </c>
      <c r="J1012">
        <f t="shared" si="47"/>
        <v>5.5640000000000002E-2</v>
      </c>
    </row>
    <row r="1013" spans="1:10">
      <c r="A1013" t="s">
        <v>1095</v>
      </c>
      <c r="B1013">
        <v>65</v>
      </c>
      <c r="C1013" t="s">
        <v>7</v>
      </c>
      <c r="D1013">
        <v>8</v>
      </c>
      <c r="E1013">
        <v>72</v>
      </c>
      <c r="F1013">
        <v>1.026E-2</v>
      </c>
      <c r="G1013">
        <v>0</v>
      </c>
      <c r="H1013" t="str">
        <f t="shared" si="45"/>
        <v>70-79</v>
      </c>
      <c r="I1013" t="str">
        <f t="shared" si="46"/>
        <v>0-9</v>
      </c>
      <c r="J1013">
        <f t="shared" si="47"/>
        <v>1.026E-2</v>
      </c>
    </row>
    <row r="1014" spans="1:10">
      <c r="A1014" t="s">
        <v>1096</v>
      </c>
      <c r="B1014">
        <v>50</v>
      </c>
      <c r="C1014" t="s">
        <v>7</v>
      </c>
      <c r="D1014">
        <v>30</v>
      </c>
      <c r="E1014">
        <v>79</v>
      </c>
      <c r="F1014">
        <v>2.325E-2</v>
      </c>
      <c r="G1014">
        <v>0</v>
      </c>
      <c r="H1014" t="str">
        <f t="shared" si="45"/>
        <v>70-79</v>
      </c>
      <c r="I1014" t="str">
        <f t="shared" si="46"/>
        <v>30-39</v>
      </c>
      <c r="J1014">
        <f t="shared" si="47"/>
        <v>2.325E-2</v>
      </c>
    </row>
    <row r="1015" spans="1:10">
      <c r="A1015" t="s">
        <v>1097</v>
      </c>
      <c r="B1015">
        <v>39</v>
      </c>
      <c r="C1015" t="s">
        <v>9</v>
      </c>
      <c r="D1015">
        <v>28</v>
      </c>
      <c r="E1015">
        <v>66</v>
      </c>
      <c r="F1015">
        <v>9.6200000000000001E-3</v>
      </c>
      <c r="G1015">
        <v>0</v>
      </c>
      <c r="H1015" t="str">
        <f t="shared" si="45"/>
        <v>60-69</v>
      </c>
      <c r="I1015" t="str">
        <f t="shared" si="46"/>
        <v>20-29</v>
      </c>
      <c r="J1015">
        <f t="shared" si="47"/>
        <v>9.6200000000000001E-3</v>
      </c>
    </row>
    <row r="1016" spans="1:10">
      <c r="A1016" t="s">
        <v>1098</v>
      </c>
      <c r="B1016">
        <v>55</v>
      </c>
      <c r="C1016" t="s">
        <v>9</v>
      </c>
      <c r="D1016">
        <v>6</v>
      </c>
      <c r="E1016">
        <v>60</v>
      </c>
      <c r="F1016">
        <v>5.0899999999999999E-3</v>
      </c>
      <c r="G1016">
        <v>0</v>
      </c>
      <c r="H1016" t="str">
        <f t="shared" si="45"/>
        <v>60-69</v>
      </c>
      <c r="I1016" t="str">
        <f t="shared" si="46"/>
        <v>0-9</v>
      </c>
      <c r="J1016">
        <f t="shared" si="47"/>
        <v>5.0899999999999999E-3</v>
      </c>
    </row>
    <row r="1017" spans="1:10">
      <c r="A1017" t="s">
        <v>1099</v>
      </c>
      <c r="B1017">
        <v>36</v>
      </c>
      <c r="C1017" t="s">
        <v>7</v>
      </c>
      <c r="D1017">
        <v>24</v>
      </c>
      <c r="E1017">
        <v>59</v>
      </c>
      <c r="F1017">
        <v>4.4600000000000004E-3</v>
      </c>
      <c r="G1017">
        <v>0</v>
      </c>
      <c r="H1017" t="str">
        <f t="shared" si="45"/>
        <v>50-59</v>
      </c>
      <c r="I1017" t="str">
        <f t="shared" si="46"/>
        <v>20-29</v>
      </c>
      <c r="J1017">
        <f t="shared" si="47"/>
        <v>4.4600000000000004E-3</v>
      </c>
    </row>
    <row r="1018" spans="1:10">
      <c r="A1018" t="s">
        <v>1100</v>
      </c>
      <c r="B1018">
        <v>31</v>
      </c>
      <c r="C1018" t="s">
        <v>7</v>
      </c>
      <c r="D1018">
        <v>22</v>
      </c>
      <c r="E1018">
        <v>52</v>
      </c>
      <c r="F1018">
        <v>2.3800000000000002E-3</v>
      </c>
      <c r="G1018">
        <v>0</v>
      </c>
      <c r="H1018" t="str">
        <f t="shared" si="45"/>
        <v>50-59</v>
      </c>
      <c r="I1018" t="str">
        <f t="shared" si="46"/>
        <v>20-29</v>
      </c>
      <c r="J1018">
        <f t="shared" si="47"/>
        <v>2.3800000000000002E-3</v>
      </c>
    </row>
    <row r="1019" spans="1:10">
      <c r="A1019" t="s">
        <v>1101</v>
      </c>
      <c r="B1019">
        <v>34</v>
      </c>
      <c r="C1019" t="s">
        <v>9</v>
      </c>
      <c r="D1019">
        <v>12</v>
      </c>
      <c r="E1019">
        <v>45</v>
      </c>
      <c r="F1019">
        <v>1.3799999999999999E-3</v>
      </c>
      <c r="G1019">
        <v>0</v>
      </c>
      <c r="H1019" t="str">
        <f t="shared" si="45"/>
        <v>40-49</v>
      </c>
      <c r="I1019" t="str">
        <f t="shared" si="46"/>
        <v>10-19</v>
      </c>
      <c r="J1019">
        <f t="shared" si="47"/>
        <v>1.3799999999999999E-3</v>
      </c>
    </row>
    <row r="1020" spans="1:10">
      <c r="A1020" t="s">
        <v>1102</v>
      </c>
      <c r="B1020">
        <v>46</v>
      </c>
      <c r="C1020" t="s">
        <v>7</v>
      </c>
      <c r="D1020">
        <v>26</v>
      </c>
      <c r="E1020">
        <v>71</v>
      </c>
      <c r="F1020">
        <v>1.553E-2</v>
      </c>
      <c r="G1020">
        <v>0</v>
      </c>
      <c r="H1020" t="str">
        <f t="shared" si="45"/>
        <v>70-79</v>
      </c>
      <c r="I1020" t="str">
        <f t="shared" si="46"/>
        <v>20-29</v>
      </c>
      <c r="J1020">
        <f t="shared" si="47"/>
        <v>1.553E-2</v>
      </c>
    </row>
    <row r="1021" spans="1:10">
      <c r="A1021" t="s">
        <v>1103</v>
      </c>
      <c r="B1021">
        <v>57</v>
      </c>
      <c r="C1021" t="s">
        <v>9</v>
      </c>
      <c r="D1021">
        <v>10</v>
      </c>
      <c r="E1021">
        <v>66</v>
      </c>
      <c r="F1021">
        <v>1.074E-2</v>
      </c>
      <c r="G1021">
        <v>0</v>
      </c>
      <c r="H1021" t="str">
        <f t="shared" si="45"/>
        <v>60-69</v>
      </c>
      <c r="I1021" t="str">
        <f t="shared" si="46"/>
        <v>10-19</v>
      </c>
      <c r="J1021">
        <f t="shared" si="47"/>
        <v>1.074E-2</v>
      </c>
    </row>
    <row r="1022" spans="1:10">
      <c r="A1022" t="s">
        <v>1104</v>
      </c>
      <c r="B1022">
        <v>23</v>
      </c>
      <c r="C1022" t="s">
        <v>7</v>
      </c>
      <c r="D1022">
        <v>28</v>
      </c>
      <c r="E1022">
        <v>50</v>
      </c>
      <c r="F1022">
        <v>1.73E-3</v>
      </c>
      <c r="G1022">
        <v>0</v>
      </c>
      <c r="H1022" t="str">
        <f t="shared" si="45"/>
        <v>50-59</v>
      </c>
      <c r="I1022" t="str">
        <f t="shared" si="46"/>
        <v>20-29</v>
      </c>
      <c r="J1022">
        <f t="shared" si="47"/>
        <v>1.73E-3</v>
      </c>
    </row>
    <row r="1023" spans="1:10">
      <c r="A1023" t="s">
        <v>1105</v>
      </c>
      <c r="B1023">
        <v>59</v>
      </c>
      <c r="C1023" t="s">
        <v>9</v>
      </c>
      <c r="D1023">
        <v>3</v>
      </c>
      <c r="E1023">
        <v>61</v>
      </c>
      <c r="F1023">
        <v>4.3800000000000002E-3</v>
      </c>
      <c r="G1023">
        <v>0</v>
      </c>
      <c r="H1023" t="str">
        <f t="shared" si="45"/>
        <v>60-69</v>
      </c>
      <c r="I1023" t="str">
        <f t="shared" si="46"/>
        <v>0-9</v>
      </c>
      <c r="J1023">
        <f t="shared" si="47"/>
        <v>4.3800000000000002E-3</v>
      </c>
    </row>
    <row r="1024" spans="1:10">
      <c r="A1024" t="s">
        <v>1106</v>
      </c>
      <c r="B1024">
        <v>27</v>
      </c>
      <c r="C1024" t="s">
        <v>7</v>
      </c>
      <c r="D1024">
        <v>28</v>
      </c>
      <c r="E1024">
        <v>54</v>
      </c>
      <c r="F1024">
        <v>2.3800000000000002E-3</v>
      </c>
      <c r="G1024">
        <v>0</v>
      </c>
      <c r="H1024" t="str">
        <f t="shared" si="45"/>
        <v>50-59</v>
      </c>
      <c r="I1024" t="str">
        <f t="shared" si="46"/>
        <v>20-29</v>
      </c>
      <c r="J1024">
        <f t="shared" si="47"/>
        <v>2.3800000000000002E-3</v>
      </c>
    </row>
    <row r="1025" spans="1:10">
      <c r="A1025" t="s">
        <v>1107</v>
      </c>
      <c r="B1025">
        <v>46</v>
      </c>
      <c r="C1025" t="s">
        <v>7</v>
      </c>
      <c r="D1025">
        <v>2</v>
      </c>
      <c r="E1025">
        <v>47</v>
      </c>
      <c r="F1025">
        <v>4.6000000000000001E-4</v>
      </c>
      <c r="G1025">
        <v>0</v>
      </c>
      <c r="H1025" t="str">
        <f t="shared" si="45"/>
        <v>40-49</v>
      </c>
      <c r="I1025" t="str">
        <f t="shared" si="46"/>
        <v>0-9</v>
      </c>
      <c r="J1025">
        <f t="shared" si="47"/>
        <v>4.6000000000000001E-4</v>
      </c>
    </row>
    <row r="1026" spans="1:10">
      <c r="A1026" t="s">
        <v>1108</v>
      </c>
      <c r="B1026">
        <v>32</v>
      </c>
      <c r="C1026" t="s">
        <v>9</v>
      </c>
      <c r="D1026">
        <v>11</v>
      </c>
      <c r="E1026">
        <v>42</v>
      </c>
      <c r="F1026">
        <v>1.16E-3</v>
      </c>
      <c r="G1026">
        <v>0</v>
      </c>
      <c r="H1026" t="str">
        <f t="shared" si="45"/>
        <v>40-49</v>
      </c>
      <c r="I1026" t="str">
        <f t="shared" si="46"/>
        <v>10-19</v>
      </c>
      <c r="J1026">
        <f t="shared" si="47"/>
        <v>1.16E-3</v>
      </c>
    </row>
    <row r="1027" spans="1:10">
      <c r="A1027" t="s">
        <v>1109</v>
      </c>
      <c r="B1027">
        <v>49</v>
      </c>
      <c r="C1027" t="s">
        <v>9</v>
      </c>
      <c r="D1027">
        <v>5</v>
      </c>
      <c r="E1027">
        <v>53</v>
      </c>
      <c r="F1027">
        <v>2.31E-3</v>
      </c>
      <c r="G1027">
        <v>0</v>
      </c>
      <c r="H1027" t="str">
        <f t="shared" ref="H1027:H1090" si="48">FLOOR(E1027,10) &amp; "-" &amp; FLOOR(E1027,10)+9</f>
        <v>50-59</v>
      </c>
      <c r="I1027" t="str">
        <f t="shared" ref="I1027:I1090" si="49">FLOOR(D1027, 10) &amp; "-"&amp;FLOOR(D1027, 10)+9</f>
        <v>0-9</v>
      </c>
      <c r="J1027">
        <f t="shared" ref="J1027:J1090" si="50">F1027</f>
        <v>2.31E-3</v>
      </c>
    </row>
    <row r="1028" spans="1:10">
      <c r="A1028" t="s">
        <v>1110</v>
      </c>
      <c r="B1028">
        <v>25</v>
      </c>
      <c r="C1028" t="s">
        <v>9</v>
      </c>
      <c r="D1028">
        <v>16</v>
      </c>
      <c r="E1028">
        <v>40</v>
      </c>
      <c r="F1028">
        <v>1.2800000000000001E-3</v>
      </c>
      <c r="G1028">
        <v>0</v>
      </c>
      <c r="H1028" t="str">
        <f t="shared" si="48"/>
        <v>40-49</v>
      </c>
      <c r="I1028" t="str">
        <f t="shared" si="49"/>
        <v>10-19</v>
      </c>
      <c r="J1028">
        <f t="shared" si="50"/>
        <v>1.2800000000000001E-3</v>
      </c>
    </row>
    <row r="1029" spans="1:10">
      <c r="A1029" t="s">
        <v>1111</v>
      </c>
      <c r="B1029">
        <v>40</v>
      </c>
      <c r="C1029" t="s">
        <v>9</v>
      </c>
      <c r="D1029">
        <v>21</v>
      </c>
      <c r="E1029">
        <v>60</v>
      </c>
      <c r="F1029">
        <v>6.3299999999999997E-3</v>
      </c>
      <c r="G1029">
        <v>0</v>
      </c>
      <c r="H1029" t="str">
        <f t="shared" si="48"/>
        <v>60-69</v>
      </c>
      <c r="I1029" t="str">
        <f t="shared" si="49"/>
        <v>20-29</v>
      </c>
      <c r="J1029">
        <f t="shared" si="50"/>
        <v>6.3299999999999997E-3</v>
      </c>
    </row>
    <row r="1030" spans="1:10">
      <c r="A1030" t="s">
        <v>1112</v>
      </c>
      <c r="B1030">
        <v>33</v>
      </c>
      <c r="C1030" t="s">
        <v>7</v>
      </c>
      <c r="D1030">
        <v>25</v>
      </c>
      <c r="E1030">
        <v>57</v>
      </c>
      <c r="F1030">
        <v>3.6900000000000001E-3</v>
      </c>
      <c r="G1030">
        <v>0</v>
      </c>
      <c r="H1030" t="str">
        <f t="shared" si="48"/>
        <v>50-59</v>
      </c>
      <c r="I1030" t="str">
        <f t="shared" si="49"/>
        <v>20-29</v>
      </c>
      <c r="J1030">
        <f t="shared" si="50"/>
        <v>3.6900000000000001E-3</v>
      </c>
    </row>
    <row r="1031" spans="1:10">
      <c r="A1031" t="s">
        <v>1113</v>
      </c>
      <c r="B1031">
        <v>30</v>
      </c>
      <c r="C1031" t="s">
        <v>7</v>
      </c>
      <c r="D1031">
        <v>16</v>
      </c>
      <c r="E1031">
        <v>45</v>
      </c>
      <c r="F1031">
        <v>1.1999999999999999E-3</v>
      </c>
      <c r="G1031">
        <v>0</v>
      </c>
      <c r="H1031" t="str">
        <f t="shared" si="48"/>
        <v>40-49</v>
      </c>
      <c r="I1031" t="str">
        <f t="shared" si="49"/>
        <v>10-19</v>
      </c>
      <c r="J1031">
        <f t="shared" si="50"/>
        <v>1.1999999999999999E-3</v>
      </c>
    </row>
    <row r="1032" spans="1:10">
      <c r="A1032" t="s">
        <v>1114</v>
      </c>
      <c r="B1032">
        <v>28</v>
      </c>
      <c r="C1032" t="s">
        <v>9</v>
      </c>
      <c r="D1032">
        <v>20</v>
      </c>
      <c r="E1032">
        <v>47</v>
      </c>
      <c r="F1032">
        <v>2.0300000000000001E-3</v>
      </c>
      <c r="G1032">
        <v>0</v>
      </c>
      <c r="H1032" t="str">
        <f t="shared" si="48"/>
        <v>40-49</v>
      </c>
      <c r="I1032" t="str">
        <f t="shared" si="49"/>
        <v>20-29</v>
      </c>
      <c r="J1032">
        <f t="shared" si="50"/>
        <v>2.0300000000000001E-3</v>
      </c>
    </row>
    <row r="1033" spans="1:10">
      <c r="A1033" t="s">
        <v>1115</v>
      </c>
      <c r="B1033">
        <v>47</v>
      </c>
      <c r="C1033" t="s">
        <v>9</v>
      </c>
      <c r="D1033">
        <v>16</v>
      </c>
      <c r="E1033">
        <v>62</v>
      </c>
      <c r="F1033">
        <v>7.6600000000000001E-3</v>
      </c>
      <c r="G1033">
        <v>0</v>
      </c>
      <c r="H1033" t="str">
        <f t="shared" si="48"/>
        <v>60-69</v>
      </c>
      <c r="I1033" t="str">
        <f t="shared" si="49"/>
        <v>10-19</v>
      </c>
      <c r="J1033">
        <f t="shared" si="50"/>
        <v>7.6600000000000001E-3</v>
      </c>
    </row>
    <row r="1034" spans="1:10">
      <c r="A1034" t="s">
        <v>1116</v>
      </c>
      <c r="B1034">
        <v>32</v>
      </c>
      <c r="C1034" t="s">
        <v>9</v>
      </c>
      <c r="D1034">
        <v>24</v>
      </c>
      <c r="E1034">
        <v>55</v>
      </c>
      <c r="F1034">
        <v>4.0400000000000002E-3</v>
      </c>
      <c r="G1034">
        <v>0</v>
      </c>
      <c r="H1034" t="str">
        <f t="shared" si="48"/>
        <v>50-59</v>
      </c>
      <c r="I1034" t="str">
        <f t="shared" si="49"/>
        <v>20-29</v>
      </c>
      <c r="J1034">
        <f t="shared" si="50"/>
        <v>4.0400000000000002E-3</v>
      </c>
    </row>
    <row r="1035" spans="1:10">
      <c r="A1035" t="s">
        <v>1117</v>
      </c>
      <c r="B1035">
        <v>40</v>
      </c>
      <c r="C1035" t="s">
        <v>7</v>
      </c>
      <c r="D1035">
        <v>25</v>
      </c>
      <c r="E1035">
        <v>64</v>
      </c>
      <c r="F1035">
        <v>7.4700000000000001E-3</v>
      </c>
      <c r="G1035">
        <v>0</v>
      </c>
      <c r="H1035" t="str">
        <f t="shared" si="48"/>
        <v>60-69</v>
      </c>
      <c r="I1035" t="str">
        <f t="shared" si="49"/>
        <v>20-29</v>
      </c>
      <c r="J1035">
        <f t="shared" si="50"/>
        <v>7.4700000000000001E-3</v>
      </c>
    </row>
    <row r="1036" spans="1:10">
      <c r="A1036" t="s">
        <v>1118</v>
      </c>
      <c r="B1036">
        <v>63</v>
      </c>
      <c r="C1036" t="s">
        <v>7</v>
      </c>
      <c r="D1036">
        <v>1</v>
      </c>
      <c r="E1036">
        <v>63</v>
      </c>
      <c r="F1036">
        <v>1.1000000000000001E-3</v>
      </c>
      <c r="G1036">
        <v>0</v>
      </c>
      <c r="H1036" t="str">
        <f t="shared" si="48"/>
        <v>60-69</v>
      </c>
      <c r="I1036" t="str">
        <f t="shared" si="49"/>
        <v>0-9</v>
      </c>
      <c r="J1036">
        <f t="shared" si="50"/>
        <v>1.1000000000000001E-3</v>
      </c>
    </row>
    <row r="1037" spans="1:10">
      <c r="A1037" t="s">
        <v>1119</v>
      </c>
      <c r="B1037">
        <v>64</v>
      </c>
      <c r="C1037" t="s">
        <v>9</v>
      </c>
      <c r="D1037">
        <v>29</v>
      </c>
      <c r="E1037">
        <v>92</v>
      </c>
      <c r="F1037">
        <v>0.14893999999999999</v>
      </c>
      <c r="G1037">
        <v>1</v>
      </c>
      <c r="H1037" t="str">
        <f t="shared" si="48"/>
        <v>90-99</v>
      </c>
      <c r="I1037" t="str">
        <f t="shared" si="49"/>
        <v>20-29</v>
      </c>
      <c r="J1037">
        <f t="shared" si="50"/>
        <v>0.14893999999999999</v>
      </c>
    </row>
    <row r="1038" spans="1:10">
      <c r="A1038" t="s">
        <v>1120</v>
      </c>
      <c r="B1038">
        <v>44</v>
      </c>
      <c r="C1038" t="s">
        <v>7</v>
      </c>
      <c r="D1038">
        <v>17</v>
      </c>
      <c r="E1038">
        <v>60</v>
      </c>
      <c r="F1038">
        <v>4.6600000000000001E-3</v>
      </c>
      <c r="G1038">
        <v>0</v>
      </c>
      <c r="H1038" t="str">
        <f t="shared" si="48"/>
        <v>60-69</v>
      </c>
      <c r="I1038" t="str">
        <f t="shared" si="49"/>
        <v>10-19</v>
      </c>
      <c r="J1038">
        <f t="shared" si="50"/>
        <v>4.6600000000000001E-3</v>
      </c>
    </row>
    <row r="1039" spans="1:10">
      <c r="A1039" t="s">
        <v>1121</v>
      </c>
      <c r="B1039">
        <v>22</v>
      </c>
      <c r="C1039" t="s">
        <v>7</v>
      </c>
      <c r="D1039">
        <v>10</v>
      </c>
      <c r="E1039">
        <v>31</v>
      </c>
      <c r="F1039">
        <v>4.0000000000000002E-4</v>
      </c>
      <c r="G1039">
        <v>0</v>
      </c>
      <c r="H1039" t="str">
        <f t="shared" si="48"/>
        <v>30-39</v>
      </c>
      <c r="I1039" t="str">
        <f t="shared" si="49"/>
        <v>10-19</v>
      </c>
      <c r="J1039">
        <f t="shared" si="50"/>
        <v>4.0000000000000002E-4</v>
      </c>
    </row>
    <row r="1040" spans="1:10">
      <c r="A1040" t="s">
        <v>1122</v>
      </c>
      <c r="B1040">
        <v>53</v>
      </c>
      <c r="C1040" t="s">
        <v>7</v>
      </c>
      <c r="D1040">
        <v>20</v>
      </c>
      <c r="E1040">
        <v>72</v>
      </c>
      <c r="F1040">
        <v>1.66E-2</v>
      </c>
      <c r="G1040">
        <v>0</v>
      </c>
      <c r="H1040" t="str">
        <f t="shared" si="48"/>
        <v>70-79</v>
      </c>
      <c r="I1040" t="str">
        <f t="shared" si="49"/>
        <v>20-29</v>
      </c>
      <c r="J1040">
        <f t="shared" si="50"/>
        <v>1.66E-2</v>
      </c>
    </row>
    <row r="1041" spans="1:10">
      <c r="A1041" t="s">
        <v>1123</v>
      </c>
      <c r="B1041">
        <v>63</v>
      </c>
      <c r="C1041" t="s">
        <v>9</v>
      </c>
      <c r="D1041">
        <v>5</v>
      </c>
      <c r="E1041">
        <v>67</v>
      </c>
      <c r="F1041">
        <v>8.5199999999999998E-3</v>
      </c>
      <c r="G1041">
        <v>0</v>
      </c>
      <c r="H1041" t="str">
        <f t="shared" si="48"/>
        <v>60-69</v>
      </c>
      <c r="I1041" t="str">
        <f t="shared" si="49"/>
        <v>0-9</v>
      </c>
      <c r="J1041">
        <f t="shared" si="50"/>
        <v>8.5199999999999998E-3</v>
      </c>
    </row>
    <row r="1042" spans="1:10">
      <c r="A1042" t="s">
        <v>1124</v>
      </c>
      <c r="B1042">
        <v>42</v>
      </c>
      <c r="C1042" t="s">
        <v>9</v>
      </c>
      <c r="D1042">
        <v>25</v>
      </c>
      <c r="E1042">
        <v>66</v>
      </c>
      <c r="F1042">
        <v>1.162E-2</v>
      </c>
      <c r="G1042">
        <v>0</v>
      </c>
      <c r="H1042" t="str">
        <f t="shared" si="48"/>
        <v>60-69</v>
      </c>
      <c r="I1042" t="str">
        <f t="shared" si="49"/>
        <v>20-29</v>
      </c>
      <c r="J1042">
        <f t="shared" si="50"/>
        <v>1.162E-2</v>
      </c>
    </row>
    <row r="1043" spans="1:10">
      <c r="A1043" t="s">
        <v>1125</v>
      </c>
      <c r="B1043">
        <v>45</v>
      </c>
      <c r="C1043" t="s">
        <v>9</v>
      </c>
      <c r="D1043">
        <v>1</v>
      </c>
      <c r="E1043">
        <v>45</v>
      </c>
      <c r="F1043">
        <v>5.5000000000000003E-4</v>
      </c>
      <c r="G1043">
        <v>0</v>
      </c>
      <c r="H1043" t="str">
        <f t="shared" si="48"/>
        <v>40-49</v>
      </c>
      <c r="I1043" t="str">
        <f t="shared" si="49"/>
        <v>0-9</v>
      </c>
      <c r="J1043">
        <f t="shared" si="50"/>
        <v>5.5000000000000003E-4</v>
      </c>
    </row>
    <row r="1044" spans="1:10">
      <c r="A1044" t="s">
        <v>1126</v>
      </c>
      <c r="B1044">
        <v>28</v>
      </c>
      <c r="C1044" t="s">
        <v>7</v>
      </c>
      <c r="D1044">
        <v>7</v>
      </c>
      <c r="E1044">
        <v>34</v>
      </c>
      <c r="F1044">
        <v>3.6000000000000002E-4</v>
      </c>
      <c r="G1044">
        <v>0</v>
      </c>
      <c r="H1044" t="str">
        <f t="shared" si="48"/>
        <v>30-39</v>
      </c>
      <c r="I1044" t="str">
        <f t="shared" si="49"/>
        <v>0-9</v>
      </c>
      <c r="J1044">
        <f t="shared" si="50"/>
        <v>3.6000000000000002E-4</v>
      </c>
    </row>
    <row r="1045" spans="1:10">
      <c r="A1045" t="s">
        <v>1127</v>
      </c>
      <c r="B1045">
        <v>30</v>
      </c>
      <c r="C1045" t="s">
        <v>9</v>
      </c>
      <c r="D1045">
        <v>4</v>
      </c>
      <c r="E1045">
        <v>33</v>
      </c>
      <c r="F1045">
        <v>4.2999999999999999E-4</v>
      </c>
      <c r="G1045">
        <v>0</v>
      </c>
      <c r="H1045" t="str">
        <f t="shared" si="48"/>
        <v>30-39</v>
      </c>
      <c r="I1045" t="str">
        <f t="shared" si="49"/>
        <v>0-9</v>
      </c>
      <c r="J1045">
        <f t="shared" si="50"/>
        <v>4.2999999999999999E-4</v>
      </c>
    </row>
    <row r="1046" spans="1:10">
      <c r="A1046" t="s">
        <v>1128</v>
      </c>
      <c r="B1046">
        <v>22</v>
      </c>
      <c r="C1046" t="s">
        <v>7</v>
      </c>
      <c r="D1046">
        <v>13</v>
      </c>
      <c r="E1046">
        <v>34</v>
      </c>
      <c r="F1046">
        <v>5.1999999999999995E-4</v>
      </c>
      <c r="G1046">
        <v>0</v>
      </c>
      <c r="H1046" t="str">
        <f t="shared" si="48"/>
        <v>30-39</v>
      </c>
      <c r="I1046" t="str">
        <f t="shared" si="49"/>
        <v>10-19</v>
      </c>
      <c r="J1046">
        <f t="shared" si="50"/>
        <v>5.1999999999999995E-4</v>
      </c>
    </row>
    <row r="1047" spans="1:10">
      <c r="A1047" t="s">
        <v>1129</v>
      </c>
      <c r="B1047">
        <v>54</v>
      </c>
      <c r="C1047" t="s">
        <v>9</v>
      </c>
      <c r="D1047">
        <v>20</v>
      </c>
      <c r="E1047">
        <v>73</v>
      </c>
      <c r="F1047">
        <v>2.3859999999999999E-2</v>
      </c>
      <c r="G1047">
        <v>0</v>
      </c>
      <c r="H1047" t="str">
        <f t="shared" si="48"/>
        <v>70-79</v>
      </c>
      <c r="I1047" t="str">
        <f t="shared" si="49"/>
        <v>20-29</v>
      </c>
      <c r="J1047">
        <f t="shared" si="50"/>
        <v>2.3859999999999999E-2</v>
      </c>
    </row>
    <row r="1048" spans="1:10">
      <c r="A1048" t="s">
        <v>1130</v>
      </c>
      <c r="B1048">
        <v>62</v>
      </c>
      <c r="C1048" t="s">
        <v>7</v>
      </c>
      <c r="D1048">
        <v>4</v>
      </c>
      <c r="E1048">
        <v>65</v>
      </c>
      <c r="F1048">
        <v>4.5900000000000003E-3</v>
      </c>
      <c r="G1048">
        <v>0</v>
      </c>
      <c r="H1048" t="str">
        <f t="shared" si="48"/>
        <v>60-69</v>
      </c>
      <c r="I1048" t="str">
        <f t="shared" si="49"/>
        <v>0-9</v>
      </c>
      <c r="J1048">
        <f t="shared" si="50"/>
        <v>4.5900000000000003E-3</v>
      </c>
    </row>
    <row r="1049" spans="1:10">
      <c r="A1049" t="s">
        <v>1131</v>
      </c>
      <c r="B1049">
        <v>64</v>
      </c>
      <c r="C1049" t="s">
        <v>9</v>
      </c>
      <c r="D1049">
        <v>4</v>
      </c>
      <c r="E1049">
        <v>67</v>
      </c>
      <c r="F1049">
        <v>7.5599999999999999E-3</v>
      </c>
      <c r="G1049">
        <v>0</v>
      </c>
      <c r="H1049" t="str">
        <f t="shared" si="48"/>
        <v>60-69</v>
      </c>
      <c r="I1049" t="str">
        <f t="shared" si="49"/>
        <v>0-9</v>
      </c>
      <c r="J1049">
        <f t="shared" si="50"/>
        <v>7.5599999999999999E-3</v>
      </c>
    </row>
    <row r="1050" spans="1:10">
      <c r="A1050" t="s">
        <v>1132</v>
      </c>
      <c r="B1050">
        <v>55</v>
      </c>
      <c r="C1050" t="s">
        <v>9</v>
      </c>
      <c r="D1050">
        <v>9</v>
      </c>
      <c r="E1050">
        <v>63</v>
      </c>
      <c r="F1050">
        <v>7.9900000000000006E-3</v>
      </c>
      <c r="G1050">
        <v>0</v>
      </c>
      <c r="H1050" t="str">
        <f t="shared" si="48"/>
        <v>60-69</v>
      </c>
      <c r="I1050" t="str">
        <f t="shared" si="49"/>
        <v>0-9</v>
      </c>
      <c r="J1050">
        <f t="shared" si="50"/>
        <v>7.9900000000000006E-3</v>
      </c>
    </row>
    <row r="1051" spans="1:10">
      <c r="A1051" t="s">
        <v>1133</v>
      </c>
      <c r="B1051">
        <v>64</v>
      </c>
      <c r="C1051" t="s">
        <v>7</v>
      </c>
      <c r="D1051">
        <v>22</v>
      </c>
      <c r="E1051">
        <v>85</v>
      </c>
      <c r="F1051">
        <v>7.2980000000000003E-2</v>
      </c>
      <c r="G1051">
        <v>0</v>
      </c>
      <c r="H1051" t="str">
        <f t="shared" si="48"/>
        <v>80-89</v>
      </c>
      <c r="I1051" t="str">
        <f t="shared" si="49"/>
        <v>20-29</v>
      </c>
      <c r="J1051">
        <f t="shared" si="50"/>
        <v>7.2980000000000003E-2</v>
      </c>
    </row>
    <row r="1052" spans="1:10">
      <c r="A1052" t="s">
        <v>1134</v>
      </c>
      <c r="B1052">
        <v>62</v>
      </c>
      <c r="C1052" t="s">
        <v>7</v>
      </c>
      <c r="D1052">
        <v>4</v>
      </c>
      <c r="E1052">
        <v>65</v>
      </c>
      <c r="F1052">
        <v>4.5900000000000003E-3</v>
      </c>
      <c r="G1052">
        <v>0</v>
      </c>
      <c r="H1052" t="str">
        <f t="shared" si="48"/>
        <v>60-69</v>
      </c>
      <c r="I1052" t="str">
        <f t="shared" si="49"/>
        <v>0-9</v>
      </c>
      <c r="J1052">
        <f t="shared" si="50"/>
        <v>4.5900000000000003E-3</v>
      </c>
    </row>
    <row r="1053" spans="1:10">
      <c r="A1053" t="s">
        <v>1135</v>
      </c>
      <c r="B1053">
        <v>58</v>
      </c>
      <c r="C1053" t="s">
        <v>9</v>
      </c>
      <c r="D1053">
        <v>23</v>
      </c>
      <c r="E1053">
        <v>80</v>
      </c>
      <c r="F1053">
        <v>5.0909999999999997E-2</v>
      </c>
      <c r="G1053">
        <v>0</v>
      </c>
      <c r="H1053" t="str">
        <f t="shared" si="48"/>
        <v>80-89</v>
      </c>
      <c r="I1053" t="str">
        <f t="shared" si="49"/>
        <v>20-29</v>
      </c>
      <c r="J1053">
        <f t="shared" si="50"/>
        <v>5.0909999999999997E-2</v>
      </c>
    </row>
    <row r="1054" spans="1:10">
      <c r="A1054" t="s">
        <v>1136</v>
      </c>
      <c r="B1054">
        <v>26</v>
      </c>
      <c r="C1054" t="s">
        <v>7</v>
      </c>
      <c r="D1054">
        <v>17</v>
      </c>
      <c r="E1054">
        <v>42</v>
      </c>
      <c r="F1054">
        <v>1.08E-3</v>
      </c>
      <c r="G1054">
        <v>0</v>
      </c>
      <c r="H1054" t="str">
        <f t="shared" si="48"/>
        <v>40-49</v>
      </c>
      <c r="I1054" t="str">
        <f t="shared" si="49"/>
        <v>10-19</v>
      </c>
      <c r="J1054">
        <f t="shared" si="50"/>
        <v>1.08E-3</v>
      </c>
    </row>
    <row r="1055" spans="1:10">
      <c r="A1055" t="s">
        <v>1137</v>
      </c>
      <c r="B1055">
        <v>27</v>
      </c>
      <c r="C1055" t="s">
        <v>9</v>
      </c>
      <c r="D1055">
        <v>26</v>
      </c>
      <c r="E1055">
        <v>52</v>
      </c>
      <c r="F1055">
        <v>3.2799999999999999E-3</v>
      </c>
      <c r="G1055">
        <v>0</v>
      </c>
      <c r="H1055" t="str">
        <f t="shared" si="48"/>
        <v>50-59</v>
      </c>
      <c r="I1055" t="str">
        <f t="shared" si="49"/>
        <v>20-29</v>
      </c>
      <c r="J1055">
        <f t="shared" si="50"/>
        <v>3.2799999999999999E-3</v>
      </c>
    </row>
    <row r="1056" spans="1:10">
      <c r="A1056" t="s">
        <v>1138</v>
      </c>
      <c r="B1056">
        <v>32</v>
      </c>
      <c r="C1056" t="s">
        <v>9</v>
      </c>
      <c r="D1056">
        <v>25</v>
      </c>
      <c r="E1056">
        <v>56</v>
      </c>
      <c r="F1056">
        <v>4.3899999999999998E-3</v>
      </c>
      <c r="G1056">
        <v>0</v>
      </c>
      <c r="H1056" t="str">
        <f t="shared" si="48"/>
        <v>50-59</v>
      </c>
      <c r="I1056" t="str">
        <f t="shared" si="49"/>
        <v>20-29</v>
      </c>
      <c r="J1056">
        <f t="shared" si="50"/>
        <v>4.3899999999999998E-3</v>
      </c>
    </row>
    <row r="1057" spans="1:10">
      <c r="A1057" t="s">
        <v>1139</v>
      </c>
      <c r="B1057">
        <v>32</v>
      </c>
      <c r="C1057" t="s">
        <v>7</v>
      </c>
      <c r="D1057">
        <v>12</v>
      </c>
      <c r="E1057">
        <v>43</v>
      </c>
      <c r="F1057">
        <v>9.5E-4</v>
      </c>
      <c r="G1057">
        <v>0</v>
      </c>
      <c r="H1057" t="str">
        <f t="shared" si="48"/>
        <v>40-49</v>
      </c>
      <c r="I1057" t="str">
        <f t="shared" si="49"/>
        <v>10-19</v>
      </c>
      <c r="J1057">
        <f t="shared" si="50"/>
        <v>9.5E-4</v>
      </c>
    </row>
    <row r="1058" spans="1:10">
      <c r="A1058" t="s">
        <v>1140</v>
      </c>
      <c r="B1058">
        <v>22</v>
      </c>
      <c r="C1058" t="s">
        <v>9</v>
      </c>
      <c r="D1058">
        <v>18</v>
      </c>
      <c r="E1058">
        <v>39</v>
      </c>
      <c r="F1058">
        <v>1.3799999999999999E-3</v>
      </c>
      <c r="G1058">
        <v>0</v>
      </c>
      <c r="H1058" t="str">
        <f t="shared" si="48"/>
        <v>30-39</v>
      </c>
      <c r="I1058" t="str">
        <f t="shared" si="49"/>
        <v>10-19</v>
      </c>
      <c r="J1058">
        <f t="shared" si="50"/>
        <v>1.3799999999999999E-3</v>
      </c>
    </row>
    <row r="1059" spans="1:10">
      <c r="A1059" t="s">
        <v>1141</v>
      </c>
      <c r="B1059">
        <v>50</v>
      </c>
      <c r="C1059" t="s">
        <v>9</v>
      </c>
      <c r="D1059">
        <v>11</v>
      </c>
      <c r="E1059">
        <v>60</v>
      </c>
      <c r="F1059">
        <v>5.9199999999999999E-3</v>
      </c>
      <c r="G1059">
        <v>0</v>
      </c>
      <c r="H1059" t="str">
        <f t="shared" si="48"/>
        <v>60-69</v>
      </c>
      <c r="I1059" t="str">
        <f t="shared" si="49"/>
        <v>10-19</v>
      </c>
      <c r="J1059">
        <f t="shared" si="50"/>
        <v>5.9199999999999999E-3</v>
      </c>
    </row>
    <row r="1060" spans="1:10">
      <c r="A1060" t="s">
        <v>1142</v>
      </c>
      <c r="B1060">
        <v>25</v>
      </c>
      <c r="C1060" t="s">
        <v>9</v>
      </c>
      <c r="D1060">
        <v>30</v>
      </c>
      <c r="E1060">
        <v>54</v>
      </c>
      <c r="F1060">
        <v>2.9299999999999999E-3</v>
      </c>
      <c r="G1060">
        <v>0</v>
      </c>
      <c r="H1060" t="str">
        <f t="shared" si="48"/>
        <v>50-59</v>
      </c>
      <c r="I1060" t="str">
        <f t="shared" si="49"/>
        <v>30-39</v>
      </c>
      <c r="J1060">
        <f t="shared" si="50"/>
        <v>2.9299999999999999E-3</v>
      </c>
    </row>
    <row r="1061" spans="1:10">
      <c r="A1061" t="s">
        <v>1143</v>
      </c>
      <c r="B1061">
        <v>51</v>
      </c>
      <c r="C1061" t="s">
        <v>7</v>
      </c>
      <c r="D1061">
        <v>5</v>
      </c>
      <c r="E1061">
        <v>55</v>
      </c>
      <c r="F1061">
        <v>1.99E-3</v>
      </c>
      <c r="G1061">
        <v>0</v>
      </c>
      <c r="H1061" t="str">
        <f t="shared" si="48"/>
        <v>50-59</v>
      </c>
      <c r="I1061" t="str">
        <f t="shared" si="49"/>
        <v>0-9</v>
      </c>
      <c r="J1061">
        <f t="shared" si="50"/>
        <v>1.99E-3</v>
      </c>
    </row>
    <row r="1062" spans="1:10">
      <c r="A1062" t="s">
        <v>1144</v>
      </c>
      <c r="B1062">
        <v>24</v>
      </c>
      <c r="C1062" t="s">
        <v>7</v>
      </c>
      <c r="D1062">
        <v>24</v>
      </c>
      <c r="E1062">
        <v>47</v>
      </c>
      <c r="F1062">
        <v>1.6000000000000001E-3</v>
      </c>
      <c r="G1062">
        <v>0</v>
      </c>
      <c r="H1062" t="str">
        <f t="shared" si="48"/>
        <v>40-49</v>
      </c>
      <c r="I1062" t="str">
        <f t="shared" si="49"/>
        <v>20-29</v>
      </c>
      <c r="J1062">
        <f t="shared" si="50"/>
        <v>1.6000000000000001E-3</v>
      </c>
    </row>
    <row r="1063" spans="1:10">
      <c r="A1063" t="s">
        <v>1145</v>
      </c>
      <c r="B1063">
        <v>61</v>
      </c>
      <c r="C1063" t="s">
        <v>9</v>
      </c>
      <c r="D1063">
        <v>8</v>
      </c>
      <c r="E1063">
        <v>68</v>
      </c>
      <c r="F1063">
        <v>1.136E-2</v>
      </c>
      <c r="G1063">
        <v>0</v>
      </c>
      <c r="H1063" t="str">
        <f t="shared" si="48"/>
        <v>60-69</v>
      </c>
      <c r="I1063" t="str">
        <f t="shared" si="49"/>
        <v>0-9</v>
      </c>
      <c r="J1063">
        <f t="shared" si="50"/>
        <v>1.136E-2</v>
      </c>
    </row>
    <row r="1064" spans="1:10">
      <c r="A1064" t="s">
        <v>1146</v>
      </c>
      <c r="B1064">
        <v>36</v>
      </c>
      <c r="C1064" t="s">
        <v>9</v>
      </c>
      <c r="D1064">
        <v>15</v>
      </c>
      <c r="E1064">
        <v>50</v>
      </c>
      <c r="F1064">
        <v>2.3E-3</v>
      </c>
      <c r="G1064">
        <v>0</v>
      </c>
      <c r="H1064" t="str">
        <f t="shared" si="48"/>
        <v>50-59</v>
      </c>
      <c r="I1064" t="str">
        <f t="shared" si="49"/>
        <v>10-19</v>
      </c>
      <c r="J1064">
        <f t="shared" si="50"/>
        <v>2.3E-3</v>
      </c>
    </row>
    <row r="1065" spans="1:10">
      <c r="A1065" t="s">
        <v>1147</v>
      </c>
      <c r="B1065">
        <v>22</v>
      </c>
      <c r="C1065" t="s">
        <v>9</v>
      </c>
      <c r="D1065">
        <v>28</v>
      </c>
      <c r="E1065">
        <v>49</v>
      </c>
      <c r="F1065">
        <v>2.6700000000000001E-3</v>
      </c>
      <c r="G1065">
        <v>0</v>
      </c>
      <c r="H1065" t="str">
        <f t="shared" si="48"/>
        <v>40-49</v>
      </c>
      <c r="I1065" t="str">
        <f t="shared" si="49"/>
        <v>20-29</v>
      </c>
      <c r="J1065">
        <f t="shared" si="50"/>
        <v>2.6700000000000001E-3</v>
      </c>
    </row>
    <row r="1066" spans="1:10">
      <c r="A1066" t="s">
        <v>1148</v>
      </c>
      <c r="B1066">
        <v>40</v>
      </c>
      <c r="C1066" t="s">
        <v>7</v>
      </c>
      <c r="D1066">
        <v>14</v>
      </c>
      <c r="E1066">
        <v>53</v>
      </c>
      <c r="F1066">
        <v>2.2799999999999999E-3</v>
      </c>
      <c r="G1066">
        <v>0</v>
      </c>
      <c r="H1066" t="str">
        <f t="shared" si="48"/>
        <v>50-59</v>
      </c>
      <c r="I1066" t="str">
        <f t="shared" si="49"/>
        <v>10-19</v>
      </c>
      <c r="J1066">
        <f t="shared" si="50"/>
        <v>2.2799999999999999E-3</v>
      </c>
    </row>
    <row r="1067" spans="1:10">
      <c r="A1067" t="s">
        <v>1149</v>
      </c>
      <c r="B1067">
        <v>22</v>
      </c>
      <c r="C1067" t="s">
        <v>7</v>
      </c>
      <c r="D1067">
        <v>1</v>
      </c>
      <c r="E1067">
        <v>22</v>
      </c>
      <c r="F1067">
        <v>2.0000000000000001E-4</v>
      </c>
      <c r="G1067">
        <v>0</v>
      </c>
      <c r="H1067" t="str">
        <f t="shared" si="48"/>
        <v>20-29</v>
      </c>
      <c r="I1067" t="str">
        <f t="shared" si="49"/>
        <v>0-9</v>
      </c>
      <c r="J1067">
        <f t="shared" si="50"/>
        <v>2.0000000000000001E-4</v>
      </c>
    </row>
    <row r="1068" spans="1:10">
      <c r="A1068" t="s">
        <v>1150</v>
      </c>
      <c r="B1068">
        <v>30</v>
      </c>
      <c r="C1068" t="s">
        <v>9</v>
      </c>
      <c r="D1068">
        <v>11</v>
      </c>
      <c r="E1068">
        <v>40</v>
      </c>
      <c r="F1068">
        <v>1.01E-3</v>
      </c>
      <c r="G1068">
        <v>0</v>
      </c>
      <c r="H1068" t="str">
        <f t="shared" si="48"/>
        <v>40-49</v>
      </c>
      <c r="I1068" t="str">
        <f t="shared" si="49"/>
        <v>10-19</v>
      </c>
      <c r="J1068">
        <f t="shared" si="50"/>
        <v>1.01E-3</v>
      </c>
    </row>
    <row r="1069" spans="1:10">
      <c r="A1069" t="s">
        <v>1151</v>
      </c>
      <c r="B1069">
        <v>59</v>
      </c>
      <c r="C1069" t="s">
        <v>7</v>
      </c>
      <c r="D1069">
        <v>9</v>
      </c>
      <c r="E1069">
        <v>67</v>
      </c>
      <c r="F1069">
        <v>7.0400000000000003E-3</v>
      </c>
      <c r="G1069">
        <v>0</v>
      </c>
      <c r="H1069" t="str">
        <f t="shared" si="48"/>
        <v>60-69</v>
      </c>
      <c r="I1069" t="str">
        <f t="shared" si="49"/>
        <v>0-9</v>
      </c>
      <c r="J1069">
        <f t="shared" si="50"/>
        <v>7.0400000000000003E-3</v>
      </c>
    </row>
    <row r="1070" spans="1:10">
      <c r="A1070" t="s">
        <v>1152</v>
      </c>
      <c r="B1070">
        <v>41</v>
      </c>
      <c r="C1070" t="s">
        <v>9</v>
      </c>
      <c r="D1070">
        <v>6</v>
      </c>
      <c r="E1070">
        <v>46</v>
      </c>
      <c r="F1070">
        <v>1.2199999999999999E-3</v>
      </c>
      <c r="G1070">
        <v>0</v>
      </c>
      <c r="H1070" t="str">
        <f t="shared" si="48"/>
        <v>40-49</v>
      </c>
      <c r="I1070" t="str">
        <f t="shared" si="49"/>
        <v>0-9</v>
      </c>
      <c r="J1070">
        <f t="shared" si="50"/>
        <v>1.2199999999999999E-3</v>
      </c>
    </row>
    <row r="1071" spans="1:10">
      <c r="A1071" t="s">
        <v>1153</v>
      </c>
      <c r="B1071">
        <v>49</v>
      </c>
      <c r="C1071" t="s">
        <v>7</v>
      </c>
      <c r="D1071">
        <v>9</v>
      </c>
      <c r="E1071">
        <v>57</v>
      </c>
      <c r="F1071">
        <v>2.7499999999999998E-3</v>
      </c>
      <c r="G1071">
        <v>0</v>
      </c>
      <c r="H1071" t="str">
        <f t="shared" si="48"/>
        <v>50-59</v>
      </c>
      <c r="I1071" t="str">
        <f t="shared" si="49"/>
        <v>0-9</v>
      </c>
      <c r="J1071">
        <f t="shared" si="50"/>
        <v>2.7499999999999998E-3</v>
      </c>
    </row>
    <row r="1072" spans="1:10">
      <c r="A1072" t="s">
        <v>1154</v>
      </c>
      <c r="B1072">
        <v>50</v>
      </c>
      <c r="C1072" t="s">
        <v>9</v>
      </c>
      <c r="D1072">
        <v>26</v>
      </c>
      <c r="E1072">
        <v>75</v>
      </c>
      <c r="F1072">
        <v>3.006E-2</v>
      </c>
      <c r="G1072">
        <v>0</v>
      </c>
      <c r="H1072" t="str">
        <f t="shared" si="48"/>
        <v>70-79</v>
      </c>
      <c r="I1072" t="str">
        <f t="shared" si="49"/>
        <v>20-29</v>
      </c>
      <c r="J1072">
        <f t="shared" si="50"/>
        <v>3.006E-2</v>
      </c>
    </row>
    <row r="1073" spans="1:10">
      <c r="A1073" t="s">
        <v>1155</v>
      </c>
      <c r="B1073">
        <v>30</v>
      </c>
      <c r="C1073" t="s">
        <v>9</v>
      </c>
      <c r="D1073">
        <v>4</v>
      </c>
      <c r="E1073">
        <v>33</v>
      </c>
      <c r="F1073">
        <v>4.2999999999999999E-4</v>
      </c>
      <c r="G1073">
        <v>0</v>
      </c>
      <c r="H1073" t="str">
        <f t="shared" si="48"/>
        <v>30-39</v>
      </c>
      <c r="I1073" t="str">
        <f t="shared" si="49"/>
        <v>0-9</v>
      </c>
      <c r="J1073">
        <f t="shared" si="50"/>
        <v>4.2999999999999999E-4</v>
      </c>
    </row>
    <row r="1074" spans="1:10">
      <c r="A1074" t="s">
        <v>1156</v>
      </c>
      <c r="B1074">
        <v>30</v>
      </c>
      <c r="C1074" t="s">
        <v>9</v>
      </c>
      <c r="D1074">
        <v>4</v>
      </c>
      <c r="E1074">
        <v>33</v>
      </c>
      <c r="F1074">
        <v>4.2999999999999999E-4</v>
      </c>
      <c r="G1074">
        <v>0</v>
      </c>
      <c r="H1074" t="str">
        <f t="shared" si="48"/>
        <v>30-39</v>
      </c>
      <c r="I1074" t="str">
        <f t="shared" si="49"/>
        <v>0-9</v>
      </c>
      <c r="J1074">
        <f t="shared" si="50"/>
        <v>4.2999999999999999E-4</v>
      </c>
    </row>
    <row r="1075" spans="1:10">
      <c r="A1075" t="s">
        <v>1157</v>
      </c>
      <c r="B1075">
        <v>56</v>
      </c>
      <c r="C1075" t="s">
        <v>9</v>
      </c>
      <c r="D1075">
        <v>22</v>
      </c>
      <c r="E1075">
        <v>77</v>
      </c>
      <c r="F1075">
        <v>3.7039999999999997E-2</v>
      </c>
      <c r="G1075">
        <v>0</v>
      </c>
      <c r="H1075" t="str">
        <f t="shared" si="48"/>
        <v>70-79</v>
      </c>
      <c r="I1075" t="str">
        <f t="shared" si="49"/>
        <v>20-29</v>
      </c>
      <c r="J1075">
        <f t="shared" si="50"/>
        <v>3.7039999999999997E-2</v>
      </c>
    </row>
    <row r="1076" spans="1:10">
      <c r="A1076" t="s">
        <v>1158</v>
      </c>
      <c r="B1076">
        <v>42</v>
      </c>
      <c r="C1076" t="s">
        <v>9</v>
      </c>
      <c r="D1076">
        <v>20</v>
      </c>
      <c r="E1076">
        <v>61</v>
      </c>
      <c r="F1076">
        <v>7.0200000000000002E-3</v>
      </c>
      <c r="G1076">
        <v>0</v>
      </c>
      <c r="H1076" t="str">
        <f t="shared" si="48"/>
        <v>60-69</v>
      </c>
      <c r="I1076" t="str">
        <f t="shared" si="49"/>
        <v>20-29</v>
      </c>
      <c r="J1076">
        <f t="shared" si="50"/>
        <v>7.0200000000000002E-3</v>
      </c>
    </row>
    <row r="1077" spans="1:10">
      <c r="A1077" t="s">
        <v>1159</v>
      </c>
      <c r="B1077">
        <v>28</v>
      </c>
      <c r="C1077" t="s">
        <v>7</v>
      </c>
      <c r="D1077">
        <v>16</v>
      </c>
      <c r="E1077">
        <v>43</v>
      </c>
      <c r="F1077">
        <v>1.09E-3</v>
      </c>
      <c r="G1077">
        <v>0</v>
      </c>
      <c r="H1077" t="str">
        <f t="shared" si="48"/>
        <v>40-49</v>
      </c>
      <c r="I1077" t="str">
        <f t="shared" si="49"/>
        <v>10-19</v>
      </c>
      <c r="J1077">
        <f t="shared" si="50"/>
        <v>1.09E-3</v>
      </c>
    </row>
    <row r="1078" spans="1:10">
      <c r="A1078" t="s">
        <v>1160</v>
      </c>
      <c r="B1078">
        <v>46</v>
      </c>
      <c r="C1078" t="s">
        <v>9</v>
      </c>
      <c r="D1078">
        <v>15</v>
      </c>
      <c r="E1078">
        <v>60</v>
      </c>
      <c r="F1078">
        <v>6.11E-3</v>
      </c>
      <c r="G1078">
        <v>0</v>
      </c>
      <c r="H1078" t="str">
        <f t="shared" si="48"/>
        <v>60-69</v>
      </c>
      <c r="I1078" t="str">
        <f t="shared" si="49"/>
        <v>10-19</v>
      </c>
      <c r="J1078">
        <f t="shared" si="50"/>
        <v>6.11E-3</v>
      </c>
    </row>
    <row r="1079" spans="1:10">
      <c r="A1079" t="s">
        <v>1161</v>
      </c>
      <c r="B1079">
        <v>40</v>
      </c>
      <c r="C1079" t="s">
        <v>7</v>
      </c>
      <c r="D1079">
        <v>1</v>
      </c>
      <c r="E1079">
        <v>40</v>
      </c>
      <c r="F1079">
        <v>2.3000000000000001E-4</v>
      </c>
      <c r="G1079">
        <v>0</v>
      </c>
      <c r="H1079" t="str">
        <f t="shared" si="48"/>
        <v>40-49</v>
      </c>
      <c r="I1079" t="str">
        <f t="shared" si="49"/>
        <v>0-9</v>
      </c>
      <c r="J1079">
        <f t="shared" si="50"/>
        <v>2.3000000000000001E-4</v>
      </c>
    </row>
    <row r="1080" spans="1:10">
      <c r="A1080" t="s">
        <v>1162</v>
      </c>
      <c r="B1080">
        <v>56</v>
      </c>
      <c r="C1080" t="s">
        <v>7</v>
      </c>
      <c r="D1080">
        <v>24</v>
      </c>
      <c r="E1080">
        <v>79</v>
      </c>
      <c r="F1080">
        <v>3.569E-2</v>
      </c>
      <c r="G1080">
        <v>0</v>
      </c>
      <c r="H1080" t="str">
        <f t="shared" si="48"/>
        <v>70-79</v>
      </c>
      <c r="I1080" t="str">
        <f t="shared" si="49"/>
        <v>20-29</v>
      </c>
      <c r="J1080">
        <f t="shared" si="50"/>
        <v>3.569E-2</v>
      </c>
    </row>
    <row r="1081" spans="1:10">
      <c r="A1081" t="s">
        <v>1163</v>
      </c>
      <c r="B1081">
        <v>62</v>
      </c>
      <c r="C1081" t="s">
        <v>9</v>
      </c>
      <c r="D1081">
        <v>28</v>
      </c>
      <c r="E1081">
        <v>89</v>
      </c>
      <c r="F1081">
        <v>0.11724</v>
      </c>
      <c r="G1081">
        <v>0</v>
      </c>
      <c r="H1081" t="str">
        <f t="shared" si="48"/>
        <v>80-89</v>
      </c>
      <c r="I1081" t="str">
        <f t="shared" si="49"/>
        <v>20-29</v>
      </c>
      <c r="J1081">
        <f t="shared" si="50"/>
        <v>0.11724</v>
      </c>
    </row>
    <row r="1082" spans="1:10">
      <c r="A1082" t="s">
        <v>1164</v>
      </c>
      <c r="B1082">
        <v>64</v>
      </c>
      <c r="C1082" t="s">
        <v>9</v>
      </c>
      <c r="D1082">
        <v>20</v>
      </c>
      <c r="E1082">
        <v>83</v>
      </c>
      <c r="F1082">
        <v>7.1389999999999995E-2</v>
      </c>
      <c r="G1082">
        <v>0</v>
      </c>
      <c r="H1082" t="str">
        <f t="shared" si="48"/>
        <v>80-89</v>
      </c>
      <c r="I1082" t="str">
        <f t="shared" si="49"/>
        <v>20-29</v>
      </c>
      <c r="J1082">
        <f t="shared" si="50"/>
        <v>7.1389999999999995E-2</v>
      </c>
    </row>
    <row r="1083" spans="1:10">
      <c r="A1083" t="s">
        <v>1165</v>
      </c>
      <c r="B1083">
        <v>35</v>
      </c>
      <c r="C1083" t="s">
        <v>9</v>
      </c>
      <c r="D1083">
        <v>16</v>
      </c>
      <c r="E1083">
        <v>50</v>
      </c>
      <c r="F1083">
        <v>2.3900000000000002E-3</v>
      </c>
      <c r="G1083">
        <v>0</v>
      </c>
      <c r="H1083" t="str">
        <f t="shared" si="48"/>
        <v>50-59</v>
      </c>
      <c r="I1083" t="str">
        <f t="shared" si="49"/>
        <v>10-19</v>
      </c>
      <c r="J1083">
        <f t="shared" si="50"/>
        <v>2.3900000000000002E-3</v>
      </c>
    </row>
    <row r="1084" spans="1:10">
      <c r="A1084" t="s">
        <v>1166</v>
      </c>
      <c r="B1084">
        <v>44</v>
      </c>
      <c r="C1084" t="s">
        <v>7</v>
      </c>
      <c r="D1084">
        <v>5</v>
      </c>
      <c r="E1084">
        <v>48</v>
      </c>
      <c r="F1084">
        <v>1.0300000000000001E-3</v>
      </c>
      <c r="G1084">
        <v>0</v>
      </c>
      <c r="H1084" t="str">
        <f t="shared" si="48"/>
        <v>40-49</v>
      </c>
      <c r="I1084" t="str">
        <f t="shared" si="49"/>
        <v>0-9</v>
      </c>
      <c r="J1084">
        <f t="shared" si="50"/>
        <v>1.0300000000000001E-3</v>
      </c>
    </row>
    <row r="1085" spans="1:10">
      <c r="A1085" t="s">
        <v>1167</v>
      </c>
      <c r="B1085">
        <v>59</v>
      </c>
      <c r="C1085" t="s">
        <v>9</v>
      </c>
      <c r="D1085">
        <v>2</v>
      </c>
      <c r="E1085">
        <v>60</v>
      </c>
      <c r="F1085">
        <v>2.6199999999999999E-3</v>
      </c>
      <c r="G1085">
        <v>0</v>
      </c>
      <c r="H1085" t="str">
        <f t="shared" si="48"/>
        <v>60-69</v>
      </c>
      <c r="I1085" t="str">
        <f t="shared" si="49"/>
        <v>0-9</v>
      </c>
      <c r="J1085">
        <f t="shared" si="50"/>
        <v>2.6199999999999999E-3</v>
      </c>
    </row>
    <row r="1086" spans="1:10">
      <c r="A1086" t="s">
        <v>1168</v>
      </c>
      <c r="B1086">
        <v>52</v>
      </c>
      <c r="C1086" t="s">
        <v>9</v>
      </c>
      <c r="D1086">
        <v>28</v>
      </c>
      <c r="E1086">
        <v>79</v>
      </c>
      <c r="F1086">
        <v>3.7220000000000003E-2</v>
      </c>
      <c r="G1086">
        <v>0</v>
      </c>
      <c r="H1086" t="str">
        <f t="shared" si="48"/>
        <v>70-79</v>
      </c>
      <c r="I1086" t="str">
        <f t="shared" si="49"/>
        <v>20-29</v>
      </c>
      <c r="J1086">
        <f t="shared" si="50"/>
        <v>3.7220000000000003E-2</v>
      </c>
    </row>
    <row r="1087" spans="1:10">
      <c r="A1087" t="s">
        <v>1169</v>
      </c>
      <c r="B1087">
        <v>30</v>
      </c>
      <c r="C1087" t="s">
        <v>7</v>
      </c>
      <c r="D1087">
        <v>3</v>
      </c>
      <c r="E1087">
        <v>32</v>
      </c>
      <c r="F1087">
        <v>2.2000000000000001E-4</v>
      </c>
      <c r="G1087">
        <v>0</v>
      </c>
      <c r="H1087" t="str">
        <f t="shared" si="48"/>
        <v>30-39</v>
      </c>
      <c r="I1087" t="str">
        <f t="shared" si="49"/>
        <v>0-9</v>
      </c>
      <c r="J1087">
        <f t="shared" si="50"/>
        <v>2.2000000000000001E-4</v>
      </c>
    </row>
    <row r="1088" spans="1:10">
      <c r="A1088" t="s">
        <v>1170</v>
      </c>
      <c r="B1088">
        <v>41</v>
      </c>
      <c r="C1088" t="s">
        <v>9</v>
      </c>
      <c r="D1088">
        <v>9</v>
      </c>
      <c r="E1088">
        <v>49</v>
      </c>
      <c r="F1088">
        <v>1.82E-3</v>
      </c>
      <c r="G1088">
        <v>0</v>
      </c>
      <c r="H1088" t="str">
        <f t="shared" si="48"/>
        <v>40-49</v>
      </c>
      <c r="I1088" t="str">
        <f t="shared" si="49"/>
        <v>0-9</v>
      </c>
      <c r="J1088">
        <f t="shared" si="50"/>
        <v>1.82E-3</v>
      </c>
    </row>
    <row r="1089" spans="1:10">
      <c r="A1089" t="s">
        <v>1171</v>
      </c>
      <c r="B1089">
        <v>61</v>
      </c>
      <c r="C1089" t="s">
        <v>9</v>
      </c>
      <c r="D1089">
        <v>13</v>
      </c>
      <c r="E1089">
        <v>73</v>
      </c>
      <c r="F1089">
        <v>2.2499999999999999E-2</v>
      </c>
      <c r="G1089">
        <v>0</v>
      </c>
      <c r="H1089" t="str">
        <f t="shared" si="48"/>
        <v>70-79</v>
      </c>
      <c r="I1089" t="str">
        <f t="shared" si="49"/>
        <v>10-19</v>
      </c>
      <c r="J1089">
        <f t="shared" si="50"/>
        <v>2.2499999999999999E-2</v>
      </c>
    </row>
    <row r="1090" spans="1:10">
      <c r="A1090" t="s">
        <v>1172</v>
      </c>
      <c r="B1090">
        <v>49</v>
      </c>
      <c r="C1090" t="s">
        <v>7</v>
      </c>
      <c r="D1090">
        <v>15</v>
      </c>
      <c r="E1090">
        <v>63</v>
      </c>
      <c r="F1090">
        <v>6.2500000000000003E-3</v>
      </c>
      <c r="G1090">
        <v>0</v>
      </c>
      <c r="H1090" t="str">
        <f t="shared" si="48"/>
        <v>60-69</v>
      </c>
      <c r="I1090" t="str">
        <f t="shared" si="49"/>
        <v>10-19</v>
      </c>
      <c r="J1090">
        <f t="shared" si="50"/>
        <v>6.2500000000000003E-3</v>
      </c>
    </row>
    <row r="1091" spans="1:10">
      <c r="A1091" t="s">
        <v>1173</v>
      </c>
      <c r="B1091">
        <v>51</v>
      </c>
      <c r="C1091" t="s">
        <v>9</v>
      </c>
      <c r="D1091">
        <v>15</v>
      </c>
      <c r="E1091">
        <v>65</v>
      </c>
      <c r="F1091">
        <v>1.005E-2</v>
      </c>
      <c r="G1091">
        <v>0</v>
      </c>
      <c r="H1091" t="str">
        <f t="shared" ref="H1091:H1154" si="51">FLOOR(E1091,10) &amp; "-" &amp; FLOOR(E1091,10)+9</f>
        <v>60-69</v>
      </c>
      <c r="I1091" t="str">
        <f t="shared" ref="I1091:I1154" si="52">FLOOR(D1091, 10) &amp; "-"&amp;FLOOR(D1091, 10)+9</f>
        <v>10-19</v>
      </c>
      <c r="J1091">
        <f t="shared" ref="J1091:J1154" si="53">F1091</f>
        <v>1.005E-2</v>
      </c>
    </row>
    <row r="1092" spans="1:10">
      <c r="A1092" t="s">
        <v>1174</v>
      </c>
      <c r="B1092">
        <v>61</v>
      </c>
      <c r="C1092" t="s">
        <v>9</v>
      </c>
      <c r="D1092">
        <v>1</v>
      </c>
      <c r="E1092">
        <v>61</v>
      </c>
      <c r="F1092">
        <v>2.2599999999999999E-3</v>
      </c>
      <c r="G1092">
        <v>0</v>
      </c>
      <c r="H1092" t="str">
        <f t="shared" si="51"/>
        <v>60-69</v>
      </c>
      <c r="I1092" t="str">
        <f t="shared" si="52"/>
        <v>0-9</v>
      </c>
      <c r="J1092">
        <f t="shared" si="53"/>
        <v>2.2599999999999999E-3</v>
      </c>
    </row>
    <row r="1093" spans="1:10">
      <c r="A1093" t="s">
        <v>1175</v>
      </c>
      <c r="B1093">
        <v>55</v>
      </c>
      <c r="C1093" t="s">
        <v>9</v>
      </c>
      <c r="D1093">
        <v>18</v>
      </c>
      <c r="E1093">
        <v>72</v>
      </c>
      <c r="F1093">
        <v>2.1139999999999999E-2</v>
      </c>
      <c r="G1093">
        <v>0</v>
      </c>
      <c r="H1093" t="str">
        <f t="shared" si="51"/>
        <v>70-79</v>
      </c>
      <c r="I1093" t="str">
        <f t="shared" si="52"/>
        <v>10-19</v>
      </c>
      <c r="J1093">
        <f t="shared" si="53"/>
        <v>2.1139999999999999E-2</v>
      </c>
    </row>
    <row r="1094" spans="1:10">
      <c r="A1094" t="s">
        <v>1176</v>
      </c>
      <c r="B1094">
        <v>58</v>
      </c>
      <c r="C1094" t="s">
        <v>7</v>
      </c>
      <c r="D1094">
        <v>20</v>
      </c>
      <c r="E1094">
        <v>77</v>
      </c>
      <c r="F1094">
        <v>2.836E-2</v>
      </c>
      <c r="G1094">
        <v>0</v>
      </c>
      <c r="H1094" t="str">
        <f t="shared" si="51"/>
        <v>70-79</v>
      </c>
      <c r="I1094" t="str">
        <f t="shared" si="52"/>
        <v>20-29</v>
      </c>
      <c r="J1094">
        <f t="shared" si="53"/>
        <v>2.836E-2</v>
      </c>
    </row>
    <row r="1095" spans="1:10">
      <c r="A1095" t="s">
        <v>1177</v>
      </c>
      <c r="B1095">
        <v>55</v>
      </c>
      <c r="C1095" t="s">
        <v>7</v>
      </c>
      <c r="D1095">
        <v>7</v>
      </c>
      <c r="E1095">
        <v>61</v>
      </c>
      <c r="F1095">
        <v>3.8899999999999998E-3</v>
      </c>
      <c r="G1095">
        <v>0</v>
      </c>
      <c r="H1095" t="str">
        <f t="shared" si="51"/>
        <v>60-69</v>
      </c>
      <c r="I1095" t="str">
        <f t="shared" si="52"/>
        <v>0-9</v>
      </c>
      <c r="J1095">
        <f t="shared" si="53"/>
        <v>3.8899999999999998E-3</v>
      </c>
    </row>
    <row r="1096" spans="1:10">
      <c r="A1096" t="s">
        <v>1178</v>
      </c>
      <c r="B1096">
        <v>41</v>
      </c>
      <c r="C1096" t="s">
        <v>7</v>
      </c>
      <c r="D1096">
        <v>12</v>
      </c>
      <c r="E1096">
        <v>52</v>
      </c>
      <c r="F1096">
        <v>2.0100000000000001E-3</v>
      </c>
      <c r="G1096">
        <v>0</v>
      </c>
      <c r="H1096" t="str">
        <f t="shared" si="51"/>
        <v>50-59</v>
      </c>
      <c r="I1096" t="str">
        <f t="shared" si="52"/>
        <v>10-19</v>
      </c>
      <c r="J1096">
        <f t="shared" si="53"/>
        <v>2.0100000000000001E-3</v>
      </c>
    </row>
    <row r="1097" spans="1:10">
      <c r="A1097" t="s">
        <v>1179</v>
      </c>
      <c r="B1097">
        <v>49</v>
      </c>
      <c r="C1097" t="s">
        <v>7</v>
      </c>
      <c r="D1097">
        <v>11</v>
      </c>
      <c r="E1097">
        <v>59</v>
      </c>
      <c r="F1097">
        <v>3.6099999999999999E-3</v>
      </c>
      <c r="G1097">
        <v>0</v>
      </c>
      <c r="H1097" t="str">
        <f t="shared" si="51"/>
        <v>50-59</v>
      </c>
      <c r="I1097" t="str">
        <f t="shared" si="52"/>
        <v>10-19</v>
      </c>
      <c r="J1097">
        <f t="shared" si="53"/>
        <v>3.6099999999999999E-3</v>
      </c>
    </row>
    <row r="1098" spans="1:10">
      <c r="A1098" t="s">
        <v>1180</v>
      </c>
      <c r="B1098">
        <v>50</v>
      </c>
      <c r="C1098" t="s">
        <v>7</v>
      </c>
      <c r="D1098">
        <v>23</v>
      </c>
      <c r="E1098">
        <v>72</v>
      </c>
      <c r="F1098">
        <v>1.7170000000000001E-2</v>
      </c>
      <c r="G1098">
        <v>0</v>
      </c>
      <c r="H1098" t="str">
        <f t="shared" si="51"/>
        <v>70-79</v>
      </c>
      <c r="I1098" t="str">
        <f t="shared" si="52"/>
        <v>20-29</v>
      </c>
      <c r="J1098">
        <f t="shared" si="53"/>
        <v>1.7170000000000001E-2</v>
      </c>
    </row>
    <row r="1099" spans="1:10">
      <c r="A1099" t="s">
        <v>1181</v>
      </c>
      <c r="B1099">
        <v>27</v>
      </c>
      <c r="C1099" t="s">
        <v>7</v>
      </c>
      <c r="D1099">
        <v>4</v>
      </c>
      <c r="E1099">
        <v>30</v>
      </c>
      <c r="F1099">
        <v>2.2000000000000001E-4</v>
      </c>
      <c r="G1099">
        <v>0</v>
      </c>
      <c r="H1099" t="str">
        <f t="shared" si="51"/>
        <v>30-39</v>
      </c>
      <c r="I1099" t="str">
        <f t="shared" si="52"/>
        <v>0-9</v>
      </c>
      <c r="J1099">
        <f t="shared" si="53"/>
        <v>2.2000000000000001E-4</v>
      </c>
    </row>
    <row r="1100" spans="1:10">
      <c r="A1100" t="s">
        <v>1182</v>
      </c>
      <c r="B1100">
        <v>41</v>
      </c>
      <c r="C1100" t="s">
        <v>7</v>
      </c>
      <c r="D1100">
        <v>12</v>
      </c>
      <c r="E1100">
        <v>52</v>
      </c>
      <c r="F1100">
        <v>2.0100000000000001E-3</v>
      </c>
      <c r="G1100">
        <v>0</v>
      </c>
      <c r="H1100" t="str">
        <f t="shared" si="51"/>
        <v>50-59</v>
      </c>
      <c r="I1100" t="str">
        <f t="shared" si="52"/>
        <v>10-19</v>
      </c>
      <c r="J1100">
        <f t="shared" si="53"/>
        <v>2.0100000000000001E-3</v>
      </c>
    </row>
    <row r="1101" spans="1:10">
      <c r="A1101" t="s">
        <v>1183</v>
      </c>
      <c r="B1101">
        <v>38</v>
      </c>
      <c r="C1101" t="s">
        <v>7</v>
      </c>
      <c r="D1101">
        <v>18</v>
      </c>
      <c r="E1101">
        <v>55</v>
      </c>
      <c r="F1101">
        <v>2.8900000000000002E-3</v>
      </c>
      <c r="G1101">
        <v>0</v>
      </c>
      <c r="H1101" t="str">
        <f t="shared" si="51"/>
        <v>50-59</v>
      </c>
      <c r="I1101" t="str">
        <f t="shared" si="52"/>
        <v>10-19</v>
      </c>
      <c r="J1101">
        <f t="shared" si="53"/>
        <v>2.8900000000000002E-3</v>
      </c>
    </row>
    <row r="1102" spans="1:10">
      <c r="A1102" t="s">
        <v>1184</v>
      </c>
      <c r="B1102">
        <v>22</v>
      </c>
      <c r="C1102" t="s">
        <v>9</v>
      </c>
      <c r="D1102">
        <v>29</v>
      </c>
      <c r="E1102">
        <v>50</v>
      </c>
      <c r="F1102">
        <v>2.6700000000000001E-3</v>
      </c>
      <c r="G1102">
        <v>0</v>
      </c>
      <c r="H1102" t="str">
        <f t="shared" si="51"/>
        <v>50-59</v>
      </c>
      <c r="I1102" t="str">
        <f t="shared" si="52"/>
        <v>20-29</v>
      </c>
      <c r="J1102">
        <f t="shared" si="53"/>
        <v>2.6700000000000001E-3</v>
      </c>
    </row>
    <row r="1103" spans="1:10">
      <c r="A1103" t="s">
        <v>1185</v>
      </c>
      <c r="B1103">
        <v>65</v>
      </c>
      <c r="C1103" t="s">
        <v>7</v>
      </c>
      <c r="D1103">
        <v>24</v>
      </c>
      <c r="E1103">
        <v>88</v>
      </c>
      <c r="F1103">
        <v>0.10484</v>
      </c>
      <c r="G1103">
        <v>0</v>
      </c>
      <c r="H1103" t="str">
        <f t="shared" si="51"/>
        <v>80-89</v>
      </c>
      <c r="I1103" t="str">
        <f t="shared" si="52"/>
        <v>20-29</v>
      </c>
      <c r="J1103">
        <f t="shared" si="53"/>
        <v>0.10484</v>
      </c>
    </row>
    <row r="1104" spans="1:10">
      <c r="A1104" t="s">
        <v>1186</v>
      </c>
      <c r="B1104">
        <v>59</v>
      </c>
      <c r="C1104" t="s">
        <v>9</v>
      </c>
      <c r="D1104">
        <v>7</v>
      </c>
      <c r="E1104">
        <v>65</v>
      </c>
      <c r="F1104">
        <v>8.7600000000000004E-3</v>
      </c>
      <c r="G1104">
        <v>0</v>
      </c>
      <c r="H1104" t="str">
        <f t="shared" si="51"/>
        <v>60-69</v>
      </c>
      <c r="I1104" t="str">
        <f t="shared" si="52"/>
        <v>0-9</v>
      </c>
      <c r="J1104">
        <f t="shared" si="53"/>
        <v>8.7600000000000004E-3</v>
      </c>
    </row>
    <row r="1105" spans="1:10">
      <c r="A1105" t="s">
        <v>1187</v>
      </c>
      <c r="B1105">
        <v>45</v>
      </c>
      <c r="C1105" t="s">
        <v>9</v>
      </c>
      <c r="D1105">
        <v>7</v>
      </c>
      <c r="E1105">
        <v>51</v>
      </c>
      <c r="F1105">
        <v>2.0200000000000001E-3</v>
      </c>
      <c r="G1105">
        <v>0</v>
      </c>
      <c r="H1105" t="str">
        <f t="shared" si="51"/>
        <v>50-59</v>
      </c>
      <c r="I1105" t="str">
        <f t="shared" si="52"/>
        <v>0-9</v>
      </c>
      <c r="J1105">
        <f t="shared" si="53"/>
        <v>2.0200000000000001E-3</v>
      </c>
    </row>
    <row r="1106" spans="1:10">
      <c r="A1106" t="s">
        <v>1188</v>
      </c>
      <c r="B1106">
        <v>65</v>
      </c>
      <c r="C1106" t="s">
        <v>9</v>
      </c>
      <c r="D1106">
        <v>11</v>
      </c>
      <c r="E1106">
        <v>75</v>
      </c>
      <c r="F1106">
        <v>2.2440000000000002E-2</v>
      </c>
      <c r="G1106">
        <v>0</v>
      </c>
      <c r="H1106" t="str">
        <f t="shared" si="51"/>
        <v>70-79</v>
      </c>
      <c r="I1106" t="str">
        <f t="shared" si="52"/>
        <v>10-19</v>
      </c>
      <c r="J1106">
        <f t="shared" si="53"/>
        <v>2.2440000000000002E-2</v>
      </c>
    </row>
    <row r="1107" spans="1:10">
      <c r="A1107" t="s">
        <v>1189</v>
      </c>
      <c r="B1107">
        <v>60</v>
      </c>
      <c r="C1107" t="s">
        <v>7</v>
      </c>
      <c r="D1107">
        <v>27</v>
      </c>
      <c r="E1107">
        <v>86</v>
      </c>
      <c r="F1107">
        <v>7.2980000000000003E-2</v>
      </c>
      <c r="G1107">
        <v>0</v>
      </c>
      <c r="H1107" t="str">
        <f t="shared" si="51"/>
        <v>80-89</v>
      </c>
      <c r="I1107" t="str">
        <f t="shared" si="52"/>
        <v>20-29</v>
      </c>
      <c r="J1107">
        <f t="shared" si="53"/>
        <v>7.2980000000000003E-2</v>
      </c>
    </row>
    <row r="1108" spans="1:10">
      <c r="A1108" t="s">
        <v>1190</v>
      </c>
      <c r="B1108">
        <v>48</v>
      </c>
      <c r="C1108" t="s">
        <v>7</v>
      </c>
      <c r="D1108">
        <v>15</v>
      </c>
      <c r="E1108">
        <v>62</v>
      </c>
      <c r="F1108">
        <v>5.6600000000000001E-3</v>
      </c>
      <c r="G1108">
        <v>0</v>
      </c>
      <c r="H1108" t="str">
        <f t="shared" si="51"/>
        <v>60-69</v>
      </c>
      <c r="I1108" t="str">
        <f t="shared" si="52"/>
        <v>10-19</v>
      </c>
      <c r="J1108">
        <f t="shared" si="53"/>
        <v>5.6600000000000001E-3</v>
      </c>
    </row>
    <row r="1109" spans="1:10">
      <c r="A1109" t="s">
        <v>1191</v>
      </c>
      <c r="B1109">
        <v>28</v>
      </c>
      <c r="C1109" t="s">
        <v>9</v>
      </c>
      <c r="D1109">
        <v>16</v>
      </c>
      <c r="E1109">
        <v>43</v>
      </c>
      <c r="F1109">
        <v>1.5399999999999999E-3</v>
      </c>
      <c r="G1109">
        <v>0</v>
      </c>
      <c r="H1109" t="str">
        <f t="shared" si="51"/>
        <v>40-49</v>
      </c>
      <c r="I1109" t="str">
        <f t="shared" si="52"/>
        <v>10-19</v>
      </c>
      <c r="J1109">
        <f t="shared" si="53"/>
        <v>1.5399999999999999E-3</v>
      </c>
    </row>
    <row r="1110" spans="1:10">
      <c r="A1110" t="s">
        <v>1192</v>
      </c>
      <c r="B1110">
        <v>55</v>
      </c>
      <c r="C1110" t="s">
        <v>9</v>
      </c>
      <c r="D1110">
        <v>30</v>
      </c>
      <c r="E1110">
        <v>84</v>
      </c>
      <c r="F1110">
        <v>5.0909999999999997E-2</v>
      </c>
      <c r="G1110">
        <v>0</v>
      </c>
      <c r="H1110" t="str">
        <f t="shared" si="51"/>
        <v>80-89</v>
      </c>
      <c r="I1110" t="str">
        <f t="shared" si="52"/>
        <v>30-39</v>
      </c>
      <c r="J1110">
        <f t="shared" si="53"/>
        <v>5.0909999999999997E-2</v>
      </c>
    </row>
    <row r="1111" spans="1:10">
      <c r="A1111" t="s">
        <v>1193</v>
      </c>
      <c r="B1111">
        <v>52</v>
      </c>
      <c r="C1111" t="s">
        <v>7</v>
      </c>
      <c r="D1111">
        <v>25</v>
      </c>
      <c r="E1111">
        <v>76</v>
      </c>
      <c r="F1111">
        <v>2.58E-2</v>
      </c>
      <c r="G1111">
        <v>0</v>
      </c>
      <c r="H1111" t="str">
        <f t="shared" si="51"/>
        <v>70-79</v>
      </c>
      <c r="I1111" t="str">
        <f t="shared" si="52"/>
        <v>20-29</v>
      </c>
      <c r="J1111">
        <f t="shared" si="53"/>
        <v>2.58E-2</v>
      </c>
    </row>
    <row r="1112" spans="1:10">
      <c r="A1112" t="s">
        <v>1194</v>
      </c>
      <c r="B1112">
        <v>57</v>
      </c>
      <c r="C1112" t="s">
        <v>7</v>
      </c>
      <c r="D1112">
        <v>6</v>
      </c>
      <c r="E1112">
        <v>62</v>
      </c>
      <c r="F1112">
        <v>4.1999999999999997E-3</v>
      </c>
      <c r="G1112">
        <v>0</v>
      </c>
      <c r="H1112" t="str">
        <f t="shared" si="51"/>
        <v>60-69</v>
      </c>
      <c r="I1112" t="str">
        <f t="shared" si="52"/>
        <v>0-9</v>
      </c>
      <c r="J1112">
        <f t="shared" si="53"/>
        <v>4.1999999999999997E-3</v>
      </c>
    </row>
    <row r="1113" spans="1:10">
      <c r="A1113" t="s">
        <v>1195</v>
      </c>
      <c r="B1113">
        <v>44</v>
      </c>
      <c r="C1113" t="s">
        <v>7</v>
      </c>
      <c r="D1113">
        <v>22</v>
      </c>
      <c r="E1113">
        <v>65</v>
      </c>
      <c r="F1113">
        <v>8.3099999999999997E-3</v>
      </c>
      <c r="G1113">
        <v>0</v>
      </c>
      <c r="H1113" t="str">
        <f t="shared" si="51"/>
        <v>60-69</v>
      </c>
      <c r="I1113" t="str">
        <f t="shared" si="52"/>
        <v>20-29</v>
      </c>
      <c r="J1113">
        <f t="shared" si="53"/>
        <v>8.3099999999999997E-3</v>
      </c>
    </row>
    <row r="1114" spans="1:10">
      <c r="A1114" t="s">
        <v>1196</v>
      </c>
      <c r="B1114">
        <v>52</v>
      </c>
      <c r="C1114" t="s">
        <v>9</v>
      </c>
      <c r="D1114">
        <v>29</v>
      </c>
      <c r="E1114">
        <v>80</v>
      </c>
      <c r="F1114">
        <v>3.7220000000000003E-2</v>
      </c>
      <c r="G1114">
        <v>0</v>
      </c>
      <c r="H1114" t="str">
        <f t="shared" si="51"/>
        <v>80-89</v>
      </c>
      <c r="I1114" t="str">
        <f t="shared" si="52"/>
        <v>20-29</v>
      </c>
      <c r="J1114">
        <f t="shared" si="53"/>
        <v>3.7220000000000003E-2</v>
      </c>
    </row>
    <row r="1115" spans="1:10">
      <c r="A1115" t="s">
        <v>1197</v>
      </c>
      <c r="B1115">
        <v>64</v>
      </c>
      <c r="C1115" t="s">
        <v>9</v>
      </c>
      <c r="D1115">
        <v>25</v>
      </c>
      <c r="E1115">
        <v>88</v>
      </c>
      <c r="F1115">
        <v>0.13253000000000001</v>
      </c>
      <c r="G1115">
        <v>0</v>
      </c>
      <c r="H1115" t="str">
        <f t="shared" si="51"/>
        <v>80-89</v>
      </c>
      <c r="I1115" t="str">
        <f t="shared" si="52"/>
        <v>20-29</v>
      </c>
      <c r="J1115">
        <f t="shared" si="53"/>
        <v>0.13253000000000001</v>
      </c>
    </row>
    <row r="1116" spans="1:10">
      <c r="A1116" t="s">
        <v>1198</v>
      </c>
      <c r="B1116">
        <v>41</v>
      </c>
      <c r="C1116" t="s">
        <v>9</v>
      </c>
      <c r="D1116">
        <v>10</v>
      </c>
      <c r="E1116">
        <v>50</v>
      </c>
      <c r="F1116">
        <v>2.0799999999999998E-3</v>
      </c>
      <c r="G1116">
        <v>0</v>
      </c>
      <c r="H1116" t="str">
        <f t="shared" si="51"/>
        <v>50-59</v>
      </c>
      <c r="I1116" t="str">
        <f t="shared" si="52"/>
        <v>10-19</v>
      </c>
      <c r="J1116">
        <f t="shared" si="53"/>
        <v>2.0799999999999998E-3</v>
      </c>
    </row>
    <row r="1117" spans="1:10">
      <c r="A1117" t="s">
        <v>1199</v>
      </c>
      <c r="B1117">
        <v>46</v>
      </c>
      <c r="C1117" t="s">
        <v>7</v>
      </c>
      <c r="D1117">
        <v>20</v>
      </c>
      <c r="E1117">
        <v>65</v>
      </c>
      <c r="F1117">
        <v>8.2000000000000007E-3</v>
      </c>
      <c r="G1117">
        <v>0</v>
      </c>
      <c r="H1117" t="str">
        <f t="shared" si="51"/>
        <v>60-69</v>
      </c>
      <c r="I1117" t="str">
        <f t="shared" si="52"/>
        <v>20-29</v>
      </c>
      <c r="J1117">
        <f t="shared" si="53"/>
        <v>8.2000000000000007E-3</v>
      </c>
    </row>
    <row r="1118" spans="1:10">
      <c r="A1118" t="s">
        <v>1200</v>
      </c>
      <c r="B1118">
        <v>39</v>
      </c>
      <c r="C1118" t="s">
        <v>7</v>
      </c>
      <c r="D1118">
        <v>27</v>
      </c>
      <c r="E1118">
        <v>65</v>
      </c>
      <c r="F1118">
        <v>7.4700000000000001E-3</v>
      </c>
      <c r="G1118">
        <v>0</v>
      </c>
      <c r="H1118" t="str">
        <f t="shared" si="51"/>
        <v>60-69</v>
      </c>
      <c r="I1118" t="str">
        <f t="shared" si="52"/>
        <v>20-29</v>
      </c>
      <c r="J1118">
        <f t="shared" si="53"/>
        <v>7.4700000000000001E-3</v>
      </c>
    </row>
    <row r="1119" spans="1:10">
      <c r="A1119" t="s">
        <v>1201</v>
      </c>
      <c r="B1119">
        <v>65</v>
      </c>
      <c r="C1119" t="s">
        <v>7</v>
      </c>
      <c r="D1119">
        <v>24</v>
      </c>
      <c r="E1119">
        <v>88</v>
      </c>
      <c r="F1119">
        <v>0.10484</v>
      </c>
      <c r="G1119">
        <v>0</v>
      </c>
      <c r="H1119" t="str">
        <f t="shared" si="51"/>
        <v>80-89</v>
      </c>
      <c r="I1119" t="str">
        <f t="shared" si="52"/>
        <v>20-29</v>
      </c>
      <c r="J1119">
        <f t="shared" si="53"/>
        <v>0.10484</v>
      </c>
    </row>
    <row r="1120" spans="1:10">
      <c r="A1120" t="s">
        <v>1202</v>
      </c>
      <c r="B1120">
        <v>32</v>
      </c>
      <c r="C1120" t="s">
        <v>7</v>
      </c>
      <c r="D1120">
        <v>7</v>
      </c>
      <c r="E1120">
        <v>38</v>
      </c>
      <c r="F1120">
        <v>5.2999999999999998E-4</v>
      </c>
      <c r="G1120">
        <v>0</v>
      </c>
      <c r="H1120" t="str">
        <f t="shared" si="51"/>
        <v>30-39</v>
      </c>
      <c r="I1120" t="str">
        <f t="shared" si="52"/>
        <v>0-9</v>
      </c>
      <c r="J1120">
        <f t="shared" si="53"/>
        <v>5.2999999999999998E-4</v>
      </c>
    </row>
    <row r="1121" spans="1:10">
      <c r="A1121" t="s">
        <v>1203</v>
      </c>
      <c r="B1121">
        <v>42</v>
      </c>
      <c r="C1121" t="s">
        <v>7</v>
      </c>
      <c r="D1121">
        <v>30</v>
      </c>
      <c r="E1121">
        <v>71</v>
      </c>
      <c r="F1121">
        <v>1.027E-2</v>
      </c>
      <c r="G1121">
        <v>0</v>
      </c>
      <c r="H1121" t="str">
        <f t="shared" si="51"/>
        <v>70-79</v>
      </c>
      <c r="I1121" t="str">
        <f t="shared" si="52"/>
        <v>30-39</v>
      </c>
      <c r="J1121">
        <f t="shared" si="53"/>
        <v>1.027E-2</v>
      </c>
    </row>
    <row r="1122" spans="1:10">
      <c r="A1122" t="s">
        <v>1204</v>
      </c>
      <c r="B1122">
        <v>61</v>
      </c>
      <c r="C1122" t="s">
        <v>7</v>
      </c>
      <c r="D1122">
        <v>6</v>
      </c>
      <c r="E1122">
        <v>66</v>
      </c>
      <c r="F1122">
        <v>6.0499999999999998E-3</v>
      </c>
      <c r="G1122">
        <v>0</v>
      </c>
      <c r="H1122" t="str">
        <f t="shared" si="51"/>
        <v>60-69</v>
      </c>
      <c r="I1122" t="str">
        <f t="shared" si="52"/>
        <v>0-9</v>
      </c>
      <c r="J1122">
        <f t="shared" si="53"/>
        <v>6.0499999999999998E-3</v>
      </c>
    </row>
    <row r="1123" spans="1:10">
      <c r="A1123" t="s">
        <v>1205</v>
      </c>
      <c r="B1123">
        <v>40</v>
      </c>
      <c r="C1123" t="s">
        <v>9</v>
      </c>
      <c r="D1123">
        <v>23</v>
      </c>
      <c r="E1123">
        <v>62</v>
      </c>
      <c r="F1123">
        <v>7.7400000000000004E-3</v>
      </c>
      <c r="G1123">
        <v>0</v>
      </c>
      <c r="H1123" t="str">
        <f t="shared" si="51"/>
        <v>60-69</v>
      </c>
      <c r="I1123" t="str">
        <f t="shared" si="52"/>
        <v>20-29</v>
      </c>
      <c r="J1123">
        <f t="shared" si="53"/>
        <v>7.7400000000000004E-3</v>
      </c>
    </row>
    <row r="1124" spans="1:10">
      <c r="A1124" t="s">
        <v>1206</v>
      </c>
      <c r="B1124">
        <v>50</v>
      </c>
      <c r="C1124" t="s">
        <v>7</v>
      </c>
      <c r="D1124">
        <v>19</v>
      </c>
      <c r="E1124">
        <v>68</v>
      </c>
      <c r="F1124">
        <v>1.106E-2</v>
      </c>
      <c r="G1124">
        <v>0</v>
      </c>
      <c r="H1124" t="str">
        <f t="shared" si="51"/>
        <v>60-69</v>
      </c>
      <c r="I1124" t="str">
        <f t="shared" si="52"/>
        <v>10-19</v>
      </c>
      <c r="J1124">
        <f t="shared" si="53"/>
        <v>1.106E-2</v>
      </c>
    </row>
    <row r="1125" spans="1:10">
      <c r="A1125" t="s">
        <v>1207</v>
      </c>
      <c r="B1125">
        <v>46</v>
      </c>
      <c r="C1125" t="s">
        <v>7</v>
      </c>
      <c r="D1125">
        <v>22</v>
      </c>
      <c r="E1125">
        <v>67</v>
      </c>
      <c r="F1125">
        <v>1.027E-2</v>
      </c>
      <c r="G1125">
        <v>0</v>
      </c>
      <c r="H1125" t="str">
        <f t="shared" si="51"/>
        <v>60-69</v>
      </c>
      <c r="I1125" t="str">
        <f t="shared" si="52"/>
        <v>20-29</v>
      </c>
      <c r="J1125">
        <f t="shared" si="53"/>
        <v>1.027E-2</v>
      </c>
    </row>
    <row r="1126" spans="1:10">
      <c r="A1126" t="s">
        <v>1208</v>
      </c>
      <c r="B1126">
        <v>38</v>
      </c>
      <c r="C1126" t="s">
        <v>7</v>
      </c>
      <c r="D1126">
        <v>29</v>
      </c>
      <c r="E1126">
        <v>66</v>
      </c>
      <c r="F1126">
        <v>6.7200000000000003E-3</v>
      </c>
      <c r="G1126">
        <v>0</v>
      </c>
      <c r="H1126" t="str">
        <f t="shared" si="51"/>
        <v>60-69</v>
      </c>
      <c r="I1126" t="str">
        <f t="shared" si="52"/>
        <v>20-29</v>
      </c>
      <c r="J1126">
        <f t="shared" si="53"/>
        <v>6.7200000000000003E-3</v>
      </c>
    </row>
    <row r="1127" spans="1:10">
      <c r="A1127" t="s">
        <v>1209</v>
      </c>
      <c r="B1127">
        <v>53</v>
      </c>
      <c r="C1127" t="s">
        <v>9</v>
      </c>
      <c r="D1127">
        <v>4</v>
      </c>
      <c r="E1127">
        <v>56</v>
      </c>
      <c r="F1127">
        <v>3.0899999999999999E-3</v>
      </c>
      <c r="G1127">
        <v>0</v>
      </c>
      <c r="H1127" t="str">
        <f t="shared" si="51"/>
        <v>50-59</v>
      </c>
      <c r="I1127" t="str">
        <f t="shared" si="52"/>
        <v>0-9</v>
      </c>
      <c r="J1127">
        <f t="shared" si="53"/>
        <v>3.0899999999999999E-3</v>
      </c>
    </row>
    <row r="1128" spans="1:10">
      <c r="A1128" t="s">
        <v>1210</v>
      </c>
      <c r="B1128">
        <v>62</v>
      </c>
      <c r="C1128" t="s">
        <v>9</v>
      </c>
      <c r="D1128">
        <v>2</v>
      </c>
      <c r="E1128">
        <v>63</v>
      </c>
      <c r="F1128">
        <v>3.5100000000000001E-3</v>
      </c>
      <c r="G1128">
        <v>0</v>
      </c>
      <c r="H1128" t="str">
        <f t="shared" si="51"/>
        <v>60-69</v>
      </c>
      <c r="I1128" t="str">
        <f t="shared" si="52"/>
        <v>0-9</v>
      </c>
      <c r="J1128">
        <f t="shared" si="53"/>
        <v>3.5100000000000001E-3</v>
      </c>
    </row>
    <row r="1129" spans="1:10">
      <c r="A1129" t="s">
        <v>1211</v>
      </c>
      <c r="B1129">
        <v>30</v>
      </c>
      <c r="C1129" t="s">
        <v>7</v>
      </c>
      <c r="D1129">
        <v>10</v>
      </c>
      <c r="E1129">
        <v>39</v>
      </c>
      <c r="F1129">
        <v>6.9999999999999999E-4</v>
      </c>
      <c r="G1129">
        <v>0</v>
      </c>
      <c r="H1129" t="str">
        <f t="shared" si="51"/>
        <v>30-39</v>
      </c>
      <c r="I1129" t="str">
        <f t="shared" si="52"/>
        <v>10-19</v>
      </c>
      <c r="J1129">
        <f t="shared" si="53"/>
        <v>6.9999999999999999E-4</v>
      </c>
    </row>
    <row r="1130" spans="1:10">
      <c r="A1130" t="s">
        <v>1212</v>
      </c>
      <c r="B1130">
        <v>23</v>
      </c>
      <c r="C1130" t="s">
        <v>7</v>
      </c>
      <c r="D1130">
        <v>23</v>
      </c>
      <c r="E1130">
        <v>45</v>
      </c>
      <c r="F1130">
        <v>1.3799999999999999E-3</v>
      </c>
      <c r="G1130">
        <v>0</v>
      </c>
      <c r="H1130" t="str">
        <f t="shared" si="51"/>
        <v>40-49</v>
      </c>
      <c r="I1130" t="str">
        <f t="shared" si="52"/>
        <v>20-29</v>
      </c>
      <c r="J1130">
        <f t="shared" si="53"/>
        <v>1.3799999999999999E-3</v>
      </c>
    </row>
    <row r="1131" spans="1:10">
      <c r="A1131" t="s">
        <v>1213</v>
      </c>
      <c r="B1131">
        <v>54</v>
      </c>
      <c r="C1131" t="s">
        <v>9</v>
      </c>
      <c r="D1131">
        <v>2</v>
      </c>
      <c r="E1131">
        <v>55</v>
      </c>
      <c r="F1131">
        <v>1.8500000000000001E-3</v>
      </c>
      <c r="G1131">
        <v>0</v>
      </c>
      <c r="H1131" t="str">
        <f t="shared" si="51"/>
        <v>50-59</v>
      </c>
      <c r="I1131" t="str">
        <f t="shared" si="52"/>
        <v>0-9</v>
      </c>
      <c r="J1131">
        <f t="shared" si="53"/>
        <v>1.8500000000000001E-3</v>
      </c>
    </row>
    <row r="1132" spans="1:10">
      <c r="A1132" t="s">
        <v>1214</v>
      </c>
      <c r="B1132">
        <v>59</v>
      </c>
      <c r="C1132" t="s">
        <v>7</v>
      </c>
      <c r="D1132">
        <v>28</v>
      </c>
      <c r="E1132">
        <v>86</v>
      </c>
      <c r="F1132">
        <v>6.4490000000000006E-2</v>
      </c>
      <c r="G1132">
        <v>0</v>
      </c>
      <c r="H1132" t="str">
        <f t="shared" si="51"/>
        <v>80-89</v>
      </c>
      <c r="I1132" t="str">
        <f t="shared" si="52"/>
        <v>20-29</v>
      </c>
      <c r="J1132">
        <f t="shared" si="53"/>
        <v>6.4490000000000006E-2</v>
      </c>
    </row>
    <row r="1133" spans="1:10">
      <c r="A1133" t="s">
        <v>1215</v>
      </c>
      <c r="B1133">
        <v>34</v>
      </c>
      <c r="C1133" t="s">
        <v>7</v>
      </c>
      <c r="D1133">
        <v>24</v>
      </c>
      <c r="E1133">
        <v>57</v>
      </c>
      <c r="F1133">
        <v>3.6900000000000001E-3</v>
      </c>
      <c r="G1133">
        <v>0</v>
      </c>
      <c r="H1133" t="str">
        <f t="shared" si="51"/>
        <v>50-59</v>
      </c>
      <c r="I1133" t="str">
        <f t="shared" si="52"/>
        <v>20-29</v>
      </c>
      <c r="J1133">
        <f t="shared" si="53"/>
        <v>3.6900000000000001E-3</v>
      </c>
    </row>
    <row r="1134" spans="1:10">
      <c r="A1134" t="s">
        <v>1216</v>
      </c>
      <c r="B1134">
        <v>52</v>
      </c>
      <c r="C1134" t="s">
        <v>7</v>
      </c>
      <c r="D1134">
        <v>26</v>
      </c>
      <c r="E1134">
        <v>77</v>
      </c>
      <c r="F1134">
        <v>2.8719999999999999E-2</v>
      </c>
      <c r="G1134">
        <v>0</v>
      </c>
      <c r="H1134" t="str">
        <f t="shared" si="51"/>
        <v>70-79</v>
      </c>
      <c r="I1134" t="str">
        <f t="shared" si="52"/>
        <v>20-29</v>
      </c>
      <c r="J1134">
        <f t="shared" si="53"/>
        <v>2.8719999999999999E-2</v>
      </c>
    </row>
    <row r="1135" spans="1:10">
      <c r="A1135" t="s">
        <v>1217</v>
      </c>
      <c r="B1135">
        <v>64</v>
      </c>
      <c r="C1135" t="s">
        <v>9</v>
      </c>
      <c r="D1135">
        <v>22</v>
      </c>
      <c r="E1135">
        <v>85</v>
      </c>
      <c r="F1135">
        <v>9.1270000000000004E-2</v>
      </c>
      <c r="G1135">
        <v>0</v>
      </c>
      <c r="H1135" t="str">
        <f t="shared" si="51"/>
        <v>80-89</v>
      </c>
      <c r="I1135" t="str">
        <f t="shared" si="52"/>
        <v>20-29</v>
      </c>
      <c r="J1135">
        <f t="shared" si="53"/>
        <v>9.1270000000000004E-2</v>
      </c>
    </row>
    <row r="1136" spans="1:10">
      <c r="A1136" t="s">
        <v>1218</v>
      </c>
      <c r="B1136">
        <v>46</v>
      </c>
      <c r="C1136" t="s">
        <v>7</v>
      </c>
      <c r="D1136">
        <v>26</v>
      </c>
      <c r="E1136">
        <v>71</v>
      </c>
      <c r="F1136">
        <v>1.553E-2</v>
      </c>
      <c r="G1136">
        <v>0</v>
      </c>
      <c r="H1136" t="str">
        <f t="shared" si="51"/>
        <v>70-79</v>
      </c>
      <c r="I1136" t="str">
        <f t="shared" si="52"/>
        <v>20-29</v>
      </c>
      <c r="J1136">
        <f t="shared" si="53"/>
        <v>1.553E-2</v>
      </c>
    </row>
    <row r="1137" spans="1:10">
      <c r="A1137" t="s">
        <v>1219</v>
      </c>
      <c r="B1137">
        <v>55</v>
      </c>
      <c r="C1137" t="s">
        <v>9</v>
      </c>
      <c r="D1137">
        <v>2</v>
      </c>
      <c r="E1137">
        <v>56</v>
      </c>
      <c r="F1137">
        <v>2.0100000000000001E-3</v>
      </c>
      <c r="G1137">
        <v>0</v>
      </c>
      <c r="H1137" t="str">
        <f t="shared" si="51"/>
        <v>50-59</v>
      </c>
      <c r="I1137" t="str">
        <f t="shared" si="52"/>
        <v>0-9</v>
      </c>
      <c r="J1137">
        <f t="shared" si="53"/>
        <v>2.0100000000000001E-3</v>
      </c>
    </row>
    <row r="1138" spans="1:10">
      <c r="A1138" t="s">
        <v>1220</v>
      </c>
      <c r="B1138">
        <v>59</v>
      </c>
      <c r="C1138" t="s">
        <v>7</v>
      </c>
      <c r="D1138">
        <v>28</v>
      </c>
      <c r="E1138">
        <v>86</v>
      </c>
      <c r="F1138">
        <v>6.4490000000000006E-2</v>
      </c>
      <c r="G1138">
        <v>0</v>
      </c>
      <c r="H1138" t="str">
        <f t="shared" si="51"/>
        <v>80-89</v>
      </c>
      <c r="I1138" t="str">
        <f t="shared" si="52"/>
        <v>20-29</v>
      </c>
      <c r="J1138">
        <f t="shared" si="53"/>
        <v>6.4490000000000006E-2</v>
      </c>
    </row>
    <row r="1139" spans="1:10">
      <c r="A1139" t="s">
        <v>1221</v>
      </c>
      <c r="B1139">
        <v>34</v>
      </c>
      <c r="C1139" t="s">
        <v>7</v>
      </c>
      <c r="D1139">
        <v>30</v>
      </c>
      <c r="E1139">
        <v>63</v>
      </c>
      <c r="F1139">
        <v>4.4600000000000004E-3</v>
      </c>
      <c r="G1139">
        <v>0</v>
      </c>
      <c r="H1139" t="str">
        <f t="shared" si="51"/>
        <v>60-69</v>
      </c>
      <c r="I1139" t="str">
        <f t="shared" si="52"/>
        <v>30-39</v>
      </c>
      <c r="J1139">
        <f t="shared" si="53"/>
        <v>4.4600000000000004E-3</v>
      </c>
    </row>
    <row r="1140" spans="1:10">
      <c r="A1140" t="s">
        <v>1222</v>
      </c>
      <c r="B1140">
        <v>43</v>
      </c>
      <c r="C1140" t="s">
        <v>7</v>
      </c>
      <c r="D1140">
        <v>25</v>
      </c>
      <c r="E1140">
        <v>67</v>
      </c>
      <c r="F1140">
        <v>1.027E-2</v>
      </c>
      <c r="G1140">
        <v>0</v>
      </c>
      <c r="H1140" t="str">
        <f t="shared" si="51"/>
        <v>60-69</v>
      </c>
      <c r="I1140" t="str">
        <f t="shared" si="52"/>
        <v>20-29</v>
      </c>
      <c r="J1140">
        <f t="shared" si="53"/>
        <v>1.027E-2</v>
      </c>
    </row>
    <row r="1141" spans="1:10">
      <c r="A1141" t="s">
        <v>1223</v>
      </c>
      <c r="B1141">
        <v>32</v>
      </c>
      <c r="C1141" t="s">
        <v>7</v>
      </c>
      <c r="D1141">
        <v>25</v>
      </c>
      <c r="E1141">
        <v>56</v>
      </c>
      <c r="F1141">
        <v>3.3700000000000002E-3</v>
      </c>
      <c r="G1141">
        <v>0</v>
      </c>
      <c r="H1141" t="str">
        <f t="shared" si="51"/>
        <v>50-59</v>
      </c>
      <c r="I1141" t="str">
        <f t="shared" si="52"/>
        <v>20-29</v>
      </c>
      <c r="J1141">
        <f t="shared" si="53"/>
        <v>3.3700000000000002E-3</v>
      </c>
    </row>
    <row r="1142" spans="1:10">
      <c r="A1142" t="s">
        <v>1224</v>
      </c>
      <c r="B1142">
        <v>48</v>
      </c>
      <c r="C1142" t="s">
        <v>7</v>
      </c>
      <c r="D1142">
        <v>6</v>
      </c>
      <c r="E1142">
        <v>53</v>
      </c>
      <c r="F1142">
        <v>1.6900000000000001E-3</v>
      </c>
      <c r="G1142">
        <v>0</v>
      </c>
      <c r="H1142" t="str">
        <f t="shared" si="51"/>
        <v>50-59</v>
      </c>
      <c r="I1142" t="str">
        <f t="shared" si="52"/>
        <v>0-9</v>
      </c>
      <c r="J1142">
        <f t="shared" si="53"/>
        <v>1.6900000000000001E-3</v>
      </c>
    </row>
    <row r="1143" spans="1:10">
      <c r="A1143" t="s">
        <v>1225</v>
      </c>
      <c r="B1143">
        <v>31</v>
      </c>
      <c r="C1143" t="s">
        <v>7</v>
      </c>
      <c r="D1143">
        <v>24</v>
      </c>
      <c r="E1143">
        <v>54</v>
      </c>
      <c r="F1143">
        <v>2.82E-3</v>
      </c>
      <c r="G1143">
        <v>0</v>
      </c>
      <c r="H1143" t="str">
        <f t="shared" si="51"/>
        <v>50-59</v>
      </c>
      <c r="I1143" t="str">
        <f t="shared" si="52"/>
        <v>20-29</v>
      </c>
      <c r="J1143">
        <f t="shared" si="53"/>
        <v>2.82E-3</v>
      </c>
    </row>
    <row r="1144" spans="1:10">
      <c r="A1144" t="s">
        <v>1226</v>
      </c>
      <c r="B1144">
        <v>47</v>
      </c>
      <c r="C1144" t="s">
        <v>7</v>
      </c>
      <c r="D1144">
        <v>9</v>
      </c>
      <c r="E1144">
        <v>55</v>
      </c>
      <c r="F1144">
        <v>2.32E-3</v>
      </c>
      <c r="G1144">
        <v>0</v>
      </c>
      <c r="H1144" t="str">
        <f t="shared" si="51"/>
        <v>50-59</v>
      </c>
      <c r="I1144" t="str">
        <f t="shared" si="52"/>
        <v>0-9</v>
      </c>
      <c r="J1144">
        <f t="shared" si="53"/>
        <v>2.32E-3</v>
      </c>
    </row>
    <row r="1145" spans="1:10">
      <c r="A1145" t="s">
        <v>1227</v>
      </c>
      <c r="B1145">
        <v>57</v>
      </c>
      <c r="C1145" t="s">
        <v>9</v>
      </c>
      <c r="D1145">
        <v>28</v>
      </c>
      <c r="E1145">
        <v>84</v>
      </c>
      <c r="F1145">
        <v>6.3329999999999997E-2</v>
      </c>
      <c r="G1145">
        <v>0</v>
      </c>
      <c r="H1145" t="str">
        <f t="shared" si="51"/>
        <v>80-89</v>
      </c>
      <c r="I1145" t="str">
        <f t="shared" si="52"/>
        <v>20-29</v>
      </c>
      <c r="J1145">
        <f t="shared" si="53"/>
        <v>6.3329999999999997E-2</v>
      </c>
    </row>
    <row r="1146" spans="1:10">
      <c r="A1146" t="s">
        <v>1228</v>
      </c>
      <c r="B1146">
        <v>65</v>
      </c>
      <c r="C1146" t="s">
        <v>9</v>
      </c>
      <c r="D1146">
        <v>30</v>
      </c>
      <c r="E1146">
        <v>94</v>
      </c>
      <c r="F1146">
        <v>0.16611999999999999</v>
      </c>
      <c r="G1146">
        <v>1</v>
      </c>
      <c r="H1146" t="str">
        <f t="shared" si="51"/>
        <v>90-99</v>
      </c>
      <c r="I1146" t="str">
        <f t="shared" si="52"/>
        <v>30-39</v>
      </c>
      <c r="J1146">
        <f t="shared" si="53"/>
        <v>0.16611999999999999</v>
      </c>
    </row>
    <row r="1147" spans="1:10">
      <c r="A1147" t="s">
        <v>1229</v>
      </c>
      <c r="B1147">
        <v>40</v>
      </c>
      <c r="C1147" t="s">
        <v>9</v>
      </c>
      <c r="D1147">
        <v>20</v>
      </c>
      <c r="E1147">
        <v>59</v>
      </c>
      <c r="F1147">
        <v>5.7400000000000003E-3</v>
      </c>
      <c r="G1147">
        <v>0</v>
      </c>
      <c r="H1147" t="str">
        <f t="shared" si="51"/>
        <v>50-59</v>
      </c>
      <c r="I1147" t="str">
        <f t="shared" si="52"/>
        <v>20-29</v>
      </c>
      <c r="J1147">
        <f t="shared" si="53"/>
        <v>5.7400000000000003E-3</v>
      </c>
    </row>
    <row r="1148" spans="1:10">
      <c r="A1148" t="s">
        <v>1230</v>
      </c>
      <c r="B1148">
        <v>59</v>
      </c>
      <c r="C1148" t="s">
        <v>7</v>
      </c>
      <c r="D1148">
        <v>27</v>
      </c>
      <c r="E1148">
        <v>85</v>
      </c>
      <c r="F1148">
        <v>6.4490000000000006E-2</v>
      </c>
      <c r="G1148">
        <v>0</v>
      </c>
      <c r="H1148" t="str">
        <f t="shared" si="51"/>
        <v>80-89</v>
      </c>
      <c r="I1148" t="str">
        <f t="shared" si="52"/>
        <v>20-29</v>
      </c>
      <c r="J1148">
        <f t="shared" si="53"/>
        <v>6.4490000000000006E-2</v>
      </c>
    </row>
    <row r="1149" spans="1:10">
      <c r="A1149" t="s">
        <v>1231</v>
      </c>
      <c r="B1149">
        <v>56</v>
      </c>
      <c r="C1149" t="s">
        <v>9</v>
      </c>
      <c r="D1149">
        <v>18</v>
      </c>
      <c r="E1149">
        <v>73</v>
      </c>
      <c r="F1149">
        <v>2.3859999999999999E-2</v>
      </c>
      <c r="G1149">
        <v>0</v>
      </c>
      <c r="H1149" t="str">
        <f t="shared" si="51"/>
        <v>70-79</v>
      </c>
      <c r="I1149" t="str">
        <f t="shared" si="52"/>
        <v>10-19</v>
      </c>
      <c r="J1149">
        <f t="shared" si="53"/>
        <v>2.3859999999999999E-2</v>
      </c>
    </row>
    <row r="1150" spans="1:10">
      <c r="A1150" t="s">
        <v>1232</v>
      </c>
      <c r="B1150">
        <v>40</v>
      </c>
      <c r="C1150" t="s">
        <v>9</v>
      </c>
      <c r="D1150">
        <v>17</v>
      </c>
      <c r="E1150">
        <v>56</v>
      </c>
      <c r="F1150">
        <v>4.0800000000000003E-3</v>
      </c>
      <c r="G1150">
        <v>0</v>
      </c>
      <c r="H1150" t="str">
        <f t="shared" si="51"/>
        <v>50-59</v>
      </c>
      <c r="I1150" t="str">
        <f t="shared" si="52"/>
        <v>10-19</v>
      </c>
      <c r="J1150">
        <f t="shared" si="53"/>
        <v>4.0800000000000003E-3</v>
      </c>
    </row>
    <row r="1151" spans="1:10">
      <c r="A1151" t="s">
        <v>1233</v>
      </c>
      <c r="B1151">
        <v>24</v>
      </c>
      <c r="C1151" t="s">
        <v>7</v>
      </c>
      <c r="D1151">
        <v>26</v>
      </c>
      <c r="E1151">
        <v>49</v>
      </c>
      <c r="F1151">
        <v>1.8699999999999999E-3</v>
      </c>
      <c r="G1151">
        <v>0</v>
      </c>
      <c r="H1151" t="str">
        <f t="shared" si="51"/>
        <v>40-49</v>
      </c>
      <c r="I1151" t="str">
        <f t="shared" si="52"/>
        <v>20-29</v>
      </c>
      <c r="J1151">
        <f t="shared" si="53"/>
        <v>1.8699999999999999E-3</v>
      </c>
    </row>
    <row r="1152" spans="1:10">
      <c r="A1152" t="s">
        <v>1234</v>
      </c>
      <c r="B1152">
        <v>54</v>
      </c>
      <c r="C1152" t="s">
        <v>9</v>
      </c>
      <c r="D1152">
        <v>13</v>
      </c>
      <c r="E1152">
        <v>66</v>
      </c>
      <c r="F1152">
        <v>1.112E-2</v>
      </c>
      <c r="G1152">
        <v>0</v>
      </c>
      <c r="H1152" t="str">
        <f t="shared" si="51"/>
        <v>60-69</v>
      </c>
      <c r="I1152" t="str">
        <f t="shared" si="52"/>
        <v>10-19</v>
      </c>
      <c r="J1152">
        <f t="shared" si="53"/>
        <v>1.112E-2</v>
      </c>
    </row>
    <row r="1153" spans="1:10">
      <c r="A1153" t="s">
        <v>1235</v>
      </c>
      <c r="B1153">
        <v>33</v>
      </c>
      <c r="C1153" t="s">
        <v>9</v>
      </c>
      <c r="D1153">
        <v>22</v>
      </c>
      <c r="E1153">
        <v>54</v>
      </c>
      <c r="F1153">
        <v>3.65E-3</v>
      </c>
      <c r="G1153">
        <v>0</v>
      </c>
      <c r="H1153" t="str">
        <f t="shared" si="51"/>
        <v>50-59</v>
      </c>
      <c r="I1153" t="str">
        <f t="shared" si="52"/>
        <v>20-29</v>
      </c>
      <c r="J1153">
        <f t="shared" si="53"/>
        <v>3.65E-3</v>
      </c>
    </row>
    <row r="1154" spans="1:10">
      <c r="A1154" t="s">
        <v>1236</v>
      </c>
      <c r="B1154">
        <v>33</v>
      </c>
      <c r="C1154" t="s">
        <v>7</v>
      </c>
      <c r="D1154">
        <v>25</v>
      </c>
      <c r="E1154">
        <v>57</v>
      </c>
      <c r="F1154">
        <v>3.6900000000000001E-3</v>
      </c>
      <c r="G1154">
        <v>0</v>
      </c>
      <c r="H1154" t="str">
        <f t="shared" si="51"/>
        <v>50-59</v>
      </c>
      <c r="I1154" t="str">
        <f t="shared" si="52"/>
        <v>20-29</v>
      </c>
      <c r="J1154">
        <f t="shared" si="53"/>
        <v>3.6900000000000001E-3</v>
      </c>
    </row>
    <row r="1155" spans="1:10">
      <c r="A1155" t="s">
        <v>1237</v>
      </c>
      <c r="B1155">
        <v>55</v>
      </c>
      <c r="C1155" t="s">
        <v>7</v>
      </c>
      <c r="D1155">
        <v>27</v>
      </c>
      <c r="E1155">
        <v>81</v>
      </c>
      <c r="F1155">
        <v>3.986E-2</v>
      </c>
      <c r="G1155">
        <v>0</v>
      </c>
      <c r="H1155" t="str">
        <f t="shared" ref="H1155:H1218" si="54">FLOOR(E1155,10) &amp; "-" &amp; FLOOR(E1155,10)+9</f>
        <v>80-89</v>
      </c>
      <c r="I1155" t="str">
        <f t="shared" ref="I1155:I1218" si="55">FLOOR(D1155, 10) &amp; "-"&amp;FLOOR(D1155, 10)+9</f>
        <v>20-29</v>
      </c>
      <c r="J1155">
        <f t="shared" ref="J1155:J1218" si="56">F1155</f>
        <v>3.986E-2</v>
      </c>
    </row>
    <row r="1156" spans="1:10">
      <c r="A1156" t="s">
        <v>1238</v>
      </c>
      <c r="B1156">
        <v>27</v>
      </c>
      <c r="C1156" t="s">
        <v>9</v>
      </c>
      <c r="D1156">
        <v>22</v>
      </c>
      <c r="E1156">
        <v>48</v>
      </c>
      <c r="F1156">
        <v>2.2699999999999999E-3</v>
      </c>
      <c r="G1156">
        <v>0</v>
      </c>
      <c r="H1156" t="str">
        <f t="shared" si="54"/>
        <v>40-49</v>
      </c>
      <c r="I1156" t="str">
        <f t="shared" si="55"/>
        <v>20-29</v>
      </c>
      <c r="J1156">
        <f t="shared" si="56"/>
        <v>2.2699999999999999E-3</v>
      </c>
    </row>
    <row r="1157" spans="1:10">
      <c r="A1157" t="s">
        <v>1239</v>
      </c>
      <c r="B1157">
        <v>61</v>
      </c>
      <c r="C1157" t="s">
        <v>7</v>
      </c>
      <c r="D1157">
        <v>20</v>
      </c>
      <c r="E1157">
        <v>80</v>
      </c>
      <c r="F1157">
        <v>3.9030000000000002E-2</v>
      </c>
      <c r="G1157">
        <v>0</v>
      </c>
      <c r="H1157" t="str">
        <f t="shared" si="54"/>
        <v>80-89</v>
      </c>
      <c r="I1157" t="str">
        <f t="shared" si="55"/>
        <v>20-29</v>
      </c>
      <c r="J1157">
        <f t="shared" si="56"/>
        <v>3.9030000000000002E-2</v>
      </c>
    </row>
    <row r="1158" spans="1:10">
      <c r="A1158" t="s">
        <v>1240</v>
      </c>
      <c r="B1158">
        <v>22</v>
      </c>
      <c r="C1158" t="s">
        <v>7</v>
      </c>
      <c r="D1158">
        <v>22</v>
      </c>
      <c r="E1158">
        <v>43</v>
      </c>
      <c r="F1158">
        <v>1.2800000000000001E-3</v>
      </c>
      <c r="G1158">
        <v>0</v>
      </c>
      <c r="H1158" t="str">
        <f t="shared" si="54"/>
        <v>40-49</v>
      </c>
      <c r="I1158" t="str">
        <f t="shared" si="55"/>
        <v>20-29</v>
      </c>
      <c r="J1158">
        <f t="shared" si="56"/>
        <v>1.2800000000000001E-3</v>
      </c>
    </row>
    <row r="1159" spans="1:10">
      <c r="A1159" t="s">
        <v>1241</v>
      </c>
      <c r="B1159">
        <v>27</v>
      </c>
      <c r="C1159" t="s">
        <v>9</v>
      </c>
      <c r="D1159">
        <v>13</v>
      </c>
      <c r="E1159">
        <v>39</v>
      </c>
      <c r="F1159">
        <v>1.0300000000000001E-3</v>
      </c>
      <c r="G1159">
        <v>0</v>
      </c>
      <c r="H1159" t="str">
        <f t="shared" si="54"/>
        <v>30-39</v>
      </c>
      <c r="I1159" t="str">
        <f t="shared" si="55"/>
        <v>10-19</v>
      </c>
      <c r="J1159">
        <f t="shared" si="56"/>
        <v>1.0300000000000001E-3</v>
      </c>
    </row>
    <row r="1160" spans="1:10">
      <c r="A1160" t="s">
        <v>1242</v>
      </c>
      <c r="B1160">
        <v>21</v>
      </c>
      <c r="C1160" t="s">
        <v>7</v>
      </c>
      <c r="D1160">
        <v>30</v>
      </c>
      <c r="E1160">
        <v>50</v>
      </c>
      <c r="F1160">
        <v>1.49E-3</v>
      </c>
      <c r="G1160">
        <v>0</v>
      </c>
      <c r="H1160" t="str">
        <f t="shared" si="54"/>
        <v>50-59</v>
      </c>
      <c r="I1160" t="str">
        <f t="shared" si="55"/>
        <v>30-39</v>
      </c>
      <c r="J1160">
        <f t="shared" si="56"/>
        <v>1.49E-3</v>
      </c>
    </row>
    <row r="1161" spans="1:10">
      <c r="A1161" t="s">
        <v>1243</v>
      </c>
      <c r="B1161">
        <v>52</v>
      </c>
      <c r="C1161" t="s">
        <v>7</v>
      </c>
      <c r="D1161">
        <v>26</v>
      </c>
      <c r="E1161">
        <v>77</v>
      </c>
      <c r="F1161">
        <v>2.8719999999999999E-2</v>
      </c>
      <c r="G1161">
        <v>0</v>
      </c>
      <c r="H1161" t="str">
        <f t="shared" si="54"/>
        <v>70-79</v>
      </c>
      <c r="I1161" t="str">
        <f t="shared" si="55"/>
        <v>20-29</v>
      </c>
      <c r="J1161">
        <f t="shared" si="56"/>
        <v>2.8719999999999999E-2</v>
      </c>
    </row>
    <row r="1162" spans="1:10">
      <c r="A1162" t="s">
        <v>1244</v>
      </c>
      <c r="B1162">
        <v>38</v>
      </c>
      <c r="C1162" t="s">
        <v>7</v>
      </c>
      <c r="D1162">
        <v>29</v>
      </c>
      <c r="E1162">
        <v>66</v>
      </c>
      <c r="F1162">
        <v>6.7200000000000003E-3</v>
      </c>
      <c r="G1162">
        <v>0</v>
      </c>
      <c r="H1162" t="str">
        <f t="shared" si="54"/>
        <v>60-69</v>
      </c>
      <c r="I1162" t="str">
        <f t="shared" si="55"/>
        <v>20-29</v>
      </c>
      <c r="J1162">
        <f t="shared" si="56"/>
        <v>6.7200000000000003E-3</v>
      </c>
    </row>
    <row r="1163" spans="1:10">
      <c r="A1163" t="s">
        <v>1245</v>
      </c>
      <c r="B1163">
        <v>25</v>
      </c>
      <c r="C1163" t="s">
        <v>9</v>
      </c>
      <c r="D1163">
        <v>4</v>
      </c>
      <c r="E1163">
        <v>28</v>
      </c>
      <c r="F1163">
        <v>4.0999999999999999E-4</v>
      </c>
      <c r="G1163">
        <v>0</v>
      </c>
      <c r="H1163" t="str">
        <f t="shared" si="54"/>
        <v>20-29</v>
      </c>
      <c r="I1163" t="str">
        <f t="shared" si="55"/>
        <v>0-9</v>
      </c>
      <c r="J1163">
        <f t="shared" si="56"/>
        <v>4.0999999999999999E-4</v>
      </c>
    </row>
    <row r="1164" spans="1:10">
      <c r="A1164" t="s">
        <v>1246</v>
      </c>
      <c r="B1164">
        <v>54</v>
      </c>
      <c r="C1164" t="s">
        <v>9</v>
      </c>
      <c r="D1164">
        <v>18</v>
      </c>
      <c r="E1164">
        <v>71</v>
      </c>
      <c r="F1164">
        <v>1.8769999999999998E-2</v>
      </c>
      <c r="G1164">
        <v>0</v>
      </c>
      <c r="H1164" t="str">
        <f t="shared" si="54"/>
        <v>70-79</v>
      </c>
      <c r="I1164" t="str">
        <f t="shared" si="55"/>
        <v>10-19</v>
      </c>
      <c r="J1164">
        <f t="shared" si="56"/>
        <v>1.8769999999999998E-2</v>
      </c>
    </row>
    <row r="1165" spans="1:10">
      <c r="A1165" t="s">
        <v>1247</v>
      </c>
      <c r="B1165">
        <v>62</v>
      </c>
      <c r="C1165" t="s">
        <v>7</v>
      </c>
      <c r="D1165">
        <v>21</v>
      </c>
      <c r="E1165">
        <v>82</v>
      </c>
      <c r="F1165">
        <v>5.0599999999999999E-2</v>
      </c>
      <c r="G1165">
        <v>0</v>
      </c>
      <c r="H1165" t="str">
        <f t="shared" si="54"/>
        <v>80-89</v>
      </c>
      <c r="I1165" t="str">
        <f t="shared" si="55"/>
        <v>20-29</v>
      </c>
      <c r="J1165">
        <f t="shared" si="56"/>
        <v>5.0599999999999999E-2</v>
      </c>
    </row>
    <row r="1166" spans="1:10">
      <c r="A1166" t="s">
        <v>1248</v>
      </c>
      <c r="B1166">
        <v>47</v>
      </c>
      <c r="C1166" t="s">
        <v>9</v>
      </c>
      <c r="D1166">
        <v>27</v>
      </c>
      <c r="E1166">
        <v>73</v>
      </c>
      <c r="F1166">
        <v>2.1340000000000001E-2</v>
      </c>
      <c r="G1166">
        <v>0</v>
      </c>
      <c r="H1166" t="str">
        <f t="shared" si="54"/>
        <v>70-79</v>
      </c>
      <c r="I1166" t="str">
        <f t="shared" si="55"/>
        <v>20-29</v>
      </c>
      <c r="J1166">
        <f t="shared" si="56"/>
        <v>2.1340000000000001E-2</v>
      </c>
    </row>
    <row r="1167" spans="1:10">
      <c r="A1167" t="s">
        <v>1249</v>
      </c>
      <c r="B1167">
        <v>64</v>
      </c>
      <c r="C1167" t="s">
        <v>7</v>
      </c>
      <c r="D1167">
        <v>29</v>
      </c>
      <c r="E1167">
        <v>92</v>
      </c>
      <c r="F1167">
        <v>0.11754000000000001</v>
      </c>
      <c r="G1167">
        <v>0</v>
      </c>
      <c r="H1167" t="str">
        <f t="shared" si="54"/>
        <v>90-99</v>
      </c>
      <c r="I1167" t="str">
        <f t="shared" si="55"/>
        <v>20-29</v>
      </c>
      <c r="J1167">
        <f t="shared" si="56"/>
        <v>0.11754000000000001</v>
      </c>
    </row>
    <row r="1168" spans="1:10">
      <c r="A1168" t="s">
        <v>1250</v>
      </c>
      <c r="B1168">
        <v>61</v>
      </c>
      <c r="C1168" t="s">
        <v>7</v>
      </c>
      <c r="D1168">
        <v>27</v>
      </c>
      <c r="E1168">
        <v>87</v>
      </c>
      <c r="F1168">
        <v>8.2710000000000006E-2</v>
      </c>
      <c r="G1168">
        <v>0</v>
      </c>
      <c r="H1168" t="str">
        <f t="shared" si="54"/>
        <v>80-89</v>
      </c>
      <c r="I1168" t="str">
        <f t="shared" si="55"/>
        <v>20-29</v>
      </c>
      <c r="J1168">
        <f t="shared" si="56"/>
        <v>8.2710000000000006E-2</v>
      </c>
    </row>
    <row r="1169" spans="1:10">
      <c r="A1169" t="s">
        <v>1251</v>
      </c>
      <c r="B1169">
        <v>29</v>
      </c>
      <c r="C1169" t="s">
        <v>9</v>
      </c>
      <c r="D1169">
        <v>1</v>
      </c>
      <c r="E1169">
        <v>29</v>
      </c>
      <c r="F1169">
        <v>2.5000000000000001E-4</v>
      </c>
      <c r="G1169">
        <v>0</v>
      </c>
      <c r="H1169" t="str">
        <f t="shared" si="54"/>
        <v>20-29</v>
      </c>
      <c r="I1169" t="str">
        <f t="shared" si="55"/>
        <v>0-9</v>
      </c>
      <c r="J1169">
        <f t="shared" si="56"/>
        <v>2.5000000000000001E-4</v>
      </c>
    </row>
    <row r="1170" spans="1:10">
      <c r="A1170" t="s">
        <v>1252</v>
      </c>
      <c r="B1170">
        <v>25</v>
      </c>
      <c r="C1170" t="s">
        <v>9</v>
      </c>
      <c r="D1170">
        <v>3</v>
      </c>
      <c r="E1170">
        <v>27</v>
      </c>
      <c r="F1170">
        <v>4.0000000000000002E-4</v>
      </c>
      <c r="G1170">
        <v>0</v>
      </c>
      <c r="H1170" t="str">
        <f t="shared" si="54"/>
        <v>20-29</v>
      </c>
      <c r="I1170" t="str">
        <f t="shared" si="55"/>
        <v>0-9</v>
      </c>
      <c r="J1170">
        <f t="shared" si="56"/>
        <v>4.0000000000000002E-4</v>
      </c>
    </row>
    <row r="1171" spans="1:10">
      <c r="A1171" t="s">
        <v>1253</v>
      </c>
      <c r="B1171">
        <v>55</v>
      </c>
      <c r="C1171" t="s">
        <v>7</v>
      </c>
      <c r="D1171">
        <v>3</v>
      </c>
      <c r="E1171">
        <v>57</v>
      </c>
      <c r="F1171">
        <v>1.8500000000000001E-3</v>
      </c>
      <c r="G1171">
        <v>0</v>
      </c>
      <c r="H1171" t="str">
        <f t="shared" si="54"/>
        <v>50-59</v>
      </c>
      <c r="I1171" t="str">
        <f t="shared" si="55"/>
        <v>0-9</v>
      </c>
      <c r="J1171">
        <f t="shared" si="56"/>
        <v>1.8500000000000001E-3</v>
      </c>
    </row>
    <row r="1172" spans="1:10">
      <c r="A1172" t="s">
        <v>1254</v>
      </c>
      <c r="B1172">
        <v>36</v>
      </c>
      <c r="C1172" t="s">
        <v>9</v>
      </c>
      <c r="D1172">
        <v>14</v>
      </c>
      <c r="E1172">
        <v>49</v>
      </c>
      <c r="F1172">
        <v>2.0699999999999998E-3</v>
      </c>
      <c r="G1172">
        <v>0</v>
      </c>
      <c r="H1172" t="str">
        <f t="shared" si="54"/>
        <v>40-49</v>
      </c>
      <c r="I1172" t="str">
        <f t="shared" si="55"/>
        <v>10-19</v>
      </c>
      <c r="J1172">
        <f t="shared" si="56"/>
        <v>2.0699999999999998E-3</v>
      </c>
    </row>
    <row r="1173" spans="1:10">
      <c r="A1173" t="s">
        <v>1255</v>
      </c>
      <c r="B1173">
        <v>47</v>
      </c>
      <c r="C1173" t="s">
        <v>9</v>
      </c>
      <c r="D1173">
        <v>11</v>
      </c>
      <c r="E1173">
        <v>57</v>
      </c>
      <c r="F1173">
        <v>4.1900000000000001E-3</v>
      </c>
      <c r="G1173">
        <v>0</v>
      </c>
      <c r="H1173" t="str">
        <f t="shared" si="54"/>
        <v>50-59</v>
      </c>
      <c r="I1173" t="str">
        <f t="shared" si="55"/>
        <v>10-19</v>
      </c>
      <c r="J1173">
        <f t="shared" si="56"/>
        <v>4.1900000000000001E-3</v>
      </c>
    </row>
    <row r="1174" spans="1:10">
      <c r="A1174" t="s">
        <v>1256</v>
      </c>
      <c r="B1174">
        <v>54</v>
      </c>
      <c r="C1174" t="s">
        <v>7</v>
      </c>
      <c r="D1174">
        <v>1</v>
      </c>
      <c r="E1174">
        <v>54</v>
      </c>
      <c r="F1174">
        <v>5.1000000000000004E-4</v>
      </c>
      <c r="G1174">
        <v>0</v>
      </c>
      <c r="H1174" t="str">
        <f t="shared" si="54"/>
        <v>50-59</v>
      </c>
      <c r="I1174" t="str">
        <f t="shared" si="55"/>
        <v>0-9</v>
      </c>
      <c r="J1174">
        <f t="shared" si="56"/>
        <v>5.1000000000000004E-4</v>
      </c>
    </row>
    <row r="1175" spans="1:10">
      <c r="A1175" t="s">
        <v>1257</v>
      </c>
      <c r="B1175">
        <v>57</v>
      </c>
      <c r="C1175" t="s">
        <v>7</v>
      </c>
      <c r="D1175">
        <v>2</v>
      </c>
      <c r="E1175">
        <v>58</v>
      </c>
      <c r="F1175">
        <v>1.3699999999999999E-3</v>
      </c>
      <c r="G1175">
        <v>0</v>
      </c>
      <c r="H1175" t="str">
        <f t="shared" si="54"/>
        <v>50-59</v>
      </c>
      <c r="I1175" t="str">
        <f t="shared" si="55"/>
        <v>0-9</v>
      </c>
      <c r="J1175">
        <f t="shared" si="56"/>
        <v>1.3699999999999999E-3</v>
      </c>
    </row>
    <row r="1176" spans="1:10">
      <c r="A1176" t="s">
        <v>1258</v>
      </c>
      <c r="B1176">
        <v>52</v>
      </c>
      <c r="C1176" t="s">
        <v>9</v>
      </c>
      <c r="D1176">
        <v>4</v>
      </c>
      <c r="E1176">
        <v>55</v>
      </c>
      <c r="F1176">
        <v>2.7299999999999998E-3</v>
      </c>
      <c r="G1176">
        <v>0</v>
      </c>
      <c r="H1176" t="str">
        <f t="shared" si="54"/>
        <v>50-59</v>
      </c>
      <c r="I1176" t="str">
        <f t="shared" si="55"/>
        <v>0-9</v>
      </c>
      <c r="J1176">
        <f t="shared" si="56"/>
        <v>2.7299999999999998E-3</v>
      </c>
    </row>
    <row r="1177" spans="1:10">
      <c r="A1177" t="s">
        <v>1259</v>
      </c>
      <c r="B1177">
        <v>58</v>
      </c>
      <c r="C1177" t="s">
        <v>9</v>
      </c>
      <c r="D1177">
        <v>3</v>
      </c>
      <c r="E1177">
        <v>60</v>
      </c>
      <c r="F1177">
        <v>4.0800000000000003E-3</v>
      </c>
      <c r="G1177">
        <v>0</v>
      </c>
      <c r="H1177" t="str">
        <f t="shared" si="54"/>
        <v>60-69</v>
      </c>
      <c r="I1177" t="str">
        <f t="shared" si="55"/>
        <v>0-9</v>
      </c>
      <c r="J1177">
        <f t="shared" si="56"/>
        <v>4.0800000000000003E-3</v>
      </c>
    </row>
    <row r="1178" spans="1:10">
      <c r="A1178" t="s">
        <v>1260</v>
      </c>
      <c r="B1178">
        <v>44</v>
      </c>
      <c r="C1178" t="s">
        <v>7</v>
      </c>
      <c r="D1178">
        <v>13</v>
      </c>
      <c r="E1178">
        <v>56</v>
      </c>
      <c r="F1178">
        <v>2.9399999999999999E-3</v>
      </c>
      <c r="G1178">
        <v>0</v>
      </c>
      <c r="H1178" t="str">
        <f t="shared" si="54"/>
        <v>50-59</v>
      </c>
      <c r="I1178" t="str">
        <f t="shared" si="55"/>
        <v>10-19</v>
      </c>
      <c r="J1178">
        <f t="shared" si="56"/>
        <v>2.9399999999999999E-3</v>
      </c>
    </row>
    <row r="1179" spans="1:10">
      <c r="A1179" t="s">
        <v>1261</v>
      </c>
      <c r="B1179">
        <v>30</v>
      </c>
      <c r="C1179" t="s">
        <v>9</v>
      </c>
      <c r="D1179">
        <v>18</v>
      </c>
      <c r="E1179">
        <v>47</v>
      </c>
      <c r="F1179">
        <v>1.99E-3</v>
      </c>
      <c r="G1179">
        <v>0</v>
      </c>
      <c r="H1179" t="str">
        <f t="shared" si="54"/>
        <v>40-49</v>
      </c>
      <c r="I1179" t="str">
        <f t="shared" si="55"/>
        <v>10-19</v>
      </c>
      <c r="J1179">
        <f t="shared" si="56"/>
        <v>1.99E-3</v>
      </c>
    </row>
    <row r="1180" spans="1:10">
      <c r="A1180" t="s">
        <v>1262</v>
      </c>
      <c r="B1180">
        <v>54</v>
      </c>
      <c r="C1180" t="s">
        <v>7</v>
      </c>
      <c r="D1180">
        <v>10</v>
      </c>
      <c r="E1180">
        <v>63</v>
      </c>
      <c r="F1180">
        <v>5.2500000000000003E-3</v>
      </c>
      <c r="G1180">
        <v>0</v>
      </c>
      <c r="H1180" t="str">
        <f t="shared" si="54"/>
        <v>60-69</v>
      </c>
      <c r="I1180" t="str">
        <f t="shared" si="55"/>
        <v>10-19</v>
      </c>
      <c r="J1180">
        <f t="shared" si="56"/>
        <v>5.2500000000000003E-3</v>
      </c>
    </row>
    <row r="1181" spans="1:10">
      <c r="A1181" t="s">
        <v>1263</v>
      </c>
      <c r="B1181">
        <v>63</v>
      </c>
      <c r="C1181" t="s">
        <v>7</v>
      </c>
      <c r="D1181">
        <v>29</v>
      </c>
      <c r="E1181">
        <v>91</v>
      </c>
      <c r="F1181">
        <v>0.10484</v>
      </c>
      <c r="G1181">
        <v>0</v>
      </c>
      <c r="H1181" t="str">
        <f t="shared" si="54"/>
        <v>90-99</v>
      </c>
      <c r="I1181" t="str">
        <f t="shared" si="55"/>
        <v>20-29</v>
      </c>
      <c r="J1181">
        <f t="shared" si="56"/>
        <v>0.10484</v>
      </c>
    </row>
    <row r="1182" spans="1:10">
      <c r="A1182" t="s">
        <v>1264</v>
      </c>
      <c r="B1182">
        <v>61</v>
      </c>
      <c r="C1182" t="s">
        <v>7</v>
      </c>
      <c r="D1182">
        <v>12</v>
      </c>
      <c r="E1182">
        <v>72</v>
      </c>
      <c r="F1182">
        <v>1.226E-2</v>
      </c>
      <c r="G1182">
        <v>1</v>
      </c>
      <c r="H1182" t="str">
        <f t="shared" si="54"/>
        <v>70-79</v>
      </c>
      <c r="I1182" t="str">
        <f t="shared" si="55"/>
        <v>10-19</v>
      </c>
      <c r="J1182">
        <f t="shared" si="56"/>
        <v>1.226E-2</v>
      </c>
    </row>
    <row r="1183" spans="1:10">
      <c r="A1183" t="s">
        <v>1265</v>
      </c>
      <c r="B1183">
        <v>55</v>
      </c>
      <c r="C1183" t="s">
        <v>9</v>
      </c>
      <c r="D1183">
        <v>5</v>
      </c>
      <c r="E1183">
        <v>59</v>
      </c>
      <c r="F1183">
        <v>4.4799999999999996E-3</v>
      </c>
      <c r="G1183">
        <v>0</v>
      </c>
      <c r="H1183" t="str">
        <f t="shared" si="54"/>
        <v>50-59</v>
      </c>
      <c r="I1183" t="str">
        <f t="shared" si="55"/>
        <v>0-9</v>
      </c>
      <c r="J1183">
        <f t="shared" si="56"/>
        <v>4.4799999999999996E-3</v>
      </c>
    </row>
    <row r="1184" spans="1:10">
      <c r="A1184" t="s">
        <v>1266</v>
      </c>
      <c r="B1184">
        <v>58</v>
      </c>
      <c r="C1184" t="s">
        <v>7</v>
      </c>
      <c r="D1184">
        <v>13</v>
      </c>
      <c r="E1184">
        <v>70</v>
      </c>
      <c r="F1184">
        <v>1.0829999999999999E-2</v>
      </c>
      <c r="G1184">
        <v>0</v>
      </c>
      <c r="H1184" t="str">
        <f t="shared" si="54"/>
        <v>70-79</v>
      </c>
      <c r="I1184" t="str">
        <f t="shared" si="55"/>
        <v>10-19</v>
      </c>
      <c r="J1184">
        <f t="shared" si="56"/>
        <v>1.0829999999999999E-2</v>
      </c>
    </row>
    <row r="1185" spans="1:10">
      <c r="A1185" t="s">
        <v>1267</v>
      </c>
      <c r="B1185">
        <v>39</v>
      </c>
      <c r="C1185" t="s">
        <v>7</v>
      </c>
      <c r="D1185">
        <v>7</v>
      </c>
      <c r="E1185">
        <v>45</v>
      </c>
      <c r="F1185">
        <v>8.4999999999999995E-4</v>
      </c>
      <c r="G1185">
        <v>0</v>
      </c>
      <c r="H1185" t="str">
        <f t="shared" si="54"/>
        <v>40-49</v>
      </c>
      <c r="I1185" t="str">
        <f t="shared" si="55"/>
        <v>0-9</v>
      </c>
      <c r="J1185">
        <f t="shared" si="56"/>
        <v>8.4999999999999995E-4</v>
      </c>
    </row>
    <row r="1186" spans="1:10">
      <c r="A1186" t="s">
        <v>1268</v>
      </c>
      <c r="B1186">
        <v>42</v>
      </c>
      <c r="C1186" t="s">
        <v>9</v>
      </c>
      <c r="D1186">
        <v>7</v>
      </c>
      <c r="E1186">
        <v>48</v>
      </c>
      <c r="F1186">
        <v>1.5200000000000001E-3</v>
      </c>
      <c r="G1186">
        <v>0</v>
      </c>
      <c r="H1186" t="str">
        <f t="shared" si="54"/>
        <v>40-49</v>
      </c>
      <c r="I1186" t="str">
        <f t="shared" si="55"/>
        <v>0-9</v>
      </c>
      <c r="J1186">
        <f t="shared" si="56"/>
        <v>1.5200000000000001E-3</v>
      </c>
    </row>
    <row r="1187" spans="1:10">
      <c r="A1187" t="s">
        <v>1269</v>
      </c>
      <c r="B1187">
        <v>52</v>
      </c>
      <c r="C1187" t="s">
        <v>9</v>
      </c>
      <c r="D1187">
        <v>5</v>
      </c>
      <c r="E1187">
        <v>56</v>
      </c>
      <c r="F1187">
        <v>3.2100000000000002E-3</v>
      </c>
      <c r="G1187">
        <v>0</v>
      </c>
      <c r="H1187" t="str">
        <f t="shared" si="54"/>
        <v>50-59</v>
      </c>
      <c r="I1187" t="str">
        <f t="shared" si="55"/>
        <v>0-9</v>
      </c>
      <c r="J1187">
        <f t="shared" si="56"/>
        <v>3.2100000000000002E-3</v>
      </c>
    </row>
    <row r="1188" spans="1:10">
      <c r="A1188" t="s">
        <v>1270</v>
      </c>
      <c r="B1188">
        <v>36</v>
      </c>
      <c r="C1188" t="s">
        <v>9</v>
      </c>
      <c r="D1188">
        <v>7</v>
      </c>
      <c r="E1188">
        <v>42</v>
      </c>
      <c r="F1188">
        <v>9.5E-4</v>
      </c>
      <c r="G1188">
        <v>0</v>
      </c>
      <c r="H1188" t="str">
        <f t="shared" si="54"/>
        <v>40-49</v>
      </c>
      <c r="I1188" t="str">
        <f t="shared" si="55"/>
        <v>0-9</v>
      </c>
      <c r="J1188">
        <f t="shared" si="56"/>
        <v>9.5E-4</v>
      </c>
    </row>
    <row r="1189" spans="1:10">
      <c r="A1189" t="s">
        <v>1271</v>
      </c>
      <c r="B1189">
        <v>56</v>
      </c>
      <c r="C1189" t="s">
        <v>9</v>
      </c>
      <c r="D1189">
        <v>28</v>
      </c>
      <c r="E1189">
        <v>83</v>
      </c>
      <c r="F1189">
        <v>5.6829999999999999E-2</v>
      </c>
      <c r="G1189">
        <v>0</v>
      </c>
      <c r="H1189" t="str">
        <f t="shared" si="54"/>
        <v>80-89</v>
      </c>
      <c r="I1189" t="str">
        <f t="shared" si="55"/>
        <v>20-29</v>
      </c>
      <c r="J1189">
        <f t="shared" si="56"/>
        <v>5.6829999999999999E-2</v>
      </c>
    </row>
    <row r="1190" spans="1:10">
      <c r="A1190" t="s">
        <v>1272</v>
      </c>
      <c r="B1190">
        <v>55</v>
      </c>
      <c r="C1190" t="s">
        <v>7</v>
      </c>
      <c r="D1190">
        <v>15</v>
      </c>
      <c r="E1190">
        <v>69</v>
      </c>
      <c r="F1190">
        <v>1.1010000000000001E-2</v>
      </c>
      <c r="G1190">
        <v>0</v>
      </c>
      <c r="H1190" t="str">
        <f t="shared" si="54"/>
        <v>60-69</v>
      </c>
      <c r="I1190" t="str">
        <f t="shared" si="55"/>
        <v>10-19</v>
      </c>
      <c r="J1190">
        <f t="shared" si="56"/>
        <v>1.1010000000000001E-2</v>
      </c>
    </row>
    <row r="1191" spans="1:10">
      <c r="A1191" t="s">
        <v>1273</v>
      </c>
      <c r="B1191">
        <v>62</v>
      </c>
      <c r="C1191" t="s">
        <v>9</v>
      </c>
      <c r="D1191">
        <v>3</v>
      </c>
      <c r="E1191">
        <v>64</v>
      </c>
      <c r="F1191">
        <v>5.1900000000000002E-3</v>
      </c>
      <c r="G1191">
        <v>0</v>
      </c>
      <c r="H1191" t="str">
        <f t="shared" si="54"/>
        <v>60-69</v>
      </c>
      <c r="I1191" t="str">
        <f t="shared" si="55"/>
        <v>0-9</v>
      </c>
      <c r="J1191">
        <f t="shared" si="56"/>
        <v>5.1900000000000002E-3</v>
      </c>
    </row>
    <row r="1192" spans="1:10">
      <c r="A1192" t="s">
        <v>1274</v>
      </c>
      <c r="B1192">
        <v>57</v>
      </c>
      <c r="C1192" t="s">
        <v>7</v>
      </c>
      <c r="D1192">
        <v>16</v>
      </c>
      <c r="E1192">
        <v>72</v>
      </c>
      <c r="F1192">
        <v>1.5219999999999999E-2</v>
      </c>
      <c r="G1192">
        <v>0</v>
      </c>
      <c r="H1192" t="str">
        <f t="shared" si="54"/>
        <v>70-79</v>
      </c>
      <c r="I1192" t="str">
        <f t="shared" si="55"/>
        <v>10-19</v>
      </c>
      <c r="J1192">
        <f t="shared" si="56"/>
        <v>1.5219999999999999E-2</v>
      </c>
    </row>
    <row r="1193" spans="1:10">
      <c r="A1193" t="s">
        <v>1275</v>
      </c>
      <c r="B1193">
        <v>62</v>
      </c>
      <c r="C1193" t="s">
        <v>9</v>
      </c>
      <c r="D1193">
        <v>21</v>
      </c>
      <c r="E1193">
        <v>82</v>
      </c>
      <c r="F1193">
        <v>6.3329999999999997E-2</v>
      </c>
      <c r="G1193">
        <v>0</v>
      </c>
      <c r="H1193" t="str">
        <f t="shared" si="54"/>
        <v>80-89</v>
      </c>
      <c r="I1193" t="str">
        <f t="shared" si="55"/>
        <v>20-29</v>
      </c>
      <c r="J1193">
        <f t="shared" si="56"/>
        <v>6.3329999999999997E-2</v>
      </c>
    </row>
    <row r="1194" spans="1:10">
      <c r="A1194" t="s">
        <v>1276</v>
      </c>
      <c r="B1194">
        <v>24</v>
      </c>
      <c r="C1194" t="s">
        <v>9</v>
      </c>
      <c r="D1194">
        <v>29</v>
      </c>
      <c r="E1194">
        <v>52</v>
      </c>
      <c r="F1194">
        <v>2.81E-3</v>
      </c>
      <c r="G1194">
        <v>0</v>
      </c>
      <c r="H1194" t="str">
        <f t="shared" si="54"/>
        <v>50-59</v>
      </c>
      <c r="I1194" t="str">
        <f t="shared" si="55"/>
        <v>20-29</v>
      </c>
      <c r="J1194">
        <f t="shared" si="56"/>
        <v>2.81E-3</v>
      </c>
    </row>
    <row r="1195" spans="1:10">
      <c r="A1195" t="s">
        <v>1277</v>
      </c>
      <c r="B1195">
        <v>41</v>
      </c>
      <c r="C1195" t="s">
        <v>7</v>
      </c>
      <c r="D1195">
        <v>20</v>
      </c>
      <c r="E1195">
        <v>60</v>
      </c>
      <c r="F1195">
        <v>4.8799999999999998E-3</v>
      </c>
      <c r="G1195">
        <v>0</v>
      </c>
      <c r="H1195" t="str">
        <f t="shared" si="54"/>
        <v>60-69</v>
      </c>
      <c r="I1195" t="str">
        <f t="shared" si="55"/>
        <v>20-29</v>
      </c>
      <c r="J1195">
        <f t="shared" si="56"/>
        <v>4.8799999999999998E-3</v>
      </c>
    </row>
    <row r="1196" spans="1:10">
      <c r="A1196" t="s">
        <v>1278</v>
      </c>
      <c r="B1196">
        <v>29</v>
      </c>
      <c r="C1196" t="s">
        <v>7</v>
      </c>
      <c r="D1196">
        <v>19</v>
      </c>
      <c r="E1196">
        <v>47</v>
      </c>
      <c r="F1196">
        <v>1.5200000000000001E-3</v>
      </c>
      <c r="G1196">
        <v>0</v>
      </c>
      <c r="H1196" t="str">
        <f t="shared" si="54"/>
        <v>40-49</v>
      </c>
      <c r="I1196" t="str">
        <f t="shared" si="55"/>
        <v>10-19</v>
      </c>
      <c r="J1196">
        <f t="shared" si="56"/>
        <v>1.5200000000000001E-3</v>
      </c>
    </row>
    <row r="1197" spans="1:10">
      <c r="A1197" t="s">
        <v>1279</v>
      </c>
      <c r="B1197">
        <v>47</v>
      </c>
      <c r="C1197" t="s">
        <v>9</v>
      </c>
      <c r="D1197">
        <v>6</v>
      </c>
      <c r="E1197">
        <v>52</v>
      </c>
      <c r="F1197">
        <v>2.16E-3</v>
      </c>
      <c r="G1197">
        <v>0</v>
      </c>
      <c r="H1197" t="str">
        <f t="shared" si="54"/>
        <v>50-59</v>
      </c>
      <c r="I1197" t="str">
        <f t="shared" si="55"/>
        <v>0-9</v>
      </c>
      <c r="J1197">
        <f t="shared" si="56"/>
        <v>2.16E-3</v>
      </c>
    </row>
    <row r="1198" spans="1:10">
      <c r="A1198" t="s">
        <v>1280</v>
      </c>
      <c r="B1198">
        <v>34</v>
      </c>
      <c r="C1198" t="s">
        <v>7</v>
      </c>
      <c r="D1198">
        <v>23</v>
      </c>
      <c r="E1198">
        <v>56</v>
      </c>
      <c r="F1198">
        <v>3.3700000000000002E-3</v>
      </c>
      <c r="G1198">
        <v>0</v>
      </c>
      <c r="H1198" t="str">
        <f t="shared" si="54"/>
        <v>50-59</v>
      </c>
      <c r="I1198" t="str">
        <f t="shared" si="55"/>
        <v>20-29</v>
      </c>
      <c r="J1198">
        <f t="shared" si="56"/>
        <v>3.3700000000000002E-3</v>
      </c>
    </row>
    <row r="1199" spans="1:10">
      <c r="A1199" t="s">
        <v>1281</v>
      </c>
      <c r="B1199">
        <v>43</v>
      </c>
      <c r="C1199" t="s">
        <v>7</v>
      </c>
      <c r="D1199">
        <v>5</v>
      </c>
      <c r="E1199">
        <v>47</v>
      </c>
      <c r="F1199">
        <v>9.5E-4</v>
      </c>
      <c r="G1199">
        <v>0</v>
      </c>
      <c r="H1199" t="str">
        <f t="shared" si="54"/>
        <v>40-49</v>
      </c>
      <c r="I1199" t="str">
        <f t="shared" si="55"/>
        <v>0-9</v>
      </c>
      <c r="J1199">
        <f t="shared" si="56"/>
        <v>9.5E-4</v>
      </c>
    </row>
    <row r="1200" spans="1:10">
      <c r="A1200" t="s">
        <v>1282</v>
      </c>
      <c r="B1200">
        <v>50</v>
      </c>
      <c r="C1200" t="s">
        <v>9</v>
      </c>
      <c r="D1200">
        <v>15</v>
      </c>
      <c r="E1200">
        <v>64</v>
      </c>
      <c r="F1200">
        <v>9.11E-3</v>
      </c>
      <c r="G1200">
        <v>0</v>
      </c>
      <c r="H1200" t="str">
        <f t="shared" si="54"/>
        <v>60-69</v>
      </c>
      <c r="I1200" t="str">
        <f t="shared" si="55"/>
        <v>10-19</v>
      </c>
      <c r="J1200">
        <f t="shared" si="56"/>
        <v>9.11E-3</v>
      </c>
    </row>
    <row r="1201" spans="1:10">
      <c r="A1201" t="s">
        <v>1283</v>
      </c>
      <c r="B1201">
        <v>51</v>
      </c>
      <c r="C1201" t="s">
        <v>9</v>
      </c>
      <c r="D1201">
        <v>18</v>
      </c>
      <c r="E1201">
        <v>68</v>
      </c>
      <c r="F1201">
        <v>1.3690000000000001E-2</v>
      </c>
      <c r="G1201">
        <v>0</v>
      </c>
      <c r="H1201" t="str">
        <f t="shared" si="54"/>
        <v>60-69</v>
      </c>
      <c r="I1201" t="str">
        <f t="shared" si="55"/>
        <v>10-19</v>
      </c>
      <c r="J1201">
        <f t="shared" si="56"/>
        <v>1.3690000000000001E-2</v>
      </c>
    </row>
    <row r="1202" spans="1:10">
      <c r="A1202" t="s">
        <v>1284</v>
      </c>
      <c r="B1202">
        <v>25</v>
      </c>
      <c r="C1202" t="s">
        <v>9</v>
      </c>
      <c r="D1202">
        <v>27</v>
      </c>
      <c r="E1202">
        <v>51</v>
      </c>
      <c r="F1202">
        <v>2.9299999999999999E-3</v>
      </c>
      <c r="G1202">
        <v>0</v>
      </c>
      <c r="H1202" t="str">
        <f t="shared" si="54"/>
        <v>50-59</v>
      </c>
      <c r="I1202" t="str">
        <f t="shared" si="55"/>
        <v>20-29</v>
      </c>
      <c r="J1202">
        <f t="shared" si="56"/>
        <v>2.9299999999999999E-3</v>
      </c>
    </row>
    <row r="1203" spans="1:10">
      <c r="A1203" t="s">
        <v>1285</v>
      </c>
      <c r="B1203">
        <v>54</v>
      </c>
      <c r="C1203" t="s">
        <v>9</v>
      </c>
      <c r="D1203">
        <v>7</v>
      </c>
      <c r="E1203">
        <v>60</v>
      </c>
      <c r="F1203">
        <v>5.3E-3</v>
      </c>
      <c r="G1203">
        <v>0</v>
      </c>
      <c r="H1203" t="str">
        <f t="shared" si="54"/>
        <v>60-69</v>
      </c>
      <c r="I1203" t="str">
        <f t="shared" si="55"/>
        <v>0-9</v>
      </c>
      <c r="J1203">
        <f t="shared" si="56"/>
        <v>5.3E-3</v>
      </c>
    </row>
    <row r="1204" spans="1:10">
      <c r="A1204" t="s">
        <v>1286</v>
      </c>
      <c r="B1204">
        <v>24</v>
      </c>
      <c r="C1204" t="s">
        <v>9</v>
      </c>
      <c r="D1204">
        <v>24</v>
      </c>
      <c r="E1204">
        <v>47</v>
      </c>
      <c r="F1204">
        <v>2.3600000000000001E-3</v>
      </c>
      <c r="G1204">
        <v>0</v>
      </c>
      <c r="H1204" t="str">
        <f t="shared" si="54"/>
        <v>40-49</v>
      </c>
      <c r="I1204" t="str">
        <f t="shared" si="55"/>
        <v>20-29</v>
      </c>
      <c r="J1204">
        <f t="shared" si="56"/>
        <v>2.3600000000000001E-3</v>
      </c>
    </row>
    <row r="1205" spans="1:10">
      <c r="A1205" t="s">
        <v>1287</v>
      </c>
      <c r="B1205">
        <v>52</v>
      </c>
      <c r="C1205" t="s">
        <v>9</v>
      </c>
      <c r="D1205">
        <v>21</v>
      </c>
      <c r="E1205">
        <v>72</v>
      </c>
      <c r="F1205">
        <v>2.1329999999999998E-2</v>
      </c>
      <c r="G1205">
        <v>0</v>
      </c>
      <c r="H1205" t="str">
        <f t="shared" si="54"/>
        <v>70-79</v>
      </c>
      <c r="I1205" t="str">
        <f t="shared" si="55"/>
        <v>20-29</v>
      </c>
      <c r="J1205">
        <f t="shared" si="56"/>
        <v>2.1329999999999998E-2</v>
      </c>
    </row>
    <row r="1206" spans="1:10">
      <c r="A1206" t="s">
        <v>1288</v>
      </c>
      <c r="B1206">
        <v>45</v>
      </c>
      <c r="C1206" t="s">
        <v>7</v>
      </c>
      <c r="D1206">
        <v>25</v>
      </c>
      <c r="E1206">
        <v>69</v>
      </c>
      <c r="F1206">
        <v>1.2659999999999999E-2</v>
      </c>
      <c r="G1206">
        <v>0</v>
      </c>
      <c r="H1206" t="str">
        <f t="shared" si="54"/>
        <v>60-69</v>
      </c>
      <c r="I1206" t="str">
        <f t="shared" si="55"/>
        <v>20-29</v>
      </c>
      <c r="J1206">
        <f t="shared" si="56"/>
        <v>1.2659999999999999E-2</v>
      </c>
    </row>
    <row r="1207" spans="1:10">
      <c r="A1207" t="s">
        <v>1289</v>
      </c>
      <c r="B1207">
        <v>55</v>
      </c>
      <c r="C1207" t="s">
        <v>7</v>
      </c>
      <c r="D1207">
        <v>9</v>
      </c>
      <c r="E1207">
        <v>63</v>
      </c>
      <c r="F1207">
        <v>5.11E-3</v>
      </c>
      <c r="G1207">
        <v>0</v>
      </c>
      <c r="H1207" t="str">
        <f t="shared" si="54"/>
        <v>60-69</v>
      </c>
      <c r="I1207" t="str">
        <f t="shared" si="55"/>
        <v>0-9</v>
      </c>
      <c r="J1207">
        <f t="shared" si="56"/>
        <v>5.11E-3</v>
      </c>
    </row>
    <row r="1208" spans="1:10">
      <c r="A1208" t="s">
        <v>1290</v>
      </c>
      <c r="B1208">
        <v>50</v>
      </c>
      <c r="C1208" t="s">
        <v>7</v>
      </c>
      <c r="D1208">
        <v>21</v>
      </c>
      <c r="E1208">
        <v>70</v>
      </c>
      <c r="F1208">
        <v>1.404E-2</v>
      </c>
      <c r="G1208">
        <v>0</v>
      </c>
      <c r="H1208" t="str">
        <f t="shared" si="54"/>
        <v>70-79</v>
      </c>
      <c r="I1208" t="str">
        <f t="shared" si="55"/>
        <v>20-29</v>
      </c>
      <c r="J1208">
        <f t="shared" si="56"/>
        <v>1.404E-2</v>
      </c>
    </row>
    <row r="1209" spans="1:10">
      <c r="A1209" t="s">
        <v>1291</v>
      </c>
      <c r="B1209">
        <v>34</v>
      </c>
      <c r="C1209" t="s">
        <v>7</v>
      </c>
      <c r="D1209">
        <v>29</v>
      </c>
      <c r="E1209">
        <v>62</v>
      </c>
      <c r="F1209">
        <v>4.4600000000000004E-3</v>
      </c>
      <c r="G1209">
        <v>0</v>
      </c>
      <c r="H1209" t="str">
        <f t="shared" si="54"/>
        <v>60-69</v>
      </c>
      <c r="I1209" t="str">
        <f t="shared" si="55"/>
        <v>20-29</v>
      </c>
      <c r="J1209">
        <f t="shared" si="56"/>
        <v>4.4600000000000004E-3</v>
      </c>
    </row>
    <row r="1210" spans="1:10">
      <c r="A1210" t="s">
        <v>1292</v>
      </c>
      <c r="B1210">
        <v>38</v>
      </c>
      <c r="C1210" t="s">
        <v>9</v>
      </c>
      <c r="D1210">
        <v>5</v>
      </c>
      <c r="E1210">
        <v>42</v>
      </c>
      <c r="F1210">
        <v>8.5999999999999998E-4</v>
      </c>
      <c r="G1210">
        <v>0</v>
      </c>
      <c r="H1210" t="str">
        <f t="shared" si="54"/>
        <v>40-49</v>
      </c>
      <c r="I1210" t="str">
        <f t="shared" si="55"/>
        <v>0-9</v>
      </c>
      <c r="J1210">
        <f t="shared" si="56"/>
        <v>8.5999999999999998E-4</v>
      </c>
    </row>
    <row r="1211" spans="1:10">
      <c r="A1211" t="s">
        <v>1293</v>
      </c>
      <c r="B1211">
        <v>45</v>
      </c>
      <c r="C1211" t="s">
        <v>7</v>
      </c>
      <c r="D1211">
        <v>12</v>
      </c>
      <c r="E1211">
        <v>56</v>
      </c>
      <c r="F1211">
        <v>2.82E-3</v>
      </c>
      <c r="G1211">
        <v>0</v>
      </c>
      <c r="H1211" t="str">
        <f t="shared" si="54"/>
        <v>50-59</v>
      </c>
      <c r="I1211" t="str">
        <f t="shared" si="55"/>
        <v>10-19</v>
      </c>
      <c r="J1211">
        <f t="shared" si="56"/>
        <v>2.82E-3</v>
      </c>
    </row>
    <row r="1212" spans="1:10">
      <c r="A1212" t="s">
        <v>1294</v>
      </c>
      <c r="B1212">
        <v>59</v>
      </c>
      <c r="C1212" t="s">
        <v>9</v>
      </c>
      <c r="D1212">
        <v>22</v>
      </c>
      <c r="E1212">
        <v>80</v>
      </c>
      <c r="F1212">
        <v>5.0909999999999997E-2</v>
      </c>
      <c r="G1212">
        <v>0</v>
      </c>
      <c r="H1212" t="str">
        <f t="shared" si="54"/>
        <v>80-89</v>
      </c>
      <c r="I1212" t="str">
        <f t="shared" si="55"/>
        <v>20-29</v>
      </c>
      <c r="J1212">
        <f t="shared" si="56"/>
        <v>5.0909999999999997E-2</v>
      </c>
    </row>
    <row r="1213" spans="1:10">
      <c r="A1213" t="s">
        <v>1295</v>
      </c>
      <c r="B1213">
        <v>48</v>
      </c>
      <c r="C1213" t="s">
        <v>9</v>
      </c>
      <c r="D1213">
        <v>6</v>
      </c>
      <c r="E1213">
        <v>53</v>
      </c>
      <c r="F1213">
        <v>2.4199999999999998E-3</v>
      </c>
      <c r="G1213">
        <v>0</v>
      </c>
      <c r="H1213" t="str">
        <f t="shared" si="54"/>
        <v>50-59</v>
      </c>
      <c r="I1213" t="str">
        <f t="shared" si="55"/>
        <v>0-9</v>
      </c>
      <c r="J1213">
        <f t="shared" si="56"/>
        <v>2.4199999999999998E-3</v>
      </c>
    </row>
    <row r="1214" spans="1:10">
      <c r="A1214" t="s">
        <v>1296</v>
      </c>
      <c r="B1214">
        <v>62</v>
      </c>
      <c r="C1214" t="s">
        <v>7</v>
      </c>
      <c r="D1214">
        <v>28</v>
      </c>
      <c r="E1214">
        <v>89</v>
      </c>
      <c r="F1214">
        <v>9.3240000000000003E-2</v>
      </c>
      <c r="G1214">
        <v>0</v>
      </c>
      <c r="H1214" t="str">
        <f t="shared" si="54"/>
        <v>80-89</v>
      </c>
      <c r="I1214" t="str">
        <f t="shared" si="55"/>
        <v>20-29</v>
      </c>
      <c r="J1214">
        <f t="shared" si="56"/>
        <v>9.3240000000000003E-2</v>
      </c>
    </row>
    <row r="1215" spans="1:10">
      <c r="A1215" t="s">
        <v>1297</v>
      </c>
      <c r="B1215">
        <v>50</v>
      </c>
      <c r="C1215" t="s">
        <v>9</v>
      </c>
      <c r="D1215">
        <v>12</v>
      </c>
      <c r="E1215">
        <v>61</v>
      </c>
      <c r="F1215">
        <v>6.5500000000000003E-3</v>
      </c>
      <c r="G1215">
        <v>0</v>
      </c>
      <c r="H1215" t="str">
        <f t="shared" si="54"/>
        <v>60-69</v>
      </c>
      <c r="I1215" t="str">
        <f t="shared" si="55"/>
        <v>10-19</v>
      </c>
      <c r="J1215">
        <f t="shared" si="56"/>
        <v>6.5500000000000003E-3</v>
      </c>
    </row>
    <row r="1216" spans="1:10">
      <c r="A1216" t="s">
        <v>1298</v>
      </c>
      <c r="B1216">
        <v>34</v>
      </c>
      <c r="C1216" t="s">
        <v>9</v>
      </c>
      <c r="D1216">
        <v>3</v>
      </c>
      <c r="E1216">
        <v>36</v>
      </c>
      <c r="F1216">
        <v>4.6999999999999999E-4</v>
      </c>
      <c r="G1216">
        <v>0</v>
      </c>
      <c r="H1216" t="str">
        <f t="shared" si="54"/>
        <v>30-39</v>
      </c>
      <c r="I1216" t="str">
        <f t="shared" si="55"/>
        <v>0-9</v>
      </c>
      <c r="J1216">
        <f t="shared" si="56"/>
        <v>4.6999999999999999E-4</v>
      </c>
    </row>
    <row r="1217" spans="1:10">
      <c r="A1217" t="s">
        <v>1299</v>
      </c>
      <c r="B1217">
        <v>62</v>
      </c>
      <c r="C1217" t="s">
        <v>7</v>
      </c>
      <c r="D1217">
        <v>7</v>
      </c>
      <c r="E1217">
        <v>68</v>
      </c>
      <c r="F1217">
        <v>7.0200000000000002E-3</v>
      </c>
      <c r="G1217">
        <v>0</v>
      </c>
      <c r="H1217" t="str">
        <f t="shared" si="54"/>
        <v>60-69</v>
      </c>
      <c r="I1217" t="str">
        <f t="shared" si="55"/>
        <v>0-9</v>
      </c>
      <c r="J1217">
        <f t="shared" si="56"/>
        <v>7.0200000000000002E-3</v>
      </c>
    </row>
    <row r="1218" spans="1:10">
      <c r="A1218" t="s">
        <v>1300</v>
      </c>
      <c r="B1218">
        <v>44</v>
      </c>
      <c r="C1218" t="s">
        <v>7</v>
      </c>
      <c r="D1218">
        <v>16</v>
      </c>
      <c r="E1218">
        <v>59</v>
      </c>
      <c r="F1218">
        <v>4.1700000000000001E-3</v>
      </c>
      <c r="G1218">
        <v>0</v>
      </c>
      <c r="H1218" t="str">
        <f t="shared" si="54"/>
        <v>50-59</v>
      </c>
      <c r="I1218" t="str">
        <f t="shared" si="55"/>
        <v>10-19</v>
      </c>
      <c r="J1218">
        <f t="shared" si="56"/>
        <v>4.1700000000000001E-3</v>
      </c>
    </row>
    <row r="1219" spans="1:10">
      <c r="A1219" t="s">
        <v>1301</v>
      </c>
      <c r="B1219">
        <v>22</v>
      </c>
      <c r="C1219" t="s">
        <v>9</v>
      </c>
      <c r="D1219">
        <v>21</v>
      </c>
      <c r="E1219">
        <v>42</v>
      </c>
      <c r="F1219">
        <v>1.91E-3</v>
      </c>
      <c r="G1219">
        <v>0</v>
      </c>
      <c r="H1219" t="str">
        <f t="shared" ref="H1219:H1282" si="57">FLOOR(E1219,10) &amp; "-" &amp; FLOOR(E1219,10)+9</f>
        <v>40-49</v>
      </c>
      <c r="I1219" t="str">
        <f t="shared" ref="I1219:I1282" si="58">FLOOR(D1219, 10) &amp; "-"&amp;FLOOR(D1219, 10)+9</f>
        <v>20-29</v>
      </c>
      <c r="J1219">
        <f t="shared" ref="J1219:J1282" si="59">F1219</f>
        <v>1.91E-3</v>
      </c>
    </row>
    <row r="1220" spans="1:10">
      <c r="A1220" t="s">
        <v>1302</v>
      </c>
      <c r="B1220">
        <v>53</v>
      </c>
      <c r="C1220" t="s">
        <v>7</v>
      </c>
      <c r="D1220">
        <v>21</v>
      </c>
      <c r="E1220">
        <v>73</v>
      </c>
      <c r="F1220">
        <v>1.8970000000000001E-2</v>
      </c>
      <c r="G1220">
        <v>0</v>
      </c>
      <c r="H1220" t="str">
        <f t="shared" si="57"/>
        <v>70-79</v>
      </c>
      <c r="I1220" t="str">
        <f t="shared" si="58"/>
        <v>20-29</v>
      </c>
      <c r="J1220">
        <f t="shared" si="59"/>
        <v>1.8970000000000001E-2</v>
      </c>
    </row>
    <row r="1221" spans="1:10">
      <c r="A1221" t="s">
        <v>1303</v>
      </c>
      <c r="B1221">
        <v>36</v>
      </c>
      <c r="C1221" t="s">
        <v>7</v>
      </c>
      <c r="D1221">
        <v>19</v>
      </c>
      <c r="E1221">
        <v>54</v>
      </c>
      <c r="F1221">
        <v>2.6800000000000001E-3</v>
      </c>
      <c r="G1221">
        <v>0</v>
      </c>
      <c r="H1221" t="str">
        <f t="shared" si="57"/>
        <v>50-59</v>
      </c>
      <c r="I1221" t="str">
        <f t="shared" si="58"/>
        <v>10-19</v>
      </c>
      <c r="J1221">
        <f t="shared" si="59"/>
        <v>2.6800000000000001E-3</v>
      </c>
    </row>
    <row r="1222" spans="1:10">
      <c r="A1222" t="s">
        <v>1304</v>
      </c>
      <c r="B1222">
        <v>61</v>
      </c>
      <c r="C1222" t="s">
        <v>9</v>
      </c>
      <c r="D1222">
        <v>13</v>
      </c>
      <c r="E1222">
        <v>73</v>
      </c>
      <c r="F1222">
        <v>2.2499999999999999E-2</v>
      </c>
      <c r="G1222">
        <v>0</v>
      </c>
      <c r="H1222" t="str">
        <f t="shared" si="57"/>
        <v>70-79</v>
      </c>
      <c r="I1222" t="str">
        <f t="shared" si="58"/>
        <v>10-19</v>
      </c>
      <c r="J1222">
        <f t="shared" si="59"/>
        <v>2.2499999999999999E-2</v>
      </c>
    </row>
    <row r="1223" spans="1:10">
      <c r="A1223" t="s">
        <v>1305</v>
      </c>
      <c r="B1223">
        <v>24</v>
      </c>
      <c r="C1223" t="s">
        <v>9</v>
      </c>
      <c r="D1223">
        <v>17</v>
      </c>
      <c r="E1223">
        <v>40</v>
      </c>
      <c r="F1223">
        <v>1.3600000000000001E-3</v>
      </c>
      <c r="G1223">
        <v>0</v>
      </c>
      <c r="H1223" t="str">
        <f t="shared" si="57"/>
        <v>40-49</v>
      </c>
      <c r="I1223" t="str">
        <f t="shared" si="58"/>
        <v>10-19</v>
      </c>
      <c r="J1223">
        <f t="shared" si="59"/>
        <v>1.3600000000000001E-3</v>
      </c>
    </row>
    <row r="1224" spans="1:10">
      <c r="A1224" t="s">
        <v>1306</v>
      </c>
      <c r="B1224">
        <v>34</v>
      </c>
      <c r="C1224" t="s">
        <v>9</v>
      </c>
      <c r="D1224">
        <v>17</v>
      </c>
      <c r="E1224">
        <v>50</v>
      </c>
      <c r="F1224">
        <v>2.4599999999999999E-3</v>
      </c>
      <c r="G1224">
        <v>0</v>
      </c>
      <c r="H1224" t="str">
        <f t="shared" si="57"/>
        <v>50-59</v>
      </c>
      <c r="I1224" t="str">
        <f t="shared" si="58"/>
        <v>10-19</v>
      </c>
      <c r="J1224">
        <f t="shared" si="59"/>
        <v>2.4599999999999999E-3</v>
      </c>
    </row>
    <row r="1225" spans="1:10">
      <c r="A1225" t="s">
        <v>1307</v>
      </c>
      <c r="B1225">
        <v>42</v>
      </c>
      <c r="C1225" t="s">
        <v>7</v>
      </c>
      <c r="D1225">
        <v>16</v>
      </c>
      <c r="E1225">
        <v>57</v>
      </c>
      <c r="F1225">
        <v>3.4099999999999998E-3</v>
      </c>
      <c r="G1225">
        <v>0</v>
      </c>
      <c r="H1225" t="str">
        <f t="shared" si="57"/>
        <v>50-59</v>
      </c>
      <c r="I1225" t="str">
        <f t="shared" si="58"/>
        <v>10-19</v>
      </c>
      <c r="J1225">
        <f t="shared" si="59"/>
        <v>3.4099999999999998E-3</v>
      </c>
    </row>
    <row r="1226" spans="1:10">
      <c r="A1226" t="s">
        <v>1308</v>
      </c>
      <c r="B1226">
        <v>20</v>
      </c>
      <c r="C1226" t="s">
        <v>7</v>
      </c>
      <c r="D1226">
        <v>17</v>
      </c>
      <c r="E1226">
        <v>36</v>
      </c>
      <c r="F1226">
        <v>7.7999999999999999E-4</v>
      </c>
      <c r="G1226">
        <v>0</v>
      </c>
      <c r="H1226" t="str">
        <f t="shared" si="57"/>
        <v>30-39</v>
      </c>
      <c r="I1226" t="str">
        <f t="shared" si="58"/>
        <v>10-19</v>
      </c>
      <c r="J1226">
        <f t="shared" si="59"/>
        <v>7.7999999999999999E-4</v>
      </c>
    </row>
    <row r="1227" spans="1:10">
      <c r="A1227" t="s">
        <v>1309</v>
      </c>
      <c r="B1227">
        <v>34</v>
      </c>
      <c r="C1227" t="s">
        <v>7</v>
      </c>
      <c r="D1227">
        <v>3</v>
      </c>
      <c r="E1227">
        <v>36</v>
      </c>
      <c r="F1227">
        <v>3.1E-4</v>
      </c>
      <c r="G1227">
        <v>0</v>
      </c>
      <c r="H1227" t="str">
        <f t="shared" si="57"/>
        <v>30-39</v>
      </c>
      <c r="I1227" t="str">
        <f t="shared" si="58"/>
        <v>0-9</v>
      </c>
      <c r="J1227">
        <f t="shared" si="59"/>
        <v>3.1E-4</v>
      </c>
    </row>
    <row r="1228" spans="1:10">
      <c r="A1228" t="s">
        <v>1310</v>
      </c>
      <c r="B1228">
        <v>29</v>
      </c>
      <c r="C1228" t="s">
        <v>9</v>
      </c>
      <c r="D1228">
        <v>6</v>
      </c>
      <c r="E1228">
        <v>34</v>
      </c>
      <c r="F1228">
        <v>5.1000000000000004E-4</v>
      </c>
      <c r="G1228">
        <v>0</v>
      </c>
      <c r="H1228" t="str">
        <f t="shared" si="57"/>
        <v>30-39</v>
      </c>
      <c r="I1228" t="str">
        <f t="shared" si="58"/>
        <v>0-9</v>
      </c>
      <c r="J1228">
        <f t="shared" si="59"/>
        <v>5.1000000000000004E-4</v>
      </c>
    </row>
    <row r="1229" spans="1:10">
      <c r="A1229" t="s">
        <v>1311</v>
      </c>
      <c r="B1229">
        <v>27</v>
      </c>
      <c r="C1229" t="s">
        <v>9</v>
      </c>
      <c r="D1229">
        <v>22</v>
      </c>
      <c r="E1229">
        <v>48</v>
      </c>
      <c r="F1229">
        <v>2.2699999999999999E-3</v>
      </c>
      <c r="G1229">
        <v>0</v>
      </c>
      <c r="H1229" t="str">
        <f t="shared" si="57"/>
        <v>40-49</v>
      </c>
      <c r="I1229" t="str">
        <f t="shared" si="58"/>
        <v>20-29</v>
      </c>
      <c r="J1229">
        <f t="shared" si="59"/>
        <v>2.2699999999999999E-3</v>
      </c>
    </row>
    <row r="1230" spans="1:10">
      <c r="A1230" t="s">
        <v>1312</v>
      </c>
      <c r="B1230">
        <v>27</v>
      </c>
      <c r="C1230" t="s">
        <v>7</v>
      </c>
      <c r="D1230">
        <v>16</v>
      </c>
      <c r="E1230">
        <v>42</v>
      </c>
      <c r="F1230">
        <v>1.0499999999999999E-3</v>
      </c>
      <c r="G1230">
        <v>0</v>
      </c>
      <c r="H1230" t="str">
        <f t="shared" si="57"/>
        <v>40-49</v>
      </c>
      <c r="I1230" t="str">
        <f t="shared" si="58"/>
        <v>10-19</v>
      </c>
      <c r="J1230">
        <f t="shared" si="59"/>
        <v>1.0499999999999999E-3</v>
      </c>
    </row>
    <row r="1231" spans="1:10">
      <c r="A1231" t="s">
        <v>1313</v>
      </c>
      <c r="B1231">
        <v>57</v>
      </c>
      <c r="C1231" t="s">
        <v>7</v>
      </c>
      <c r="D1231">
        <v>6</v>
      </c>
      <c r="E1231">
        <v>62</v>
      </c>
      <c r="F1231">
        <v>4.1999999999999997E-3</v>
      </c>
      <c r="G1231">
        <v>0</v>
      </c>
      <c r="H1231" t="str">
        <f t="shared" si="57"/>
        <v>60-69</v>
      </c>
      <c r="I1231" t="str">
        <f t="shared" si="58"/>
        <v>0-9</v>
      </c>
      <c r="J1231">
        <f t="shared" si="59"/>
        <v>4.1999999999999997E-3</v>
      </c>
    </row>
    <row r="1232" spans="1:10">
      <c r="A1232" t="s">
        <v>1314</v>
      </c>
      <c r="B1232">
        <v>35</v>
      </c>
      <c r="C1232" t="s">
        <v>9</v>
      </c>
      <c r="D1232">
        <v>2</v>
      </c>
      <c r="E1232">
        <v>36</v>
      </c>
      <c r="F1232">
        <v>3.4000000000000002E-4</v>
      </c>
      <c r="G1232">
        <v>0</v>
      </c>
      <c r="H1232" t="str">
        <f t="shared" si="57"/>
        <v>30-39</v>
      </c>
      <c r="I1232" t="str">
        <f t="shared" si="58"/>
        <v>0-9</v>
      </c>
      <c r="J1232">
        <f t="shared" si="59"/>
        <v>3.4000000000000002E-4</v>
      </c>
    </row>
    <row r="1233" spans="1:10">
      <c r="A1233" t="s">
        <v>1315</v>
      </c>
      <c r="B1233">
        <v>28</v>
      </c>
      <c r="C1233" t="s">
        <v>7</v>
      </c>
      <c r="D1233">
        <v>21</v>
      </c>
      <c r="E1233">
        <v>48</v>
      </c>
      <c r="F1233">
        <v>1.73E-3</v>
      </c>
      <c r="G1233">
        <v>0</v>
      </c>
      <c r="H1233" t="str">
        <f t="shared" si="57"/>
        <v>40-49</v>
      </c>
      <c r="I1233" t="str">
        <f t="shared" si="58"/>
        <v>20-29</v>
      </c>
      <c r="J1233">
        <f t="shared" si="59"/>
        <v>1.73E-3</v>
      </c>
    </row>
    <row r="1234" spans="1:10">
      <c r="A1234" t="s">
        <v>1316</v>
      </c>
      <c r="B1234">
        <v>29</v>
      </c>
      <c r="C1234" t="s">
        <v>9</v>
      </c>
      <c r="D1234">
        <v>2</v>
      </c>
      <c r="E1234">
        <v>30</v>
      </c>
      <c r="F1234">
        <v>3.1E-4</v>
      </c>
      <c r="G1234">
        <v>0</v>
      </c>
      <c r="H1234" t="str">
        <f t="shared" si="57"/>
        <v>30-39</v>
      </c>
      <c r="I1234" t="str">
        <f t="shared" si="58"/>
        <v>0-9</v>
      </c>
      <c r="J1234">
        <f t="shared" si="59"/>
        <v>3.1E-4</v>
      </c>
    </row>
    <row r="1235" spans="1:10">
      <c r="A1235" t="s">
        <v>1317</v>
      </c>
      <c r="B1235">
        <v>53</v>
      </c>
      <c r="C1235" t="s">
        <v>7</v>
      </c>
      <c r="D1235">
        <v>13</v>
      </c>
      <c r="E1235">
        <v>65</v>
      </c>
      <c r="F1235">
        <v>6.9199999999999999E-3</v>
      </c>
      <c r="G1235">
        <v>0</v>
      </c>
      <c r="H1235" t="str">
        <f t="shared" si="57"/>
        <v>60-69</v>
      </c>
      <c r="I1235" t="str">
        <f t="shared" si="58"/>
        <v>10-19</v>
      </c>
      <c r="J1235">
        <f t="shared" si="59"/>
        <v>6.9199999999999999E-3</v>
      </c>
    </row>
    <row r="1236" spans="1:10">
      <c r="A1236" t="s">
        <v>1318</v>
      </c>
      <c r="B1236">
        <v>21</v>
      </c>
      <c r="C1236" t="s">
        <v>7</v>
      </c>
      <c r="D1236">
        <v>29</v>
      </c>
      <c r="E1236">
        <v>49</v>
      </c>
      <c r="F1236">
        <v>1.49E-3</v>
      </c>
      <c r="G1236">
        <v>0</v>
      </c>
      <c r="H1236" t="str">
        <f t="shared" si="57"/>
        <v>40-49</v>
      </c>
      <c r="I1236" t="str">
        <f t="shared" si="58"/>
        <v>20-29</v>
      </c>
      <c r="J1236">
        <f t="shared" si="59"/>
        <v>1.49E-3</v>
      </c>
    </row>
    <row r="1237" spans="1:10">
      <c r="A1237" t="s">
        <v>1319</v>
      </c>
      <c r="B1237">
        <v>38</v>
      </c>
      <c r="C1237" t="s">
        <v>9</v>
      </c>
      <c r="D1237">
        <v>3</v>
      </c>
      <c r="E1237">
        <v>40</v>
      </c>
      <c r="F1237">
        <v>6.3000000000000003E-4</v>
      </c>
      <c r="G1237">
        <v>0</v>
      </c>
      <c r="H1237" t="str">
        <f t="shared" si="57"/>
        <v>40-49</v>
      </c>
      <c r="I1237" t="str">
        <f t="shared" si="58"/>
        <v>0-9</v>
      </c>
      <c r="J1237">
        <f t="shared" si="59"/>
        <v>6.3000000000000003E-4</v>
      </c>
    </row>
    <row r="1238" spans="1:10">
      <c r="A1238" t="s">
        <v>1320</v>
      </c>
      <c r="B1238">
        <v>50</v>
      </c>
      <c r="C1238" t="s">
        <v>9</v>
      </c>
      <c r="D1238">
        <v>28</v>
      </c>
      <c r="E1238">
        <v>77</v>
      </c>
      <c r="F1238">
        <v>3.006E-2</v>
      </c>
      <c r="G1238">
        <v>0</v>
      </c>
      <c r="H1238" t="str">
        <f t="shared" si="57"/>
        <v>70-79</v>
      </c>
      <c r="I1238" t="str">
        <f t="shared" si="58"/>
        <v>20-29</v>
      </c>
      <c r="J1238">
        <f t="shared" si="59"/>
        <v>3.006E-2</v>
      </c>
    </row>
    <row r="1239" spans="1:10">
      <c r="A1239" t="s">
        <v>1321</v>
      </c>
      <c r="B1239">
        <v>46</v>
      </c>
      <c r="C1239" t="s">
        <v>9</v>
      </c>
      <c r="D1239">
        <v>20</v>
      </c>
      <c r="E1239">
        <v>65</v>
      </c>
      <c r="F1239">
        <v>1.022E-2</v>
      </c>
      <c r="G1239">
        <v>0</v>
      </c>
      <c r="H1239" t="str">
        <f t="shared" si="57"/>
        <v>60-69</v>
      </c>
      <c r="I1239" t="str">
        <f t="shared" si="58"/>
        <v>20-29</v>
      </c>
      <c r="J1239">
        <f t="shared" si="59"/>
        <v>1.022E-2</v>
      </c>
    </row>
    <row r="1240" spans="1:10">
      <c r="A1240" t="s">
        <v>1322</v>
      </c>
      <c r="B1240">
        <v>31</v>
      </c>
      <c r="C1240" t="s">
        <v>7</v>
      </c>
      <c r="D1240">
        <v>20</v>
      </c>
      <c r="E1240">
        <v>50</v>
      </c>
      <c r="F1240">
        <v>1.9599999999999999E-3</v>
      </c>
      <c r="G1240">
        <v>0</v>
      </c>
      <c r="H1240" t="str">
        <f t="shared" si="57"/>
        <v>50-59</v>
      </c>
      <c r="I1240" t="str">
        <f t="shared" si="58"/>
        <v>20-29</v>
      </c>
      <c r="J1240">
        <f t="shared" si="59"/>
        <v>1.9599999999999999E-3</v>
      </c>
    </row>
    <row r="1241" spans="1:10">
      <c r="A1241" t="s">
        <v>1323</v>
      </c>
      <c r="B1241">
        <v>63</v>
      </c>
      <c r="C1241" t="s">
        <v>7</v>
      </c>
      <c r="D1241">
        <v>11</v>
      </c>
      <c r="E1241">
        <v>73</v>
      </c>
      <c r="F1241">
        <v>1.282E-2</v>
      </c>
      <c r="G1241">
        <v>0</v>
      </c>
      <c r="H1241" t="str">
        <f t="shared" si="57"/>
        <v>70-79</v>
      </c>
      <c r="I1241" t="str">
        <f t="shared" si="58"/>
        <v>10-19</v>
      </c>
      <c r="J1241">
        <f t="shared" si="59"/>
        <v>1.282E-2</v>
      </c>
    </row>
    <row r="1242" spans="1:10">
      <c r="A1242" t="s">
        <v>1324</v>
      </c>
      <c r="B1242">
        <v>24</v>
      </c>
      <c r="C1242" t="s">
        <v>9</v>
      </c>
      <c r="D1242">
        <v>8</v>
      </c>
      <c r="E1242">
        <v>31</v>
      </c>
      <c r="F1242">
        <v>5.2999999999999998E-4</v>
      </c>
      <c r="G1242">
        <v>0</v>
      </c>
      <c r="H1242" t="str">
        <f t="shared" si="57"/>
        <v>30-39</v>
      </c>
      <c r="I1242" t="str">
        <f t="shared" si="58"/>
        <v>0-9</v>
      </c>
      <c r="J1242">
        <f t="shared" si="59"/>
        <v>5.2999999999999998E-4</v>
      </c>
    </row>
    <row r="1243" spans="1:10">
      <c r="A1243" t="s">
        <v>1325</v>
      </c>
      <c r="B1243">
        <v>21</v>
      </c>
      <c r="C1243" t="s">
        <v>7</v>
      </c>
      <c r="D1243">
        <v>7</v>
      </c>
      <c r="E1243">
        <v>27</v>
      </c>
      <c r="F1243">
        <v>2.9999999999999997E-4</v>
      </c>
      <c r="G1243">
        <v>0</v>
      </c>
      <c r="H1243" t="str">
        <f t="shared" si="57"/>
        <v>20-29</v>
      </c>
      <c r="I1243" t="str">
        <f t="shared" si="58"/>
        <v>0-9</v>
      </c>
      <c r="J1243">
        <f t="shared" si="59"/>
        <v>2.9999999999999997E-4</v>
      </c>
    </row>
    <row r="1244" spans="1:10">
      <c r="A1244" t="s">
        <v>1326</v>
      </c>
      <c r="B1244">
        <v>63</v>
      </c>
      <c r="C1244" t="s">
        <v>7</v>
      </c>
      <c r="D1244">
        <v>14</v>
      </c>
      <c r="E1244">
        <v>76</v>
      </c>
      <c r="F1244">
        <v>2.12E-2</v>
      </c>
      <c r="G1244">
        <v>0</v>
      </c>
      <c r="H1244" t="str">
        <f t="shared" si="57"/>
        <v>70-79</v>
      </c>
      <c r="I1244" t="str">
        <f t="shared" si="58"/>
        <v>10-19</v>
      </c>
      <c r="J1244">
        <f t="shared" si="59"/>
        <v>2.12E-2</v>
      </c>
    </row>
    <row r="1245" spans="1:10">
      <c r="A1245" t="s">
        <v>1327</v>
      </c>
      <c r="B1245">
        <v>31</v>
      </c>
      <c r="C1245" t="s">
        <v>7</v>
      </c>
      <c r="D1245">
        <v>16</v>
      </c>
      <c r="E1245">
        <v>46</v>
      </c>
      <c r="F1245">
        <v>1.2899999999999999E-3</v>
      </c>
      <c r="G1245">
        <v>0</v>
      </c>
      <c r="H1245" t="str">
        <f t="shared" si="57"/>
        <v>40-49</v>
      </c>
      <c r="I1245" t="str">
        <f t="shared" si="58"/>
        <v>10-19</v>
      </c>
      <c r="J1245">
        <f t="shared" si="59"/>
        <v>1.2899999999999999E-3</v>
      </c>
    </row>
    <row r="1246" spans="1:10">
      <c r="A1246" t="s">
        <v>1328</v>
      </c>
      <c r="B1246">
        <v>54</v>
      </c>
      <c r="C1246" t="s">
        <v>7</v>
      </c>
      <c r="D1246">
        <v>17</v>
      </c>
      <c r="E1246">
        <v>70</v>
      </c>
      <c r="F1246">
        <v>1.2760000000000001E-2</v>
      </c>
      <c r="G1246">
        <v>0</v>
      </c>
      <c r="H1246" t="str">
        <f t="shared" si="57"/>
        <v>70-79</v>
      </c>
      <c r="I1246" t="str">
        <f t="shared" si="58"/>
        <v>10-19</v>
      </c>
      <c r="J1246">
        <f t="shared" si="59"/>
        <v>1.2760000000000001E-2</v>
      </c>
    </row>
    <row r="1247" spans="1:10">
      <c r="A1247" t="s">
        <v>1329</v>
      </c>
      <c r="B1247">
        <v>62</v>
      </c>
      <c r="C1247" t="s">
        <v>7</v>
      </c>
      <c r="D1247">
        <v>5</v>
      </c>
      <c r="E1247">
        <v>66</v>
      </c>
      <c r="F1247">
        <v>5.8500000000000002E-3</v>
      </c>
      <c r="G1247">
        <v>0</v>
      </c>
      <c r="H1247" t="str">
        <f t="shared" si="57"/>
        <v>60-69</v>
      </c>
      <c r="I1247" t="str">
        <f t="shared" si="58"/>
        <v>0-9</v>
      </c>
      <c r="J1247">
        <f t="shared" si="59"/>
        <v>5.8500000000000002E-3</v>
      </c>
    </row>
    <row r="1248" spans="1:10">
      <c r="A1248" t="s">
        <v>1330</v>
      </c>
      <c r="B1248">
        <v>20</v>
      </c>
      <c r="C1248" t="s">
        <v>7</v>
      </c>
      <c r="D1248">
        <v>29</v>
      </c>
      <c r="E1248">
        <v>48</v>
      </c>
      <c r="F1248">
        <v>1.3799999999999999E-3</v>
      </c>
      <c r="G1248">
        <v>0</v>
      </c>
      <c r="H1248" t="str">
        <f t="shared" si="57"/>
        <v>40-49</v>
      </c>
      <c r="I1248" t="str">
        <f t="shared" si="58"/>
        <v>20-29</v>
      </c>
      <c r="J1248">
        <f t="shared" si="59"/>
        <v>1.3799999999999999E-3</v>
      </c>
    </row>
    <row r="1249" spans="1:10">
      <c r="A1249" t="s">
        <v>1331</v>
      </c>
      <c r="B1249">
        <v>47</v>
      </c>
      <c r="C1249" t="s">
        <v>9</v>
      </c>
      <c r="D1249">
        <v>17</v>
      </c>
      <c r="E1249">
        <v>63</v>
      </c>
      <c r="F1249">
        <v>8.4899999999999993E-3</v>
      </c>
      <c r="G1249">
        <v>0</v>
      </c>
      <c r="H1249" t="str">
        <f t="shared" si="57"/>
        <v>60-69</v>
      </c>
      <c r="I1249" t="str">
        <f t="shared" si="58"/>
        <v>10-19</v>
      </c>
      <c r="J1249">
        <f t="shared" si="59"/>
        <v>8.4899999999999993E-3</v>
      </c>
    </row>
    <row r="1250" spans="1:10">
      <c r="A1250" t="s">
        <v>1332</v>
      </c>
      <c r="B1250">
        <v>64</v>
      </c>
      <c r="C1250" t="s">
        <v>9</v>
      </c>
      <c r="D1250">
        <v>17</v>
      </c>
      <c r="E1250">
        <v>80</v>
      </c>
      <c r="F1250">
        <v>4.863E-2</v>
      </c>
      <c r="G1250">
        <v>0</v>
      </c>
      <c r="H1250" t="str">
        <f t="shared" si="57"/>
        <v>80-89</v>
      </c>
      <c r="I1250" t="str">
        <f t="shared" si="58"/>
        <v>10-19</v>
      </c>
      <c r="J1250">
        <f t="shared" si="59"/>
        <v>4.863E-2</v>
      </c>
    </row>
    <row r="1251" spans="1:10">
      <c r="A1251" t="s">
        <v>1333</v>
      </c>
      <c r="B1251">
        <v>50</v>
      </c>
      <c r="C1251" t="s">
        <v>7</v>
      </c>
      <c r="D1251">
        <v>26</v>
      </c>
      <c r="E1251">
        <v>75</v>
      </c>
      <c r="F1251">
        <v>2.325E-2</v>
      </c>
      <c r="G1251">
        <v>0</v>
      </c>
      <c r="H1251" t="str">
        <f t="shared" si="57"/>
        <v>70-79</v>
      </c>
      <c r="I1251" t="str">
        <f t="shared" si="58"/>
        <v>20-29</v>
      </c>
      <c r="J1251">
        <f t="shared" si="59"/>
        <v>2.325E-2</v>
      </c>
    </row>
    <row r="1252" spans="1:10">
      <c r="A1252" t="s">
        <v>1334</v>
      </c>
      <c r="B1252">
        <v>64</v>
      </c>
      <c r="C1252" t="s">
        <v>9</v>
      </c>
      <c r="D1252">
        <v>19</v>
      </c>
      <c r="E1252">
        <v>82</v>
      </c>
      <c r="F1252">
        <v>6.2700000000000006E-2</v>
      </c>
      <c r="G1252">
        <v>0</v>
      </c>
      <c r="H1252" t="str">
        <f t="shared" si="57"/>
        <v>80-89</v>
      </c>
      <c r="I1252" t="str">
        <f t="shared" si="58"/>
        <v>10-19</v>
      </c>
      <c r="J1252">
        <f t="shared" si="59"/>
        <v>6.2700000000000006E-2</v>
      </c>
    </row>
    <row r="1253" spans="1:10">
      <c r="A1253" t="s">
        <v>1335</v>
      </c>
      <c r="B1253">
        <v>50</v>
      </c>
      <c r="C1253" t="s">
        <v>9</v>
      </c>
      <c r="D1253">
        <v>25</v>
      </c>
      <c r="E1253">
        <v>74</v>
      </c>
      <c r="F1253">
        <v>2.6859999999999998E-2</v>
      </c>
      <c r="G1253">
        <v>0</v>
      </c>
      <c r="H1253" t="str">
        <f t="shared" si="57"/>
        <v>70-79</v>
      </c>
      <c r="I1253" t="str">
        <f t="shared" si="58"/>
        <v>20-29</v>
      </c>
      <c r="J1253">
        <f t="shared" si="59"/>
        <v>2.6859999999999998E-2</v>
      </c>
    </row>
    <row r="1254" spans="1:10">
      <c r="A1254" t="s">
        <v>1336</v>
      </c>
      <c r="B1254">
        <v>38</v>
      </c>
      <c r="C1254" t="s">
        <v>7</v>
      </c>
      <c r="D1254">
        <v>20</v>
      </c>
      <c r="E1254">
        <v>57</v>
      </c>
      <c r="F1254">
        <v>3.65E-3</v>
      </c>
      <c r="G1254">
        <v>0</v>
      </c>
      <c r="H1254" t="str">
        <f t="shared" si="57"/>
        <v>50-59</v>
      </c>
      <c r="I1254" t="str">
        <f t="shared" si="58"/>
        <v>20-29</v>
      </c>
      <c r="J1254">
        <f t="shared" si="59"/>
        <v>3.65E-3</v>
      </c>
    </row>
    <row r="1255" spans="1:10">
      <c r="A1255" t="s">
        <v>1337</v>
      </c>
      <c r="B1255">
        <v>32</v>
      </c>
      <c r="C1255" t="s">
        <v>7</v>
      </c>
      <c r="D1255">
        <v>1</v>
      </c>
      <c r="E1255">
        <v>32</v>
      </c>
      <c r="F1255">
        <v>1.2E-4</v>
      </c>
      <c r="G1255">
        <v>0</v>
      </c>
      <c r="H1255" t="str">
        <f t="shared" si="57"/>
        <v>30-39</v>
      </c>
      <c r="I1255" t="str">
        <f t="shared" si="58"/>
        <v>0-9</v>
      </c>
      <c r="J1255">
        <f t="shared" si="59"/>
        <v>1.2E-4</v>
      </c>
    </row>
    <row r="1256" spans="1:10">
      <c r="A1256" t="s">
        <v>1338</v>
      </c>
      <c r="B1256">
        <v>56</v>
      </c>
      <c r="C1256" t="s">
        <v>9</v>
      </c>
      <c r="D1256">
        <v>17</v>
      </c>
      <c r="E1256">
        <v>72</v>
      </c>
      <c r="F1256">
        <v>2.1139999999999999E-2</v>
      </c>
      <c r="G1256">
        <v>1</v>
      </c>
      <c r="H1256" t="str">
        <f t="shared" si="57"/>
        <v>70-79</v>
      </c>
      <c r="I1256" t="str">
        <f t="shared" si="58"/>
        <v>10-19</v>
      </c>
      <c r="J1256">
        <f t="shared" si="59"/>
        <v>2.1139999999999999E-2</v>
      </c>
    </row>
    <row r="1257" spans="1:10">
      <c r="A1257" t="s">
        <v>1339</v>
      </c>
      <c r="B1257">
        <v>61</v>
      </c>
      <c r="C1257" t="s">
        <v>7</v>
      </c>
      <c r="D1257">
        <v>7</v>
      </c>
      <c r="E1257">
        <v>67</v>
      </c>
      <c r="F1257">
        <v>6.62E-3</v>
      </c>
      <c r="G1257">
        <v>0</v>
      </c>
      <c r="H1257" t="str">
        <f t="shared" si="57"/>
        <v>60-69</v>
      </c>
      <c r="I1257" t="str">
        <f t="shared" si="58"/>
        <v>0-9</v>
      </c>
      <c r="J1257">
        <f t="shared" si="59"/>
        <v>6.62E-3</v>
      </c>
    </row>
    <row r="1258" spans="1:10">
      <c r="A1258" t="s">
        <v>1340</v>
      </c>
      <c r="B1258">
        <v>43</v>
      </c>
      <c r="C1258" t="s">
        <v>9</v>
      </c>
      <c r="D1258">
        <v>4</v>
      </c>
      <c r="E1258">
        <v>46</v>
      </c>
      <c r="F1258">
        <v>1.1000000000000001E-3</v>
      </c>
      <c r="G1258">
        <v>0</v>
      </c>
      <c r="H1258" t="str">
        <f t="shared" si="57"/>
        <v>40-49</v>
      </c>
      <c r="I1258" t="str">
        <f t="shared" si="58"/>
        <v>0-9</v>
      </c>
      <c r="J1258">
        <f t="shared" si="59"/>
        <v>1.1000000000000001E-3</v>
      </c>
    </row>
    <row r="1259" spans="1:10">
      <c r="A1259" t="s">
        <v>1341</v>
      </c>
      <c r="B1259">
        <v>36</v>
      </c>
      <c r="C1259" t="s">
        <v>7</v>
      </c>
      <c r="D1259">
        <v>9</v>
      </c>
      <c r="E1259">
        <v>44</v>
      </c>
      <c r="F1259">
        <v>8.4000000000000003E-4</v>
      </c>
      <c r="G1259">
        <v>0</v>
      </c>
      <c r="H1259" t="str">
        <f t="shared" si="57"/>
        <v>40-49</v>
      </c>
      <c r="I1259" t="str">
        <f t="shared" si="58"/>
        <v>0-9</v>
      </c>
      <c r="J1259">
        <f t="shared" si="59"/>
        <v>8.4000000000000003E-4</v>
      </c>
    </row>
    <row r="1260" spans="1:10">
      <c r="A1260" t="s">
        <v>1342</v>
      </c>
      <c r="B1260">
        <v>43</v>
      </c>
      <c r="C1260" t="s">
        <v>9</v>
      </c>
      <c r="D1260">
        <v>20</v>
      </c>
      <c r="E1260">
        <v>62</v>
      </c>
      <c r="F1260">
        <v>7.7400000000000004E-3</v>
      </c>
      <c r="G1260">
        <v>0</v>
      </c>
      <c r="H1260" t="str">
        <f t="shared" si="57"/>
        <v>60-69</v>
      </c>
      <c r="I1260" t="str">
        <f t="shared" si="58"/>
        <v>20-29</v>
      </c>
      <c r="J1260">
        <f t="shared" si="59"/>
        <v>7.7400000000000004E-3</v>
      </c>
    </row>
    <row r="1261" spans="1:10">
      <c r="A1261" t="s">
        <v>1343</v>
      </c>
      <c r="B1261">
        <v>33</v>
      </c>
      <c r="C1261" t="s">
        <v>7</v>
      </c>
      <c r="D1261">
        <v>14</v>
      </c>
      <c r="E1261">
        <v>46</v>
      </c>
      <c r="F1261">
        <v>1.24E-3</v>
      </c>
      <c r="G1261">
        <v>0</v>
      </c>
      <c r="H1261" t="str">
        <f t="shared" si="57"/>
        <v>40-49</v>
      </c>
      <c r="I1261" t="str">
        <f t="shared" si="58"/>
        <v>10-19</v>
      </c>
      <c r="J1261">
        <f t="shared" si="59"/>
        <v>1.24E-3</v>
      </c>
    </row>
    <row r="1262" spans="1:10">
      <c r="A1262" t="s">
        <v>1344</v>
      </c>
      <c r="B1262">
        <v>31</v>
      </c>
      <c r="C1262" t="s">
        <v>7</v>
      </c>
      <c r="D1262">
        <v>12</v>
      </c>
      <c r="E1262">
        <v>42</v>
      </c>
      <c r="F1262">
        <v>9.1E-4</v>
      </c>
      <c r="G1262">
        <v>0</v>
      </c>
      <c r="H1262" t="str">
        <f t="shared" si="57"/>
        <v>40-49</v>
      </c>
      <c r="I1262" t="str">
        <f t="shared" si="58"/>
        <v>10-19</v>
      </c>
      <c r="J1262">
        <f t="shared" si="59"/>
        <v>9.1E-4</v>
      </c>
    </row>
    <row r="1263" spans="1:10">
      <c r="A1263" t="s">
        <v>1345</v>
      </c>
      <c r="B1263">
        <v>39</v>
      </c>
      <c r="C1263" t="s">
        <v>9</v>
      </c>
      <c r="D1263">
        <v>19</v>
      </c>
      <c r="E1263">
        <v>57</v>
      </c>
      <c r="F1263">
        <v>4.6699999999999997E-3</v>
      </c>
      <c r="G1263">
        <v>0</v>
      </c>
      <c r="H1263" t="str">
        <f t="shared" si="57"/>
        <v>50-59</v>
      </c>
      <c r="I1263" t="str">
        <f t="shared" si="58"/>
        <v>10-19</v>
      </c>
      <c r="J1263">
        <f t="shared" si="59"/>
        <v>4.6699999999999997E-3</v>
      </c>
    </row>
    <row r="1264" spans="1:10">
      <c r="A1264" t="s">
        <v>1346</v>
      </c>
      <c r="B1264">
        <v>28</v>
      </c>
      <c r="C1264" t="s">
        <v>7</v>
      </c>
      <c r="D1264">
        <v>28</v>
      </c>
      <c r="E1264">
        <v>55</v>
      </c>
      <c r="F1264">
        <v>2.5899999999999999E-3</v>
      </c>
      <c r="G1264">
        <v>0</v>
      </c>
      <c r="H1264" t="str">
        <f t="shared" si="57"/>
        <v>50-59</v>
      </c>
      <c r="I1264" t="str">
        <f t="shared" si="58"/>
        <v>20-29</v>
      </c>
      <c r="J1264">
        <f t="shared" si="59"/>
        <v>2.5899999999999999E-3</v>
      </c>
    </row>
    <row r="1265" spans="1:10">
      <c r="A1265" t="s">
        <v>1347</v>
      </c>
      <c r="B1265">
        <v>34</v>
      </c>
      <c r="C1265" t="s">
        <v>7</v>
      </c>
      <c r="D1265">
        <v>15</v>
      </c>
      <c r="E1265">
        <v>48</v>
      </c>
      <c r="F1265">
        <v>1.48E-3</v>
      </c>
      <c r="G1265">
        <v>0</v>
      </c>
      <c r="H1265" t="str">
        <f t="shared" si="57"/>
        <v>40-49</v>
      </c>
      <c r="I1265" t="str">
        <f t="shared" si="58"/>
        <v>10-19</v>
      </c>
      <c r="J1265">
        <f t="shared" si="59"/>
        <v>1.48E-3</v>
      </c>
    </row>
    <row r="1266" spans="1:10">
      <c r="A1266" t="s">
        <v>1348</v>
      </c>
      <c r="B1266">
        <v>26</v>
      </c>
      <c r="C1266" t="s">
        <v>7</v>
      </c>
      <c r="D1266">
        <v>7</v>
      </c>
      <c r="E1266">
        <v>32</v>
      </c>
      <c r="F1266">
        <v>3.3E-4</v>
      </c>
      <c r="G1266">
        <v>0</v>
      </c>
      <c r="H1266" t="str">
        <f t="shared" si="57"/>
        <v>30-39</v>
      </c>
      <c r="I1266" t="str">
        <f t="shared" si="58"/>
        <v>0-9</v>
      </c>
      <c r="J1266">
        <f t="shared" si="59"/>
        <v>3.3E-4</v>
      </c>
    </row>
    <row r="1267" spans="1:10">
      <c r="A1267" t="s">
        <v>1349</v>
      </c>
      <c r="B1267">
        <v>55</v>
      </c>
      <c r="C1267" t="s">
        <v>7</v>
      </c>
      <c r="D1267">
        <v>20</v>
      </c>
      <c r="E1267">
        <v>74</v>
      </c>
      <c r="F1267">
        <v>2.0740000000000001E-2</v>
      </c>
      <c r="G1267">
        <v>0</v>
      </c>
      <c r="H1267" t="str">
        <f t="shared" si="57"/>
        <v>70-79</v>
      </c>
      <c r="I1267" t="str">
        <f t="shared" si="58"/>
        <v>20-29</v>
      </c>
      <c r="J1267">
        <f t="shared" si="59"/>
        <v>2.0740000000000001E-2</v>
      </c>
    </row>
    <row r="1268" spans="1:10">
      <c r="A1268" t="s">
        <v>1350</v>
      </c>
      <c r="B1268">
        <v>30</v>
      </c>
      <c r="C1268" t="s">
        <v>7</v>
      </c>
      <c r="D1268">
        <v>13</v>
      </c>
      <c r="E1268">
        <v>42</v>
      </c>
      <c r="F1268">
        <v>9.7000000000000005E-4</v>
      </c>
      <c r="G1268">
        <v>0</v>
      </c>
      <c r="H1268" t="str">
        <f t="shared" si="57"/>
        <v>40-49</v>
      </c>
      <c r="I1268" t="str">
        <f t="shared" si="58"/>
        <v>10-19</v>
      </c>
      <c r="J1268">
        <f t="shared" si="59"/>
        <v>9.7000000000000005E-4</v>
      </c>
    </row>
    <row r="1269" spans="1:10">
      <c r="A1269" t="s">
        <v>1351</v>
      </c>
      <c r="B1269">
        <v>25</v>
      </c>
      <c r="C1269" t="s">
        <v>9</v>
      </c>
      <c r="D1269">
        <v>27</v>
      </c>
      <c r="E1269">
        <v>51</v>
      </c>
      <c r="F1269">
        <v>2.9299999999999999E-3</v>
      </c>
      <c r="G1269">
        <v>0</v>
      </c>
      <c r="H1269" t="str">
        <f t="shared" si="57"/>
        <v>50-59</v>
      </c>
      <c r="I1269" t="str">
        <f t="shared" si="58"/>
        <v>20-29</v>
      </c>
      <c r="J1269">
        <f t="shared" si="59"/>
        <v>2.9299999999999999E-3</v>
      </c>
    </row>
    <row r="1270" spans="1:10">
      <c r="A1270" t="s">
        <v>1352</v>
      </c>
      <c r="B1270">
        <v>47</v>
      </c>
      <c r="C1270" t="s">
        <v>9</v>
      </c>
      <c r="D1270">
        <v>3</v>
      </c>
      <c r="E1270">
        <v>49</v>
      </c>
      <c r="F1270">
        <v>1.2800000000000001E-3</v>
      </c>
      <c r="G1270">
        <v>0</v>
      </c>
      <c r="H1270" t="str">
        <f t="shared" si="57"/>
        <v>40-49</v>
      </c>
      <c r="I1270" t="str">
        <f t="shared" si="58"/>
        <v>0-9</v>
      </c>
      <c r="J1270">
        <f t="shared" si="59"/>
        <v>1.2800000000000001E-3</v>
      </c>
    </row>
    <row r="1271" spans="1:10">
      <c r="A1271" t="s">
        <v>1353</v>
      </c>
      <c r="B1271">
        <v>25</v>
      </c>
      <c r="C1271" t="s">
        <v>9</v>
      </c>
      <c r="D1271">
        <v>20</v>
      </c>
      <c r="E1271">
        <v>44</v>
      </c>
      <c r="F1271">
        <v>1.8799999999999999E-3</v>
      </c>
      <c r="G1271">
        <v>0</v>
      </c>
      <c r="H1271" t="str">
        <f t="shared" si="57"/>
        <v>40-49</v>
      </c>
      <c r="I1271" t="str">
        <f t="shared" si="58"/>
        <v>20-29</v>
      </c>
      <c r="J1271">
        <f t="shared" si="59"/>
        <v>1.8799999999999999E-3</v>
      </c>
    </row>
    <row r="1272" spans="1:10">
      <c r="A1272" t="s">
        <v>1354</v>
      </c>
      <c r="B1272">
        <v>45</v>
      </c>
      <c r="C1272" t="s">
        <v>7</v>
      </c>
      <c r="D1272">
        <v>20</v>
      </c>
      <c r="E1272">
        <v>64</v>
      </c>
      <c r="F1272">
        <v>7.4000000000000003E-3</v>
      </c>
      <c r="G1272">
        <v>0</v>
      </c>
      <c r="H1272" t="str">
        <f t="shared" si="57"/>
        <v>60-69</v>
      </c>
      <c r="I1272" t="str">
        <f t="shared" si="58"/>
        <v>20-29</v>
      </c>
      <c r="J1272">
        <f t="shared" si="59"/>
        <v>7.4000000000000003E-3</v>
      </c>
    </row>
    <row r="1273" spans="1:10">
      <c r="A1273" t="s">
        <v>1355</v>
      </c>
      <c r="B1273">
        <v>58</v>
      </c>
      <c r="C1273" t="s">
        <v>7</v>
      </c>
      <c r="D1273">
        <v>2</v>
      </c>
      <c r="E1273">
        <v>59</v>
      </c>
      <c r="F1273">
        <v>1.42E-3</v>
      </c>
      <c r="G1273">
        <v>0</v>
      </c>
      <c r="H1273" t="str">
        <f t="shared" si="57"/>
        <v>50-59</v>
      </c>
      <c r="I1273" t="str">
        <f t="shared" si="58"/>
        <v>0-9</v>
      </c>
      <c r="J1273">
        <f t="shared" si="59"/>
        <v>1.42E-3</v>
      </c>
    </row>
    <row r="1274" spans="1:10">
      <c r="A1274" t="s">
        <v>1356</v>
      </c>
      <c r="B1274">
        <v>60</v>
      </c>
      <c r="C1274" t="s">
        <v>9</v>
      </c>
      <c r="D1274">
        <v>16</v>
      </c>
      <c r="E1274">
        <v>75</v>
      </c>
      <c r="F1274">
        <v>2.9260000000000001E-2</v>
      </c>
      <c r="G1274">
        <v>0</v>
      </c>
      <c r="H1274" t="str">
        <f t="shared" si="57"/>
        <v>70-79</v>
      </c>
      <c r="I1274" t="str">
        <f t="shared" si="58"/>
        <v>10-19</v>
      </c>
      <c r="J1274">
        <f t="shared" si="59"/>
        <v>2.9260000000000001E-2</v>
      </c>
    </row>
    <row r="1275" spans="1:10">
      <c r="A1275" t="s">
        <v>1357</v>
      </c>
      <c r="B1275">
        <v>62</v>
      </c>
      <c r="C1275" t="s">
        <v>7</v>
      </c>
      <c r="D1275">
        <v>30</v>
      </c>
      <c r="E1275">
        <v>91</v>
      </c>
      <c r="F1275">
        <v>9.3240000000000003E-2</v>
      </c>
      <c r="G1275">
        <v>0</v>
      </c>
      <c r="H1275" t="str">
        <f t="shared" si="57"/>
        <v>90-99</v>
      </c>
      <c r="I1275" t="str">
        <f t="shared" si="58"/>
        <v>30-39</v>
      </c>
      <c r="J1275">
        <f t="shared" si="59"/>
        <v>9.3240000000000003E-2</v>
      </c>
    </row>
    <row r="1276" spans="1:10">
      <c r="A1276" t="s">
        <v>1358</v>
      </c>
      <c r="B1276">
        <v>22</v>
      </c>
      <c r="C1276" t="s">
        <v>7</v>
      </c>
      <c r="D1276">
        <v>26</v>
      </c>
      <c r="E1276">
        <v>47</v>
      </c>
      <c r="F1276">
        <v>1.6000000000000001E-3</v>
      </c>
      <c r="G1276">
        <v>0</v>
      </c>
      <c r="H1276" t="str">
        <f t="shared" si="57"/>
        <v>40-49</v>
      </c>
      <c r="I1276" t="str">
        <f t="shared" si="58"/>
        <v>20-29</v>
      </c>
      <c r="J1276">
        <f t="shared" si="59"/>
        <v>1.6000000000000001E-3</v>
      </c>
    </row>
    <row r="1277" spans="1:10">
      <c r="A1277" t="s">
        <v>1359</v>
      </c>
      <c r="B1277">
        <v>34</v>
      </c>
      <c r="C1277" t="s">
        <v>9</v>
      </c>
      <c r="D1277">
        <v>20</v>
      </c>
      <c r="E1277">
        <v>53</v>
      </c>
      <c r="F1277">
        <v>3.2599999999999999E-3</v>
      </c>
      <c r="G1277">
        <v>0</v>
      </c>
      <c r="H1277" t="str">
        <f t="shared" si="57"/>
        <v>50-59</v>
      </c>
      <c r="I1277" t="str">
        <f t="shared" si="58"/>
        <v>20-29</v>
      </c>
      <c r="J1277">
        <f t="shared" si="59"/>
        <v>3.2599999999999999E-3</v>
      </c>
    </row>
    <row r="1278" spans="1:10">
      <c r="A1278" t="s">
        <v>1360</v>
      </c>
      <c r="B1278">
        <v>35</v>
      </c>
      <c r="C1278" t="s">
        <v>9</v>
      </c>
      <c r="D1278">
        <v>21</v>
      </c>
      <c r="E1278">
        <v>55</v>
      </c>
      <c r="F1278">
        <v>3.9699999999999996E-3</v>
      </c>
      <c r="G1278">
        <v>0</v>
      </c>
      <c r="H1278" t="str">
        <f t="shared" si="57"/>
        <v>50-59</v>
      </c>
      <c r="I1278" t="str">
        <f t="shared" si="58"/>
        <v>20-29</v>
      </c>
      <c r="J1278">
        <f t="shared" si="59"/>
        <v>3.9699999999999996E-3</v>
      </c>
    </row>
    <row r="1279" spans="1:10">
      <c r="A1279" t="s">
        <v>1361</v>
      </c>
      <c r="B1279">
        <v>37</v>
      </c>
      <c r="C1279" t="s">
        <v>9</v>
      </c>
      <c r="D1279">
        <v>25</v>
      </c>
      <c r="E1279">
        <v>61</v>
      </c>
      <c r="F1279">
        <v>7.0200000000000002E-3</v>
      </c>
      <c r="G1279">
        <v>0</v>
      </c>
      <c r="H1279" t="str">
        <f t="shared" si="57"/>
        <v>60-69</v>
      </c>
      <c r="I1279" t="str">
        <f t="shared" si="58"/>
        <v>20-29</v>
      </c>
      <c r="J1279">
        <f t="shared" si="59"/>
        <v>7.0200000000000002E-3</v>
      </c>
    </row>
    <row r="1280" spans="1:10">
      <c r="A1280" t="s">
        <v>1362</v>
      </c>
      <c r="B1280">
        <v>45</v>
      </c>
      <c r="C1280" t="s">
        <v>9</v>
      </c>
      <c r="D1280">
        <v>19</v>
      </c>
      <c r="E1280">
        <v>63</v>
      </c>
      <c r="F1280">
        <v>8.4899999999999993E-3</v>
      </c>
      <c r="G1280">
        <v>0</v>
      </c>
      <c r="H1280" t="str">
        <f t="shared" si="57"/>
        <v>60-69</v>
      </c>
      <c r="I1280" t="str">
        <f t="shared" si="58"/>
        <v>10-19</v>
      </c>
      <c r="J1280">
        <f t="shared" si="59"/>
        <v>8.4899999999999993E-3</v>
      </c>
    </row>
    <row r="1281" spans="1:10">
      <c r="A1281" t="s">
        <v>1363</v>
      </c>
      <c r="B1281">
        <v>65</v>
      </c>
      <c r="C1281" t="s">
        <v>7</v>
      </c>
      <c r="D1281">
        <v>3</v>
      </c>
      <c r="E1281">
        <v>67</v>
      </c>
      <c r="F1281">
        <v>4.6100000000000004E-3</v>
      </c>
      <c r="G1281">
        <v>0</v>
      </c>
      <c r="H1281" t="str">
        <f t="shared" si="57"/>
        <v>60-69</v>
      </c>
      <c r="I1281" t="str">
        <f t="shared" si="58"/>
        <v>0-9</v>
      </c>
      <c r="J1281">
        <f t="shared" si="59"/>
        <v>4.6100000000000004E-3</v>
      </c>
    </row>
    <row r="1282" spans="1:10">
      <c r="A1282" t="s">
        <v>1364</v>
      </c>
      <c r="B1282">
        <v>55</v>
      </c>
      <c r="C1282" t="s">
        <v>7</v>
      </c>
      <c r="D1282">
        <v>30</v>
      </c>
      <c r="E1282">
        <v>84</v>
      </c>
      <c r="F1282">
        <v>3.986E-2</v>
      </c>
      <c r="G1282">
        <v>0</v>
      </c>
      <c r="H1282" t="str">
        <f t="shared" si="57"/>
        <v>80-89</v>
      </c>
      <c r="I1282" t="str">
        <f t="shared" si="58"/>
        <v>30-39</v>
      </c>
      <c r="J1282">
        <f t="shared" si="59"/>
        <v>3.986E-2</v>
      </c>
    </row>
    <row r="1283" spans="1:10">
      <c r="A1283" t="s">
        <v>1365</v>
      </c>
      <c r="B1283">
        <v>37</v>
      </c>
      <c r="C1283" t="s">
        <v>7</v>
      </c>
      <c r="D1283">
        <v>8</v>
      </c>
      <c r="E1283">
        <v>44</v>
      </c>
      <c r="F1283">
        <v>8.1999999999999998E-4</v>
      </c>
      <c r="G1283">
        <v>0</v>
      </c>
      <c r="H1283" t="str">
        <f t="shared" ref="H1283:H1346" si="60">FLOOR(E1283,10) &amp; "-" &amp; FLOOR(E1283,10)+9</f>
        <v>40-49</v>
      </c>
      <c r="I1283" t="str">
        <f t="shared" ref="I1283:I1346" si="61">FLOOR(D1283, 10) &amp; "-"&amp;FLOOR(D1283, 10)+9</f>
        <v>0-9</v>
      </c>
      <c r="J1283">
        <f t="shared" ref="J1283:J1346" si="62">F1283</f>
        <v>8.1999999999999998E-4</v>
      </c>
    </row>
    <row r="1284" spans="1:10">
      <c r="A1284" t="s">
        <v>1366</v>
      </c>
      <c r="B1284">
        <v>45</v>
      </c>
      <c r="C1284" t="s">
        <v>9</v>
      </c>
      <c r="D1284">
        <v>19</v>
      </c>
      <c r="E1284">
        <v>63</v>
      </c>
      <c r="F1284">
        <v>8.4899999999999993E-3</v>
      </c>
      <c r="G1284">
        <v>0</v>
      </c>
      <c r="H1284" t="str">
        <f t="shared" si="60"/>
        <v>60-69</v>
      </c>
      <c r="I1284" t="str">
        <f t="shared" si="61"/>
        <v>10-19</v>
      </c>
      <c r="J1284">
        <f t="shared" si="62"/>
        <v>8.4899999999999993E-3</v>
      </c>
    </row>
    <row r="1285" spans="1:10">
      <c r="A1285" t="s">
        <v>1367</v>
      </c>
      <c r="B1285">
        <v>52</v>
      </c>
      <c r="C1285" t="s">
        <v>7</v>
      </c>
      <c r="D1285">
        <v>4</v>
      </c>
      <c r="E1285">
        <v>55</v>
      </c>
      <c r="F1285">
        <v>1.8699999999999999E-3</v>
      </c>
      <c r="G1285">
        <v>0</v>
      </c>
      <c r="H1285" t="str">
        <f t="shared" si="60"/>
        <v>50-59</v>
      </c>
      <c r="I1285" t="str">
        <f t="shared" si="61"/>
        <v>0-9</v>
      </c>
      <c r="J1285">
        <f t="shared" si="62"/>
        <v>1.8699999999999999E-3</v>
      </c>
    </row>
    <row r="1286" spans="1:10">
      <c r="A1286" t="s">
        <v>1368</v>
      </c>
      <c r="B1286">
        <v>41</v>
      </c>
      <c r="C1286" t="s">
        <v>7</v>
      </c>
      <c r="D1286">
        <v>4</v>
      </c>
      <c r="E1286">
        <v>44</v>
      </c>
      <c r="F1286">
        <v>6.7000000000000002E-4</v>
      </c>
      <c r="G1286">
        <v>0</v>
      </c>
      <c r="H1286" t="str">
        <f t="shared" si="60"/>
        <v>40-49</v>
      </c>
      <c r="I1286" t="str">
        <f t="shared" si="61"/>
        <v>0-9</v>
      </c>
      <c r="J1286">
        <f t="shared" si="62"/>
        <v>6.7000000000000002E-4</v>
      </c>
    </row>
    <row r="1287" spans="1:10">
      <c r="A1287" t="s">
        <v>1369</v>
      </c>
      <c r="B1287">
        <v>54</v>
      </c>
      <c r="C1287" t="s">
        <v>7</v>
      </c>
      <c r="D1287">
        <v>27</v>
      </c>
      <c r="E1287">
        <v>80</v>
      </c>
      <c r="F1287">
        <v>3.569E-2</v>
      </c>
      <c r="G1287">
        <v>0</v>
      </c>
      <c r="H1287" t="str">
        <f t="shared" si="60"/>
        <v>80-89</v>
      </c>
      <c r="I1287" t="str">
        <f t="shared" si="61"/>
        <v>20-29</v>
      </c>
      <c r="J1287">
        <f t="shared" si="62"/>
        <v>3.569E-2</v>
      </c>
    </row>
    <row r="1288" spans="1:10">
      <c r="A1288" t="s">
        <v>1370</v>
      </c>
      <c r="B1288">
        <v>48</v>
      </c>
      <c r="C1288" t="s">
        <v>7</v>
      </c>
      <c r="D1288">
        <v>13</v>
      </c>
      <c r="E1288">
        <v>60</v>
      </c>
      <c r="F1288">
        <v>4.45E-3</v>
      </c>
      <c r="G1288">
        <v>0</v>
      </c>
      <c r="H1288" t="str">
        <f t="shared" si="60"/>
        <v>60-69</v>
      </c>
      <c r="I1288" t="str">
        <f t="shared" si="61"/>
        <v>10-19</v>
      </c>
      <c r="J1288">
        <f t="shared" si="62"/>
        <v>4.45E-3</v>
      </c>
    </row>
    <row r="1289" spans="1:10">
      <c r="A1289" t="s">
        <v>1371</v>
      </c>
      <c r="B1289">
        <v>41</v>
      </c>
      <c r="C1289" t="s">
        <v>9</v>
      </c>
      <c r="D1289">
        <v>25</v>
      </c>
      <c r="E1289">
        <v>65</v>
      </c>
      <c r="F1289">
        <v>1.057E-2</v>
      </c>
      <c r="G1289">
        <v>0</v>
      </c>
      <c r="H1289" t="str">
        <f t="shared" si="60"/>
        <v>60-69</v>
      </c>
      <c r="I1289" t="str">
        <f t="shared" si="61"/>
        <v>20-29</v>
      </c>
      <c r="J1289">
        <f t="shared" si="62"/>
        <v>1.057E-2</v>
      </c>
    </row>
    <row r="1290" spans="1:10">
      <c r="A1290" t="s">
        <v>1372</v>
      </c>
      <c r="B1290">
        <v>57</v>
      </c>
      <c r="C1290" t="s">
        <v>9</v>
      </c>
      <c r="D1290">
        <v>28</v>
      </c>
      <c r="E1290">
        <v>84</v>
      </c>
      <c r="F1290">
        <v>6.3329999999999997E-2</v>
      </c>
      <c r="G1290">
        <v>0</v>
      </c>
      <c r="H1290" t="str">
        <f t="shared" si="60"/>
        <v>80-89</v>
      </c>
      <c r="I1290" t="str">
        <f t="shared" si="61"/>
        <v>20-29</v>
      </c>
      <c r="J1290">
        <f t="shared" si="62"/>
        <v>6.3329999999999997E-2</v>
      </c>
    </row>
    <row r="1291" spans="1:10">
      <c r="A1291" t="s">
        <v>1373</v>
      </c>
      <c r="B1291">
        <v>24</v>
      </c>
      <c r="C1291" t="s">
        <v>7</v>
      </c>
      <c r="D1291">
        <v>13</v>
      </c>
      <c r="E1291">
        <v>36</v>
      </c>
      <c r="F1291">
        <v>6.2E-4</v>
      </c>
      <c r="G1291">
        <v>0</v>
      </c>
      <c r="H1291" t="str">
        <f t="shared" si="60"/>
        <v>30-39</v>
      </c>
      <c r="I1291" t="str">
        <f t="shared" si="61"/>
        <v>10-19</v>
      </c>
      <c r="J1291">
        <f t="shared" si="62"/>
        <v>6.2E-4</v>
      </c>
    </row>
    <row r="1292" spans="1:10">
      <c r="A1292" t="s">
        <v>1374</v>
      </c>
      <c r="B1292">
        <v>63</v>
      </c>
      <c r="C1292" t="s">
        <v>9</v>
      </c>
      <c r="D1292">
        <v>23</v>
      </c>
      <c r="E1292">
        <v>85</v>
      </c>
      <c r="F1292">
        <v>9.1270000000000004E-2</v>
      </c>
      <c r="G1292">
        <v>0</v>
      </c>
      <c r="H1292" t="str">
        <f t="shared" si="60"/>
        <v>80-89</v>
      </c>
      <c r="I1292" t="str">
        <f t="shared" si="61"/>
        <v>20-29</v>
      </c>
      <c r="J1292">
        <f t="shared" si="62"/>
        <v>9.1270000000000004E-2</v>
      </c>
    </row>
    <row r="1293" spans="1:10">
      <c r="A1293" t="s">
        <v>1375</v>
      </c>
      <c r="B1293">
        <v>42</v>
      </c>
      <c r="C1293" t="s">
        <v>7</v>
      </c>
      <c r="D1293">
        <v>17</v>
      </c>
      <c r="E1293">
        <v>58</v>
      </c>
      <c r="F1293">
        <v>3.81E-3</v>
      </c>
      <c r="G1293">
        <v>0</v>
      </c>
      <c r="H1293" t="str">
        <f t="shared" si="60"/>
        <v>50-59</v>
      </c>
      <c r="I1293" t="str">
        <f t="shared" si="61"/>
        <v>10-19</v>
      </c>
      <c r="J1293">
        <f t="shared" si="62"/>
        <v>3.81E-3</v>
      </c>
    </row>
    <row r="1294" spans="1:10">
      <c r="A1294" t="s">
        <v>1376</v>
      </c>
      <c r="B1294">
        <v>36</v>
      </c>
      <c r="C1294" t="s">
        <v>9</v>
      </c>
      <c r="D1294">
        <v>8</v>
      </c>
      <c r="E1294">
        <v>43</v>
      </c>
      <c r="F1294">
        <v>1.1000000000000001E-3</v>
      </c>
      <c r="G1294">
        <v>0</v>
      </c>
      <c r="H1294" t="str">
        <f t="shared" si="60"/>
        <v>40-49</v>
      </c>
      <c r="I1294" t="str">
        <f t="shared" si="61"/>
        <v>0-9</v>
      </c>
      <c r="J1294">
        <f t="shared" si="62"/>
        <v>1.1000000000000001E-3</v>
      </c>
    </row>
    <row r="1295" spans="1:10">
      <c r="A1295" t="s">
        <v>1377</v>
      </c>
      <c r="B1295">
        <v>41</v>
      </c>
      <c r="C1295" t="s">
        <v>7</v>
      </c>
      <c r="D1295">
        <v>3</v>
      </c>
      <c r="E1295">
        <v>43</v>
      </c>
      <c r="F1295">
        <v>5.1999999999999995E-4</v>
      </c>
      <c r="G1295">
        <v>0</v>
      </c>
      <c r="H1295" t="str">
        <f t="shared" si="60"/>
        <v>40-49</v>
      </c>
      <c r="I1295" t="str">
        <f t="shared" si="61"/>
        <v>0-9</v>
      </c>
      <c r="J1295">
        <f t="shared" si="62"/>
        <v>5.1999999999999995E-4</v>
      </c>
    </row>
    <row r="1296" spans="1:10">
      <c r="A1296" t="s">
        <v>1378</v>
      </c>
      <c r="B1296">
        <v>40</v>
      </c>
      <c r="C1296" t="s">
        <v>9</v>
      </c>
      <c r="D1296">
        <v>12</v>
      </c>
      <c r="E1296">
        <v>51</v>
      </c>
      <c r="F1296">
        <v>2.3400000000000001E-3</v>
      </c>
      <c r="G1296">
        <v>0</v>
      </c>
      <c r="H1296" t="str">
        <f t="shared" si="60"/>
        <v>50-59</v>
      </c>
      <c r="I1296" t="str">
        <f t="shared" si="61"/>
        <v>10-19</v>
      </c>
      <c r="J1296">
        <f t="shared" si="62"/>
        <v>2.3400000000000001E-3</v>
      </c>
    </row>
    <row r="1297" spans="1:10">
      <c r="A1297" t="s">
        <v>1379</v>
      </c>
      <c r="B1297">
        <v>31</v>
      </c>
      <c r="C1297" t="s">
        <v>7</v>
      </c>
      <c r="D1297">
        <v>24</v>
      </c>
      <c r="E1297">
        <v>54</v>
      </c>
      <c r="F1297">
        <v>2.82E-3</v>
      </c>
      <c r="G1297">
        <v>0</v>
      </c>
      <c r="H1297" t="str">
        <f t="shared" si="60"/>
        <v>50-59</v>
      </c>
      <c r="I1297" t="str">
        <f t="shared" si="61"/>
        <v>20-29</v>
      </c>
      <c r="J1297">
        <f t="shared" si="62"/>
        <v>2.82E-3</v>
      </c>
    </row>
    <row r="1298" spans="1:10">
      <c r="A1298" t="s">
        <v>1380</v>
      </c>
      <c r="B1298">
        <v>51</v>
      </c>
      <c r="C1298" t="s">
        <v>9</v>
      </c>
      <c r="D1298">
        <v>24</v>
      </c>
      <c r="E1298">
        <v>74</v>
      </c>
      <c r="F1298">
        <v>2.6859999999999998E-2</v>
      </c>
      <c r="G1298">
        <v>0</v>
      </c>
      <c r="H1298" t="str">
        <f t="shared" si="60"/>
        <v>70-79</v>
      </c>
      <c r="I1298" t="str">
        <f t="shared" si="61"/>
        <v>20-29</v>
      </c>
      <c r="J1298">
        <f t="shared" si="62"/>
        <v>2.6859999999999998E-2</v>
      </c>
    </row>
    <row r="1299" spans="1:10">
      <c r="A1299" t="s">
        <v>1381</v>
      </c>
      <c r="B1299">
        <v>36</v>
      </c>
      <c r="C1299" t="s">
        <v>9</v>
      </c>
      <c r="D1299">
        <v>7</v>
      </c>
      <c r="E1299">
        <v>42</v>
      </c>
      <c r="F1299">
        <v>9.5E-4</v>
      </c>
      <c r="G1299">
        <v>0</v>
      </c>
      <c r="H1299" t="str">
        <f t="shared" si="60"/>
        <v>40-49</v>
      </c>
      <c r="I1299" t="str">
        <f t="shared" si="61"/>
        <v>0-9</v>
      </c>
      <c r="J1299">
        <f t="shared" si="62"/>
        <v>9.5E-4</v>
      </c>
    </row>
    <row r="1300" spans="1:10">
      <c r="A1300" t="s">
        <v>1382</v>
      </c>
      <c r="B1300">
        <v>59</v>
      </c>
      <c r="C1300" t="s">
        <v>9</v>
      </c>
      <c r="D1300">
        <v>12</v>
      </c>
      <c r="E1300">
        <v>70</v>
      </c>
      <c r="F1300">
        <v>1.6310000000000002E-2</v>
      </c>
      <c r="G1300">
        <v>0</v>
      </c>
      <c r="H1300" t="str">
        <f t="shared" si="60"/>
        <v>70-79</v>
      </c>
      <c r="I1300" t="str">
        <f t="shared" si="61"/>
        <v>10-19</v>
      </c>
      <c r="J1300">
        <f t="shared" si="62"/>
        <v>1.6310000000000002E-2</v>
      </c>
    </row>
    <row r="1301" spans="1:10">
      <c r="A1301" t="s">
        <v>1383</v>
      </c>
      <c r="B1301">
        <v>25</v>
      </c>
      <c r="C1301" t="s">
        <v>7</v>
      </c>
      <c r="D1301">
        <v>22</v>
      </c>
      <c r="E1301">
        <v>46</v>
      </c>
      <c r="F1301">
        <v>1.49E-3</v>
      </c>
      <c r="G1301">
        <v>0</v>
      </c>
      <c r="H1301" t="str">
        <f t="shared" si="60"/>
        <v>40-49</v>
      </c>
      <c r="I1301" t="str">
        <f t="shared" si="61"/>
        <v>20-29</v>
      </c>
      <c r="J1301">
        <f t="shared" si="62"/>
        <v>1.49E-3</v>
      </c>
    </row>
    <row r="1302" spans="1:10">
      <c r="A1302" t="s">
        <v>1384</v>
      </c>
      <c r="B1302">
        <v>20</v>
      </c>
      <c r="C1302" t="s">
        <v>7</v>
      </c>
      <c r="D1302">
        <v>25</v>
      </c>
      <c r="E1302">
        <v>44</v>
      </c>
      <c r="F1302">
        <v>1.33E-3</v>
      </c>
      <c r="G1302">
        <v>0</v>
      </c>
      <c r="H1302" t="str">
        <f t="shared" si="60"/>
        <v>40-49</v>
      </c>
      <c r="I1302" t="str">
        <f t="shared" si="61"/>
        <v>20-29</v>
      </c>
      <c r="J1302">
        <f t="shared" si="62"/>
        <v>1.33E-3</v>
      </c>
    </row>
    <row r="1303" spans="1:10">
      <c r="A1303" t="s">
        <v>1385</v>
      </c>
      <c r="B1303">
        <v>50</v>
      </c>
      <c r="C1303" t="s">
        <v>7</v>
      </c>
      <c r="D1303">
        <v>12</v>
      </c>
      <c r="E1303">
        <v>61</v>
      </c>
      <c r="F1303">
        <v>4.62E-3</v>
      </c>
      <c r="G1303">
        <v>0</v>
      </c>
      <c r="H1303" t="str">
        <f t="shared" si="60"/>
        <v>60-69</v>
      </c>
      <c r="I1303" t="str">
        <f t="shared" si="61"/>
        <v>10-19</v>
      </c>
      <c r="J1303">
        <f t="shared" si="62"/>
        <v>4.62E-3</v>
      </c>
    </row>
    <row r="1304" spans="1:10">
      <c r="A1304" t="s">
        <v>1386</v>
      </c>
      <c r="B1304">
        <v>56</v>
      </c>
      <c r="C1304" t="s">
        <v>9</v>
      </c>
      <c r="D1304">
        <v>28</v>
      </c>
      <c r="E1304">
        <v>83</v>
      </c>
      <c r="F1304">
        <v>5.6829999999999999E-2</v>
      </c>
      <c r="G1304">
        <v>0</v>
      </c>
      <c r="H1304" t="str">
        <f t="shared" si="60"/>
        <v>80-89</v>
      </c>
      <c r="I1304" t="str">
        <f t="shared" si="61"/>
        <v>20-29</v>
      </c>
      <c r="J1304">
        <f t="shared" si="62"/>
        <v>5.6829999999999999E-2</v>
      </c>
    </row>
    <row r="1305" spans="1:10">
      <c r="A1305" t="s">
        <v>1387</v>
      </c>
      <c r="B1305">
        <v>52</v>
      </c>
      <c r="C1305" t="s">
        <v>9</v>
      </c>
      <c r="D1305">
        <v>9</v>
      </c>
      <c r="E1305">
        <v>60</v>
      </c>
      <c r="F1305">
        <v>5.7299999999999999E-3</v>
      </c>
      <c r="G1305">
        <v>0</v>
      </c>
      <c r="H1305" t="str">
        <f t="shared" si="60"/>
        <v>60-69</v>
      </c>
      <c r="I1305" t="str">
        <f t="shared" si="61"/>
        <v>0-9</v>
      </c>
      <c r="J1305">
        <f t="shared" si="62"/>
        <v>5.7299999999999999E-3</v>
      </c>
    </row>
    <row r="1306" spans="1:10">
      <c r="A1306" t="s">
        <v>1388</v>
      </c>
      <c r="B1306">
        <v>28</v>
      </c>
      <c r="C1306" t="s">
        <v>7</v>
      </c>
      <c r="D1306">
        <v>2</v>
      </c>
      <c r="E1306">
        <v>29</v>
      </c>
      <c r="F1306">
        <v>1.7000000000000001E-4</v>
      </c>
      <c r="G1306">
        <v>0</v>
      </c>
      <c r="H1306" t="str">
        <f t="shared" si="60"/>
        <v>20-29</v>
      </c>
      <c r="I1306" t="str">
        <f t="shared" si="61"/>
        <v>0-9</v>
      </c>
      <c r="J1306">
        <f t="shared" si="62"/>
        <v>1.7000000000000001E-4</v>
      </c>
    </row>
    <row r="1307" spans="1:10">
      <c r="A1307" t="s">
        <v>1389</v>
      </c>
      <c r="B1307">
        <v>54</v>
      </c>
      <c r="C1307" t="s">
        <v>7</v>
      </c>
      <c r="D1307">
        <v>2</v>
      </c>
      <c r="E1307">
        <v>55</v>
      </c>
      <c r="F1307">
        <v>1.2199999999999999E-3</v>
      </c>
      <c r="G1307">
        <v>0</v>
      </c>
      <c r="H1307" t="str">
        <f t="shared" si="60"/>
        <v>50-59</v>
      </c>
      <c r="I1307" t="str">
        <f t="shared" si="61"/>
        <v>0-9</v>
      </c>
      <c r="J1307">
        <f t="shared" si="62"/>
        <v>1.2199999999999999E-3</v>
      </c>
    </row>
    <row r="1308" spans="1:10">
      <c r="A1308" t="s">
        <v>1390</v>
      </c>
      <c r="B1308">
        <v>63</v>
      </c>
      <c r="C1308" t="s">
        <v>9</v>
      </c>
      <c r="D1308">
        <v>25</v>
      </c>
      <c r="E1308">
        <v>87</v>
      </c>
      <c r="F1308">
        <v>0.11724</v>
      </c>
      <c r="G1308">
        <v>0</v>
      </c>
      <c r="H1308" t="str">
        <f t="shared" si="60"/>
        <v>80-89</v>
      </c>
      <c r="I1308" t="str">
        <f t="shared" si="61"/>
        <v>20-29</v>
      </c>
      <c r="J1308">
        <f t="shared" si="62"/>
        <v>0.11724</v>
      </c>
    </row>
    <row r="1309" spans="1:10">
      <c r="A1309" t="s">
        <v>1391</v>
      </c>
      <c r="B1309">
        <v>64</v>
      </c>
      <c r="C1309" t="s">
        <v>9</v>
      </c>
      <c r="D1309">
        <v>17</v>
      </c>
      <c r="E1309">
        <v>80</v>
      </c>
      <c r="F1309">
        <v>4.863E-2</v>
      </c>
      <c r="G1309">
        <v>0</v>
      </c>
      <c r="H1309" t="str">
        <f t="shared" si="60"/>
        <v>80-89</v>
      </c>
      <c r="I1309" t="str">
        <f t="shared" si="61"/>
        <v>10-19</v>
      </c>
      <c r="J1309">
        <f t="shared" si="62"/>
        <v>4.863E-2</v>
      </c>
    </row>
    <row r="1310" spans="1:10">
      <c r="A1310" t="s">
        <v>1392</v>
      </c>
      <c r="B1310">
        <v>20</v>
      </c>
      <c r="C1310" t="s">
        <v>9</v>
      </c>
      <c r="D1310">
        <v>22</v>
      </c>
      <c r="E1310">
        <v>41</v>
      </c>
      <c r="F1310">
        <v>1.92E-3</v>
      </c>
      <c r="G1310">
        <v>0</v>
      </c>
      <c r="H1310" t="str">
        <f t="shared" si="60"/>
        <v>40-49</v>
      </c>
      <c r="I1310" t="str">
        <f t="shared" si="61"/>
        <v>20-29</v>
      </c>
      <c r="J1310">
        <f t="shared" si="62"/>
        <v>1.92E-3</v>
      </c>
    </row>
    <row r="1311" spans="1:10">
      <c r="A1311" t="s">
        <v>1393</v>
      </c>
      <c r="B1311">
        <v>40</v>
      </c>
      <c r="C1311" t="s">
        <v>7</v>
      </c>
      <c r="D1311">
        <v>12</v>
      </c>
      <c r="E1311">
        <v>51</v>
      </c>
      <c r="F1311">
        <v>1.8500000000000001E-3</v>
      </c>
      <c r="G1311">
        <v>0</v>
      </c>
      <c r="H1311" t="str">
        <f t="shared" si="60"/>
        <v>50-59</v>
      </c>
      <c r="I1311" t="str">
        <f t="shared" si="61"/>
        <v>10-19</v>
      </c>
      <c r="J1311">
        <f t="shared" si="62"/>
        <v>1.8500000000000001E-3</v>
      </c>
    </row>
    <row r="1312" spans="1:10">
      <c r="A1312" t="s">
        <v>1394</v>
      </c>
      <c r="B1312">
        <v>55</v>
      </c>
      <c r="C1312" t="s">
        <v>9</v>
      </c>
      <c r="D1312">
        <v>9</v>
      </c>
      <c r="E1312">
        <v>63</v>
      </c>
      <c r="F1312">
        <v>7.9900000000000006E-3</v>
      </c>
      <c r="G1312">
        <v>0</v>
      </c>
      <c r="H1312" t="str">
        <f t="shared" si="60"/>
        <v>60-69</v>
      </c>
      <c r="I1312" t="str">
        <f t="shared" si="61"/>
        <v>0-9</v>
      </c>
      <c r="J1312">
        <f t="shared" si="62"/>
        <v>7.9900000000000006E-3</v>
      </c>
    </row>
    <row r="1313" spans="1:10">
      <c r="A1313" t="s">
        <v>1395</v>
      </c>
      <c r="B1313">
        <v>59</v>
      </c>
      <c r="C1313" t="s">
        <v>9</v>
      </c>
      <c r="D1313">
        <v>11</v>
      </c>
      <c r="E1313">
        <v>69</v>
      </c>
      <c r="F1313">
        <v>1.426E-2</v>
      </c>
      <c r="G1313">
        <v>0</v>
      </c>
      <c r="H1313" t="str">
        <f t="shared" si="60"/>
        <v>60-69</v>
      </c>
      <c r="I1313" t="str">
        <f t="shared" si="61"/>
        <v>10-19</v>
      </c>
      <c r="J1313">
        <f t="shared" si="62"/>
        <v>1.426E-2</v>
      </c>
    </row>
    <row r="1314" spans="1:10">
      <c r="A1314" t="s">
        <v>1396</v>
      </c>
      <c r="B1314">
        <v>33</v>
      </c>
      <c r="C1314" t="s">
        <v>7</v>
      </c>
      <c r="D1314">
        <v>14</v>
      </c>
      <c r="E1314">
        <v>46</v>
      </c>
      <c r="F1314">
        <v>1.24E-3</v>
      </c>
      <c r="G1314">
        <v>0</v>
      </c>
      <c r="H1314" t="str">
        <f t="shared" si="60"/>
        <v>40-49</v>
      </c>
      <c r="I1314" t="str">
        <f t="shared" si="61"/>
        <v>10-19</v>
      </c>
      <c r="J1314">
        <f t="shared" si="62"/>
        <v>1.24E-3</v>
      </c>
    </row>
    <row r="1315" spans="1:10">
      <c r="A1315" t="s">
        <v>1397</v>
      </c>
      <c r="B1315">
        <v>45</v>
      </c>
      <c r="C1315" t="s">
        <v>9</v>
      </c>
      <c r="D1315">
        <v>9</v>
      </c>
      <c r="E1315">
        <v>53</v>
      </c>
      <c r="F1315">
        <v>2.63E-3</v>
      </c>
      <c r="G1315">
        <v>0</v>
      </c>
      <c r="H1315" t="str">
        <f t="shared" si="60"/>
        <v>50-59</v>
      </c>
      <c r="I1315" t="str">
        <f t="shared" si="61"/>
        <v>0-9</v>
      </c>
      <c r="J1315">
        <f t="shared" si="62"/>
        <v>2.63E-3</v>
      </c>
    </row>
    <row r="1316" spans="1:10">
      <c r="A1316" t="s">
        <v>1398</v>
      </c>
      <c r="B1316">
        <v>56</v>
      </c>
      <c r="C1316" t="s">
        <v>9</v>
      </c>
      <c r="D1316">
        <v>22</v>
      </c>
      <c r="E1316">
        <v>77</v>
      </c>
      <c r="F1316">
        <v>3.7039999999999997E-2</v>
      </c>
      <c r="G1316">
        <v>0</v>
      </c>
      <c r="H1316" t="str">
        <f t="shared" si="60"/>
        <v>70-79</v>
      </c>
      <c r="I1316" t="str">
        <f t="shared" si="61"/>
        <v>20-29</v>
      </c>
      <c r="J1316">
        <f t="shared" si="62"/>
        <v>3.7039999999999997E-2</v>
      </c>
    </row>
    <row r="1317" spans="1:10">
      <c r="A1317" t="s">
        <v>1399</v>
      </c>
      <c r="B1317">
        <v>37</v>
      </c>
      <c r="C1317" t="s">
        <v>9</v>
      </c>
      <c r="D1317">
        <v>26</v>
      </c>
      <c r="E1317">
        <v>62</v>
      </c>
      <c r="F1317">
        <v>7.79E-3</v>
      </c>
      <c r="G1317">
        <v>0</v>
      </c>
      <c r="H1317" t="str">
        <f t="shared" si="60"/>
        <v>60-69</v>
      </c>
      <c r="I1317" t="str">
        <f t="shared" si="61"/>
        <v>20-29</v>
      </c>
      <c r="J1317">
        <f t="shared" si="62"/>
        <v>7.79E-3</v>
      </c>
    </row>
    <row r="1318" spans="1:10">
      <c r="A1318" t="s">
        <v>1400</v>
      </c>
      <c r="B1318">
        <v>44</v>
      </c>
      <c r="C1318" t="s">
        <v>9</v>
      </c>
      <c r="D1318">
        <v>7</v>
      </c>
      <c r="E1318">
        <v>50</v>
      </c>
      <c r="F1318">
        <v>1.83E-3</v>
      </c>
      <c r="G1318">
        <v>0</v>
      </c>
      <c r="H1318" t="str">
        <f t="shared" si="60"/>
        <v>50-59</v>
      </c>
      <c r="I1318" t="str">
        <f t="shared" si="61"/>
        <v>0-9</v>
      </c>
      <c r="J1318">
        <f t="shared" si="62"/>
        <v>1.83E-3</v>
      </c>
    </row>
    <row r="1319" spans="1:10">
      <c r="A1319" t="s">
        <v>1401</v>
      </c>
      <c r="B1319">
        <v>29</v>
      </c>
      <c r="C1319" t="s">
        <v>7</v>
      </c>
      <c r="D1319">
        <v>16</v>
      </c>
      <c r="E1319">
        <v>44</v>
      </c>
      <c r="F1319">
        <v>1.15E-3</v>
      </c>
      <c r="G1319">
        <v>0</v>
      </c>
      <c r="H1319" t="str">
        <f t="shared" si="60"/>
        <v>40-49</v>
      </c>
      <c r="I1319" t="str">
        <f t="shared" si="61"/>
        <v>10-19</v>
      </c>
      <c r="J1319">
        <f t="shared" si="62"/>
        <v>1.15E-3</v>
      </c>
    </row>
    <row r="1320" spans="1:10">
      <c r="A1320" t="s">
        <v>1402</v>
      </c>
      <c r="B1320">
        <v>51</v>
      </c>
      <c r="C1320" t="s">
        <v>7</v>
      </c>
      <c r="D1320">
        <v>5</v>
      </c>
      <c r="E1320">
        <v>55</v>
      </c>
      <c r="F1320">
        <v>1.99E-3</v>
      </c>
      <c r="G1320">
        <v>0</v>
      </c>
      <c r="H1320" t="str">
        <f t="shared" si="60"/>
        <v>50-59</v>
      </c>
      <c r="I1320" t="str">
        <f t="shared" si="61"/>
        <v>0-9</v>
      </c>
      <c r="J1320">
        <f t="shared" si="62"/>
        <v>1.99E-3</v>
      </c>
    </row>
    <row r="1321" spans="1:10">
      <c r="A1321" t="s">
        <v>1403</v>
      </c>
      <c r="B1321">
        <v>53</v>
      </c>
      <c r="C1321" t="s">
        <v>7</v>
      </c>
      <c r="D1321">
        <v>18</v>
      </c>
      <c r="E1321">
        <v>70</v>
      </c>
      <c r="F1321">
        <v>1.302E-2</v>
      </c>
      <c r="G1321">
        <v>0</v>
      </c>
      <c r="H1321" t="str">
        <f t="shared" si="60"/>
        <v>70-79</v>
      </c>
      <c r="I1321" t="str">
        <f t="shared" si="61"/>
        <v>10-19</v>
      </c>
      <c r="J1321">
        <f t="shared" si="62"/>
        <v>1.302E-2</v>
      </c>
    </row>
    <row r="1322" spans="1:10">
      <c r="A1322" t="s">
        <v>1404</v>
      </c>
      <c r="B1322">
        <v>39</v>
      </c>
      <c r="C1322" t="s">
        <v>7</v>
      </c>
      <c r="D1322">
        <v>9</v>
      </c>
      <c r="E1322">
        <v>47</v>
      </c>
      <c r="F1322">
        <v>1.1100000000000001E-3</v>
      </c>
      <c r="G1322">
        <v>0</v>
      </c>
      <c r="H1322" t="str">
        <f t="shared" si="60"/>
        <v>40-49</v>
      </c>
      <c r="I1322" t="str">
        <f t="shared" si="61"/>
        <v>0-9</v>
      </c>
      <c r="J1322">
        <f t="shared" si="62"/>
        <v>1.1100000000000001E-3</v>
      </c>
    </row>
    <row r="1323" spans="1:10">
      <c r="A1323" t="s">
        <v>1405</v>
      </c>
      <c r="B1323">
        <v>45</v>
      </c>
      <c r="C1323" t="s">
        <v>7</v>
      </c>
      <c r="D1323">
        <v>4</v>
      </c>
      <c r="E1323">
        <v>48</v>
      </c>
      <c r="F1323">
        <v>9.7999999999999997E-4</v>
      </c>
      <c r="G1323">
        <v>0</v>
      </c>
      <c r="H1323" t="str">
        <f t="shared" si="60"/>
        <v>40-49</v>
      </c>
      <c r="I1323" t="str">
        <f t="shared" si="61"/>
        <v>0-9</v>
      </c>
      <c r="J1323">
        <f t="shared" si="62"/>
        <v>9.7999999999999997E-4</v>
      </c>
    </row>
    <row r="1324" spans="1:10">
      <c r="A1324" t="s">
        <v>1406</v>
      </c>
      <c r="B1324">
        <v>36</v>
      </c>
      <c r="C1324" t="s">
        <v>7</v>
      </c>
      <c r="D1324">
        <v>16</v>
      </c>
      <c r="E1324">
        <v>51</v>
      </c>
      <c r="F1324">
        <v>1.9400000000000001E-3</v>
      </c>
      <c r="G1324">
        <v>0</v>
      </c>
      <c r="H1324" t="str">
        <f t="shared" si="60"/>
        <v>50-59</v>
      </c>
      <c r="I1324" t="str">
        <f t="shared" si="61"/>
        <v>10-19</v>
      </c>
      <c r="J1324">
        <f t="shared" si="62"/>
        <v>1.9400000000000001E-3</v>
      </c>
    </row>
    <row r="1325" spans="1:10">
      <c r="A1325" t="s">
        <v>1407</v>
      </c>
      <c r="B1325">
        <v>41</v>
      </c>
      <c r="C1325" t="s">
        <v>9</v>
      </c>
      <c r="D1325">
        <v>9</v>
      </c>
      <c r="E1325">
        <v>49</v>
      </c>
      <c r="F1325">
        <v>1.82E-3</v>
      </c>
      <c r="G1325">
        <v>0</v>
      </c>
      <c r="H1325" t="str">
        <f t="shared" si="60"/>
        <v>40-49</v>
      </c>
      <c r="I1325" t="str">
        <f t="shared" si="61"/>
        <v>0-9</v>
      </c>
      <c r="J1325">
        <f t="shared" si="62"/>
        <v>1.82E-3</v>
      </c>
    </row>
    <row r="1326" spans="1:10">
      <c r="A1326" t="s">
        <v>1408</v>
      </c>
      <c r="B1326">
        <v>36</v>
      </c>
      <c r="C1326" t="s">
        <v>9</v>
      </c>
      <c r="D1326">
        <v>12</v>
      </c>
      <c r="E1326">
        <v>47</v>
      </c>
      <c r="F1326">
        <v>1.6299999999999999E-3</v>
      </c>
      <c r="G1326">
        <v>0</v>
      </c>
      <c r="H1326" t="str">
        <f t="shared" si="60"/>
        <v>40-49</v>
      </c>
      <c r="I1326" t="str">
        <f t="shared" si="61"/>
        <v>10-19</v>
      </c>
      <c r="J1326">
        <f t="shared" si="62"/>
        <v>1.6299999999999999E-3</v>
      </c>
    </row>
    <row r="1327" spans="1:10">
      <c r="A1327" t="s">
        <v>1409</v>
      </c>
      <c r="B1327">
        <v>63</v>
      </c>
      <c r="C1327" t="s">
        <v>9</v>
      </c>
      <c r="D1327">
        <v>20</v>
      </c>
      <c r="E1327">
        <v>82</v>
      </c>
      <c r="F1327">
        <v>6.3060000000000005E-2</v>
      </c>
      <c r="G1327">
        <v>0</v>
      </c>
      <c r="H1327" t="str">
        <f t="shared" si="60"/>
        <v>80-89</v>
      </c>
      <c r="I1327" t="str">
        <f t="shared" si="61"/>
        <v>20-29</v>
      </c>
      <c r="J1327">
        <f t="shared" si="62"/>
        <v>6.3060000000000005E-2</v>
      </c>
    </row>
    <row r="1328" spans="1:10">
      <c r="A1328" t="s">
        <v>1410</v>
      </c>
      <c r="B1328">
        <v>61</v>
      </c>
      <c r="C1328" t="s">
        <v>9</v>
      </c>
      <c r="D1328">
        <v>18</v>
      </c>
      <c r="E1328">
        <v>78</v>
      </c>
      <c r="F1328">
        <v>4.0219999999999999E-2</v>
      </c>
      <c r="G1328">
        <v>0</v>
      </c>
      <c r="H1328" t="str">
        <f t="shared" si="60"/>
        <v>70-79</v>
      </c>
      <c r="I1328" t="str">
        <f t="shared" si="61"/>
        <v>10-19</v>
      </c>
      <c r="J1328">
        <f t="shared" si="62"/>
        <v>4.0219999999999999E-2</v>
      </c>
    </row>
    <row r="1329" spans="1:10">
      <c r="A1329" t="s">
        <v>1411</v>
      </c>
      <c r="B1329">
        <v>42</v>
      </c>
      <c r="C1329" t="s">
        <v>7</v>
      </c>
      <c r="D1329">
        <v>11</v>
      </c>
      <c r="E1329">
        <v>52</v>
      </c>
      <c r="F1329">
        <v>1.9599999999999999E-3</v>
      </c>
      <c r="G1329">
        <v>0</v>
      </c>
      <c r="H1329" t="str">
        <f t="shared" si="60"/>
        <v>50-59</v>
      </c>
      <c r="I1329" t="str">
        <f t="shared" si="61"/>
        <v>10-19</v>
      </c>
      <c r="J1329">
        <f t="shared" si="62"/>
        <v>1.9599999999999999E-3</v>
      </c>
    </row>
    <row r="1330" spans="1:10">
      <c r="A1330" t="s">
        <v>1412</v>
      </c>
      <c r="B1330">
        <v>48</v>
      </c>
      <c r="C1330" t="s">
        <v>9</v>
      </c>
      <c r="D1330">
        <v>29</v>
      </c>
      <c r="E1330">
        <v>76</v>
      </c>
      <c r="F1330">
        <v>2.3939999999999999E-2</v>
      </c>
      <c r="G1330">
        <v>0</v>
      </c>
      <c r="H1330" t="str">
        <f t="shared" si="60"/>
        <v>70-79</v>
      </c>
      <c r="I1330" t="str">
        <f t="shared" si="61"/>
        <v>20-29</v>
      </c>
      <c r="J1330">
        <f t="shared" si="62"/>
        <v>2.3939999999999999E-2</v>
      </c>
    </row>
    <row r="1331" spans="1:10">
      <c r="A1331" t="s">
        <v>1413</v>
      </c>
      <c r="B1331">
        <v>49</v>
      </c>
      <c r="C1331" t="s">
        <v>7</v>
      </c>
      <c r="D1331">
        <v>21</v>
      </c>
      <c r="E1331">
        <v>69</v>
      </c>
      <c r="F1331">
        <v>1.2659999999999999E-2</v>
      </c>
      <c r="G1331">
        <v>0</v>
      </c>
      <c r="H1331" t="str">
        <f t="shared" si="60"/>
        <v>60-69</v>
      </c>
      <c r="I1331" t="str">
        <f t="shared" si="61"/>
        <v>20-29</v>
      </c>
      <c r="J1331">
        <f t="shared" si="62"/>
        <v>1.2659999999999999E-2</v>
      </c>
    </row>
    <row r="1332" spans="1:10">
      <c r="A1332" t="s">
        <v>1414</v>
      </c>
      <c r="B1332">
        <v>60</v>
      </c>
      <c r="C1332" t="s">
        <v>7</v>
      </c>
      <c r="D1332">
        <v>26</v>
      </c>
      <c r="E1332">
        <v>85</v>
      </c>
      <c r="F1332">
        <v>7.2980000000000003E-2</v>
      </c>
      <c r="G1332">
        <v>0</v>
      </c>
      <c r="H1332" t="str">
        <f t="shared" si="60"/>
        <v>80-89</v>
      </c>
      <c r="I1332" t="str">
        <f t="shared" si="61"/>
        <v>20-29</v>
      </c>
      <c r="J1332">
        <f t="shared" si="62"/>
        <v>7.2980000000000003E-2</v>
      </c>
    </row>
    <row r="1333" spans="1:10">
      <c r="A1333" t="s">
        <v>1415</v>
      </c>
      <c r="B1333">
        <v>59</v>
      </c>
      <c r="C1333" t="s">
        <v>9</v>
      </c>
      <c r="D1333">
        <v>19</v>
      </c>
      <c r="E1333">
        <v>77</v>
      </c>
      <c r="F1333">
        <v>3.6740000000000002E-2</v>
      </c>
      <c r="G1333">
        <v>0</v>
      </c>
      <c r="H1333" t="str">
        <f t="shared" si="60"/>
        <v>70-79</v>
      </c>
      <c r="I1333" t="str">
        <f t="shared" si="61"/>
        <v>10-19</v>
      </c>
      <c r="J1333">
        <f t="shared" si="62"/>
        <v>3.6740000000000002E-2</v>
      </c>
    </row>
    <row r="1334" spans="1:10">
      <c r="A1334" t="s">
        <v>1416</v>
      </c>
      <c r="B1334">
        <v>25</v>
      </c>
      <c r="C1334" t="s">
        <v>9</v>
      </c>
      <c r="D1334">
        <v>6</v>
      </c>
      <c r="E1334">
        <v>30</v>
      </c>
      <c r="F1334">
        <v>4.4000000000000002E-4</v>
      </c>
      <c r="G1334">
        <v>0</v>
      </c>
      <c r="H1334" t="str">
        <f t="shared" si="60"/>
        <v>30-39</v>
      </c>
      <c r="I1334" t="str">
        <f t="shared" si="61"/>
        <v>0-9</v>
      </c>
      <c r="J1334">
        <f t="shared" si="62"/>
        <v>4.4000000000000002E-4</v>
      </c>
    </row>
    <row r="1335" spans="1:10">
      <c r="A1335" t="s">
        <v>1417</v>
      </c>
      <c r="B1335">
        <v>61</v>
      </c>
      <c r="C1335" t="s">
        <v>7</v>
      </c>
      <c r="D1335">
        <v>10</v>
      </c>
      <c r="E1335">
        <v>70</v>
      </c>
      <c r="F1335">
        <v>9.0100000000000006E-3</v>
      </c>
      <c r="G1335">
        <v>0</v>
      </c>
      <c r="H1335" t="str">
        <f t="shared" si="60"/>
        <v>70-79</v>
      </c>
      <c r="I1335" t="str">
        <f t="shared" si="61"/>
        <v>10-19</v>
      </c>
      <c r="J1335">
        <f t="shared" si="62"/>
        <v>9.0100000000000006E-3</v>
      </c>
    </row>
    <row r="1336" spans="1:10">
      <c r="A1336" t="s">
        <v>1418</v>
      </c>
      <c r="B1336">
        <v>45</v>
      </c>
      <c r="C1336" t="s">
        <v>7</v>
      </c>
      <c r="D1336">
        <v>9</v>
      </c>
      <c r="E1336">
        <v>53</v>
      </c>
      <c r="F1336">
        <v>1.9499999999999999E-3</v>
      </c>
      <c r="G1336">
        <v>0</v>
      </c>
      <c r="H1336" t="str">
        <f t="shared" si="60"/>
        <v>50-59</v>
      </c>
      <c r="I1336" t="str">
        <f t="shared" si="61"/>
        <v>0-9</v>
      </c>
      <c r="J1336">
        <f t="shared" si="62"/>
        <v>1.9499999999999999E-3</v>
      </c>
    </row>
    <row r="1337" spans="1:10">
      <c r="A1337" t="s">
        <v>1419</v>
      </c>
      <c r="B1337">
        <v>43</v>
      </c>
      <c r="C1337" t="s">
        <v>7</v>
      </c>
      <c r="D1337">
        <v>24</v>
      </c>
      <c r="E1337">
        <v>66</v>
      </c>
      <c r="F1337">
        <v>9.2399999999999999E-3</v>
      </c>
      <c r="G1337">
        <v>0</v>
      </c>
      <c r="H1337" t="str">
        <f t="shared" si="60"/>
        <v>60-69</v>
      </c>
      <c r="I1337" t="str">
        <f t="shared" si="61"/>
        <v>20-29</v>
      </c>
      <c r="J1337">
        <f t="shared" si="62"/>
        <v>9.2399999999999999E-3</v>
      </c>
    </row>
    <row r="1338" spans="1:10">
      <c r="A1338" t="s">
        <v>1420</v>
      </c>
      <c r="B1338">
        <v>46</v>
      </c>
      <c r="C1338" t="s">
        <v>9</v>
      </c>
      <c r="D1338">
        <v>6</v>
      </c>
      <c r="E1338">
        <v>51</v>
      </c>
      <c r="F1338">
        <v>1.9300000000000001E-3</v>
      </c>
      <c r="G1338">
        <v>0</v>
      </c>
      <c r="H1338" t="str">
        <f t="shared" si="60"/>
        <v>50-59</v>
      </c>
      <c r="I1338" t="str">
        <f t="shared" si="61"/>
        <v>0-9</v>
      </c>
      <c r="J1338">
        <f t="shared" si="62"/>
        <v>1.9300000000000001E-3</v>
      </c>
    </row>
    <row r="1339" spans="1:10">
      <c r="A1339" t="s">
        <v>1421</v>
      </c>
      <c r="B1339">
        <v>35</v>
      </c>
      <c r="C1339" t="s">
        <v>9</v>
      </c>
      <c r="D1339">
        <v>22</v>
      </c>
      <c r="E1339">
        <v>56</v>
      </c>
      <c r="F1339">
        <v>4.3899999999999998E-3</v>
      </c>
      <c r="G1339">
        <v>0</v>
      </c>
      <c r="H1339" t="str">
        <f t="shared" si="60"/>
        <v>50-59</v>
      </c>
      <c r="I1339" t="str">
        <f t="shared" si="61"/>
        <v>20-29</v>
      </c>
      <c r="J1339">
        <f t="shared" si="62"/>
        <v>4.3899999999999998E-3</v>
      </c>
    </row>
    <row r="1340" spans="1:10">
      <c r="A1340" t="s">
        <v>1422</v>
      </c>
      <c r="B1340">
        <v>25</v>
      </c>
      <c r="C1340" t="s">
        <v>9</v>
      </c>
      <c r="D1340">
        <v>7</v>
      </c>
      <c r="E1340">
        <v>31</v>
      </c>
      <c r="F1340">
        <v>4.8000000000000001E-4</v>
      </c>
      <c r="G1340">
        <v>0</v>
      </c>
      <c r="H1340" t="str">
        <f t="shared" si="60"/>
        <v>30-39</v>
      </c>
      <c r="I1340" t="str">
        <f t="shared" si="61"/>
        <v>0-9</v>
      </c>
      <c r="J1340">
        <f t="shared" si="62"/>
        <v>4.8000000000000001E-4</v>
      </c>
    </row>
    <row r="1341" spans="1:10">
      <c r="A1341" t="s">
        <v>1423</v>
      </c>
      <c r="B1341">
        <v>24</v>
      </c>
      <c r="C1341" t="s">
        <v>7</v>
      </c>
      <c r="D1341">
        <v>30</v>
      </c>
      <c r="E1341">
        <v>53</v>
      </c>
      <c r="F1341">
        <v>1.8699999999999999E-3</v>
      </c>
      <c r="G1341">
        <v>0</v>
      </c>
      <c r="H1341" t="str">
        <f t="shared" si="60"/>
        <v>50-59</v>
      </c>
      <c r="I1341" t="str">
        <f t="shared" si="61"/>
        <v>30-39</v>
      </c>
      <c r="J1341">
        <f t="shared" si="62"/>
        <v>1.8699999999999999E-3</v>
      </c>
    </row>
    <row r="1342" spans="1:10">
      <c r="A1342" t="s">
        <v>1424</v>
      </c>
      <c r="B1342">
        <v>21</v>
      </c>
      <c r="C1342" t="s">
        <v>9</v>
      </c>
      <c r="D1342">
        <v>25</v>
      </c>
      <c r="E1342">
        <v>45</v>
      </c>
      <c r="F1342">
        <v>2.4299999999999999E-3</v>
      </c>
      <c r="G1342">
        <v>0</v>
      </c>
      <c r="H1342" t="str">
        <f t="shared" si="60"/>
        <v>40-49</v>
      </c>
      <c r="I1342" t="str">
        <f t="shared" si="61"/>
        <v>20-29</v>
      </c>
      <c r="J1342">
        <f t="shared" si="62"/>
        <v>2.4299999999999999E-3</v>
      </c>
    </row>
    <row r="1343" spans="1:10">
      <c r="A1343" t="s">
        <v>1425</v>
      </c>
      <c r="B1343">
        <v>25</v>
      </c>
      <c r="C1343" t="s">
        <v>9</v>
      </c>
      <c r="D1343">
        <v>4</v>
      </c>
      <c r="E1343">
        <v>28</v>
      </c>
      <c r="F1343">
        <v>4.0999999999999999E-4</v>
      </c>
      <c r="G1343">
        <v>0</v>
      </c>
      <c r="H1343" t="str">
        <f t="shared" si="60"/>
        <v>20-29</v>
      </c>
      <c r="I1343" t="str">
        <f t="shared" si="61"/>
        <v>0-9</v>
      </c>
      <c r="J1343">
        <f t="shared" si="62"/>
        <v>4.0999999999999999E-4</v>
      </c>
    </row>
    <row r="1344" spans="1:10">
      <c r="A1344" t="s">
        <v>1426</v>
      </c>
      <c r="B1344">
        <v>61</v>
      </c>
      <c r="C1344" t="s">
        <v>7</v>
      </c>
      <c r="D1344">
        <v>30</v>
      </c>
      <c r="E1344">
        <v>90</v>
      </c>
      <c r="F1344">
        <v>8.2710000000000006E-2</v>
      </c>
      <c r="G1344">
        <v>0</v>
      </c>
      <c r="H1344" t="str">
        <f t="shared" si="60"/>
        <v>90-99</v>
      </c>
      <c r="I1344" t="str">
        <f t="shared" si="61"/>
        <v>30-39</v>
      </c>
      <c r="J1344">
        <f t="shared" si="62"/>
        <v>8.2710000000000006E-2</v>
      </c>
    </row>
    <row r="1345" spans="1:10">
      <c r="A1345" t="s">
        <v>1427</v>
      </c>
      <c r="B1345">
        <v>35</v>
      </c>
      <c r="C1345" t="s">
        <v>9</v>
      </c>
      <c r="D1345">
        <v>24</v>
      </c>
      <c r="E1345">
        <v>58</v>
      </c>
      <c r="F1345">
        <v>5.2199999999999998E-3</v>
      </c>
      <c r="G1345">
        <v>0</v>
      </c>
      <c r="H1345" t="str">
        <f t="shared" si="60"/>
        <v>50-59</v>
      </c>
      <c r="I1345" t="str">
        <f t="shared" si="61"/>
        <v>20-29</v>
      </c>
      <c r="J1345">
        <f t="shared" si="62"/>
        <v>5.2199999999999998E-3</v>
      </c>
    </row>
    <row r="1346" spans="1:10">
      <c r="A1346" t="s">
        <v>1428</v>
      </c>
      <c r="B1346">
        <v>28</v>
      </c>
      <c r="C1346" t="s">
        <v>7</v>
      </c>
      <c r="D1346">
        <v>17</v>
      </c>
      <c r="E1346">
        <v>44</v>
      </c>
      <c r="F1346">
        <v>1.1800000000000001E-3</v>
      </c>
      <c r="G1346">
        <v>0</v>
      </c>
      <c r="H1346" t="str">
        <f t="shared" si="60"/>
        <v>40-49</v>
      </c>
      <c r="I1346" t="str">
        <f t="shared" si="61"/>
        <v>10-19</v>
      </c>
      <c r="J1346">
        <f t="shared" si="62"/>
        <v>1.1800000000000001E-3</v>
      </c>
    </row>
    <row r="1347" spans="1:10">
      <c r="A1347" t="s">
        <v>1429</v>
      </c>
      <c r="B1347">
        <v>62</v>
      </c>
      <c r="C1347" t="s">
        <v>7</v>
      </c>
      <c r="D1347">
        <v>12</v>
      </c>
      <c r="E1347">
        <v>73</v>
      </c>
      <c r="F1347">
        <v>1.3679999999999999E-2</v>
      </c>
      <c r="G1347">
        <v>0</v>
      </c>
      <c r="H1347" t="str">
        <f t="shared" ref="H1347:H1410" si="63">FLOOR(E1347,10) &amp; "-" &amp; FLOOR(E1347,10)+9</f>
        <v>70-79</v>
      </c>
      <c r="I1347" t="str">
        <f t="shared" ref="I1347:I1410" si="64">FLOOR(D1347, 10) &amp; "-"&amp;FLOOR(D1347, 10)+9</f>
        <v>10-19</v>
      </c>
      <c r="J1347">
        <f t="shared" ref="J1347:J1410" si="65">F1347</f>
        <v>1.3679999999999999E-2</v>
      </c>
    </row>
    <row r="1348" spans="1:10">
      <c r="A1348" t="s">
        <v>1430</v>
      </c>
      <c r="B1348">
        <v>50</v>
      </c>
      <c r="C1348" t="s">
        <v>7</v>
      </c>
      <c r="D1348">
        <v>15</v>
      </c>
      <c r="E1348">
        <v>64</v>
      </c>
      <c r="F1348">
        <v>6.8599999999999998E-3</v>
      </c>
      <c r="G1348">
        <v>0</v>
      </c>
      <c r="H1348" t="str">
        <f t="shared" si="63"/>
        <v>60-69</v>
      </c>
      <c r="I1348" t="str">
        <f t="shared" si="64"/>
        <v>10-19</v>
      </c>
      <c r="J1348">
        <f t="shared" si="65"/>
        <v>6.8599999999999998E-3</v>
      </c>
    </row>
    <row r="1349" spans="1:10">
      <c r="A1349" t="s">
        <v>1431</v>
      </c>
      <c r="B1349">
        <v>37</v>
      </c>
      <c r="C1349" t="s">
        <v>9</v>
      </c>
      <c r="D1349">
        <v>18</v>
      </c>
      <c r="E1349">
        <v>54</v>
      </c>
      <c r="F1349">
        <v>3.4199999999999999E-3</v>
      </c>
      <c r="G1349">
        <v>0</v>
      </c>
      <c r="H1349" t="str">
        <f t="shared" si="63"/>
        <v>50-59</v>
      </c>
      <c r="I1349" t="str">
        <f t="shared" si="64"/>
        <v>10-19</v>
      </c>
      <c r="J1349">
        <f t="shared" si="65"/>
        <v>3.4199999999999999E-3</v>
      </c>
    </row>
    <row r="1350" spans="1:10">
      <c r="A1350" t="s">
        <v>1432</v>
      </c>
      <c r="B1350">
        <v>64</v>
      </c>
      <c r="C1350" t="s">
        <v>9</v>
      </c>
      <c r="D1350">
        <v>18</v>
      </c>
      <c r="E1350">
        <v>81</v>
      </c>
      <c r="F1350">
        <v>5.5329999999999997E-2</v>
      </c>
      <c r="G1350">
        <v>0</v>
      </c>
      <c r="H1350" t="str">
        <f t="shared" si="63"/>
        <v>80-89</v>
      </c>
      <c r="I1350" t="str">
        <f t="shared" si="64"/>
        <v>10-19</v>
      </c>
      <c r="J1350">
        <f t="shared" si="65"/>
        <v>5.5329999999999997E-2</v>
      </c>
    </row>
    <row r="1351" spans="1:10">
      <c r="A1351" t="s">
        <v>1433</v>
      </c>
      <c r="B1351">
        <v>60</v>
      </c>
      <c r="C1351" t="s">
        <v>7</v>
      </c>
      <c r="D1351">
        <v>24</v>
      </c>
      <c r="E1351">
        <v>83</v>
      </c>
      <c r="F1351">
        <v>5.704E-2</v>
      </c>
      <c r="G1351">
        <v>0</v>
      </c>
      <c r="H1351" t="str">
        <f t="shared" si="63"/>
        <v>80-89</v>
      </c>
      <c r="I1351" t="str">
        <f t="shared" si="64"/>
        <v>20-29</v>
      </c>
      <c r="J1351">
        <f t="shared" si="65"/>
        <v>5.704E-2</v>
      </c>
    </row>
    <row r="1352" spans="1:10">
      <c r="A1352" t="s">
        <v>1434</v>
      </c>
      <c r="B1352">
        <v>53</v>
      </c>
      <c r="C1352" t="s">
        <v>7</v>
      </c>
      <c r="D1352">
        <v>21</v>
      </c>
      <c r="E1352">
        <v>73</v>
      </c>
      <c r="F1352">
        <v>1.8970000000000001E-2</v>
      </c>
      <c r="G1352">
        <v>0</v>
      </c>
      <c r="H1352" t="str">
        <f t="shared" si="63"/>
        <v>70-79</v>
      </c>
      <c r="I1352" t="str">
        <f t="shared" si="64"/>
        <v>20-29</v>
      </c>
      <c r="J1352">
        <f t="shared" si="65"/>
        <v>1.8970000000000001E-2</v>
      </c>
    </row>
    <row r="1353" spans="1:10">
      <c r="A1353" t="s">
        <v>1435</v>
      </c>
      <c r="B1353">
        <v>42</v>
      </c>
      <c r="C1353" t="s">
        <v>7</v>
      </c>
      <c r="D1353">
        <v>16</v>
      </c>
      <c r="E1353">
        <v>57</v>
      </c>
      <c r="F1353">
        <v>3.4099999999999998E-3</v>
      </c>
      <c r="G1353">
        <v>0</v>
      </c>
      <c r="H1353" t="str">
        <f t="shared" si="63"/>
        <v>50-59</v>
      </c>
      <c r="I1353" t="str">
        <f t="shared" si="64"/>
        <v>10-19</v>
      </c>
      <c r="J1353">
        <f t="shared" si="65"/>
        <v>3.4099999999999998E-3</v>
      </c>
    </row>
    <row r="1354" spans="1:10">
      <c r="A1354" t="s">
        <v>1436</v>
      </c>
      <c r="B1354">
        <v>48</v>
      </c>
      <c r="C1354" t="s">
        <v>9</v>
      </c>
      <c r="D1354">
        <v>10</v>
      </c>
      <c r="E1354">
        <v>57</v>
      </c>
      <c r="F1354">
        <v>4.1000000000000003E-3</v>
      </c>
      <c r="G1354">
        <v>0</v>
      </c>
      <c r="H1354" t="str">
        <f t="shared" si="63"/>
        <v>50-59</v>
      </c>
      <c r="I1354" t="str">
        <f t="shared" si="64"/>
        <v>10-19</v>
      </c>
      <c r="J1354">
        <f t="shared" si="65"/>
        <v>4.1000000000000003E-3</v>
      </c>
    </row>
    <row r="1355" spans="1:10">
      <c r="A1355" t="s">
        <v>1437</v>
      </c>
      <c r="B1355">
        <v>39</v>
      </c>
      <c r="C1355" t="s">
        <v>9</v>
      </c>
      <c r="D1355">
        <v>1</v>
      </c>
      <c r="E1355">
        <v>39</v>
      </c>
      <c r="F1355">
        <v>2.9E-4</v>
      </c>
      <c r="G1355">
        <v>0</v>
      </c>
      <c r="H1355" t="str">
        <f t="shared" si="63"/>
        <v>30-39</v>
      </c>
      <c r="I1355" t="str">
        <f t="shared" si="64"/>
        <v>0-9</v>
      </c>
      <c r="J1355">
        <f t="shared" si="65"/>
        <v>2.9E-4</v>
      </c>
    </row>
    <row r="1356" spans="1:10">
      <c r="A1356" t="s">
        <v>1438</v>
      </c>
      <c r="B1356">
        <v>28</v>
      </c>
      <c r="C1356" t="s">
        <v>9</v>
      </c>
      <c r="D1356">
        <v>12</v>
      </c>
      <c r="E1356">
        <v>39</v>
      </c>
      <c r="F1356">
        <v>9.7999999999999997E-4</v>
      </c>
      <c r="G1356">
        <v>0</v>
      </c>
      <c r="H1356" t="str">
        <f t="shared" si="63"/>
        <v>30-39</v>
      </c>
      <c r="I1356" t="str">
        <f t="shared" si="64"/>
        <v>10-19</v>
      </c>
      <c r="J1356">
        <f t="shared" si="65"/>
        <v>9.7999999999999997E-4</v>
      </c>
    </row>
    <row r="1357" spans="1:10">
      <c r="A1357" t="s">
        <v>1439</v>
      </c>
      <c r="B1357">
        <v>64</v>
      </c>
      <c r="C1357" t="s">
        <v>9</v>
      </c>
      <c r="D1357">
        <v>30</v>
      </c>
      <c r="E1357">
        <v>93</v>
      </c>
      <c r="F1357">
        <v>0.14893999999999999</v>
      </c>
      <c r="G1357">
        <v>0</v>
      </c>
      <c r="H1357" t="str">
        <f t="shared" si="63"/>
        <v>90-99</v>
      </c>
      <c r="I1357" t="str">
        <f t="shared" si="64"/>
        <v>30-39</v>
      </c>
      <c r="J1357">
        <f t="shared" si="65"/>
        <v>0.14893999999999999</v>
      </c>
    </row>
    <row r="1358" spans="1:10">
      <c r="A1358" t="s">
        <v>1440</v>
      </c>
      <c r="B1358">
        <v>39</v>
      </c>
      <c r="C1358" t="s">
        <v>7</v>
      </c>
      <c r="D1358">
        <v>1</v>
      </c>
      <c r="E1358">
        <v>39</v>
      </c>
      <c r="F1358">
        <v>2.2000000000000001E-4</v>
      </c>
      <c r="G1358">
        <v>0</v>
      </c>
      <c r="H1358" t="str">
        <f t="shared" si="63"/>
        <v>30-39</v>
      </c>
      <c r="I1358" t="str">
        <f t="shared" si="64"/>
        <v>0-9</v>
      </c>
      <c r="J1358">
        <f t="shared" si="65"/>
        <v>2.2000000000000001E-4</v>
      </c>
    </row>
    <row r="1359" spans="1:10">
      <c r="A1359" t="s">
        <v>1441</v>
      </c>
      <c r="B1359">
        <v>58</v>
      </c>
      <c r="C1359" t="s">
        <v>7</v>
      </c>
      <c r="D1359">
        <v>8</v>
      </c>
      <c r="E1359">
        <v>65</v>
      </c>
      <c r="F1359">
        <v>5.9300000000000004E-3</v>
      </c>
      <c r="G1359">
        <v>0</v>
      </c>
      <c r="H1359" t="str">
        <f t="shared" si="63"/>
        <v>60-69</v>
      </c>
      <c r="I1359" t="str">
        <f t="shared" si="64"/>
        <v>0-9</v>
      </c>
      <c r="J1359">
        <f t="shared" si="65"/>
        <v>5.9300000000000004E-3</v>
      </c>
    </row>
    <row r="1360" spans="1:10">
      <c r="A1360" t="s">
        <v>1442</v>
      </c>
      <c r="B1360">
        <v>32</v>
      </c>
      <c r="C1360" t="s">
        <v>7</v>
      </c>
      <c r="D1360">
        <v>14</v>
      </c>
      <c r="E1360">
        <v>45</v>
      </c>
      <c r="F1360">
        <v>1.15E-3</v>
      </c>
      <c r="G1360">
        <v>0</v>
      </c>
      <c r="H1360" t="str">
        <f t="shared" si="63"/>
        <v>40-49</v>
      </c>
      <c r="I1360" t="str">
        <f t="shared" si="64"/>
        <v>10-19</v>
      </c>
      <c r="J1360">
        <f t="shared" si="65"/>
        <v>1.15E-3</v>
      </c>
    </row>
    <row r="1361" spans="1:10">
      <c r="A1361" t="s">
        <v>1443</v>
      </c>
      <c r="B1361">
        <v>35</v>
      </c>
      <c r="C1361" t="s">
        <v>7</v>
      </c>
      <c r="D1361">
        <v>6</v>
      </c>
      <c r="E1361">
        <v>40</v>
      </c>
      <c r="F1361">
        <v>5.9000000000000003E-4</v>
      </c>
      <c r="G1361">
        <v>0</v>
      </c>
      <c r="H1361" t="str">
        <f t="shared" si="63"/>
        <v>40-49</v>
      </c>
      <c r="I1361" t="str">
        <f t="shared" si="64"/>
        <v>0-9</v>
      </c>
      <c r="J1361">
        <f t="shared" si="65"/>
        <v>5.9000000000000003E-4</v>
      </c>
    </row>
    <row r="1362" spans="1:10">
      <c r="A1362" t="s">
        <v>1444</v>
      </c>
      <c r="B1362">
        <v>44</v>
      </c>
      <c r="C1362" t="s">
        <v>9</v>
      </c>
      <c r="D1362">
        <v>8</v>
      </c>
      <c r="E1362">
        <v>51</v>
      </c>
      <c r="F1362">
        <v>2.1099999999999999E-3</v>
      </c>
      <c r="G1362">
        <v>0</v>
      </c>
      <c r="H1362" t="str">
        <f t="shared" si="63"/>
        <v>50-59</v>
      </c>
      <c r="I1362" t="str">
        <f t="shared" si="64"/>
        <v>0-9</v>
      </c>
      <c r="J1362">
        <f t="shared" si="65"/>
        <v>2.1099999999999999E-3</v>
      </c>
    </row>
    <row r="1363" spans="1:10">
      <c r="A1363" t="s">
        <v>1445</v>
      </c>
      <c r="B1363">
        <v>35</v>
      </c>
      <c r="C1363" t="s">
        <v>7</v>
      </c>
      <c r="D1363">
        <v>17</v>
      </c>
      <c r="E1363">
        <v>51</v>
      </c>
      <c r="F1363">
        <v>1.9599999999999999E-3</v>
      </c>
      <c r="G1363">
        <v>0</v>
      </c>
      <c r="H1363" t="str">
        <f t="shared" si="63"/>
        <v>50-59</v>
      </c>
      <c r="I1363" t="str">
        <f t="shared" si="64"/>
        <v>10-19</v>
      </c>
      <c r="J1363">
        <f t="shared" si="65"/>
        <v>1.9599999999999999E-3</v>
      </c>
    </row>
    <row r="1364" spans="1:10">
      <c r="A1364" t="s">
        <v>1446</v>
      </c>
      <c r="B1364">
        <v>64</v>
      </c>
      <c r="C1364" t="s">
        <v>9</v>
      </c>
      <c r="D1364">
        <v>22</v>
      </c>
      <c r="E1364">
        <v>85</v>
      </c>
      <c r="F1364">
        <v>9.1270000000000004E-2</v>
      </c>
      <c r="G1364">
        <v>0</v>
      </c>
      <c r="H1364" t="str">
        <f t="shared" si="63"/>
        <v>80-89</v>
      </c>
      <c r="I1364" t="str">
        <f t="shared" si="64"/>
        <v>20-29</v>
      </c>
      <c r="J1364">
        <f t="shared" si="65"/>
        <v>9.1270000000000004E-2</v>
      </c>
    </row>
    <row r="1365" spans="1:10">
      <c r="A1365" t="s">
        <v>1447</v>
      </c>
      <c r="B1365">
        <v>54</v>
      </c>
      <c r="C1365" t="s">
        <v>9</v>
      </c>
      <c r="D1365">
        <v>26</v>
      </c>
      <c r="E1365">
        <v>79</v>
      </c>
      <c r="F1365">
        <v>4.5769999999999998E-2</v>
      </c>
      <c r="G1365">
        <v>0</v>
      </c>
      <c r="H1365" t="str">
        <f t="shared" si="63"/>
        <v>70-79</v>
      </c>
      <c r="I1365" t="str">
        <f t="shared" si="64"/>
        <v>20-29</v>
      </c>
      <c r="J1365">
        <f t="shared" si="65"/>
        <v>4.5769999999999998E-2</v>
      </c>
    </row>
    <row r="1366" spans="1:10">
      <c r="A1366" t="s">
        <v>1448</v>
      </c>
      <c r="B1366">
        <v>24</v>
      </c>
      <c r="C1366" t="s">
        <v>9</v>
      </c>
      <c r="D1366">
        <v>6</v>
      </c>
      <c r="E1366">
        <v>29</v>
      </c>
      <c r="F1366">
        <v>4.6999999999999999E-4</v>
      </c>
      <c r="G1366">
        <v>0</v>
      </c>
      <c r="H1366" t="str">
        <f t="shared" si="63"/>
        <v>20-29</v>
      </c>
      <c r="I1366" t="str">
        <f t="shared" si="64"/>
        <v>0-9</v>
      </c>
      <c r="J1366">
        <f t="shared" si="65"/>
        <v>4.6999999999999999E-4</v>
      </c>
    </row>
    <row r="1367" spans="1:10">
      <c r="A1367" t="s">
        <v>1449</v>
      </c>
      <c r="B1367">
        <v>49</v>
      </c>
      <c r="C1367" t="s">
        <v>9</v>
      </c>
      <c r="D1367">
        <v>20</v>
      </c>
      <c r="E1367">
        <v>68</v>
      </c>
      <c r="F1367">
        <v>1.3780000000000001E-2</v>
      </c>
      <c r="G1367">
        <v>0</v>
      </c>
      <c r="H1367" t="str">
        <f t="shared" si="63"/>
        <v>60-69</v>
      </c>
      <c r="I1367" t="str">
        <f t="shared" si="64"/>
        <v>20-29</v>
      </c>
      <c r="J1367">
        <f t="shared" si="65"/>
        <v>1.3780000000000001E-2</v>
      </c>
    </row>
    <row r="1368" spans="1:10">
      <c r="A1368" t="s">
        <v>1450</v>
      </c>
      <c r="B1368">
        <v>51</v>
      </c>
      <c r="C1368" t="s">
        <v>9</v>
      </c>
      <c r="D1368">
        <v>7</v>
      </c>
      <c r="E1368">
        <v>57</v>
      </c>
      <c r="F1368">
        <v>3.6900000000000001E-3</v>
      </c>
      <c r="G1368">
        <v>0</v>
      </c>
      <c r="H1368" t="str">
        <f t="shared" si="63"/>
        <v>50-59</v>
      </c>
      <c r="I1368" t="str">
        <f t="shared" si="64"/>
        <v>0-9</v>
      </c>
      <c r="J1368">
        <f t="shared" si="65"/>
        <v>3.6900000000000001E-3</v>
      </c>
    </row>
    <row r="1369" spans="1:10">
      <c r="A1369" t="s">
        <v>1451</v>
      </c>
      <c r="B1369">
        <v>54</v>
      </c>
      <c r="C1369" t="s">
        <v>9</v>
      </c>
      <c r="D1369">
        <v>1</v>
      </c>
      <c r="E1369">
        <v>54</v>
      </c>
      <c r="F1369">
        <v>1.01E-3</v>
      </c>
      <c r="G1369">
        <v>0</v>
      </c>
      <c r="H1369" t="str">
        <f t="shared" si="63"/>
        <v>50-59</v>
      </c>
      <c r="I1369" t="str">
        <f t="shared" si="64"/>
        <v>0-9</v>
      </c>
      <c r="J1369">
        <f t="shared" si="65"/>
        <v>1.01E-3</v>
      </c>
    </row>
    <row r="1370" spans="1:10">
      <c r="A1370" t="s">
        <v>1452</v>
      </c>
      <c r="B1370">
        <v>37</v>
      </c>
      <c r="C1370" t="s">
        <v>7</v>
      </c>
      <c r="D1370">
        <v>5</v>
      </c>
      <c r="E1370">
        <v>41</v>
      </c>
      <c r="F1370">
        <v>6.3000000000000003E-4</v>
      </c>
      <c r="G1370">
        <v>0</v>
      </c>
      <c r="H1370" t="str">
        <f t="shared" si="63"/>
        <v>40-49</v>
      </c>
      <c r="I1370" t="str">
        <f t="shared" si="64"/>
        <v>0-9</v>
      </c>
      <c r="J1370">
        <f t="shared" si="65"/>
        <v>6.3000000000000003E-4</v>
      </c>
    </row>
    <row r="1371" spans="1:10">
      <c r="A1371" t="s">
        <v>1453</v>
      </c>
      <c r="B1371">
        <v>34</v>
      </c>
      <c r="C1371" t="s">
        <v>9</v>
      </c>
      <c r="D1371">
        <v>3</v>
      </c>
      <c r="E1371">
        <v>36</v>
      </c>
      <c r="F1371">
        <v>4.6999999999999999E-4</v>
      </c>
      <c r="G1371">
        <v>0</v>
      </c>
      <c r="H1371" t="str">
        <f t="shared" si="63"/>
        <v>30-39</v>
      </c>
      <c r="I1371" t="str">
        <f t="shared" si="64"/>
        <v>0-9</v>
      </c>
      <c r="J1371">
        <f t="shared" si="65"/>
        <v>4.6999999999999999E-4</v>
      </c>
    </row>
    <row r="1372" spans="1:10">
      <c r="A1372" t="s">
        <v>1454</v>
      </c>
      <c r="B1372">
        <v>41</v>
      </c>
      <c r="C1372" t="s">
        <v>9</v>
      </c>
      <c r="D1372">
        <v>14</v>
      </c>
      <c r="E1372">
        <v>54</v>
      </c>
      <c r="F1372">
        <v>3.2499999999999999E-3</v>
      </c>
      <c r="G1372">
        <v>0</v>
      </c>
      <c r="H1372" t="str">
        <f t="shared" si="63"/>
        <v>50-59</v>
      </c>
      <c r="I1372" t="str">
        <f t="shared" si="64"/>
        <v>10-19</v>
      </c>
      <c r="J1372">
        <f t="shared" si="65"/>
        <v>3.2499999999999999E-3</v>
      </c>
    </row>
    <row r="1373" spans="1:10">
      <c r="A1373" t="s">
        <v>1455</v>
      </c>
      <c r="B1373">
        <v>43</v>
      </c>
      <c r="C1373" t="s">
        <v>7</v>
      </c>
      <c r="D1373">
        <v>15</v>
      </c>
      <c r="E1373">
        <v>57</v>
      </c>
      <c r="F1373">
        <v>3.3700000000000002E-3</v>
      </c>
      <c r="G1373">
        <v>0</v>
      </c>
      <c r="H1373" t="str">
        <f t="shared" si="63"/>
        <v>50-59</v>
      </c>
      <c r="I1373" t="str">
        <f t="shared" si="64"/>
        <v>10-19</v>
      </c>
      <c r="J1373">
        <f t="shared" si="65"/>
        <v>3.3700000000000002E-3</v>
      </c>
    </row>
    <row r="1374" spans="1:10">
      <c r="A1374" t="s">
        <v>1456</v>
      </c>
      <c r="B1374">
        <v>25</v>
      </c>
      <c r="C1374" t="s">
        <v>7</v>
      </c>
      <c r="D1374">
        <v>27</v>
      </c>
      <c r="E1374">
        <v>51</v>
      </c>
      <c r="F1374">
        <v>2.0200000000000001E-3</v>
      </c>
      <c r="G1374">
        <v>0</v>
      </c>
      <c r="H1374" t="str">
        <f t="shared" si="63"/>
        <v>50-59</v>
      </c>
      <c r="I1374" t="str">
        <f t="shared" si="64"/>
        <v>20-29</v>
      </c>
      <c r="J1374">
        <f t="shared" si="65"/>
        <v>2.0200000000000001E-3</v>
      </c>
    </row>
    <row r="1375" spans="1:10">
      <c r="A1375" t="s">
        <v>1457</v>
      </c>
      <c r="B1375">
        <v>37</v>
      </c>
      <c r="C1375" t="s">
        <v>9</v>
      </c>
      <c r="D1375">
        <v>25</v>
      </c>
      <c r="E1375">
        <v>61</v>
      </c>
      <c r="F1375">
        <v>7.0200000000000002E-3</v>
      </c>
      <c r="G1375">
        <v>0</v>
      </c>
      <c r="H1375" t="str">
        <f t="shared" si="63"/>
        <v>60-69</v>
      </c>
      <c r="I1375" t="str">
        <f t="shared" si="64"/>
        <v>20-29</v>
      </c>
      <c r="J1375">
        <f t="shared" si="65"/>
        <v>7.0200000000000002E-3</v>
      </c>
    </row>
    <row r="1376" spans="1:10">
      <c r="A1376" t="s">
        <v>1458</v>
      </c>
      <c r="B1376">
        <v>31</v>
      </c>
      <c r="C1376" t="s">
        <v>7</v>
      </c>
      <c r="D1376">
        <v>7</v>
      </c>
      <c r="E1376">
        <v>37</v>
      </c>
      <c r="F1376">
        <v>4.8000000000000001E-4</v>
      </c>
      <c r="G1376">
        <v>0</v>
      </c>
      <c r="H1376" t="str">
        <f t="shared" si="63"/>
        <v>30-39</v>
      </c>
      <c r="I1376" t="str">
        <f t="shared" si="64"/>
        <v>0-9</v>
      </c>
      <c r="J1376">
        <f t="shared" si="65"/>
        <v>4.8000000000000001E-4</v>
      </c>
    </row>
    <row r="1377" spans="1:10">
      <c r="A1377" t="s">
        <v>1459</v>
      </c>
      <c r="B1377">
        <v>44</v>
      </c>
      <c r="C1377" t="s">
        <v>9</v>
      </c>
      <c r="D1377">
        <v>27</v>
      </c>
      <c r="E1377">
        <v>70</v>
      </c>
      <c r="F1377">
        <v>1.553E-2</v>
      </c>
      <c r="G1377">
        <v>0</v>
      </c>
      <c r="H1377" t="str">
        <f t="shared" si="63"/>
        <v>70-79</v>
      </c>
      <c r="I1377" t="str">
        <f t="shared" si="64"/>
        <v>20-29</v>
      </c>
      <c r="J1377">
        <f t="shared" si="65"/>
        <v>1.553E-2</v>
      </c>
    </row>
    <row r="1378" spans="1:10">
      <c r="A1378" t="s">
        <v>1460</v>
      </c>
      <c r="B1378">
        <v>65</v>
      </c>
      <c r="C1378" t="s">
        <v>9</v>
      </c>
      <c r="D1378">
        <v>8</v>
      </c>
      <c r="E1378">
        <v>72</v>
      </c>
      <c r="F1378">
        <v>1.4579999999999999E-2</v>
      </c>
      <c r="G1378">
        <v>0</v>
      </c>
      <c r="H1378" t="str">
        <f t="shared" si="63"/>
        <v>70-79</v>
      </c>
      <c r="I1378" t="str">
        <f t="shared" si="64"/>
        <v>0-9</v>
      </c>
      <c r="J1378">
        <f t="shared" si="65"/>
        <v>1.4579999999999999E-2</v>
      </c>
    </row>
    <row r="1379" spans="1:10">
      <c r="A1379" t="s">
        <v>1461</v>
      </c>
      <c r="B1379">
        <v>35</v>
      </c>
      <c r="C1379" t="s">
        <v>7</v>
      </c>
      <c r="D1379">
        <v>24</v>
      </c>
      <c r="E1379">
        <v>58</v>
      </c>
      <c r="F1379">
        <v>4.0499999999999998E-3</v>
      </c>
      <c r="G1379">
        <v>0</v>
      </c>
      <c r="H1379" t="str">
        <f t="shared" si="63"/>
        <v>50-59</v>
      </c>
      <c r="I1379" t="str">
        <f t="shared" si="64"/>
        <v>20-29</v>
      </c>
      <c r="J1379">
        <f t="shared" si="65"/>
        <v>4.0499999999999998E-3</v>
      </c>
    </row>
    <row r="1380" spans="1:10">
      <c r="A1380" t="s">
        <v>1462</v>
      </c>
      <c r="B1380">
        <v>26</v>
      </c>
      <c r="C1380" t="s">
        <v>7</v>
      </c>
      <c r="D1380">
        <v>17</v>
      </c>
      <c r="E1380">
        <v>42</v>
      </c>
      <c r="F1380">
        <v>1.08E-3</v>
      </c>
      <c r="G1380">
        <v>0</v>
      </c>
      <c r="H1380" t="str">
        <f t="shared" si="63"/>
        <v>40-49</v>
      </c>
      <c r="I1380" t="str">
        <f t="shared" si="64"/>
        <v>10-19</v>
      </c>
      <c r="J1380">
        <f t="shared" si="65"/>
        <v>1.08E-3</v>
      </c>
    </row>
    <row r="1381" spans="1:10">
      <c r="A1381" t="s">
        <v>1463</v>
      </c>
      <c r="B1381">
        <v>44</v>
      </c>
      <c r="C1381" t="s">
        <v>7</v>
      </c>
      <c r="D1381">
        <v>22</v>
      </c>
      <c r="E1381">
        <v>65</v>
      </c>
      <c r="F1381">
        <v>8.3099999999999997E-3</v>
      </c>
      <c r="G1381">
        <v>0</v>
      </c>
      <c r="H1381" t="str">
        <f t="shared" si="63"/>
        <v>60-69</v>
      </c>
      <c r="I1381" t="str">
        <f t="shared" si="64"/>
        <v>20-29</v>
      </c>
      <c r="J1381">
        <f t="shared" si="65"/>
        <v>8.3099999999999997E-3</v>
      </c>
    </row>
    <row r="1382" spans="1:10">
      <c r="A1382" t="s">
        <v>1464</v>
      </c>
      <c r="B1382">
        <v>30</v>
      </c>
      <c r="C1382" t="s">
        <v>7</v>
      </c>
      <c r="D1382">
        <v>21</v>
      </c>
      <c r="E1382">
        <v>50</v>
      </c>
      <c r="F1382">
        <v>2.0200000000000001E-3</v>
      </c>
      <c r="G1382">
        <v>0</v>
      </c>
      <c r="H1382" t="str">
        <f t="shared" si="63"/>
        <v>50-59</v>
      </c>
      <c r="I1382" t="str">
        <f t="shared" si="64"/>
        <v>20-29</v>
      </c>
      <c r="J1382">
        <f t="shared" si="65"/>
        <v>2.0200000000000001E-3</v>
      </c>
    </row>
    <row r="1383" spans="1:10">
      <c r="A1383" t="s">
        <v>1465</v>
      </c>
      <c r="B1383">
        <v>55</v>
      </c>
      <c r="C1383" t="s">
        <v>9</v>
      </c>
      <c r="D1383">
        <v>17</v>
      </c>
      <c r="E1383">
        <v>71</v>
      </c>
      <c r="F1383">
        <v>1.8769999999999998E-2</v>
      </c>
      <c r="G1383">
        <v>0</v>
      </c>
      <c r="H1383" t="str">
        <f t="shared" si="63"/>
        <v>70-79</v>
      </c>
      <c r="I1383" t="str">
        <f t="shared" si="64"/>
        <v>10-19</v>
      </c>
      <c r="J1383">
        <f t="shared" si="65"/>
        <v>1.8769999999999998E-2</v>
      </c>
    </row>
    <row r="1384" spans="1:10">
      <c r="A1384" t="s">
        <v>1466</v>
      </c>
      <c r="B1384">
        <v>39</v>
      </c>
      <c r="C1384" t="s">
        <v>9</v>
      </c>
      <c r="D1384">
        <v>7</v>
      </c>
      <c r="E1384">
        <v>45</v>
      </c>
      <c r="F1384">
        <v>1.16E-3</v>
      </c>
      <c r="G1384">
        <v>0</v>
      </c>
      <c r="H1384" t="str">
        <f t="shared" si="63"/>
        <v>40-49</v>
      </c>
      <c r="I1384" t="str">
        <f t="shared" si="64"/>
        <v>0-9</v>
      </c>
      <c r="J1384">
        <f t="shared" si="65"/>
        <v>1.16E-3</v>
      </c>
    </row>
    <row r="1385" spans="1:10">
      <c r="A1385" t="s">
        <v>1467</v>
      </c>
      <c r="B1385">
        <v>62</v>
      </c>
      <c r="C1385" t="s">
        <v>7</v>
      </c>
      <c r="D1385">
        <v>7</v>
      </c>
      <c r="E1385">
        <v>68</v>
      </c>
      <c r="F1385">
        <v>7.0200000000000002E-3</v>
      </c>
      <c r="G1385">
        <v>0</v>
      </c>
      <c r="H1385" t="str">
        <f t="shared" si="63"/>
        <v>60-69</v>
      </c>
      <c r="I1385" t="str">
        <f t="shared" si="64"/>
        <v>0-9</v>
      </c>
      <c r="J1385">
        <f t="shared" si="65"/>
        <v>7.0200000000000002E-3</v>
      </c>
    </row>
    <row r="1386" spans="1:10">
      <c r="A1386" t="s">
        <v>1468</v>
      </c>
      <c r="B1386">
        <v>47</v>
      </c>
      <c r="C1386" t="s">
        <v>9</v>
      </c>
      <c r="D1386">
        <v>11</v>
      </c>
      <c r="E1386">
        <v>57</v>
      </c>
      <c r="F1386">
        <v>4.1900000000000001E-3</v>
      </c>
      <c r="G1386">
        <v>0</v>
      </c>
      <c r="H1386" t="str">
        <f t="shared" si="63"/>
        <v>50-59</v>
      </c>
      <c r="I1386" t="str">
        <f t="shared" si="64"/>
        <v>10-19</v>
      </c>
      <c r="J1386">
        <f t="shared" si="65"/>
        <v>4.1900000000000001E-3</v>
      </c>
    </row>
    <row r="1387" spans="1:10">
      <c r="A1387" t="s">
        <v>1469</v>
      </c>
      <c r="B1387">
        <v>57</v>
      </c>
      <c r="C1387" t="s">
        <v>9</v>
      </c>
      <c r="D1387">
        <v>4</v>
      </c>
      <c r="E1387">
        <v>60</v>
      </c>
      <c r="F1387">
        <v>4.6899999999999997E-3</v>
      </c>
      <c r="G1387">
        <v>0</v>
      </c>
      <c r="H1387" t="str">
        <f t="shared" si="63"/>
        <v>60-69</v>
      </c>
      <c r="I1387" t="str">
        <f t="shared" si="64"/>
        <v>0-9</v>
      </c>
      <c r="J1387">
        <f t="shared" si="65"/>
        <v>4.6899999999999997E-3</v>
      </c>
    </row>
    <row r="1388" spans="1:10">
      <c r="A1388" t="s">
        <v>1470</v>
      </c>
      <c r="B1388">
        <v>22</v>
      </c>
      <c r="C1388" t="s">
        <v>7</v>
      </c>
      <c r="D1388">
        <v>19</v>
      </c>
      <c r="E1388">
        <v>40</v>
      </c>
      <c r="F1388">
        <v>1.1000000000000001E-3</v>
      </c>
      <c r="G1388">
        <v>0</v>
      </c>
      <c r="H1388" t="str">
        <f t="shared" si="63"/>
        <v>40-49</v>
      </c>
      <c r="I1388" t="str">
        <f t="shared" si="64"/>
        <v>10-19</v>
      </c>
      <c r="J1388">
        <f t="shared" si="65"/>
        <v>1.1000000000000001E-3</v>
      </c>
    </row>
    <row r="1389" spans="1:10">
      <c r="A1389" t="s">
        <v>1471</v>
      </c>
      <c r="B1389">
        <v>58</v>
      </c>
      <c r="C1389" t="s">
        <v>9</v>
      </c>
      <c r="D1389">
        <v>5</v>
      </c>
      <c r="E1389">
        <v>62</v>
      </c>
      <c r="F1389">
        <v>5.8500000000000002E-3</v>
      </c>
      <c r="G1389">
        <v>0</v>
      </c>
      <c r="H1389" t="str">
        <f t="shared" si="63"/>
        <v>60-69</v>
      </c>
      <c r="I1389" t="str">
        <f t="shared" si="64"/>
        <v>0-9</v>
      </c>
      <c r="J1389">
        <f t="shared" si="65"/>
        <v>5.8500000000000002E-3</v>
      </c>
    </row>
    <row r="1390" spans="1:10">
      <c r="A1390" t="s">
        <v>1472</v>
      </c>
      <c r="B1390">
        <v>30</v>
      </c>
      <c r="C1390" t="s">
        <v>9</v>
      </c>
      <c r="D1390">
        <v>16</v>
      </c>
      <c r="E1390">
        <v>45</v>
      </c>
      <c r="F1390">
        <v>1.67E-3</v>
      </c>
      <c r="G1390">
        <v>0</v>
      </c>
      <c r="H1390" t="str">
        <f t="shared" si="63"/>
        <v>40-49</v>
      </c>
      <c r="I1390" t="str">
        <f t="shared" si="64"/>
        <v>10-19</v>
      </c>
      <c r="J1390">
        <f t="shared" si="65"/>
        <v>1.67E-3</v>
      </c>
    </row>
    <row r="1391" spans="1:10">
      <c r="A1391" t="s">
        <v>1473</v>
      </c>
      <c r="B1391">
        <v>60</v>
      </c>
      <c r="C1391" t="s">
        <v>9</v>
      </c>
      <c r="D1391">
        <v>2</v>
      </c>
      <c r="E1391">
        <v>61</v>
      </c>
      <c r="F1391">
        <v>2.8600000000000001E-3</v>
      </c>
      <c r="G1391">
        <v>0</v>
      </c>
      <c r="H1391" t="str">
        <f t="shared" si="63"/>
        <v>60-69</v>
      </c>
      <c r="I1391" t="str">
        <f t="shared" si="64"/>
        <v>0-9</v>
      </c>
      <c r="J1391">
        <f t="shared" si="65"/>
        <v>2.8600000000000001E-3</v>
      </c>
    </row>
    <row r="1392" spans="1:10">
      <c r="A1392" t="s">
        <v>1474</v>
      </c>
      <c r="B1392">
        <v>64</v>
      </c>
      <c r="C1392" t="s">
        <v>7</v>
      </c>
      <c r="D1392">
        <v>18</v>
      </c>
      <c r="E1392">
        <v>81</v>
      </c>
      <c r="F1392">
        <v>4.3799999999999999E-2</v>
      </c>
      <c r="G1392">
        <v>0</v>
      </c>
      <c r="H1392" t="str">
        <f t="shared" si="63"/>
        <v>80-89</v>
      </c>
      <c r="I1392" t="str">
        <f t="shared" si="64"/>
        <v>10-19</v>
      </c>
      <c r="J1392">
        <f t="shared" si="65"/>
        <v>4.3799999999999999E-2</v>
      </c>
    </row>
    <row r="1393" spans="1:10">
      <c r="A1393" t="s">
        <v>1475</v>
      </c>
      <c r="B1393">
        <v>34</v>
      </c>
      <c r="C1393" t="s">
        <v>7</v>
      </c>
      <c r="D1393">
        <v>11</v>
      </c>
      <c r="E1393">
        <v>44</v>
      </c>
      <c r="F1393">
        <v>9.3000000000000005E-4</v>
      </c>
      <c r="G1393">
        <v>0</v>
      </c>
      <c r="H1393" t="str">
        <f t="shared" si="63"/>
        <v>40-49</v>
      </c>
      <c r="I1393" t="str">
        <f t="shared" si="64"/>
        <v>10-19</v>
      </c>
      <c r="J1393">
        <f t="shared" si="65"/>
        <v>9.3000000000000005E-4</v>
      </c>
    </row>
    <row r="1394" spans="1:10">
      <c r="A1394" t="s">
        <v>1476</v>
      </c>
      <c r="B1394">
        <v>42</v>
      </c>
      <c r="C1394" t="s">
        <v>7</v>
      </c>
      <c r="D1394">
        <v>26</v>
      </c>
      <c r="E1394">
        <v>67</v>
      </c>
      <c r="F1394">
        <v>1.027E-2</v>
      </c>
      <c r="G1394">
        <v>0</v>
      </c>
      <c r="H1394" t="str">
        <f t="shared" si="63"/>
        <v>60-69</v>
      </c>
      <c r="I1394" t="str">
        <f t="shared" si="64"/>
        <v>20-29</v>
      </c>
      <c r="J1394">
        <f t="shared" si="65"/>
        <v>1.027E-2</v>
      </c>
    </row>
    <row r="1395" spans="1:10">
      <c r="A1395" t="s">
        <v>1477</v>
      </c>
      <c r="B1395">
        <v>21</v>
      </c>
      <c r="C1395" t="s">
        <v>9</v>
      </c>
      <c r="D1395">
        <v>23</v>
      </c>
      <c r="E1395">
        <v>43</v>
      </c>
      <c r="F1395">
        <v>2.14E-3</v>
      </c>
      <c r="G1395">
        <v>0</v>
      </c>
      <c r="H1395" t="str">
        <f t="shared" si="63"/>
        <v>40-49</v>
      </c>
      <c r="I1395" t="str">
        <f t="shared" si="64"/>
        <v>20-29</v>
      </c>
      <c r="J1395">
        <f t="shared" si="65"/>
        <v>2.14E-3</v>
      </c>
    </row>
    <row r="1396" spans="1:10">
      <c r="A1396" t="s">
        <v>1478</v>
      </c>
      <c r="B1396">
        <v>36</v>
      </c>
      <c r="C1396" t="s">
        <v>9</v>
      </c>
      <c r="D1396">
        <v>29</v>
      </c>
      <c r="E1396">
        <v>64</v>
      </c>
      <c r="F1396">
        <v>7.0200000000000002E-3</v>
      </c>
      <c r="G1396">
        <v>0</v>
      </c>
      <c r="H1396" t="str">
        <f t="shared" si="63"/>
        <v>60-69</v>
      </c>
      <c r="I1396" t="str">
        <f t="shared" si="64"/>
        <v>20-29</v>
      </c>
      <c r="J1396">
        <f t="shared" si="65"/>
        <v>7.0200000000000002E-3</v>
      </c>
    </row>
    <row r="1397" spans="1:10">
      <c r="A1397" t="s">
        <v>1479</v>
      </c>
      <c r="B1397">
        <v>55</v>
      </c>
      <c r="C1397" t="s">
        <v>7</v>
      </c>
      <c r="D1397">
        <v>10</v>
      </c>
      <c r="E1397">
        <v>64</v>
      </c>
      <c r="F1397">
        <v>5.7999999999999996E-3</v>
      </c>
      <c r="G1397">
        <v>0</v>
      </c>
      <c r="H1397" t="str">
        <f t="shared" si="63"/>
        <v>60-69</v>
      </c>
      <c r="I1397" t="str">
        <f t="shared" si="64"/>
        <v>10-19</v>
      </c>
      <c r="J1397">
        <f t="shared" si="65"/>
        <v>5.7999999999999996E-3</v>
      </c>
    </row>
    <row r="1398" spans="1:10">
      <c r="A1398" t="s">
        <v>1480</v>
      </c>
      <c r="B1398">
        <v>56</v>
      </c>
      <c r="C1398" t="s">
        <v>7</v>
      </c>
      <c r="D1398">
        <v>6</v>
      </c>
      <c r="E1398">
        <v>61</v>
      </c>
      <c r="F1398">
        <v>3.7599999999999999E-3</v>
      </c>
      <c r="G1398">
        <v>0</v>
      </c>
      <c r="H1398" t="str">
        <f t="shared" si="63"/>
        <v>60-69</v>
      </c>
      <c r="I1398" t="str">
        <f t="shared" si="64"/>
        <v>0-9</v>
      </c>
      <c r="J1398">
        <f t="shared" si="65"/>
        <v>3.7599999999999999E-3</v>
      </c>
    </row>
    <row r="1399" spans="1:10">
      <c r="A1399" t="s">
        <v>1481</v>
      </c>
      <c r="B1399">
        <v>49</v>
      </c>
      <c r="C1399" t="s">
        <v>7</v>
      </c>
      <c r="D1399">
        <v>9</v>
      </c>
      <c r="E1399">
        <v>57</v>
      </c>
      <c r="F1399">
        <v>2.7499999999999998E-3</v>
      </c>
      <c r="G1399">
        <v>0</v>
      </c>
      <c r="H1399" t="str">
        <f t="shared" si="63"/>
        <v>50-59</v>
      </c>
      <c r="I1399" t="str">
        <f t="shared" si="64"/>
        <v>0-9</v>
      </c>
      <c r="J1399">
        <f t="shared" si="65"/>
        <v>2.7499999999999998E-3</v>
      </c>
    </row>
    <row r="1400" spans="1:10">
      <c r="A1400" t="s">
        <v>1482</v>
      </c>
      <c r="B1400">
        <v>55</v>
      </c>
      <c r="C1400" t="s">
        <v>9</v>
      </c>
      <c r="D1400">
        <v>6</v>
      </c>
      <c r="E1400">
        <v>60</v>
      </c>
      <c r="F1400">
        <v>5.0899999999999999E-3</v>
      </c>
      <c r="G1400">
        <v>0</v>
      </c>
      <c r="H1400" t="str">
        <f t="shared" si="63"/>
        <v>60-69</v>
      </c>
      <c r="I1400" t="str">
        <f t="shared" si="64"/>
        <v>0-9</v>
      </c>
      <c r="J1400">
        <f t="shared" si="65"/>
        <v>5.0899999999999999E-3</v>
      </c>
    </row>
    <row r="1401" spans="1:10">
      <c r="A1401" t="s">
        <v>1483</v>
      </c>
      <c r="B1401">
        <v>38</v>
      </c>
      <c r="C1401" t="s">
        <v>9</v>
      </c>
      <c r="D1401">
        <v>27</v>
      </c>
      <c r="E1401">
        <v>64</v>
      </c>
      <c r="F1401">
        <v>8.6599999999999993E-3</v>
      </c>
      <c r="G1401">
        <v>0</v>
      </c>
      <c r="H1401" t="str">
        <f t="shared" si="63"/>
        <v>60-69</v>
      </c>
      <c r="I1401" t="str">
        <f t="shared" si="64"/>
        <v>20-29</v>
      </c>
      <c r="J1401">
        <f t="shared" si="65"/>
        <v>8.6599999999999993E-3</v>
      </c>
    </row>
    <row r="1402" spans="1:10">
      <c r="A1402" t="s">
        <v>1484</v>
      </c>
      <c r="B1402">
        <v>20</v>
      </c>
      <c r="C1402" t="s">
        <v>7</v>
      </c>
      <c r="D1402">
        <v>25</v>
      </c>
      <c r="E1402">
        <v>44</v>
      </c>
      <c r="F1402">
        <v>1.33E-3</v>
      </c>
      <c r="G1402">
        <v>0</v>
      </c>
      <c r="H1402" t="str">
        <f t="shared" si="63"/>
        <v>40-49</v>
      </c>
      <c r="I1402" t="str">
        <f t="shared" si="64"/>
        <v>20-29</v>
      </c>
      <c r="J1402">
        <f t="shared" si="65"/>
        <v>1.33E-3</v>
      </c>
    </row>
    <row r="1403" spans="1:10">
      <c r="A1403" t="s">
        <v>1485</v>
      </c>
      <c r="B1403">
        <v>31</v>
      </c>
      <c r="C1403" t="s">
        <v>9</v>
      </c>
      <c r="D1403">
        <v>29</v>
      </c>
      <c r="E1403">
        <v>59</v>
      </c>
      <c r="F1403">
        <v>4.3899999999999998E-3</v>
      </c>
      <c r="G1403">
        <v>0</v>
      </c>
      <c r="H1403" t="str">
        <f t="shared" si="63"/>
        <v>50-59</v>
      </c>
      <c r="I1403" t="str">
        <f t="shared" si="64"/>
        <v>20-29</v>
      </c>
      <c r="J1403">
        <f t="shared" si="65"/>
        <v>4.3899999999999998E-3</v>
      </c>
    </row>
    <row r="1404" spans="1:10">
      <c r="A1404" t="s">
        <v>1486</v>
      </c>
      <c r="B1404">
        <v>59</v>
      </c>
      <c r="C1404" t="s">
        <v>9</v>
      </c>
      <c r="D1404">
        <v>8</v>
      </c>
      <c r="E1404">
        <v>66</v>
      </c>
      <c r="F1404">
        <v>0.01</v>
      </c>
      <c r="G1404">
        <v>0</v>
      </c>
      <c r="H1404" t="str">
        <f t="shared" si="63"/>
        <v>60-69</v>
      </c>
      <c r="I1404" t="str">
        <f t="shared" si="64"/>
        <v>0-9</v>
      </c>
      <c r="J1404">
        <f t="shared" si="65"/>
        <v>0.01</v>
      </c>
    </row>
    <row r="1405" spans="1:10">
      <c r="A1405" t="s">
        <v>1487</v>
      </c>
      <c r="B1405">
        <v>54</v>
      </c>
      <c r="C1405" t="s">
        <v>9</v>
      </c>
      <c r="D1405">
        <v>27</v>
      </c>
      <c r="E1405">
        <v>80</v>
      </c>
      <c r="F1405">
        <v>4.5769999999999998E-2</v>
      </c>
      <c r="G1405">
        <v>0</v>
      </c>
      <c r="H1405" t="str">
        <f t="shared" si="63"/>
        <v>80-89</v>
      </c>
      <c r="I1405" t="str">
        <f t="shared" si="64"/>
        <v>20-29</v>
      </c>
      <c r="J1405">
        <f t="shared" si="65"/>
        <v>4.5769999999999998E-2</v>
      </c>
    </row>
    <row r="1406" spans="1:10">
      <c r="A1406" t="s">
        <v>1488</v>
      </c>
      <c r="B1406">
        <v>51</v>
      </c>
      <c r="C1406" t="s">
        <v>7</v>
      </c>
      <c r="D1406">
        <v>25</v>
      </c>
      <c r="E1406">
        <v>75</v>
      </c>
      <c r="F1406">
        <v>2.325E-2</v>
      </c>
      <c r="G1406">
        <v>0</v>
      </c>
      <c r="H1406" t="str">
        <f t="shared" si="63"/>
        <v>70-79</v>
      </c>
      <c r="I1406" t="str">
        <f t="shared" si="64"/>
        <v>20-29</v>
      </c>
      <c r="J1406">
        <f t="shared" si="65"/>
        <v>2.325E-2</v>
      </c>
    </row>
    <row r="1407" spans="1:10">
      <c r="A1407" t="s">
        <v>1489</v>
      </c>
      <c r="B1407">
        <v>40</v>
      </c>
      <c r="C1407" t="s">
        <v>7</v>
      </c>
      <c r="D1407">
        <v>14</v>
      </c>
      <c r="E1407">
        <v>53</v>
      </c>
      <c r="F1407">
        <v>2.2799999999999999E-3</v>
      </c>
      <c r="G1407">
        <v>0</v>
      </c>
      <c r="H1407" t="str">
        <f t="shared" si="63"/>
        <v>50-59</v>
      </c>
      <c r="I1407" t="str">
        <f t="shared" si="64"/>
        <v>10-19</v>
      </c>
      <c r="J1407">
        <f t="shared" si="65"/>
        <v>2.2799999999999999E-3</v>
      </c>
    </row>
    <row r="1408" spans="1:10">
      <c r="A1408" t="s">
        <v>1490</v>
      </c>
      <c r="B1408">
        <v>53</v>
      </c>
      <c r="C1408" t="s">
        <v>9</v>
      </c>
      <c r="D1408">
        <v>22</v>
      </c>
      <c r="E1408">
        <v>74</v>
      </c>
      <c r="F1408">
        <v>2.657E-2</v>
      </c>
      <c r="G1408">
        <v>0</v>
      </c>
      <c r="H1408" t="str">
        <f t="shared" si="63"/>
        <v>70-79</v>
      </c>
      <c r="I1408" t="str">
        <f t="shared" si="64"/>
        <v>20-29</v>
      </c>
      <c r="J1408">
        <f t="shared" si="65"/>
        <v>2.657E-2</v>
      </c>
    </row>
    <row r="1409" spans="1:10">
      <c r="A1409" t="s">
        <v>1491</v>
      </c>
      <c r="B1409">
        <v>28</v>
      </c>
      <c r="C1409" t="s">
        <v>7</v>
      </c>
      <c r="D1409">
        <v>6</v>
      </c>
      <c r="E1409">
        <v>33</v>
      </c>
      <c r="F1409">
        <v>2.9999999999999997E-4</v>
      </c>
      <c r="G1409">
        <v>0</v>
      </c>
      <c r="H1409" t="str">
        <f t="shared" si="63"/>
        <v>30-39</v>
      </c>
      <c r="I1409" t="str">
        <f t="shared" si="64"/>
        <v>0-9</v>
      </c>
      <c r="J1409">
        <f t="shared" si="65"/>
        <v>2.9999999999999997E-4</v>
      </c>
    </row>
    <row r="1410" spans="1:10">
      <c r="A1410" t="s">
        <v>1492</v>
      </c>
      <c r="B1410">
        <v>51</v>
      </c>
      <c r="C1410" t="s">
        <v>9</v>
      </c>
      <c r="D1410">
        <v>7</v>
      </c>
      <c r="E1410">
        <v>57</v>
      </c>
      <c r="F1410">
        <v>3.6900000000000001E-3</v>
      </c>
      <c r="G1410">
        <v>0</v>
      </c>
      <c r="H1410" t="str">
        <f t="shared" si="63"/>
        <v>50-59</v>
      </c>
      <c r="I1410" t="str">
        <f t="shared" si="64"/>
        <v>0-9</v>
      </c>
      <c r="J1410">
        <f t="shared" si="65"/>
        <v>3.6900000000000001E-3</v>
      </c>
    </row>
    <row r="1411" spans="1:10">
      <c r="A1411" t="s">
        <v>1493</v>
      </c>
      <c r="B1411">
        <v>44</v>
      </c>
      <c r="C1411" t="s">
        <v>9</v>
      </c>
      <c r="D1411">
        <v>22</v>
      </c>
      <c r="E1411">
        <v>65</v>
      </c>
      <c r="F1411">
        <v>1.03E-2</v>
      </c>
      <c r="G1411">
        <v>0</v>
      </c>
      <c r="H1411" t="str">
        <f t="shared" ref="H1411:H1474" si="66">FLOOR(E1411,10) &amp; "-" &amp; FLOOR(E1411,10)+9</f>
        <v>60-69</v>
      </c>
      <c r="I1411" t="str">
        <f t="shared" ref="I1411:I1474" si="67">FLOOR(D1411, 10) &amp; "-"&amp;FLOOR(D1411, 10)+9</f>
        <v>20-29</v>
      </c>
      <c r="J1411">
        <f t="shared" ref="J1411:J1474" si="68">F1411</f>
        <v>1.03E-2</v>
      </c>
    </row>
    <row r="1412" spans="1:10">
      <c r="A1412" t="s">
        <v>1494</v>
      </c>
      <c r="B1412">
        <v>57</v>
      </c>
      <c r="C1412" t="s">
        <v>9</v>
      </c>
      <c r="D1412">
        <v>9</v>
      </c>
      <c r="E1412">
        <v>65</v>
      </c>
      <c r="F1412">
        <v>9.5200000000000007E-3</v>
      </c>
      <c r="G1412">
        <v>0</v>
      </c>
      <c r="H1412" t="str">
        <f t="shared" si="66"/>
        <v>60-69</v>
      </c>
      <c r="I1412" t="str">
        <f t="shared" si="67"/>
        <v>0-9</v>
      </c>
      <c r="J1412">
        <f t="shared" si="68"/>
        <v>9.5200000000000007E-3</v>
      </c>
    </row>
    <row r="1413" spans="1:10">
      <c r="A1413" t="s">
        <v>1495</v>
      </c>
      <c r="B1413">
        <v>65</v>
      </c>
      <c r="C1413" t="s">
        <v>9</v>
      </c>
      <c r="D1413">
        <v>3</v>
      </c>
      <c r="E1413">
        <v>67</v>
      </c>
      <c r="F1413">
        <v>6.3400000000000001E-3</v>
      </c>
      <c r="G1413">
        <v>0</v>
      </c>
      <c r="H1413" t="str">
        <f t="shared" si="66"/>
        <v>60-69</v>
      </c>
      <c r="I1413" t="str">
        <f t="shared" si="67"/>
        <v>0-9</v>
      </c>
      <c r="J1413">
        <f t="shared" si="68"/>
        <v>6.3400000000000001E-3</v>
      </c>
    </row>
    <row r="1414" spans="1:10">
      <c r="A1414" t="s">
        <v>1496</v>
      </c>
      <c r="B1414">
        <v>61</v>
      </c>
      <c r="C1414" t="s">
        <v>7</v>
      </c>
      <c r="D1414">
        <v>16</v>
      </c>
      <c r="E1414">
        <v>76</v>
      </c>
      <c r="F1414">
        <v>2.2679999999999999E-2</v>
      </c>
      <c r="G1414">
        <v>0</v>
      </c>
      <c r="H1414" t="str">
        <f t="shared" si="66"/>
        <v>70-79</v>
      </c>
      <c r="I1414" t="str">
        <f t="shared" si="67"/>
        <v>10-19</v>
      </c>
      <c r="J1414">
        <f t="shared" si="68"/>
        <v>2.2679999999999999E-2</v>
      </c>
    </row>
    <row r="1415" spans="1:10">
      <c r="A1415" t="s">
        <v>1497</v>
      </c>
      <c r="B1415">
        <v>49</v>
      </c>
      <c r="C1415" t="s">
        <v>7</v>
      </c>
      <c r="D1415">
        <v>26</v>
      </c>
      <c r="E1415">
        <v>74</v>
      </c>
      <c r="F1415">
        <v>2.0979999999999999E-2</v>
      </c>
      <c r="G1415">
        <v>0</v>
      </c>
      <c r="H1415" t="str">
        <f t="shared" si="66"/>
        <v>70-79</v>
      </c>
      <c r="I1415" t="str">
        <f t="shared" si="67"/>
        <v>20-29</v>
      </c>
      <c r="J1415">
        <f t="shared" si="68"/>
        <v>2.0979999999999999E-2</v>
      </c>
    </row>
    <row r="1416" spans="1:10">
      <c r="A1416" t="s">
        <v>1498</v>
      </c>
      <c r="B1416">
        <v>46</v>
      </c>
      <c r="C1416" t="s">
        <v>9</v>
      </c>
      <c r="D1416">
        <v>27</v>
      </c>
      <c r="E1416">
        <v>72</v>
      </c>
      <c r="F1416">
        <v>1.9089999999999999E-2</v>
      </c>
      <c r="G1416">
        <v>0</v>
      </c>
      <c r="H1416" t="str">
        <f t="shared" si="66"/>
        <v>70-79</v>
      </c>
      <c r="I1416" t="str">
        <f t="shared" si="67"/>
        <v>20-29</v>
      </c>
      <c r="J1416">
        <f t="shared" si="68"/>
        <v>1.9089999999999999E-2</v>
      </c>
    </row>
    <row r="1417" spans="1:10">
      <c r="A1417" t="s">
        <v>1499</v>
      </c>
      <c r="B1417">
        <v>59</v>
      </c>
      <c r="C1417" t="s">
        <v>7</v>
      </c>
      <c r="D1417">
        <v>9</v>
      </c>
      <c r="E1417">
        <v>67</v>
      </c>
      <c r="F1417">
        <v>7.0400000000000003E-3</v>
      </c>
      <c r="G1417">
        <v>0</v>
      </c>
      <c r="H1417" t="str">
        <f t="shared" si="66"/>
        <v>60-69</v>
      </c>
      <c r="I1417" t="str">
        <f t="shared" si="67"/>
        <v>0-9</v>
      </c>
      <c r="J1417">
        <f t="shared" si="68"/>
        <v>7.0400000000000003E-3</v>
      </c>
    </row>
    <row r="1418" spans="1:10">
      <c r="A1418" t="s">
        <v>1500</v>
      </c>
      <c r="B1418">
        <v>39</v>
      </c>
      <c r="C1418" t="s">
        <v>7</v>
      </c>
      <c r="D1418">
        <v>3</v>
      </c>
      <c r="E1418">
        <v>41</v>
      </c>
      <c r="F1418">
        <v>4.8000000000000001E-4</v>
      </c>
      <c r="G1418">
        <v>0</v>
      </c>
      <c r="H1418" t="str">
        <f t="shared" si="66"/>
        <v>40-49</v>
      </c>
      <c r="I1418" t="str">
        <f t="shared" si="67"/>
        <v>0-9</v>
      </c>
      <c r="J1418">
        <f t="shared" si="68"/>
        <v>4.8000000000000001E-4</v>
      </c>
    </row>
    <row r="1419" spans="1:10">
      <c r="A1419" t="s">
        <v>1501</v>
      </c>
      <c r="B1419">
        <v>26</v>
      </c>
      <c r="C1419" t="s">
        <v>7</v>
      </c>
      <c r="D1419">
        <v>4</v>
      </c>
      <c r="E1419">
        <v>29</v>
      </c>
      <c r="F1419">
        <v>2.2000000000000001E-4</v>
      </c>
      <c r="G1419">
        <v>0</v>
      </c>
      <c r="H1419" t="str">
        <f t="shared" si="66"/>
        <v>20-29</v>
      </c>
      <c r="I1419" t="str">
        <f t="shared" si="67"/>
        <v>0-9</v>
      </c>
      <c r="J1419">
        <f t="shared" si="68"/>
        <v>2.2000000000000001E-4</v>
      </c>
    </row>
    <row r="1420" spans="1:10">
      <c r="A1420" t="s">
        <v>1502</v>
      </c>
      <c r="B1420">
        <v>32</v>
      </c>
      <c r="C1420" t="s">
        <v>7</v>
      </c>
      <c r="D1420">
        <v>7</v>
      </c>
      <c r="E1420">
        <v>38</v>
      </c>
      <c r="F1420">
        <v>5.2999999999999998E-4</v>
      </c>
      <c r="G1420">
        <v>0</v>
      </c>
      <c r="H1420" t="str">
        <f t="shared" si="66"/>
        <v>30-39</v>
      </c>
      <c r="I1420" t="str">
        <f t="shared" si="67"/>
        <v>0-9</v>
      </c>
      <c r="J1420">
        <f t="shared" si="68"/>
        <v>5.2999999999999998E-4</v>
      </c>
    </row>
    <row r="1421" spans="1:10">
      <c r="A1421" t="s">
        <v>1503</v>
      </c>
      <c r="B1421">
        <v>60</v>
      </c>
      <c r="C1421" t="s">
        <v>7</v>
      </c>
      <c r="D1421">
        <v>6</v>
      </c>
      <c r="E1421">
        <v>65</v>
      </c>
      <c r="F1421">
        <v>5.6299999999999996E-3</v>
      </c>
      <c r="G1421">
        <v>0</v>
      </c>
      <c r="H1421" t="str">
        <f t="shared" si="66"/>
        <v>60-69</v>
      </c>
      <c r="I1421" t="str">
        <f t="shared" si="67"/>
        <v>0-9</v>
      </c>
      <c r="J1421">
        <f t="shared" si="68"/>
        <v>5.6299999999999996E-3</v>
      </c>
    </row>
    <row r="1422" spans="1:10">
      <c r="A1422" t="s">
        <v>1504</v>
      </c>
      <c r="B1422">
        <v>26</v>
      </c>
      <c r="C1422" t="s">
        <v>7</v>
      </c>
      <c r="D1422">
        <v>25</v>
      </c>
      <c r="E1422">
        <v>50</v>
      </c>
      <c r="F1422">
        <v>2.0200000000000001E-3</v>
      </c>
      <c r="G1422">
        <v>0</v>
      </c>
      <c r="H1422" t="str">
        <f t="shared" si="66"/>
        <v>50-59</v>
      </c>
      <c r="I1422" t="str">
        <f t="shared" si="67"/>
        <v>20-29</v>
      </c>
      <c r="J1422">
        <f t="shared" si="68"/>
        <v>2.0200000000000001E-3</v>
      </c>
    </row>
    <row r="1423" spans="1:10">
      <c r="A1423" t="s">
        <v>1505</v>
      </c>
      <c r="B1423">
        <v>49</v>
      </c>
      <c r="C1423" t="s">
        <v>7</v>
      </c>
      <c r="D1423">
        <v>23</v>
      </c>
      <c r="E1423">
        <v>71</v>
      </c>
      <c r="F1423">
        <v>1.553E-2</v>
      </c>
      <c r="G1423">
        <v>0</v>
      </c>
      <c r="H1423" t="str">
        <f t="shared" si="66"/>
        <v>70-79</v>
      </c>
      <c r="I1423" t="str">
        <f t="shared" si="67"/>
        <v>20-29</v>
      </c>
      <c r="J1423">
        <f t="shared" si="68"/>
        <v>1.553E-2</v>
      </c>
    </row>
    <row r="1424" spans="1:10">
      <c r="A1424" t="s">
        <v>1506</v>
      </c>
      <c r="B1424">
        <v>30</v>
      </c>
      <c r="C1424" t="s">
        <v>9</v>
      </c>
      <c r="D1424">
        <v>26</v>
      </c>
      <c r="E1424">
        <v>55</v>
      </c>
      <c r="F1424">
        <v>4.0499999999999998E-3</v>
      </c>
      <c r="G1424">
        <v>0</v>
      </c>
      <c r="H1424" t="str">
        <f t="shared" si="66"/>
        <v>50-59</v>
      </c>
      <c r="I1424" t="str">
        <f t="shared" si="67"/>
        <v>20-29</v>
      </c>
      <c r="J1424">
        <f t="shared" si="68"/>
        <v>4.0499999999999998E-3</v>
      </c>
    </row>
    <row r="1425" spans="1:10">
      <c r="A1425" t="s">
        <v>1507</v>
      </c>
      <c r="B1425">
        <v>41</v>
      </c>
      <c r="C1425" t="s">
        <v>9</v>
      </c>
      <c r="D1425">
        <v>22</v>
      </c>
      <c r="E1425">
        <v>62</v>
      </c>
      <c r="F1425">
        <v>7.7400000000000004E-3</v>
      </c>
      <c r="G1425">
        <v>0</v>
      </c>
      <c r="H1425" t="str">
        <f t="shared" si="66"/>
        <v>60-69</v>
      </c>
      <c r="I1425" t="str">
        <f t="shared" si="67"/>
        <v>20-29</v>
      </c>
      <c r="J1425">
        <f t="shared" si="68"/>
        <v>7.7400000000000004E-3</v>
      </c>
    </row>
    <row r="1426" spans="1:10">
      <c r="A1426" t="s">
        <v>1508</v>
      </c>
      <c r="B1426">
        <v>48</v>
      </c>
      <c r="C1426" t="s">
        <v>9</v>
      </c>
      <c r="D1426">
        <v>30</v>
      </c>
      <c r="E1426">
        <v>77</v>
      </c>
      <c r="F1426">
        <v>2.3939999999999999E-2</v>
      </c>
      <c r="G1426">
        <v>0</v>
      </c>
      <c r="H1426" t="str">
        <f t="shared" si="66"/>
        <v>70-79</v>
      </c>
      <c r="I1426" t="str">
        <f t="shared" si="67"/>
        <v>30-39</v>
      </c>
      <c r="J1426">
        <f t="shared" si="68"/>
        <v>2.3939999999999999E-2</v>
      </c>
    </row>
    <row r="1427" spans="1:10">
      <c r="A1427" t="s">
        <v>1509</v>
      </c>
      <c r="B1427">
        <v>40</v>
      </c>
      <c r="C1427" t="s">
        <v>9</v>
      </c>
      <c r="D1427">
        <v>28</v>
      </c>
      <c r="E1427">
        <v>67</v>
      </c>
      <c r="F1427">
        <v>1.064E-2</v>
      </c>
      <c r="G1427">
        <v>0</v>
      </c>
      <c r="H1427" t="str">
        <f t="shared" si="66"/>
        <v>60-69</v>
      </c>
      <c r="I1427" t="str">
        <f t="shared" si="67"/>
        <v>20-29</v>
      </c>
      <c r="J1427">
        <f t="shared" si="68"/>
        <v>1.064E-2</v>
      </c>
    </row>
    <row r="1428" spans="1:10">
      <c r="A1428" t="s">
        <v>1510</v>
      </c>
      <c r="B1428">
        <v>47</v>
      </c>
      <c r="C1428" t="s">
        <v>7</v>
      </c>
      <c r="D1428">
        <v>27</v>
      </c>
      <c r="E1428">
        <v>73</v>
      </c>
      <c r="F1428">
        <v>1.7170000000000001E-2</v>
      </c>
      <c r="G1428">
        <v>0</v>
      </c>
      <c r="H1428" t="str">
        <f t="shared" si="66"/>
        <v>70-79</v>
      </c>
      <c r="I1428" t="str">
        <f t="shared" si="67"/>
        <v>20-29</v>
      </c>
      <c r="J1428">
        <f t="shared" si="68"/>
        <v>1.7170000000000001E-2</v>
      </c>
    </row>
    <row r="1429" spans="1:10">
      <c r="A1429" t="s">
        <v>1511</v>
      </c>
      <c r="B1429">
        <v>56</v>
      </c>
      <c r="C1429" t="s">
        <v>9</v>
      </c>
      <c r="D1429">
        <v>18</v>
      </c>
      <c r="E1429">
        <v>73</v>
      </c>
      <c r="F1429">
        <v>2.3859999999999999E-2</v>
      </c>
      <c r="G1429">
        <v>0</v>
      </c>
      <c r="H1429" t="str">
        <f t="shared" si="66"/>
        <v>70-79</v>
      </c>
      <c r="I1429" t="str">
        <f t="shared" si="67"/>
        <v>10-19</v>
      </c>
      <c r="J1429">
        <f t="shared" si="68"/>
        <v>2.3859999999999999E-2</v>
      </c>
    </row>
    <row r="1430" spans="1:10">
      <c r="A1430" t="s">
        <v>1512</v>
      </c>
      <c r="B1430">
        <v>36</v>
      </c>
      <c r="C1430" t="s">
        <v>7</v>
      </c>
      <c r="D1430">
        <v>12</v>
      </c>
      <c r="E1430">
        <v>47</v>
      </c>
      <c r="F1430">
        <v>1.2700000000000001E-3</v>
      </c>
      <c r="G1430">
        <v>0</v>
      </c>
      <c r="H1430" t="str">
        <f t="shared" si="66"/>
        <v>40-49</v>
      </c>
      <c r="I1430" t="str">
        <f t="shared" si="67"/>
        <v>10-19</v>
      </c>
      <c r="J1430">
        <f t="shared" si="68"/>
        <v>1.2700000000000001E-3</v>
      </c>
    </row>
    <row r="1431" spans="1:10">
      <c r="A1431" t="s">
        <v>1513</v>
      </c>
      <c r="B1431">
        <v>45</v>
      </c>
      <c r="C1431" t="s">
        <v>7</v>
      </c>
      <c r="D1431">
        <v>1</v>
      </c>
      <c r="E1431">
        <v>45</v>
      </c>
      <c r="F1431">
        <v>3.1E-4</v>
      </c>
      <c r="G1431">
        <v>0</v>
      </c>
      <c r="H1431" t="str">
        <f t="shared" si="66"/>
        <v>40-49</v>
      </c>
      <c r="I1431" t="str">
        <f t="shared" si="67"/>
        <v>0-9</v>
      </c>
      <c r="J1431">
        <f t="shared" si="68"/>
        <v>3.1E-4</v>
      </c>
    </row>
    <row r="1432" spans="1:10">
      <c r="A1432" t="s">
        <v>1514</v>
      </c>
      <c r="B1432">
        <v>58</v>
      </c>
      <c r="C1432" t="s">
        <v>7</v>
      </c>
      <c r="D1432">
        <v>1</v>
      </c>
      <c r="E1432">
        <v>58</v>
      </c>
      <c r="F1432">
        <v>6.2E-4</v>
      </c>
      <c r="G1432">
        <v>0</v>
      </c>
      <c r="H1432" t="str">
        <f t="shared" si="66"/>
        <v>50-59</v>
      </c>
      <c r="I1432" t="str">
        <f t="shared" si="67"/>
        <v>0-9</v>
      </c>
      <c r="J1432">
        <f t="shared" si="68"/>
        <v>6.2E-4</v>
      </c>
    </row>
    <row r="1433" spans="1:10">
      <c r="A1433" t="s">
        <v>1515</v>
      </c>
      <c r="B1433">
        <v>39</v>
      </c>
      <c r="C1433" t="s">
        <v>9</v>
      </c>
      <c r="D1433">
        <v>1</v>
      </c>
      <c r="E1433">
        <v>39</v>
      </c>
      <c r="F1433">
        <v>2.9E-4</v>
      </c>
      <c r="G1433">
        <v>0</v>
      </c>
      <c r="H1433" t="str">
        <f t="shared" si="66"/>
        <v>30-39</v>
      </c>
      <c r="I1433" t="str">
        <f t="shared" si="67"/>
        <v>0-9</v>
      </c>
      <c r="J1433">
        <f t="shared" si="68"/>
        <v>2.9E-4</v>
      </c>
    </row>
    <row r="1434" spans="1:10">
      <c r="A1434" t="s">
        <v>1516</v>
      </c>
      <c r="B1434">
        <v>40</v>
      </c>
      <c r="C1434" t="s">
        <v>7</v>
      </c>
      <c r="D1434">
        <v>1</v>
      </c>
      <c r="E1434">
        <v>40</v>
      </c>
      <c r="F1434">
        <v>2.3000000000000001E-4</v>
      </c>
      <c r="G1434">
        <v>0</v>
      </c>
      <c r="H1434" t="str">
        <f t="shared" si="66"/>
        <v>40-49</v>
      </c>
      <c r="I1434" t="str">
        <f t="shared" si="67"/>
        <v>0-9</v>
      </c>
      <c r="J1434">
        <f t="shared" si="68"/>
        <v>2.3000000000000001E-4</v>
      </c>
    </row>
    <row r="1435" spans="1:10">
      <c r="A1435" t="s">
        <v>1517</v>
      </c>
      <c r="B1435">
        <v>37</v>
      </c>
      <c r="C1435" t="s">
        <v>7</v>
      </c>
      <c r="D1435">
        <v>30</v>
      </c>
      <c r="E1435">
        <v>66</v>
      </c>
      <c r="F1435">
        <v>6.0499999999999998E-3</v>
      </c>
      <c r="G1435">
        <v>0</v>
      </c>
      <c r="H1435" t="str">
        <f t="shared" si="66"/>
        <v>60-69</v>
      </c>
      <c r="I1435" t="str">
        <f t="shared" si="67"/>
        <v>30-39</v>
      </c>
      <c r="J1435">
        <f t="shared" si="68"/>
        <v>6.0499999999999998E-3</v>
      </c>
    </row>
    <row r="1436" spans="1:10">
      <c r="A1436" t="s">
        <v>1518</v>
      </c>
      <c r="B1436">
        <v>56</v>
      </c>
      <c r="C1436" t="s">
        <v>9</v>
      </c>
      <c r="D1436">
        <v>5</v>
      </c>
      <c r="E1436">
        <v>60</v>
      </c>
      <c r="F1436">
        <v>4.8900000000000002E-3</v>
      </c>
      <c r="G1436">
        <v>0</v>
      </c>
      <c r="H1436" t="str">
        <f t="shared" si="66"/>
        <v>60-69</v>
      </c>
      <c r="I1436" t="str">
        <f t="shared" si="67"/>
        <v>0-9</v>
      </c>
      <c r="J1436">
        <f t="shared" si="68"/>
        <v>4.8900000000000002E-3</v>
      </c>
    </row>
    <row r="1437" spans="1:10">
      <c r="A1437" t="s">
        <v>1519</v>
      </c>
      <c r="B1437">
        <v>29</v>
      </c>
      <c r="C1437" t="s">
        <v>9</v>
      </c>
      <c r="D1437">
        <v>5</v>
      </c>
      <c r="E1437">
        <v>33</v>
      </c>
      <c r="F1437">
        <v>4.6000000000000001E-4</v>
      </c>
      <c r="G1437">
        <v>0</v>
      </c>
      <c r="H1437" t="str">
        <f t="shared" si="66"/>
        <v>30-39</v>
      </c>
      <c r="I1437" t="str">
        <f t="shared" si="67"/>
        <v>0-9</v>
      </c>
      <c r="J1437">
        <f t="shared" si="68"/>
        <v>4.6000000000000001E-4</v>
      </c>
    </row>
    <row r="1438" spans="1:10">
      <c r="A1438" t="s">
        <v>1520</v>
      </c>
      <c r="B1438">
        <v>35</v>
      </c>
      <c r="C1438" t="s">
        <v>9</v>
      </c>
      <c r="D1438">
        <v>8</v>
      </c>
      <c r="E1438">
        <v>42</v>
      </c>
      <c r="F1438">
        <v>1.0200000000000001E-3</v>
      </c>
      <c r="G1438">
        <v>0</v>
      </c>
      <c r="H1438" t="str">
        <f t="shared" si="66"/>
        <v>40-49</v>
      </c>
      <c r="I1438" t="str">
        <f t="shared" si="67"/>
        <v>0-9</v>
      </c>
      <c r="J1438">
        <f t="shared" si="68"/>
        <v>1.0200000000000001E-3</v>
      </c>
    </row>
    <row r="1439" spans="1:10">
      <c r="A1439" t="s">
        <v>1521</v>
      </c>
      <c r="B1439">
        <v>56</v>
      </c>
      <c r="C1439" t="s">
        <v>7</v>
      </c>
      <c r="D1439">
        <v>13</v>
      </c>
      <c r="E1439">
        <v>68</v>
      </c>
      <c r="F1439">
        <v>9.1299999999999992E-3</v>
      </c>
      <c r="G1439">
        <v>0</v>
      </c>
      <c r="H1439" t="str">
        <f t="shared" si="66"/>
        <v>60-69</v>
      </c>
      <c r="I1439" t="str">
        <f t="shared" si="67"/>
        <v>10-19</v>
      </c>
      <c r="J1439">
        <f t="shared" si="68"/>
        <v>9.1299999999999992E-3</v>
      </c>
    </row>
    <row r="1440" spans="1:10">
      <c r="A1440" t="s">
        <v>1522</v>
      </c>
      <c r="B1440">
        <v>24</v>
      </c>
      <c r="C1440" t="s">
        <v>9</v>
      </c>
      <c r="D1440">
        <v>24</v>
      </c>
      <c r="E1440">
        <v>47</v>
      </c>
      <c r="F1440">
        <v>2.3600000000000001E-3</v>
      </c>
      <c r="G1440">
        <v>0</v>
      </c>
      <c r="H1440" t="str">
        <f t="shared" si="66"/>
        <v>40-49</v>
      </c>
      <c r="I1440" t="str">
        <f t="shared" si="67"/>
        <v>20-29</v>
      </c>
      <c r="J1440">
        <f t="shared" si="68"/>
        <v>2.3600000000000001E-3</v>
      </c>
    </row>
    <row r="1441" spans="1:10">
      <c r="A1441" t="s">
        <v>1523</v>
      </c>
      <c r="B1441">
        <v>51</v>
      </c>
      <c r="C1441" t="s">
        <v>7</v>
      </c>
      <c r="D1441">
        <v>27</v>
      </c>
      <c r="E1441">
        <v>77</v>
      </c>
      <c r="F1441">
        <v>2.58E-2</v>
      </c>
      <c r="G1441">
        <v>0</v>
      </c>
      <c r="H1441" t="str">
        <f t="shared" si="66"/>
        <v>70-79</v>
      </c>
      <c r="I1441" t="str">
        <f t="shared" si="67"/>
        <v>20-29</v>
      </c>
      <c r="J1441">
        <f t="shared" si="68"/>
        <v>2.58E-2</v>
      </c>
    </row>
    <row r="1442" spans="1:10">
      <c r="A1442" t="s">
        <v>1524</v>
      </c>
      <c r="B1442">
        <v>26</v>
      </c>
      <c r="C1442" t="s">
        <v>7</v>
      </c>
      <c r="D1442">
        <v>20</v>
      </c>
      <c r="E1442">
        <v>45</v>
      </c>
      <c r="F1442">
        <v>1.3699999999999999E-3</v>
      </c>
      <c r="G1442">
        <v>0</v>
      </c>
      <c r="H1442" t="str">
        <f t="shared" si="66"/>
        <v>40-49</v>
      </c>
      <c r="I1442" t="str">
        <f t="shared" si="67"/>
        <v>20-29</v>
      </c>
      <c r="J1442">
        <f t="shared" si="68"/>
        <v>1.3699999999999999E-3</v>
      </c>
    </row>
    <row r="1443" spans="1:10">
      <c r="A1443" t="s">
        <v>1525</v>
      </c>
      <c r="B1443">
        <v>56</v>
      </c>
      <c r="C1443" t="s">
        <v>9</v>
      </c>
      <c r="D1443">
        <v>13</v>
      </c>
      <c r="E1443">
        <v>68</v>
      </c>
      <c r="F1443">
        <v>1.3690000000000001E-2</v>
      </c>
      <c r="G1443">
        <v>0</v>
      </c>
      <c r="H1443" t="str">
        <f t="shared" si="66"/>
        <v>60-69</v>
      </c>
      <c r="I1443" t="str">
        <f t="shared" si="67"/>
        <v>10-19</v>
      </c>
      <c r="J1443">
        <f t="shared" si="68"/>
        <v>1.3690000000000001E-2</v>
      </c>
    </row>
    <row r="1444" spans="1:10">
      <c r="A1444" t="s">
        <v>1526</v>
      </c>
      <c r="B1444">
        <v>41</v>
      </c>
      <c r="C1444" t="s">
        <v>7</v>
      </c>
      <c r="D1444">
        <v>12</v>
      </c>
      <c r="E1444">
        <v>52</v>
      </c>
      <c r="F1444">
        <v>2.0100000000000001E-3</v>
      </c>
      <c r="G1444">
        <v>0</v>
      </c>
      <c r="H1444" t="str">
        <f t="shared" si="66"/>
        <v>50-59</v>
      </c>
      <c r="I1444" t="str">
        <f t="shared" si="67"/>
        <v>10-19</v>
      </c>
      <c r="J1444">
        <f t="shared" si="68"/>
        <v>2.0100000000000001E-3</v>
      </c>
    </row>
    <row r="1445" spans="1:10">
      <c r="A1445" t="s">
        <v>1527</v>
      </c>
      <c r="B1445">
        <v>27</v>
      </c>
      <c r="C1445" t="s">
        <v>7</v>
      </c>
      <c r="D1445">
        <v>28</v>
      </c>
      <c r="E1445">
        <v>54</v>
      </c>
      <c r="F1445">
        <v>2.3800000000000002E-3</v>
      </c>
      <c r="G1445">
        <v>0</v>
      </c>
      <c r="H1445" t="str">
        <f t="shared" si="66"/>
        <v>50-59</v>
      </c>
      <c r="I1445" t="str">
        <f t="shared" si="67"/>
        <v>20-29</v>
      </c>
      <c r="J1445">
        <f t="shared" si="68"/>
        <v>2.3800000000000002E-3</v>
      </c>
    </row>
    <row r="1446" spans="1:10">
      <c r="A1446" t="s">
        <v>1528</v>
      </c>
      <c r="B1446">
        <v>58</v>
      </c>
      <c r="C1446" t="s">
        <v>9</v>
      </c>
      <c r="D1446">
        <v>30</v>
      </c>
      <c r="E1446">
        <v>87</v>
      </c>
      <c r="F1446">
        <v>7.1389999999999995E-2</v>
      </c>
      <c r="G1446">
        <v>0</v>
      </c>
      <c r="H1446" t="str">
        <f t="shared" si="66"/>
        <v>80-89</v>
      </c>
      <c r="I1446" t="str">
        <f t="shared" si="67"/>
        <v>30-39</v>
      </c>
      <c r="J1446">
        <f t="shared" si="68"/>
        <v>7.1389999999999995E-2</v>
      </c>
    </row>
    <row r="1447" spans="1:10">
      <c r="A1447" t="s">
        <v>1529</v>
      </c>
      <c r="B1447">
        <v>44</v>
      </c>
      <c r="C1447" t="s">
        <v>9</v>
      </c>
      <c r="D1447">
        <v>2</v>
      </c>
      <c r="E1447">
        <v>45</v>
      </c>
      <c r="F1447">
        <v>7.6999999999999996E-4</v>
      </c>
      <c r="G1447">
        <v>0</v>
      </c>
      <c r="H1447" t="str">
        <f t="shared" si="66"/>
        <v>40-49</v>
      </c>
      <c r="I1447" t="str">
        <f t="shared" si="67"/>
        <v>0-9</v>
      </c>
      <c r="J1447">
        <f t="shared" si="68"/>
        <v>7.6999999999999996E-4</v>
      </c>
    </row>
    <row r="1448" spans="1:10">
      <c r="A1448" t="s">
        <v>1530</v>
      </c>
      <c r="B1448">
        <v>54</v>
      </c>
      <c r="C1448" t="s">
        <v>9</v>
      </c>
      <c r="D1448">
        <v>19</v>
      </c>
      <c r="E1448">
        <v>72</v>
      </c>
      <c r="F1448">
        <v>2.1139999999999999E-2</v>
      </c>
      <c r="G1448">
        <v>0</v>
      </c>
      <c r="H1448" t="str">
        <f t="shared" si="66"/>
        <v>70-79</v>
      </c>
      <c r="I1448" t="str">
        <f t="shared" si="67"/>
        <v>10-19</v>
      </c>
      <c r="J1448">
        <f t="shared" si="68"/>
        <v>2.1139999999999999E-2</v>
      </c>
    </row>
    <row r="1449" spans="1:10">
      <c r="A1449" t="s">
        <v>1531</v>
      </c>
      <c r="B1449">
        <v>34</v>
      </c>
      <c r="C1449" t="s">
        <v>9</v>
      </c>
      <c r="D1449">
        <v>5</v>
      </c>
      <c r="E1449">
        <v>38</v>
      </c>
      <c r="F1449">
        <v>6.0999999999999997E-4</v>
      </c>
      <c r="G1449">
        <v>0</v>
      </c>
      <c r="H1449" t="str">
        <f t="shared" si="66"/>
        <v>30-39</v>
      </c>
      <c r="I1449" t="str">
        <f t="shared" si="67"/>
        <v>0-9</v>
      </c>
      <c r="J1449">
        <f t="shared" si="68"/>
        <v>6.0999999999999997E-4</v>
      </c>
    </row>
    <row r="1450" spans="1:10">
      <c r="A1450" t="s">
        <v>1532</v>
      </c>
      <c r="B1450">
        <v>45</v>
      </c>
      <c r="C1450" t="s">
        <v>7</v>
      </c>
      <c r="D1450">
        <v>15</v>
      </c>
      <c r="E1450">
        <v>59</v>
      </c>
      <c r="F1450">
        <v>4.1200000000000004E-3</v>
      </c>
      <c r="G1450">
        <v>0</v>
      </c>
      <c r="H1450" t="str">
        <f t="shared" si="66"/>
        <v>50-59</v>
      </c>
      <c r="I1450" t="str">
        <f t="shared" si="67"/>
        <v>10-19</v>
      </c>
      <c r="J1450">
        <f t="shared" si="68"/>
        <v>4.1200000000000004E-3</v>
      </c>
    </row>
    <row r="1451" spans="1:10">
      <c r="A1451" t="s">
        <v>1533</v>
      </c>
      <c r="B1451">
        <v>25</v>
      </c>
      <c r="C1451" t="s">
        <v>9</v>
      </c>
      <c r="D1451">
        <v>8</v>
      </c>
      <c r="E1451">
        <v>32</v>
      </c>
      <c r="F1451">
        <v>5.2999999999999998E-4</v>
      </c>
      <c r="G1451">
        <v>0</v>
      </c>
      <c r="H1451" t="str">
        <f t="shared" si="66"/>
        <v>30-39</v>
      </c>
      <c r="I1451" t="str">
        <f t="shared" si="67"/>
        <v>0-9</v>
      </c>
      <c r="J1451">
        <f t="shared" si="68"/>
        <v>5.2999999999999998E-4</v>
      </c>
    </row>
    <row r="1452" spans="1:10">
      <c r="A1452" t="s">
        <v>1534</v>
      </c>
      <c r="B1452">
        <v>29</v>
      </c>
      <c r="C1452" t="s">
        <v>9</v>
      </c>
      <c r="D1452">
        <v>5</v>
      </c>
      <c r="E1452">
        <v>33</v>
      </c>
      <c r="F1452">
        <v>4.6000000000000001E-4</v>
      </c>
      <c r="G1452">
        <v>0</v>
      </c>
      <c r="H1452" t="str">
        <f t="shared" si="66"/>
        <v>30-39</v>
      </c>
      <c r="I1452" t="str">
        <f t="shared" si="67"/>
        <v>0-9</v>
      </c>
      <c r="J1452">
        <f t="shared" si="68"/>
        <v>4.6000000000000001E-4</v>
      </c>
    </row>
    <row r="1453" spans="1:10">
      <c r="A1453" t="s">
        <v>1535</v>
      </c>
      <c r="B1453">
        <v>23</v>
      </c>
      <c r="C1453" t="s">
        <v>9</v>
      </c>
      <c r="D1453">
        <v>18</v>
      </c>
      <c r="E1453">
        <v>40</v>
      </c>
      <c r="F1453">
        <v>1.4599999999999999E-3</v>
      </c>
      <c r="G1453">
        <v>0</v>
      </c>
      <c r="H1453" t="str">
        <f t="shared" si="66"/>
        <v>40-49</v>
      </c>
      <c r="I1453" t="str">
        <f t="shared" si="67"/>
        <v>10-19</v>
      </c>
      <c r="J1453">
        <f t="shared" si="68"/>
        <v>1.4599999999999999E-3</v>
      </c>
    </row>
    <row r="1454" spans="1:10">
      <c r="A1454" t="s">
        <v>1536</v>
      </c>
      <c r="B1454">
        <v>52</v>
      </c>
      <c r="C1454" t="s">
        <v>7</v>
      </c>
      <c r="D1454">
        <v>14</v>
      </c>
      <c r="E1454">
        <v>65</v>
      </c>
      <c r="F1454">
        <v>7.2399999999999999E-3</v>
      </c>
      <c r="G1454">
        <v>0</v>
      </c>
      <c r="H1454" t="str">
        <f t="shared" si="66"/>
        <v>60-69</v>
      </c>
      <c r="I1454" t="str">
        <f t="shared" si="67"/>
        <v>10-19</v>
      </c>
      <c r="J1454">
        <f t="shared" si="68"/>
        <v>7.2399999999999999E-3</v>
      </c>
    </row>
    <row r="1455" spans="1:10">
      <c r="A1455" t="s">
        <v>1537</v>
      </c>
      <c r="B1455">
        <v>28</v>
      </c>
      <c r="C1455" t="s">
        <v>7</v>
      </c>
      <c r="D1455">
        <v>16</v>
      </c>
      <c r="E1455">
        <v>43</v>
      </c>
      <c r="F1455">
        <v>1.09E-3</v>
      </c>
      <c r="G1455">
        <v>0</v>
      </c>
      <c r="H1455" t="str">
        <f t="shared" si="66"/>
        <v>40-49</v>
      </c>
      <c r="I1455" t="str">
        <f t="shared" si="67"/>
        <v>10-19</v>
      </c>
      <c r="J1455">
        <f t="shared" si="68"/>
        <v>1.09E-3</v>
      </c>
    </row>
    <row r="1456" spans="1:10">
      <c r="A1456" t="s">
        <v>1538</v>
      </c>
      <c r="B1456">
        <v>61</v>
      </c>
      <c r="C1456" t="s">
        <v>9</v>
      </c>
      <c r="D1456">
        <v>19</v>
      </c>
      <c r="E1456">
        <v>79</v>
      </c>
      <c r="F1456">
        <v>4.5609999999999998E-2</v>
      </c>
      <c r="G1456">
        <v>0</v>
      </c>
      <c r="H1456" t="str">
        <f t="shared" si="66"/>
        <v>70-79</v>
      </c>
      <c r="I1456" t="str">
        <f t="shared" si="67"/>
        <v>10-19</v>
      </c>
      <c r="J1456">
        <f t="shared" si="68"/>
        <v>4.5609999999999998E-2</v>
      </c>
    </row>
    <row r="1457" spans="1:10">
      <c r="A1457" t="s">
        <v>1539</v>
      </c>
      <c r="B1457">
        <v>53</v>
      </c>
      <c r="C1457" t="s">
        <v>9</v>
      </c>
      <c r="D1457">
        <v>8</v>
      </c>
      <c r="E1457">
        <v>60</v>
      </c>
      <c r="F1457">
        <v>5.5100000000000001E-3</v>
      </c>
      <c r="G1457">
        <v>0</v>
      </c>
      <c r="H1457" t="str">
        <f t="shared" si="66"/>
        <v>60-69</v>
      </c>
      <c r="I1457" t="str">
        <f t="shared" si="67"/>
        <v>0-9</v>
      </c>
      <c r="J1457">
        <f t="shared" si="68"/>
        <v>5.5100000000000001E-3</v>
      </c>
    </row>
    <row r="1458" spans="1:10">
      <c r="A1458" t="s">
        <v>1540</v>
      </c>
      <c r="B1458">
        <v>47</v>
      </c>
      <c r="C1458" t="s">
        <v>7</v>
      </c>
      <c r="D1458">
        <v>11</v>
      </c>
      <c r="E1458">
        <v>57</v>
      </c>
      <c r="F1458">
        <v>2.98E-3</v>
      </c>
      <c r="G1458">
        <v>0</v>
      </c>
      <c r="H1458" t="str">
        <f t="shared" si="66"/>
        <v>50-59</v>
      </c>
      <c r="I1458" t="str">
        <f t="shared" si="67"/>
        <v>10-19</v>
      </c>
      <c r="J1458">
        <f t="shared" si="68"/>
        <v>2.98E-3</v>
      </c>
    </row>
    <row r="1459" spans="1:10">
      <c r="A1459" t="s">
        <v>1541</v>
      </c>
      <c r="B1459">
        <v>27</v>
      </c>
      <c r="C1459" t="s">
        <v>9</v>
      </c>
      <c r="D1459">
        <v>22</v>
      </c>
      <c r="E1459">
        <v>48</v>
      </c>
      <c r="F1459">
        <v>2.2699999999999999E-3</v>
      </c>
      <c r="G1459">
        <v>0</v>
      </c>
      <c r="H1459" t="str">
        <f t="shared" si="66"/>
        <v>40-49</v>
      </c>
      <c r="I1459" t="str">
        <f t="shared" si="67"/>
        <v>20-29</v>
      </c>
      <c r="J1459">
        <f t="shared" si="68"/>
        <v>2.2699999999999999E-3</v>
      </c>
    </row>
    <row r="1460" spans="1:10">
      <c r="A1460" t="s">
        <v>1542</v>
      </c>
      <c r="B1460">
        <v>32</v>
      </c>
      <c r="C1460" t="s">
        <v>9</v>
      </c>
      <c r="D1460">
        <v>11</v>
      </c>
      <c r="E1460">
        <v>42</v>
      </c>
      <c r="F1460">
        <v>1.16E-3</v>
      </c>
      <c r="G1460">
        <v>0</v>
      </c>
      <c r="H1460" t="str">
        <f t="shared" si="66"/>
        <v>40-49</v>
      </c>
      <c r="I1460" t="str">
        <f t="shared" si="67"/>
        <v>10-19</v>
      </c>
      <c r="J1460">
        <f t="shared" si="68"/>
        <v>1.16E-3</v>
      </c>
    </row>
    <row r="1461" spans="1:10">
      <c r="A1461" t="s">
        <v>1543</v>
      </c>
      <c r="B1461">
        <v>39</v>
      </c>
      <c r="C1461" t="s">
        <v>7</v>
      </c>
      <c r="D1461">
        <v>6</v>
      </c>
      <c r="E1461">
        <v>44</v>
      </c>
      <c r="F1461">
        <v>7.9000000000000001E-4</v>
      </c>
      <c r="G1461">
        <v>0</v>
      </c>
      <c r="H1461" t="str">
        <f t="shared" si="66"/>
        <v>40-49</v>
      </c>
      <c r="I1461" t="str">
        <f t="shared" si="67"/>
        <v>0-9</v>
      </c>
      <c r="J1461">
        <f t="shared" si="68"/>
        <v>7.9000000000000001E-4</v>
      </c>
    </row>
    <row r="1462" spans="1:10">
      <c r="A1462" t="s">
        <v>1544</v>
      </c>
      <c r="B1462">
        <v>48</v>
      </c>
      <c r="C1462" t="s">
        <v>9</v>
      </c>
      <c r="D1462">
        <v>20</v>
      </c>
      <c r="E1462">
        <v>67</v>
      </c>
      <c r="F1462">
        <v>1.247E-2</v>
      </c>
      <c r="G1462">
        <v>0</v>
      </c>
      <c r="H1462" t="str">
        <f t="shared" si="66"/>
        <v>60-69</v>
      </c>
      <c r="I1462" t="str">
        <f t="shared" si="67"/>
        <v>20-29</v>
      </c>
      <c r="J1462">
        <f t="shared" si="68"/>
        <v>1.247E-2</v>
      </c>
    </row>
    <row r="1463" spans="1:10">
      <c r="A1463" t="s">
        <v>1545</v>
      </c>
      <c r="B1463">
        <v>34</v>
      </c>
      <c r="C1463" t="s">
        <v>7</v>
      </c>
      <c r="D1463">
        <v>7</v>
      </c>
      <c r="E1463">
        <v>40</v>
      </c>
      <c r="F1463">
        <v>6.3000000000000003E-4</v>
      </c>
      <c r="G1463">
        <v>0</v>
      </c>
      <c r="H1463" t="str">
        <f t="shared" si="66"/>
        <v>40-49</v>
      </c>
      <c r="I1463" t="str">
        <f t="shared" si="67"/>
        <v>0-9</v>
      </c>
      <c r="J1463">
        <f t="shared" si="68"/>
        <v>6.3000000000000003E-4</v>
      </c>
    </row>
    <row r="1464" spans="1:10">
      <c r="A1464" t="s">
        <v>1546</v>
      </c>
      <c r="B1464">
        <v>25</v>
      </c>
      <c r="C1464" t="s">
        <v>7</v>
      </c>
      <c r="D1464">
        <v>4</v>
      </c>
      <c r="E1464">
        <v>28</v>
      </c>
      <c r="F1464">
        <v>2.2000000000000001E-4</v>
      </c>
      <c r="G1464">
        <v>0</v>
      </c>
      <c r="H1464" t="str">
        <f t="shared" si="66"/>
        <v>20-29</v>
      </c>
      <c r="I1464" t="str">
        <f t="shared" si="67"/>
        <v>0-9</v>
      </c>
      <c r="J1464">
        <f t="shared" si="68"/>
        <v>2.2000000000000001E-4</v>
      </c>
    </row>
    <row r="1465" spans="1:10">
      <c r="A1465" t="s">
        <v>1547</v>
      </c>
      <c r="B1465">
        <v>59</v>
      </c>
      <c r="C1465" t="s">
        <v>9</v>
      </c>
      <c r="D1465">
        <v>30</v>
      </c>
      <c r="E1465">
        <v>88</v>
      </c>
      <c r="F1465">
        <v>8.0629999999999993E-2</v>
      </c>
      <c r="G1465">
        <v>0</v>
      </c>
      <c r="H1465" t="str">
        <f t="shared" si="66"/>
        <v>80-89</v>
      </c>
      <c r="I1465" t="str">
        <f t="shared" si="67"/>
        <v>30-39</v>
      </c>
      <c r="J1465">
        <f t="shared" si="68"/>
        <v>8.0629999999999993E-2</v>
      </c>
    </row>
    <row r="1466" spans="1:10">
      <c r="A1466" t="s">
        <v>1548</v>
      </c>
      <c r="B1466">
        <v>38</v>
      </c>
      <c r="C1466" t="s">
        <v>9</v>
      </c>
      <c r="D1466">
        <v>1</v>
      </c>
      <c r="E1466">
        <v>38</v>
      </c>
      <c r="F1466">
        <v>2.7E-4</v>
      </c>
      <c r="G1466">
        <v>0</v>
      </c>
      <c r="H1466" t="str">
        <f t="shared" si="66"/>
        <v>30-39</v>
      </c>
      <c r="I1466" t="str">
        <f t="shared" si="67"/>
        <v>0-9</v>
      </c>
      <c r="J1466">
        <f t="shared" si="68"/>
        <v>2.7E-4</v>
      </c>
    </row>
    <row r="1467" spans="1:10">
      <c r="A1467" t="s">
        <v>1549</v>
      </c>
      <c r="B1467">
        <v>39</v>
      </c>
      <c r="C1467" t="s">
        <v>9</v>
      </c>
      <c r="D1467">
        <v>15</v>
      </c>
      <c r="E1467">
        <v>53</v>
      </c>
      <c r="F1467">
        <v>2.97E-3</v>
      </c>
      <c r="G1467">
        <v>0</v>
      </c>
      <c r="H1467" t="str">
        <f t="shared" si="66"/>
        <v>50-59</v>
      </c>
      <c r="I1467" t="str">
        <f t="shared" si="67"/>
        <v>10-19</v>
      </c>
      <c r="J1467">
        <f t="shared" si="68"/>
        <v>2.97E-3</v>
      </c>
    </row>
    <row r="1468" spans="1:10">
      <c r="A1468" t="s">
        <v>1550</v>
      </c>
      <c r="B1468">
        <v>54</v>
      </c>
      <c r="C1468" t="s">
        <v>9</v>
      </c>
      <c r="D1468">
        <v>7</v>
      </c>
      <c r="E1468">
        <v>60</v>
      </c>
      <c r="F1468">
        <v>5.3E-3</v>
      </c>
      <c r="G1468">
        <v>0</v>
      </c>
      <c r="H1468" t="str">
        <f t="shared" si="66"/>
        <v>60-69</v>
      </c>
      <c r="I1468" t="str">
        <f t="shared" si="67"/>
        <v>0-9</v>
      </c>
      <c r="J1468">
        <f t="shared" si="68"/>
        <v>5.3E-3</v>
      </c>
    </row>
    <row r="1469" spans="1:10">
      <c r="A1469" t="s">
        <v>1551</v>
      </c>
      <c r="B1469">
        <v>36</v>
      </c>
      <c r="C1469" t="s">
        <v>9</v>
      </c>
      <c r="D1469">
        <v>18</v>
      </c>
      <c r="E1469">
        <v>53</v>
      </c>
      <c r="F1469">
        <v>3.16E-3</v>
      </c>
      <c r="G1469">
        <v>0</v>
      </c>
      <c r="H1469" t="str">
        <f t="shared" si="66"/>
        <v>50-59</v>
      </c>
      <c r="I1469" t="str">
        <f t="shared" si="67"/>
        <v>10-19</v>
      </c>
      <c r="J1469">
        <f t="shared" si="68"/>
        <v>3.16E-3</v>
      </c>
    </row>
    <row r="1470" spans="1:10">
      <c r="A1470" t="s">
        <v>1552</v>
      </c>
      <c r="B1470">
        <v>29</v>
      </c>
      <c r="C1470" t="s">
        <v>7</v>
      </c>
      <c r="D1470">
        <v>23</v>
      </c>
      <c r="E1470">
        <v>51</v>
      </c>
      <c r="F1470">
        <v>2.1900000000000001E-3</v>
      </c>
      <c r="G1470">
        <v>0</v>
      </c>
      <c r="H1470" t="str">
        <f t="shared" si="66"/>
        <v>50-59</v>
      </c>
      <c r="I1470" t="str">
        <f t="shared" si="67"/>
        <v>20-29</v>
      </c>
      <c r="J1470">
        <f t="shared" si="68"/>
        <v>2.1900000000000001E-3</v>
      </c>
    </row>
    <row r="1471" spans="1:10">
      <c r="A1471" t="s">
        <v>1553</v>
      </c>
      <c r="B1471">
        <v>57</v>
      </c>
      <c r="C1471" t="s">
        <v>7</v>
      </c>
      <c r="D1471">
        <v>29</v>
      </c>
      <c r="E1471">
        <v>85</v>
      </c>
      <c r="F1471">
        <v>5.0599999999999999E-2</v>
      </c>
      <c r="G1471">
        <v>1</v>
      </c>
      <c r="H1471" t="str">
        <f t="shared" si="66"/>
        <v>80-89</v>
      </c>
      <c r="I1471" t="str">
        <f t="shared" si="67"/>
        <v>20-29</v>
      </c>
      <c r="J1471">
        <f t="shared" si="68"/>
        <v>5.0599999999999999E-2</v>
      </c>
    </row>
    <row r="1472" spans="1:10">
      <c r="A1472" t="s">
        <v>1554</v>
      </c>
      <c r="B1472">
        <v>30</v>
      </c>
      <c r="C1472" t="s">
        <v>9</v>
      </c>
      <c r="D1472">
        <v>2</v>
      </c>
      <c r="E1472">
        <v>31</v>
      </c>
      <c r="F1472">
        <v>2.9E-4</v>
      </c>
      <c r="G1472">
        <v>0</v>
      </c>
      <c r="H1472" t="str">
        <f t="shared" si="66"/>
        <v>30-39</v>
      </c>
      <c r="I1472" t="str">
        <f t="shared" si="67"/>
        <v>0-9</v>
      </c>
      <c r="J1472">
        <f t="shared" si="68"/>
        <v>2.9E-4</v>
      </c>
    </row>
    <row r="1473" spans="1:10">
      <c r="A1473" t="s">
        <v>1555</v>
      </c>
      <c r="B1473">
        <v>59</v>
      </c>
      <c r="C1473" t="s">
        <v>9</v>
      </c>
      <c r="D1473">
        <v>9</v>
      </c>
      <c r="E1473">
        <v>67</v>
      </c>
      <c r="F1473">
        <v>1.128E-2</v>
      </c>
      <c r="G1473">
        <v>0</v>
      </c>
      <c r="H1473" t="str">
        <f t="shared" si="66"/>
        <v>60-69</v>
      </c>
      <c r="I1473" t="str">
        <f t="shared" si="67"/>
        <v>0-9</v>
      </c>
      <c r="J1473">
        <f t="shared" si="68"/>
        <v>1.128E-2</v>
      </c>
    </row>
    <row r="1474" spans="1:10">
      <c r="A1474" t="s">
        <v>1556</v>
      </c>
      <c r="B1474">
        <v>20</v>
      </c>
      <c r="C1474" t="s">
        <v>9</v>
      </c>
      <c r="D1474">
        <v>3</v>
      </c>
      <c r="E1474">
        <v>22</v>
      </c>
      <c r="F1474">
        <v>7.7999999999999999E-4</v>
      </c>
      <c r="G1474">
        <v>0</v>
      </c>
      <c r="H1474" t="str">
        <f t="shared" si="66"/>
        <v>20-29</v>
      </c>
      <c r="I1474" t="str">
        <f t="shared" si="67"/>
        <v>0-9</v>
      </c>
      <c r="J1474">
        <f t="shared" si="68"/>
        <v>7.7999999999999999E-4</v>
      </c>
    </row>
    <row r="1475" spans="1:10">
      <c r="A1475" t="s">
        <v>1557</v>
      </c>
      <c r="B1475">
        <v>62</v>
      </c>
      <c r="C1475" t="s">
        <v>7</v>
      </c>
      <c r="D1475">
        <v>12</v>
      </c>
      <c r="E1475">
        <v>73</v>
      </c>
      <c r="F1475">
        <v>1.3679999999999999E-2</v>
      </c>
      <c r="G1475">
        <v>0</v>
      </c>
      <c r="H1475" t="str">
        <f t="shared" ref="H1475:H1538" si="69">FLOOR(E1475,10) &amp; "-" &amp; FLOOR(E1475,10)+9</f>
        <v>70-79</v>
      </c>
      <c r="I1475" t="str">
        <f t="shared" ref="I1475:I1538" si="70">FLOOR(D1475, 10) &amp; "-"&amp;FLOOR(D1475, 10)+9</f>
        <v>10-19</v>
      </c>
      <c r="J1475">
        <f t="shared" ref="J1475:J1538" si="71">F1475</f>
        <v>1.3679999999999999E-2</v>
      </c>
    </row>
    <row r="1476" spans="1:10">
      <c r="A1476" t="s">
        <v>1558</v>
      </c>
      <c r="B1476">
        <v>61</v>
      </c>
      <c r="C1476" t="s">
        <v>9</v>
      </c>
      <c r="D1476">
        <v>13</v>
      </c>
      <c r="E1476">
        <v>73</v>
      </c>
      <c r="F1476">
        <v>2.2499999999999999E-2</v>
      </c>
      <c r="G1476">
        <v>0</v>
      </c>
      <c r="H1476" t="str">
        <f t="shared" si="69"/>
        <v>70-79</v>
      </c>
      <c r="I1476" t="str">
        <f t="shared" si="70"/>
        <v>10-19</v>
      </c>
      <c r="J1476">
        <f t="shared" si="71"/>
        <v>2.2499999999999999E-2</v>
      </c>
    </row>
    <row r="1477" spans="1:10">
      <c r="A1477" t="s">
        <v>1559</v>
      </c>
      <c r="B1477">
        <v>65</v>
      </c>
      <c r="C1477" t="s">
        <v>7</v>
      </c>
      <c r="D1477">
        <v>4</v>
      </c>
      <c r="E1477">
        <v>68</v>
      </c>
      <c r="F1477">
        <v>5.7999999999999996E-3</v>
      </c>
      <c r="G1477">
        <v>0</v>
      </c>
      <c r="H1477" t="str">
        <f t="shared" si="69"/>
        <v>60-69</v>
      </c>
      <c r="I1477" t="str">
        <f t="shared" si="70"/>
        <v>0-9</v>
      </c>
      <c r="J1477">
        <f t="shared" si="71"/>
        <v>5.7999999999999996E-3</v>
      </c>
    </row>
    <row r="1478" spans="1:10">
      <c r="A1478" t="s">
        <v>1560</v>
      </c>
      <c r="B1478">
        <v>58</v>
      </c>
      <c r="C1478" t="s">
        <v>9</v>
      </c>
      <c r="D1478">
        <v>18</v>
      </c>
      <c r="E1478">
        <v>75</v>
      </c>
      <c r="F1478">
        <v>2.9780000000000001E-2</v>
      </c>
      <c r="G1478">
        <v>0</v>
      </c>
      <c r="H1478" t="str">
        <f t="shared" si="69"/>
        <v>70-79</v>
      </c>
      <c r="I1478" t="str">
        <f t="shared" si="70"/>
        <v>10-19</v>
      </c>
      <c r="J1478">
        <f t="shared" si="71"/>
        <v>2.9780000000000001E-2</v>
      </c>
    </row>
    <row r="1479" spans="1:10">
      <c r="A1479" t="s">
        <v>1561</v>
      </c>
      <c r="B1479">
        <v>49</v>
      </c>
      <c r="C1479" t="s">
        <v>7</v>
      </c>
      <c r="D1479">
        <v>18</v>
      </c>
      <c r="E1479">
        <v>66</v>
      </c>
      <c r="F1479">
        <v>8.9499999999999996E-3</v>
      </c>
      <c r="G1479">
        <v>0</v>
      </c>
      <c r="H1479" t="str">
        <f t="shared" si="69"/>
        <v>60-69</v>
      </c>
      <c r="I1479" t="str">
        <f t="shared" si="70"/>
        <v>10-19</v>
      </c>
      <c r="J1479">
        <f t="shared" si="71"/>
        <v>8.9499999999999996E-3</v>
      </c>
    </row>
    <row r="1480" spans="1:10">
      <c r="A1480" t="s">
        <v>1562</v>
      </c>
      <c r="B1480">
        <v>35</v>
      </c>
      <c r="C1480" t="s">
        <v>7</v>
      </c>
      <c r="D1480">
        <v>30</v>
      </c>
      <c r="E1480">
        <v>64</v>
      </c>
      <c r="F1480">
        <v>4.9300000000000004E-3</v>
      </c>
      <c r="G1480">
        <v>0</v>
      </c>
      <c r="H1480" t="str">
        <f t="shared" si="69"/>
        <v>60-69</v>
      </c>
      <c r="I1480" t="str">
        <f t="shared" si="70"/>
        <v>30-39</v>
      </c>
      <c r="J1480">
        <f t="shared" si="71"/>
        <v>4.9300000000000004E-3</v>
      </c>
    </row>
    <row r="1481" spans="1:10">
      <c r="A1481" t="s">
        <v>1563</v>
      </c>
      <c r="B1481">
        <v>45</v>
      </c>
      <c r="C1481" t="s">
        <v>9</v>
      </c>
      <c r="D1481">
        <v>24</v>
      </c>
      <c r="E1481">
        <v>68</v>
      </c>
      <c r="F1481">
        <v>1.405E-2</v>
      </c>
      <c r="G1481">
        <v>0</v>
      </c>
      <c r="H1481" t="str">
        <f t="shared" si="69"/>
        <v>60-69</v>
      </c>
      <c r="I1481" t="str">
        <f t="shared" si="70"/>
        <v>20-29</v>
      </c>
      <c r="J1481">
        <f t="shared" si="71"/>
        <v>1.405E-2</v>
      </c>
    </row>
    <row r="1482" spans="1:10">
      <c r="A1482" t="s">
        <v>1564</v>
      </c>
      <c r="B1482">
        <v>42</v>
      </c>
      <c r="C1482" t="s">
        <v>7</v>
      </c>
      <c r="D1482">
        <v>12</v>
      </c>
      <c r="E1482">
        <v>53</v>
      </c>
      <c r="F1482">
        <v>2.1800000000000001E-3</v>
      </c>
      <c r="G1482">
        <v>0</v>
      </c>
      <c r="H1482" t="str">
        <f t="shared" si="69"/>
        <v>50-59</v>
      </c>
      <c r="I1482" t="str">
        <f t="shared" si="70"/>
        <v>10-19</v>
      </c>
      <c r="J1482">
        <f t="shared" si="71"/>
        <v>2.1800000000000001E-3</v>
      </c>
    </row>
    <row r="1483" spans="1:10">
      <c r="A1483" t="s">
        <v>1565</v>
      </c>
      <c r="B1483">
        <v>52</v>
      </c>
      <c r="C1483" t="s">
        <v>7</v>
      </c>
      <c r="D1483">
        <v>9</v>
      </c>
      <c r="E1483">
        <v>60</v>
      </c>
      <c r="F1483">
        <v>3.6900000000000001E-3</v>
      </c>
      <c r="G1483">
        <v>0</v>
      </c>
      <c r="H1483" t="str">
        <f t="shared" si="69"/>
        <v>60-69</v>
      </c>
      <c r="I1483" t="str">
        <f t="shared" si="70"/>
        <v>0-9</v>
      </c>
      <c r="J1483">
        <f t="shared" si="71"/>
        <v>3.6900000000000001E-3</v>
      </c>
    </row>
    <row r="1484" spans="1:10">
      <c r="A1484" t="s">
        <v>1566</v>
      </c>
      <c r="B1484">
        <v>44</v>
      </c>
      <c r="C1484" t="s">
        <v>7</v>
      </c>
      <c r="D1484">
        <v>29</v>
      </c>
      <c r="E1484">
        <v>72</v>
      </c>
      <c r="F1484">
        <v>1.2659999999999999E-2</v>
      </c>
      <c r="G1484">
        <v>0</v>
      </c>
      <c r="H1484" t="str">
        <f t="shared" si="69"/>
        <v>70-79</v>
      </c>
      <c r="I1484" t="str">
        <f t="shared" si="70"/>
        <v>20-29</v>
      </c>
      <c r="J1484">
        <f t="shared" si="71"/>
        <v>1.2659999999999999E-2</v>
      </c>
    </row>
    <row r="1485" spans="1:10">
      <c r="A1485" t="s">
        <v>1567</v>
      </c>
      <c r="B1485">
        <v>55</v>
      </c>
      <c r="C1485" t="s">
        <v>9</v>
      </c>
      <c r="D1485">
        <v>9</v>
      </c>
      <c r="E1485">
        <v>63</v>
      </c>
      <c r="F1485">
        <v>7.9900000000000006E-3</v>
      </c>
      <c r="G1485">
        <v>0</v>
      </c>
      <c r="H1485" t="str">
        <f t="shared" si="69"/>
        <v>60-69</v>
      </c>
      <c r="I1485" t="str">
        <f t="shared" si="70"/>
        <v>0-9</v>
      </c>
      <c r="J1485">
        <f t="shared" si="71"/>
        <v>7.9900000000000006E-3</v>
      </c>
    </row>
    <row r="1486" spans="1:10">
      <c r="A1486" t="s">
        <v>1568</v>
      </c>
      <c r="B1486">
        <v>45</v>
      </c>
      <c r="C1486" t="s">
        <v>9</v>
      </c>
      <c r="D1486">
        <v>22</v>
      </c>
      <c r="E1486">
        <v>66</v>
      </c>
      <c r="F1486">
        <v>1.1440000000000001E-2</v>
      </c>
      <c r="G1486">
        <v>0</v>
      </c>
      <c r="H1486" t="str">
        <f t="shared" si="69"/>
        <v>60-69</v>
      </c>
      <c r="I1486" t="str">
        <f t="shared" si="70"/>
        <v>20-29</v>
      </c>
      <c r="J1486">
        <f t="shared" si="71"/>
        <v>1.1440000000000001E-2</v>
      </c>
    </row>
    <row r="1487" spans="1:10">
      <c r="A1487" t="s">
        <v>1569</v>
      </c>
      <c r="B1487">
        <v>53</v>
      </c>
      <c r="C1487" t="s">
        <v>7</v>
      </c>
      <c r="D1487">
        <v>22</v>
      </c>
      <c r="E1487">
        <v>74</v>
      </c>
      <c r="F1487">
        <v>2.0979999999999999E-2</v>
      </c>
      <c r="G1487">
        <v>0</v>
      </c>
      <c r="H1487" t="str">
        <f t="shared" si="69"/>
        <v>70-79</v>
      </c>
      <c r="I1487" t="str">
        <f t="shared" si="70"/>
        <v>20-29</v>
      </c>
      <c r="J1487">
        <f t="shared" si="71"/>
        <v>2.0979999999999999E-2</v>
      </c>
    </row>
    <row r="1488" spans="1:10">
      <c r="A1488" t="s">
        <v>1570</v>
      </c>
      <c r="B1488">
        <v>34</v>
      </c>
      <c r="C1488" t="s">
        <v>9</v>
      </c>
      <c r="D1488">
        <v>14</v>
      </c>
      <c r="E1488">
        <v>47</v>
      </c>
      <c r="F1488">
        <v>1.7600000000000001E-3</v>
      </c>
      <c r="G1488">
        <v>0</v>
      </c>
      <c r="H1488" t="str">
        <f t="shared" si="69"/>
        <v>40-49</v>
      </c>
      <c r="I1488" t="str">
        <f t="shared" si="70"/>
        <v>10-19</v>
      </c>
      <c r="J1488">
        <f t="shared" si="71"/>
        <v>1.7600000000000001E-3</v>
      </c>
    </row>
    <row r="1489" spans="1:10">
      <c r="A1489" t="s">
        <v>1571</v>
      </c>
      <c r="B1489">
        <v>39</v>
      </c>
      <c r="C1489" t="s">
        <v>7</v>
      </c>
      <c r="D1489">
        <v>30</v>
      </c>
      <c r="E1489">
        <v>68</v>
      </c>
      <c r="F1489">
        <v>7.4700000000000001E-3</v>
      </c>
      <c r="G1489">
        <v>0</v>
      </c>
      <c r="H1489" t="str">
        <f t="shared" si="69"/>
        <v>60-69</v>
      </c>
      <c r="I1489" t="str">
        <f t="shared" si="70"/>
        <v>30-39</v>
      </c>
      <c r="J1489">
        <f t="shared" si="71"/>
        <v>7.4700000000000001E-3</v>
      </c>
    </row>
    <row r="1490" spans="1:10">
      <c r="A1490" t="s">
        <v>1572</v>
      </c>
      <c r="B1490">
        <v>28</v>
      </c>
      <c r="C1490" t="s">
        <v>7</v>
      </c>
      <c r="D1490">
        <v>7</v>
      </c>
      <c r="E1490">
        <v>34</v>
      </c>
      <c r="F1490">
        <v>3.6000000000000002E-4</v>
      </c>
      <c r="G1490">
        <v>0</v>
      </c>
      <c r="H1490" t="str">
        <f t="shared" si="69"/>
        <v>30-39</v>
      </c>
      <c r="I1490" t="str">
        <f t="shared" si="70"/>
        <v>0-9</v>
      </c>
      <c r="J1490">
        <f t="shared" si="71"/>
        <v>3.6000000000000002E-4</v>
      </c>
    </row>
    <row r="1491" spans="1:10">
      <c r="A1491" t="s">
        <v>1573</v>
      </c>
      <c r="B1491">
        <v>63</v>
      </c>
      <c r="C1491" t="s">
        <v>9</v>
      </c>
      <c r="D1491">
        <v>26</v>
      </c>
      <c r="E1491">
        <v>88</v>
      </c>
      <c r="F1491">
        <v>0.13258</v>
      </c>
      <c r="G1491">
        <v>0</v>
      </c>
      <c r="H1491" t="str">
        <f t="shared" si="69"/>
        <v>80-89</v>
      </c>
      <c r="I1491" t="str">
        <f t="shared" si="70"/>
        <v>20-29</v>
      </c>
      <c r="J1491">
        <f t="shared" si="71"/>
        <v>0.13258</v>
      </c>
    </row>
    <row r="1492" spans="1:10">
      <c r="A1492" t="s">
        <v>1574</v>
      </c>
      <c r="B1492">
        <v>64</v>
      </c>
      <c r="C1492" t="s">
        <v>7</v>
      </c>
      <c r="D1492">
        <v>23</v>
      </c>
      <c r="E1492">
        <v>86</v>
      </c>
      <c r="F1492">
        <v>8.2710000000000006E-2</v>
      </c>
      <c r="G1492">
        <v>0</v>
      </c>
      <c r="H1492" t="str">
        <f t="shared" si="69"/>
        <v>80-89</v>
      </c>
      <c r="I1492" t="str">
        <f t="shared" si="70"/>
        <v>20-29</v>
      </c>
      <c r="J1492">
        <f t="shared" si="71"/>
        <v>8.2710000000000006E-2</v>
      </c>
    </row>
    <row r="1493" spans="1:10">
      <c r="A1493" t="s">
        <v>1575</v>
      </c>
      <c r="B1493">
        <v>47</v>
      </c>
      <c r="C1493" t="s">
        <v>7</v>
      </c>
      <c r="D1493">
        <v>30</v>
      </c>
      <c r="E1493">
        <v>76</v>
      </c>
      <c r="F1493">
        <v>1.7170000000000001E-2</v>
      </c>
      <c r="G1493">
        <v>0</v>
      </c>
      <c r="H1493" t="str">
        <f t="shared" si="69"/>
        <v>70-79</v>
      </c>
      <c r="I1493" t="str">
        <f t="shared" si="70"/>
        <v>30-39</v>
      </c>
      <c r="J1493">
        <f t="shared" si="71"/>
        <v>1.7170000000000001E-2</v>
      </c>
    </row>
    <row r="1494" spans="1:10">
      <c r="A1494" t="s">
        <v>1576</v>
      </c>
      <c r="B1494">
        <v>56</v>
      </c>
      <c r="C1494" t="s">
        <v>9</v>
      </c>
      <c r="D1494">
        <v>30</v>
      </c>
      <c r="E1494">
        <v>85</v>
      </c>
      <c r="F1494">
        <v>5.6829999999999999E-2</v>
      </c>
      <c r="G1494">
        <v>0</v>
      </c>
      <c r="H1494" t="str">
        <f t="shared" si="69"/>
        <v>80-89</v>
      </c>
      <c r="I1494" t="str">
        <f t="shared" si="70"/>
        <v>30-39</v>
      </c>
      <c r="J1494">
        <f t="shared" si="71"/>
        <v>5.6829999999999999E-2</v>
      </c>
    </row>
    <row r="1495" spans="1:10">
      <c r="A1495" t="s">
        <v>1577</v>
      </c>
      <c r="B1495">
        <v>54</v>
      </c>
      <c r="C1495" t="s">
        <v>9</v>
      </c>
      <c r="D1495">
        <v>24</v>
      </c>
      <c r="E1495">
        <v>77</v>
      </c>
      <c r="F1495">
        <v>3.7039999999999997E-2</v>
      </c>
      <c r="G1495">
        <v>0</v>
      </c>
      <c r="H1495" t="str">
        <f t="shared" si="69"/>
        <v>70-79</v>
      </c>
      <c r="I1495" t="str">
        <f t="shared" si="70"/>
        <v>20-29</v>
      </c>
      <c r="J1495">
        <f t="shared" si="71"/>
        <v>3.7039999999999997E-2</v>
      </c>
    </row>
    <row r="1496" spans="1:10">
      <c r="A1496" t="s">
        <v>1578</v>
      </c>
      <c r="B1496">
        <v>29</v>
      </c>
      <c r="C1496" t="s">
        <v>9</v>
      </c>
      <c r="D1496">
        <v>24</v>
      </c>
      <c r="E1496">
        <v>52</v>
      </c>
      <c r="F1496">
        <v>3.0999999999999999E-3</v>
      </c>
      <c r="G1496">
        <v>0</v>
      </c>
      <c r="H1496" t="str">
        <f t="shared" si="69"/>
        <v>50-59</v>
      </c>
      <c r="I1496" t="str">
        <f t="shared" si="70"/>
        <v>20-29</v>
      </c>
      <c r="J1496">
        <f t="shared" si="71"/>
        <v>3.0999999999999999E-3</v>
      </c>
    </row>
    <row r="1497" spans="1:10">
      <c r="A1497" t="s">
        <v>1579</v>
      </c>
      <c r="B1497">
        <v>46</v>
      </c>
      <c r="C1497" t="s">
        <v>9</v>
      </c>
      <c r="D1497">
        <v>14</v>
      </c>
      <c r="E1497">
        <v>59</v>
      </c>
      <c r="F1497">
        <v>5.4299999999999999E-3</v>
      </c>
      <c r="G1497">
        <v>0</v>
      </c>
      <c r="H1497" t="str">
        <f t="shared" si="69"/>
        <v>50-59</v>
      </c>
      <c r="I1497" t="str">
        <f t="shared" si="70"/>
        <v>10-19</v>
      </c>
      <c r="J1497">
        <f t="shared" si="71"/>
        <v>5.4299999999999999E-3</v>
      </c>
    </row>
    <row r="1498" spans="1:10">
      <c r="A1498" t="s">
        <v>1580</v>
      </c>
      <c r="B1498">
        <v>60</v>
      </c>
      <c r="C1498" t="s">
        <v>7</v>
      </c>
      <c r="D1498">
        <v>30</v>
      </c>
      <c r="E1498">
        <v>89</v>
      </c>
      <c r="F1498">
        <v>7.2980000000000003E-2</v>
      </c>
      <c r="G1498">
        <v>0</v>
      </c>
      <c r="H1498" t="str">
        <f t="shared" si="69"/>
        <v>80-89</v>
      </c>
      <c r="I1498" t="str">
        <f t="shared" si="70"/>
        <v>30-39</v>
      </c>
      <c r="J1498">
        <f t="shared" si="71"/>
        <v>7.2980000000000003E-2</v>
      </c>
    </row>
    <row r="1499" spans="1:10">
      <c r="A1499" t="s">
        <v>1581</v>
      </c>
      <c r="B1499">
        <v>32</v>
      </c>
      <c r="C1499" t="s">
        <v>9</v>
      </c>
      <c r="D1499">
        <v>4</v>
      </c>
      <c r="E1499">
        <v>35</v>
      </c>
      <c r="F1499">
        <v>4.8999999999999998E-4</v>
      </c>
      <c r="G1499">
        <v>0</v>
      </c>
      <c r="H1499" t="str">
        <f t="shared" si="69"/>
        <v>30-39</v>
      </c>
      <c r="I1499" t="str">
        <f t="shared" si="70"/>
        <v>0-9</v>
      </c>
      <c r="J1499">
        <f t="shared" si="71"/>
        <v>4.8999999999999998E-4</v>
      </c>
    </row>
    <row r="1500" spans="1:10">
      <c r="A1500" t="s">
        <v>1582</v>
      </c>
      <c r="B1500">
        <v>59</v>
      </c>
      <c r="C1500" t="s">
        <v>9</v>
      </c>
      <c r="D1500">
        <v>20</v>
      </c>
      <c r="E1500">
        <v>78</v>
      </c>
      <c r="F1500">
        <v>4.079E-2</v>
      </c>
      <c r="G1500">
        <v>0</v>
      </c>
      <c r="H1500" t="str">
        <f t="shared" si="69"/>
        <v>70-79</v>
      </c>
      <c r="I1500" t="str">
        <f t="shared" si="70"/>
        <v>20-29</v>
      </c>
      <c r="J1500">
        <f t="shared" si="71"/>
        <v>4.079E-2</v>
      </c>
    </row>
    <row r="1501" spans="1:10">
      <c r="A1501" t="s">
        <v>1583</v>
      </c>
      <c r="B1501">
        <v>34</v>
      </c>
      <c r="C1501" t="s">
        <v>9</v>
      </c>
      <c r="D1501">
        <v>20</v>
      </c>
      <c r="E1501">
        <v>53</v>
      </c>
      <c r="F1501">
        <v>3.2599999999999999E-3</v>
      </c>
      <c r="G1501">
        <v>0</v>
      </c>
      <c r="H1501" t="str">
        <f t="shared" si="69"/>
        <v>50-59</v>
      </c>
      <c r="I1501" t="str">
        <f t="shared" si="70"/>
        <v>20-29</v>
      </c>
      <c r="J1501">
        <f t="shared" si="71"/>
        <v>3.2599999999999999E-3</v>
      </c>
    </row>
    <row r="1502" spans="1:10">
      <c r="A1502" t="s">
        <v>1584</v>
      </c>
      <c r="B1502">
        <v>42</v>
      </c>
      <c r="C1502" t="s">
        <v>7</v>
      </c>
      <c r="D1502">
        <v>3</v>
      </c>
      <c r="E1502">
        <v>44</v>
      </c>
      <c r="F1502">
        <v>5.4000000000000001E-4</v>
      </c>
      <c r="G1502">
        <v>0</v>
      </c>
      <c r="H1502" t="str">
        <f t="shared" si="69"/>
        <v>40-49</v>
      </c>
      <c r="I1502" t="str">
        <f t="shared" si="70"/>
        <v>0-9</v>
      </c>
      <c r="J1502">
        <f t="shared" si="71"/>
        <v>5.4000000000000001E-4</v>
      </c>
    </row>
    <row r="1503" spans="1:10">
      <c r="A1503" t="s">
        <v>1585</v>
      </c>
      <c r="B1503">
        <v>52</v>
      </c>
      <c r="C1503" t="s">
        <v>7</v>
      </c>
      <c r="D1503">
        <v>28</v>
      </c>
      <c r="E1503">
        <v>79</v>
      </c>
      <c r="F1503">
        <v>2.8719999999999999E-2</v>
      </c>
      <c r="G1503">
        <v>0</v>
      </c>
      <c r="H1503" t="str">
        <f t="shared" si="69"/>
        <v>70-79</v>
      </c>
      <c r="I1503" t="str">
        <f t="shared" si="70"/>
        <v>20-29</v>
      </c>
      <c r="J1503">
        <f t="shared" si="71"/>
        <v>2.8719999999999999E-2</v>
      </c>
    </row>
    <row r="1504" spans="1:10">
      <c r="A1504" t="s">
        <v>1586</v>
      </c>
      <c r="B1504">
        <v>43</v>
      </c>
      <c r="C1504" t="s">
        <v>7</v>
      </c>
      <c r="D1504">
        <v>6</v>
      </c>
      <c r="E1504">
        <v>48</v>
      </c>
      <c r="F1504">
        <v>1.1000000000000001E-3</v>
      </c>
      <c r="G1504">
        <v>0</v>
      </c>
      <c r="H1504" t="str">
        <f t="shared" si="69"/>
        <v>40-49</v>
      </c>
      <c r="I1504" t="str">
        <f t="shared" si="70"/>
        <v>0-9</v>
      </c>
      <c r="J1504">
        <f t="shared" si="71"/>
        <v>1.1000000000000001E-3</v>
      </c>
    </row>
    <row r="1505" spans="1:10">
      <c r="A1505" t="s">
        <v>1587</v>
      </c>
      <c r="B1505">
        <v>28</v>
      </c>
      <c r="C1505" t="s">
        <v>9</v>
      </c>
      <c r="D1505">
        <v>6</v>
      </c>
      <c r="E1505">
        <v>33</v>
      </c>
      <c r="F1505">
        <v>4.6000000000000001E-4</v>
      </c>
      <c r="G1505">
        <v>0</v>
      </c>
      <c r="H1505" t="str">
        <f t="shared" si="69"/>
        <v>30-39</v>
      </c>
      <c r="I1505" t="str">
        <f t="shared" si="70"/>
        <v>0-9</v>
      </c>
      <c r="J1505">
        <f t="shared" si="71"/>
        <v>4.6000000000000001E-4</v>
      </c>
    </row>
    <row r="1506" spans="1:10">
      <c r="A1506" t="s">
        <v>1588</v>
      </c>
      <c r="B1506">
        <v>20</v>
      </c>
      <c r="C1506" t="s">
        <v>9</v>
      </c>
      <c r="D1506">
        <v>30</v>
      </c>
      <c r="E1506">
        <v>49</v>
      </c>
      <c r="F1506">
        <v>2.5400000000000002E-3</v>
      </c>
      <c r="G1506">
        <v>0</v>
      </c>
      <c r="H1506" t="str">
        <f t="shared" si="69"/>
        <v>40-49</v>
      </c>
      <c r="I1506" t="str">
        <f t="shared" si="70"/>
        <v>30-39</v>
      </c>
      <c r="J1506">
        <f t="shared" si="71"/>
        <v>2.5400000000000002E-3</v>
      </c>
    </row>
    <row r="1507" spans="1:10">
      <c r="A1507" t="s">
        <v>1589</v>
      </c>
      <c r="B1507">
        <v>62</v>
      </c>
      <c r="C1507" t="s">
        <v>7</v>
      </c>
      <c r="D1507">
        <v>7</v>
      </c>
      <c r="E1507">
        <v>68</v>
      </c>
      <c r="F1507">
        <v>7.0200000000000002E-3</v>
      </c>
      <c r="G1507">
        <v>0</v>
      </c>
      <c r="H1507" t="str">
        <f t="shared" si="69"/>
        <v>60-69</v>
      </c>
      <c r="I1507" t="str">
        <f t="shared" si="70"/>
        <v>0-9</v>
      </c>
      <c r="J1507">
        <f t="shared" si="71"/>
        <v>7.0200000000000002E-3</v>
      </c>
    </row>
    <row r="1508" spans="1:10">
      <c r="A1508" t="s">
        <v>1590</v>
      </c>
      <c r="B1508">
        <v>48</v>
      </c>
      <c r="C1508" t="s">
        <v>7</v>
      </c>
      <c r="D1508">
        <v>28</v>
      </c>
      <c r="E1508">
        <v>75</v>
      </c>
      <c r="F1508">
        <v>1.8970000000000001E-2</v>
      </c>
      <c r="G1508">
        <v>0</v>
      </c>
      <c r="H1508" t="str">
        <f t="shared" si="69"/>
        <v>70-79</v>
      </c>
      <c r="I1508" t="str">
        <f t="shared" si="70"/>
        <v>20-29</v>
      </c>
      <c r="J1508">
        <f t="shared" si="71"/>
        <v>1.8970000000000001E-2</v>
      </c>
    </row>
    <row r="1509" spans="1:10">
      <c r="A1509" t="s">
        <v>1591</v>
      </c>
      <c r="B1509">
        <v>49</v>
      </c>
      <c r="C1509" t="s">
        <v>9</v>
      </c>
      <c r="D1509">
        <v>29</v>
      </c>
      <c r="E1509">
        <v>77</v>
      </c>
      <c r="F1509">
        <v>2.6859999999999998E-2</v>
      </c>
      <c r="G1509">
        <v>0</v>
      </c>
      <c r="H1509" t="str">
        <f t="shared" si="69"/>
        <v>70-79</v>
      </c>
      <c r="I1509" t="str">
        <f t="shared" si="70"/>
        <v>20-29</v>
      </c>
      <c r="J1509">
        <f t="shared" si="71"/>
        <v>2.6859999999999998E-2</v>
      </c>
    </row>
    <row r="1510" spans="1:10">
      <c r="A1510" t="s">
        <v>1592</v>
      </c>
      <c r="B1510">
        <v>22</v>
      </c>
      <c r="C1510" t="s">
        <v>7</v>
      </c>
      <c r="D1510">
        <v>20</v>
      </c>
      <c r="E1510">
        <v>41</v>
      </c>
      <c r="F1510">
        <v>1.1900000000000001E-3</v>
      </c>
      <c r="G1510">
        <v>0</v>
      </c>
      <c r="H1510" t="str">
        <f t="shared" si="69"/>
        <v>40-49</v>
      </c>
      <c r="I1510" t="str">
        <f t="shared" si="70"/>
        <v>20-29</v>
      </c>
      <c r="J1510">
        <f t="shared" si="71"/>
        <v>1.1900000000000001E-3</v>
      </c>
    </row>
    <row r="1511" spans="1:10">
      <c r="A1511" t="s">
        <v>1593</v>
      </c>
      <c r="B1511">
        <v>40</v>
      </c>
      <c r="C1511" t="s">
        <v>7</v>
      </c>
      <c r="D1511">
        <v>13</v>
      </c>
      <c r="E1511">
        <v>52</v>
      </c>
      <c r="F1511">
        <v>2.0699999999999998E-3</v>
      </c>
      <c r="G1511">
        <v>0</v>
      </c>
      <c r="H1511" t="str">
        <f t="shared" si="69"/>
        <v>50-59</v>
      </c>
      <c r="I1511" t="str">
        <f t="shared" si="70"/>
        <v>10-19</v>
      </c>
      <c r="J1511">
        <f t="shared" si="71"/>
        <v>2.0699999999999998E-3</v>
      </c>
    </row>
    <row r="1512" spans="1:10">
      <c r="A1512" t="s">
        <v>1594</v>
      </c>
      <c r="B1512">
        <v>58</v>
      </c>
      <c r="C1512" t="s">
        <v>7</v>
      </c>
      <c r="D1512">
        <v>18</v>
      </c>
      <c r="E1512">
        <v>75</v>
      </c>
      <c r="F1512">
        <v>2.18E-2</v>
      </c>
      <c r="G1512">
        <v>0</v>
      </c>
      <c r="H1512" t="str">
        <f t="shared" si="69"/>
        <v>70-79</v>
      </c>
      <c r="I1512" t="str">
        <f t="shared" si="70"/>
        <v>10-19</v>
      </c>
      <c r="J1512">
        <f t="shared" si="71"/>
        <v>2.18E-2</v>
      </c>
    </row>
    <row r="1513" spans="1:10">
      <c r="A1513" t="s">
        <v>1595</v>
      </c>
      <c r="B1513">
        <v>22</v>
      </c>
      <c r="C1513" t="s">
        <v>9</v>
      </c>
      <c r="D1513">
        <v>17</v>
      </c>
      <c r="E1513">
        <v>38</v>
      </c>
      <c r="F1513">
        <v>1.2099999999999999E-3</v>
      </c>
      <c r="G1513">
        <v>0</v>
      </c>
      <c r="H1513" t="str">
        <f t="shared" si="69"/>
        <v>30-39</v>
      </c>
      <c r="I1513" t="str">
        <f t="shared" si="70"/>
        <v>10-19</v>
      </c>
      <c r="J1513">
        <f t="shared" si="71"/>
        <v>1.2099999999999999E-3</v>
      </c>
    </row>
    <row r="1514" spans="1:10">
      <c r="A1514" t="s">
        <v>1596</v>
      </c>
      <c r="B1514">
        <v>22</v>
      </c>
      <c r="C1514" t="s">
        <v>7</v>
      </c>
      <c r="D1514">
        <v>29</v>
      </c>
      <c r="E1514">
        <v>50</v>
      </c>
      <c r="F1514">
        <v>1.6000000000000001E-3</v>
      </c>
      <c r="G1514">
        <v>0</v>
      </c>
      <c r="H1514" t="str">
        <f t="shared" si="69"/>
        <v>50-59</v>
      </c>
      <c r="I1514" t="str">
        <f t="shared" si="70"/>
        <v>20-29</v>
      </c>
      <c r="J1514">
        <f t="shared" si="71"/>
        <v>1.6000000000000001E-3</v>
      </c>
    </row>
    <row r="1515" spans="1:10">
      <c r="A1515" t="s">
        <v>1597</v>
      </c>
      <c r="B1515">
        <v>45</v>
      </c>
      <c r="C1515" t="s">
        <v>9</v>
      </c>
      <c r="D1515">
        <v>24</v>
      </c>
      <c r="E1515">
        <v>68</v>
      </c>
      <c r="F1515">
        <v>1.405E-2</v>
      </c>
      <c r="G1515">
        <v>0</v>
      </c>
      <c r="H1515" t="str">
        <f t="shared" si="69"/>
        <v>60-69</v>
      </c>
      <c r="I1515" t="str">
        <f t="shared" si="70"/>
        <v>20-29</v>
      </c>
      <c r="J1515">
        <f t="shared" si="71"/>
        <v>1.405E-2</v>
      </c>
    </row>
    <row r="1516" spans="1:10">
      <c r="A1516" t="s">
        <v>1598</v>
      </c>
      <c r="B1516">
        <v>60</v>
      </c>
      <c r="C1516" t="s">
        <v>9</v>
      </c>
      <c r="D1516">
        <v>2</v>
      </c>
      <c r="E1516">
        <v>61</v>
      </c>
      <c r="F1516">
        <v>2.8600000000000001E-3</v>
      </c>
      <c r="G1516">
        <v>0</v>
      </c>
      <c r="H1516" t="str">
        <f t="shared" si="69"/>
        <v>60-69</v>
      </c>
      <c r="I1516" t="str">
        <f t="shared" si="70"/>
        <v>0-9</v>
      </c>
      <c r="J1516">
        <f t="shared" si="71"/>
        <v>2.8600000000000001E-3</v>
      </c>
    </row>
    <row r="1517" spans="1:10">
      <c r="A1517" t="s">
        <v>1599</v>
      </c>
      <c r="B1517">
        <v>39</v>
      </c>
      <c r="C1517" t="s">
        <v>7</v>
      </c>
      <c r="D1517">
        <v>25</v>
      </c>
      <c r="E1517">
        <v>63</v>
      </c>
      <c r="F1517">
        <v>6.7200000000000003E-3</v>
      </c>
      <c r="G1517">
        <v>0</v>
      </c>
      <c r="H1517" t="str">
        <f t="shared" si="69"/>
        <v>60-69</v>
      </c>
      <c r="I1517" t="str">
        <f t="shared" si="70"/>
        <v>20-29</v>
      </c>
      <c r="J1517">
        <f t="shared" si="71"/>
        <v>6.7200000000000003E-3</v>
      </c>
    </row>
    <row r="1518" spans="1:10">
      <c r="A1518" t="s">
        <v>1600</v>
      </c>
      <c r="B1518">
        <v>47</v>
      </c>
      <c r="C1518" t="s">
        <v>7</v>
      </c>
      <c r="D1518">
        <v>10</v>
      </c>
      <c r="E1518">
        <v>56</v>
      </c>
      <c r="F1518">
        <v>2.6199999999999999E-3</v>
      </c>
      <c r="G1518">
        <v>0</v>
      </c>
      <c r="H1518" t="str">
        <f t="shared" si="69"/>
        <v>50-59</v>
      </c>
      <c r="I1518" t="str">
        <f t="shared" si="70"/>
        <v>10-19</v>
      </c>
      <c r="J1518">
        <f t="shared" si="71"/>
        <v>2.6199999999999999E-3</v>
      </c>
    </row>
    <row r="1519" spans="1:10">
      <c r="A1519" t="s">
        <v>1601</v>
      </c>
      <c r="B1519">
        <v>53</v>
      </c>
      <c r="C1519" t="s">
        <v>9</v>
      </c>
      <c r="D1519">
        <v>29</v>
      </c>
      <c r="E1519">
        <v>81</v>
      </c>
      <c r="F1519">
        <v>4.1250000000000002E-2</v>
      </c>
      <c r="G1519">
        <v>0</v>
      </c>
      <c r="H1519" t="str">
        <f t="shared" si="69"/>
        <v>80-89</v>
      </c>
      <c r="I1519" t="str">
        <f t="shared" si="70"/>
        <v>20-29</v>
      </c>
      <c r="J1519">
        <f t="shared" si="71"/>
        <v>4.1250000000000002E-2</v>
      </c>
    </row>
    <row r="1520" spans="1:10">
      <c r="A1520" t="s">
        <v>1602</v>
      </c>
      <c r="B1520">
        <v>48</v>
      </c>
      <c r="C1520" t="s">
        <v>7</v>
      </c>
      <c r="D1520">
        <v>3</v>
      </c>
      <c r="E1520">
        <v>50</v>
      </c>
      <c r="F1520">
        <v>9.7999999999999997E-4</v>
      </c>
      <c r="G1520">
        <v>0</v>
      </c>
      <c r="H1520" t="str">
        <f t="shared" si="69"/>
        <v>50-59</v>
      </c>
      <c r="I1520" t="str">
        <f t="shared" si="70"/>
        <v>0-9</v>
      </c>
      <c r="J1520">
        <f t="shared" si="71"/>
        <v>9.7999999999999997E-4</v>
      </c>
    </row>
    <row r="1521" spans="1:10">
      <c r="A1521" t="s">
        <v>1603</v>
      </c>
      <c r="B1521">
        <v>57</v>
      </c>
      <c r="C1521" t="s">
        <v>7</v>
      </c>
      <c r="D1521">
        <v>29</v>
      </c>
      <c r="E1521">
        <v>85</v>
      </c>
      <c r="F1521">
        <v>5.0599999999999999E-2</v>
      </c>
      <c r="G1521">
        <v>0</v>
      </c>
      <c r="H1521" t="str">
        <f t="shared" si="69"/>
        <v>80-89</v>
      </c>
      <c r="I1521" t="str">
        <f t="shared" si="70"/>
        <v>20-29</v>
      </c>
      <c r="J1521">
        <f t="shared" si="71"/>
        <v>5.0599999999999999E-2</v>
      </c>
    </row>
    <row r="1522" spans="1:10">
      <c r="A1522" t="s">
        <v>1604</v>
      </c>
      <c r="B1522">
        <v>46</v>
      </c>
      <c r="C1522" t="s">
        <v>9</v>
      </c>
      <c r="D1522">
        <v>11</v>
      </c>
      <c r="E1522">
        <v>56</v>
      </c>
      <c r="F1522">
        <v>3.7499999999999999E-3</v>
      </c>
      <c r="G1522">
        <v>0</v>
      </c>
      <c r="H1522" t="str">
        <f t="shared" si="69"/>
        <v>50-59</v>
      </c>
      <c r="I1522" t="str">
        <f t="shared" si="70"/>
        <v>10-19</v>
      </c>
      <c r="J1522">
        <f t="shared" si="71"/>
        <v>3.7499999999999999E-3</v>
      </c>
    </row>
    <row r="1523" spans="1:10">
      <c r="A1523" t="s">
        <v>1605</v>
      </c>
      <c r="B1523">
        <v>57</v>
      </c>
      <c r="C1523" t="s">
        <v>7</v>
      </c>
      <c r="D1523">
        <v>29</v>
      </c>
      <c r="E1523">
        <v>85</v>
      </c>
      <c r="F1523">
        <v>5.0599999999999999E-2</v>
      </c>
      <c r="G1523">
        <v>0</v>
      </c>
      <c r="H1523" t="str">
        <f t="shared" si="69"/>
        <v>80-89</v>
      </c>
      <c r="I1523" t="str">
        <f t="shared" si="70"/>
        <v>20-29</v>
      </c>
      <c r="J1523">
        <f t="shared" si="71"/>
        <v>5.0599999999999999E-2</v>
      </c>
    </row>
    <row r="1524" spans="1:10">
      <c r="A1524" t="s">
        <v>1606</v>
      </c>
      <c r="B1524">
        <v>49</v>
      </c>
      <c r="C1524" t="s">
        <v>9</v>
      </c>
      <c r="D1524">
        <v>3</v>
      </c>
      <c r="E1524">
        <v>51</v>
      </c>
      <c r="F1524">
        <v>1.5399999999999999E-3</v>
      </c>
      <c r="G1524">
        <v>0</v>
      </c>
      <c r="H1524" t="str">
        <f t="shared" si="69"/>
        <v>50-59</v>
      </c>
      <c r="I1524" t="str">
        <f t="shared" si="70"/>
        <v>0-9</v>
      </c>
      <c r="J1524">
        <f t="shared" si="71"/>
        <v>1.5399999999999999E-3</v>
      </c>
    </row>
    <row r="1525" spans="1:10">
      <c r="A1525" t="s">
        <v>1607</v>
      </c>
      <c r="B1525">
        <v>65</v>
      </c>
      <c r="C1525" t="s">
        <v>9</v>
      </c>
      <c r="D1525">
        <v>26</v>
      </c>
      <c r="E1525">
        <v>90</v>
      </c>
      <c r="F1525">
        <v>0.16611999999999999</v>
      </c>
      <c r="G1525">
        <v>0</v>
      </c>
      <c r="H1525" t="str">
        <f t="shared" si="69"/>
        <v>90-99</v>
      </c>
      <c r="I1525" t="str">
        <f t="shared" si="70"/>
        <v>20-29</v>
      </c>
      <c r="J1525">
        <f t="shared" si="71"/>
        <v>0.16611999999999999</v>
      </c>
    </row>
    <row r="1526" spans="1:10">
      <c r="A1526" t="s">
        <v>1608</v>
      </c>
      <c r="B1526">
        <v>25</v>
      </c>
      <c r="C1526" t="s">
        <v>7</v>
      </c>
      <c r="D1526">
        <v>4</v>
      </c>
      <c r="E1526">
        <v>28</v>
      </c>
      <c r="F1526">
        <v>2.2000000000000001E-4</v>
      </c>
      <c r="G1526">
        <v>0</v>
      </c>
      <c r="H1526" t="str">
        <f t="shared" si="69"/>
        <v>20-29</v>
      </c>
      <c r="I1526" t="str">
        <f t="shared" si="70"/>
        <v>0-9</v>
      </c>
      <c r="J1526">
        <f t="shared" si="71"/>
        <v>2.2000000000000001E-4</v>
      </c>
    </row>
    <row r="1527" spans="1:10">
      <c r="A1527" t="s">
        <v>1609</v>
      </c>
      <c r="B1527">
        <v>25</v>
      </c>
      <c r="C1527" t="s">
        <v>7</v>
      </c>
      <c r="D1527">
        <v>17</v>
      </c>
      <c r="E1527">
        <v>41</v>
      </c>
      <c r="F1527">
        <v>1.0399999999999999E-3</v>
      </c>
      <c r="G1527">
        <v>0</v>
      </c>
      <c r="H1527" t="str">
        <f t="shared" si="69"/>
        <v>40-49</v>
      </c>
      <c r="I1527" t="str">
        <f t="shared" si="70"/>
        <v>10-19</v>
      </c>
      <c r="J1527">
        <f t="shared" si="71"/>
        <v>1.0399999999999999E-3</v>
      </c>
    </row>
    <row r="1528" spans="1:10">
      <c r="A1528" t="s">
        <v>1610</v>
      </c>
      <c r="B1528">
        <v>52</v>
      </c>
      <c r="C1528" t="s">
        <v>7</v>
      </c>
      <c r="D1528">
        <v>20</v>
      </c>
      <c r="E1528">
        <v>71</v>
      </c>
      <c r="F1528">
        <v>1.506E-2</v>
      </c>
      <c r="G1528">
        <v>0</v>
      </c>
      <c r="H1528" t="str">
        <f t="shared" si="69"/>
        <v>70-79</v>
      </c>
      <c r="I1528" t="str">
        <f t="shared" si="70"/>
        <v>20-29</v>
      </c>
      <c r="J1528">
        <f t="shared" si="71"/>
        <v>1.506E-2</v>
      </c>
    </row>
    <row r="1529" spans="1:10">
      <c r="A1529" t="s">
        <v>1611</v>
      </c>
      <c r="B1529">
        <v>44</v>
      </c>
      <c r="C1529" t="s">
        <v>7</v>
      </c>
      <c r="D1529">
        <v>2</v>
      </c>
      <c r="E1529">
        <v>45</v>
      </c>
      <c r="F1529">
        <v>4.2000000000000002E-4</v>
      </c>
      <c r="G1529">
        <v>0</v>
      </c>
      <c r="H1529" t="str">
        <f t="shared" si="69"/>
        <v>40-49</v>
      </c>
      <c r="I1529" t="str">
        <f t="shared" si="70"/>
        <v>0-9</v>
      </c>
      <c r="J1529">
        <f t="shared" si="71"/>
        <v>4.2000000000000002E-4</v>
      </c>
    </row>
    <row r="1530" spans="1:10">
      <c r="A1530" t="s">
        <v>1612</v>
      </c>
      <c r="B1530">
        <v>56</v>
      </c>
      <c r="C1530" t="s">
        <v>7</v>
      </c>
      <c r="D1530">
        <v>28</v>
      </c>
      <c r="E1530">
        <v>83</v>
      </c>
      <c r="F1530">
        <v>4.4880000000000003E-2</v>
      </c>
      <c r="G1530">
        <v>0</v>
      </c>
      <c r="H1530" t="str">
        <f t="shared" si="69"/>
        <v>80-89</v>
      </c>
      <c r="I1530" t="str">
        <f t="shared" si="70"/>
        <v>20-29</v>
      </c>
      <c r="J1530">
        <f t="shared" si="71"/>
        <v>4.4880000000000003E-2</v>
      </c>
    </row>
    <row r="1531" spans="1:10">
      <c r="A1531" t="s">
        <v>1613</v>
      </c>
      <c r="B1531">
        <v>29</v>
      </c>
      <c r="C1531" t="s">
        <v>7</v>
      </c>
      <c r="D1531">
        <v>6</v>
      </c>
      <c r="E1531">
        <v>34</v>
      </c>
      <c r="F1531">
        <v>3.2000000000000003E-4</v>
      </c>
      <c r="G1531">
        <v>0</v>
      </c>
      <c r="H1531" t="str">
        <f t="shared" si="69"/>
        <v>30-39</v>
      </c>
      <c r="I1531" t="str">
        <f t="shared" si="70"/>
        <v>0-9</v>
      </c>
      <c r="J1531">
        <f t="shared" si="71"/>
        <v>3.2000000000000003E-4</v>
      </c>
    </row>
    <row r="1532" spans="1:10">
      <c r="A1532" t="s">
        <v>1614</v>
      </c>
      <c r="B1532">
        <v>39</v>
      </c>
      <c r="C1532" t="s">
        <v>7</v>
      </c>
      <c r="D1532">
        <v>10</v>
      </c>
      <c r="E1532">
        <v>48</v>
      </c>
      <c r="F1532">
        <v>1.2899999999999999E-3</v>
      </c>
      <c r="G1532">
        <v>0</v>
      </c>
      <c r="H1532" t="str">
        <f t="shared" si="69"/>
        <v>40-49</v>
      </c>
      <c r="I1532" t="str">
        <f t="shared" si="70"/>
        <v>10-19</v>
      </c>
      <c r="J1532">
        <f t="shared" si="71"/>
        <v>1.2899999999999999E-3</v>
      </c>
    </row>
    <row r="1533" spans="1:10">
      <c r="A1533" t="s">
        <v>1615</v>
      </c>
      <c r="B1533">
        <v>38</v>
      </c>
      <c r="C1533" t="s">
        <v>9</v>
      </c>
      <c r="D1533">
        <v>21</v>
      </c>
      <c r="E1533">
        <v>58</v>
      </c>
      <c r="F1533">
        <v>5.2199999999999998E-3</v>
      </c>
      <c r="G1533">
        <v>0</v>
      </c>
      <c r="H1533" t="str">
        <f t="shared" si="69"/>
        <v>50-59</v>
      </c>
      <c r="I1533" t="str">
        <f t="shared" si="70"/>
        <v>20-29</v>
      </c>
      <c r="J1533">
        <f t="shared" si="71"/>
        <v>5.2199999999999998E-3</v>
      </c>
    </row>
    <row r="1534" spans="1:10">
      <c r="A1534" t="s">
        <v>1616</v>
      </c>
      <c r="B1534">
        <v>32</v>
      </c>
      <c r="C1534" t="s">
        <v>7</v>
      </c>
      <c r="D1534">
        <v>1</v>
      </c>
      <c r="E1534">
        <v>32</v>
      </c>
      <c r="F1534">
        <v>1.2E-4</v>
      </c>
      <c r="G1534">
        <v>0</v>
      </c>
      <c r="H1534" t="str">
        <f t="shared" si="69"/>
        <v>30-39</v>
      </c>
      <c r="I1534" t="str">
        <f t="shared" si="70"/>
        <v>0-9</v>
      </c>
      <c r="J1534">
        <f t="shared" si="71"/>
        <v>1.2E-4</v>
      </c>
    </row>
    <row r="1535" spans="1:10">
      <c r="A1535" t="s">
        <v>1617</v>
      </c>
      <c r="B1535">
        <v>49</v>
      </c>
      <c r="C1535" t="s">
        <v>7</v>
      </c>
      <c r="D1535">
        <v>16</v>
      </c>
      <c r="E1535">
        <v>64</v>
      </c>
      <c r="F1535">
        <v>7.0699999999999999E-3</v>
      </c>
      <c r="G1535">
        <v>0</v>
      </c>
      <c r="H1535" t="str">
        <f t="shared" si="69"/>
        <v>60-69</v>
      </c>
      <c r="I1535" t="str">
        <f t="shared" si="70"/>
        <v>10-19</v>
      </c>
      <c r="J1535">
        <f t="shared" si="71"/>
        <v>7.0699999999999999E-3</v>
      </c>
    </row>
    <row r="1536" spans="1:10">
      <c r="A1536" t="s">
        <v>1618</v>
      </c>
      <c r="B1536">
        <v>20</v>
      </c>
      <c r="C1536" t="s">
        <v>7</v>
      </c>
      <c r="D1536">
        <v>20</v>
      </c>
      <c r="E1536">
        <v>39</v>
      </c>
      <c r="F1536">
        <v>1.08E-3</v>
      </c>
      <c r="G1536">
        <v>0</v>
      </c>
      <c r="H1536" t="str">
        <f t="shared" si="69"/>
        <v>30-39</v>
      </c>
      <c r="I1536" t="str">
        <f t="shared" si="70"/>
        <v>20-29</v>
      </c>
      <c r="J1536">
        <f t="shared" si="71"/>
        <v>1.08E-3</v>
      </c>
    </row>
    <row r="1537" spans="1:10">
      <c r="A1537" t="s">
        <v>1619</v>
      </c>
      <c r="B1537">
        <v>57</v>
      </c>
      <c r="C1537" t="s">
        <v>9</v>
      </c>
      <c r="D1537">
        <v>22</v>
      </c>
      <c r="E1537">
        <v>78</v>
      </c>
      <c r="F1537">
        <v>4.1189999999999997E-2</v>
      </c>
      <c r="G1537">
        <v>0</v>
      </c>
      <c r="H1537" t="str">
        <f t="shared" si="69"/>
        <v>70-79</v>
      </c>
      <c r="I1537" t="str">
        <f t="shared" si="70"/>
        <v>20-29</v>
      </c>
      <c r="J1537">
        <f t="shared" si="71"/>
        <v>4.1189999999999997E-2</v>
      </c>
    </row>
    <row r="1538" spans="1:10">
      <c r="A1538" t="s">
        <v>1620</v>
      </c>
      <c r="B1538">
        <v>25</v>
      </c>
      <c r="C1538" t="s">
        <v>7</v>
      </c>
      <c r="D1538">
        <v>20</v>
      </c>
      <c r="E1538">
        <v>44</v>
      </c>
      <c r="F1538">
        <v>1.31E-3</v>
      </c>
      <c r="G1538">
        <v>0</v>
      </c>
      <c r="H1538" t="str">
        <f t="shared" si="69"/>
        <v>40-49</v>
      </c>
      <c r="I1538" t="str">
        <f t="shared" si="70"/>
        <v>20-29</v>
      </c>
      <c r="J1538">
        <f t="shared" si="71"/>
        <v>1.31E-3</v>
      </c>
    </row>
    <row r="1539" spans="1:10">
      <c r="A1539" t="s">
        <v>1621</v>
      </c>
      <c r="B1539">
        <v>55</v>
      </c>
      <c r="C1539" t="s">
        <v>7</v>
      </c>
      <c r="D1539">
        <v>9</v>
      </c>
      <c r="E1539">
        <v>63</v>
      </c>
      <c r="F1539">
        <v>5.11E-3</v>
      </c>
      <c r="G1539">
        <v>0</v>
      </c>
      <c r="H1539" t="str">
        <f t="shared" ref="H1539:H1602" si="72">FLOOR(E1539,10) &amp; "-" &amp; FLOOR(E1539,10)+9</f>
        <v>60-69</v>
      </c>
      <c r="I1539" t="str">
        <f t="shared" ref="I1539:I1602" si="73">FLOOR(D1539, 10) &amp; "-"&amp;FLOOR(D1539, 10)+9</f>
        <v>0-9</v>
      </c>
      <c r="J1539">
        <f t="shared" ref="J1539:J1602" si="74">F1539</f>
        <v>5.11E-3</v>
      </c>
    </row>
    <row r="1540" spans="1:10">
      <c r="A1540" t="s">
        <v>1622</v>
      </c>
      <c r="B1540">
        <v>33</v>
      </c>
      <c r="C1540" t="s">
        <v>9</v>
      </c>
      <c r="D1540">
        <v>2</v>
      </c>
      <c r="E1540">
        <v>34</v>
      </c>
      <c r="F1540">
        <v>3.1E-4</v>
      </c>
      <c r="G1540">
        <v>0</v>
      </c>
      <c r="H1540" t="str">
        <f t="shared" si="72"/>
        <v>30-39</v>
      </c>
      <c r="I1540" t="str">
        <f t="shared" si="73"/>
        <v>0-9</v>
      </c>
      <c r="J1540">
        <f t="shared" si="74"/>
        <v>3.1E-4</v>
      </c>
    </row>
    <row r="1541" spans="1:10">
      <c r="A1541" t="s">
        <v>1623</v>
      </c>
      <c r="B1541">
        <v>42</v>
      </c>
      <c r="C1541" t="s">
        <v>9</v>
      </c>
      <c r="D1541">
        <v>2</v>
      </c>
      <c r="E1541">
        <v>43</v>
      </c>
      <c r="F1541">
        <v>6.7000000000000002E-4</v>
      </c>
      <c r="G1541">
        <v>0</v>
      </c>
      <c r="H1541" t="str">
        <f t="shared" si="72"/>
        <v>40-49</v>
      </c>
      <c r="I1541" t="str">
        <f t="shared" si="73"/>
        <v>0-9</v>
      </c>
      <c r="J1541">
        <f t="shared" si="74"/>
        <v>6.7000000000000002E-4</v>
      </c>
    </row>
    <row r="1542" spans="1:10">
      <c r="A1542" t="s">
        <v>1624</v>
      </c>
      <c r="B1542">
        <v>56</v>
      </c>
      <c r="C1542" t="s">
        <v>7</v>
      </c>
      <c r="D1542">
        <v>27</v>
      </c>
      <c r="E1542">
        <v>82</v>
      </c>
      <c r="F1542">
        <v>4.4880000000000003E-2</v>
      </c>
      <c r="G1542">
        <v>0</v>
      </c>
      <c r="H1542" t="str">
        <f t="shared" si="72"/>
        <v>80-89</v>
      </c>
      <c r="I1542" t="str">
        <f t="shared" si="73"/>
        <v>20-29</v>
      </c>
      <c r="J1542">
        <f t="shared" si="74"/>
        <v>4.4880000000000003E-2</v>
      </c>
    </row>
    <row r="1543" spans="1:10">
      <c r="A1543" t="s">
        <v>1625</v>
      </c>
      <c r="B1543">
        <v>25</v>
      </c>
      <c r="C1543" t="s">
        <v>9</v>
      </c>
      <c r="D1543">
        <v>2</v>
      </c>
      <c r="E1543">
        <v>26</v>
      </c>
      <c r="F1543">
        <v>4.2000000000000002E-4</v>
      </c>
      <c r="G1543">
        <v>0</v>
      </c>
      <c r="H1543" t="str">
        <f t="shared" si="72"/>
        <v>20-29</v>
      </c>
      <c r="I1543" t="str">
        <f t="shared" si="73"/>
        <v>0-9</v>
      </c>
      <c r="J1543">
        <f t="shared" si="74"/>
        <v>4.2000000000000002E-4</v>
      </c>
    </row>
    <row r="1544" spans="1:10">
      <c r="A1544" t="s">
        <v>1626</v>
      </c>
      <c r="B1544">
        <v>30</v>
      </c>
      <c r="C1544" t="s">
        <v>9</v>
      </c>
      <c r="D1544">
        <v>22</v>
      </c>
      <c r="E1544">
        <v>51</v>
      </c>
      <c r="F1544">
        <v>2.7699999999999999E-3</v>
      </c>
      <c r="G1544">
        <v>0</v>
      </c>
      <c r="H1544" t="str">
        <f t="shared" si="72"/>
        <v>50-59</v>
      </c>
      <c r="I1544" t="str">
        <f t="shared" si="73"/>
        <v>20-29</v>
      </c>
      <c r="J1544">
        <f t="shared" si="74"/>
        <v>2.7699999999999999E-3</v>
      </c>
    </row>
    <row r="1545" spans="1:10">
      <c r="A1545" t="s">
        <v>1627</v>
      </c>
      <c r="B1545">
        <v>64</v>
      </c>
      <c r="C1545" t="s">
        <v>7</v>
      </c>
      <c r="D1545">
        <v>20</v>
      </c>
      <c r="E1545">
        <v>83</v>
      </c>
      <c r="F1545">
        <v>5.6770000000000001E-2</v>
      </c>
      <c r="G1545">
        <v>0</v>
      </c>
      <c r="H1545" t="str">
        <f t="shared" si="72"/>
        <v>80-89</v>
      </c>
      <c r="I1545" t="str">
        <f t="shared" si="73"/>
        <v>20-29</v>
      </c>
      <c r="J1545">
        <f t="shared" si="74"/>
        <v>5.6770000000000001E-2</v>
      </c>
    </row>
    <row r="1546" spans="1:10">
      <c r="A1546" t="s">
        <v>1628</v>
      </c>
      <c r="B1546">
        <v>49</v>
      </c>
      <c r="C1546" t="s">
        <v>7</v>
      </c>
      <c r="D1546">
        <v>24</v>
      </c>
      <c r="E1546">
        <v>72</v>
      </c>
      <c r="F1546">
        <v>1.7170000000000001E-2</v>
      </c>
      <c r="G1546">
        <v>0</v>
      </c>
      <c r="H1546" t="str">
        <f t="shared" si="72"/>
        <v>70-79</v>
      </c>
      <c r="I1546" t="str">
        <f t="shared" si="73"/>
        <v>20-29</v>
      </c>
      <c r="J1546">
        <f t="shared" si="74"/>
        <v>1.7170000000000001E-2</v>
      </c>
    </row>
    <row r="1547" spans="1:10">
      <c r="A1547" t="s">
        <v>1629</v>
      </c>
      <c r="B1547">
        <v>25</v>
      </c>
      <c r="C1547" t="s">
        <v>9</v>
      </c>
      <c r="D1547">
        <v>25</v>
      </c>
      <c r="E1547">
        <v>49</v>
      </c>
      <c r="F1547">
        <v>2.7000000000000001E-3</v>
      </c>
      <c r="G1547">
        <v>0</v>
      </c>
      <c r="H1547" t="str">
        <f t="shared" si="72"/>
        <v>40-49</v>
      </c>
      <c r="I1547" t="str">
        <f t="shared" si="73"/>
        <v>20-29</v>
      </c>
      <c r="J1547">
        <f t="shared" si="74"/>
        <v>2.7000000000000001E-3</v>
      </c>
    </row>
    <row r="1548" spans="1:10">
      <c r="A1548" t="s">
        <v>1630</v>
      </c>
      <c r="B1548">
        <v>44</v>
      </c>
      <c r="C1548" t="s">
        <v>9</v>
      </c>
      <c r="D1548">
        <v>27</v>
      </c>
      <c r="E1548">
        <v>70</v>
      </c>
      <c r="F1548">
        <v>1.553E-2</v>
      </c>
      <c r="G1548">
        <v>0</v>
      </c>
      <c r="H1548" t="str">
        <f t="shared" si="72"/>
        <v>70-79</v>
      </c>
      <c r="I1548" t="str">
        <f t="shared" si="73"/>
        <v>20-29</v>
      </c>
      <c r="J1548">
        <f t="shared" si="74"/>
        <v>1.553E-2</v>
      </c>
    </row>
    <row r="1549" spans="1:10">
      <c r="A1549" t="s">
        <v>1631</v>
      </c>
      <c r="B1549">
        <v>55</v>
      </c>
      <c r="C1549" t="s">
        <v>9</v>
      </c>
      <c r="D1549">
        <v>3</v>
      </c>
      <c r="E1549">
        <v>57</v>
      </c>
      <c r="F1549">
        <v>3.0699999999999998E-3</v>
      </c>
      <c r="G1549">
        <v>0</v>
      </c>
      <c r="H1549" t="str">
        <f t="shared" si="72"/>
        <v>50-59</v>
      </c>
      <c r="I1549" t="str">
        <f t="shared" si="73"/>
        <v>0-9</v>
      </c>
      <c r="J1549">
        <f t="shared" si="74"/>
        <v>3.0699999999999998E-3</v>
      </c>
    </row>
    <row r="1550" spans="1:10">
      <c r="A1550" t="s">
        <v>1632</v>
      </c>
      <c r="B1550">
        <v>64</v>
      </c>
      <c r="C1550" t="s">
        <v>9</v>
      </c>
      <c r="D1550">
        <v>28</v>
      </c>
      <c r="E1550">
        <v>91</v>
      </c>
      <c r="F1550">
        <v>0.14893999999999999</v>
      </c>
      <c r="G1550">
        <v>0</v>
      </c>
      <c r="H1550" t="str">
        <f t="shared" si="72"/>
        <v>90-99</v>
      </c>
      <c r="I1550" t="str">
        <f t="shared" si="73"/>
        <v>20-29</v>
      </c>
      <c r="J1550">
        <f t="shared" si="74"/>
        <v>0.14893999999999999</v>
      </c>
    </row>
    <row r="1551" spans="1:10">
      <c r="A1551" t="s">
        <v>1633</v>
      </c>
      <c r="B1551">
        <v>53</v>
      </c>
      <c r="C1551" t="s">
        <v>7</v>
      </c>
      <c r="D1551">
        <v>7</v>
      </c>
      <c r="E1551">
        <v>59</v>
      </c>
      <c r="F1551">
        <v>3.13E-3</v>
      </c>
      <c r="G1551">
        <v>0</v>
      </c>
      <c r="H1551" t="str">
        <f t="shared" si="72"/>
        <v>50-59</v>
      </c>
      <c r="I1551" t="str">
        <f t="shared" si="73"/>
        <v>0-9</v>
      </c>
      <c r="J1551">
        <f t="shared" si="74"/>
        <v>3.13E-3</v>
      </c>
    </row>
    <row r="1552" spans="1:10">
      <c r="A1552" t="s">
        <v>1634</v>
      </c>
      <c r="B1552">
        <v>26</v>
      </c>
      <c r="C1552" t="s">
        <v>7</v>
      </c>
      <c r="D1552">
        <v>19</v>
      </c>
      <c r="E1552">
        <v>44</v>
      </c>
      <c r="F1552">
        <v>1.2700000000000001E-3</v>
      </c>
      <c r="G1552">
        <v>0</v>
      </c>
      <c r="H1552" t="str">
        <f t="shared" si="72"/>
        <v>40-49</v>
      </c>
      <c r="I1552" t="str">
        <f t="shared" si="73"/>
        <v>10-19</v>
      </c>
      <c r="J1552">
        <f t="shared" si="74"/>
        <v>1.2700000000000001E-3</v>
      </c>
    </row>
    <row r="1553" spans="1:10">
      <c r="A1553" t="s">
        <v>1635</v>
      </c>
      <c r="B1553">
        <v>25</v>
      </c>
      <c r="C1553" t="s">
        <v>7</v>
      </c>
      <c r="D1553">
        <v>16</v>
      </c>
      <c r="E1553">
        <v>40</v>
      </c>
      <c r="F1553">
        <v>9.6000000000000002E-4</v>
      </c>
      <c r="G1553">
        <v>0</v>
      </c>
      <c r="H1553" t="str">
        <f t="shared" si="72"/>
        <v>40-49</v>
      </c>
      <c r="I1553" t="str">
        <f t="shared" si="73"/>
        <v>10-19</v>
      </c>
      <c r="J1553">
        <f t="shared" si="74"/>
        <v>9.6000000000000002E-4</v>
      </c>
    </row>
    <row r="1554" spans="1:10">
      <c r="A1554" t="s">
        <v>1636</v>
      </c>
      <c r="B1554">
        <v>65</v>
      </c>
      <c r="C1554" t="s">
        <v>9</v>
      </c>
      <c r="D1554">
        <v>10</v>
      </c>
      <c r="E1554">
        <v>74</v>
      </c>
      <c r="F1554">
        <v>1.9689999999999999E-2</v>
      </c>
      <c r="G1554">
        <v>0</v>
      </c>
      <c r="H1554" t="str">
        <f t="shared" si="72"/>
        <v>70-79</v>
      </c>
      <c r="I1554" t="str">
        <f t="shared" si="73"/>
        <v>10-19</v>
      </c>
      <c r="J1554">
        <f t="shared" si="74"/>
        <v>1.9689999999999999E-2</v>
      </c>
    </row>
    <row r="1555" spans="1:10">
      <c r="A1555" t="s">
        <v>1637</v>
      </c>
      <c r="B1555">
        <v>36</v>
      </c>
      <c r="C1555" t="s">
        <v>7</v>
      </c>
      <c r="D1555">
        <v>17</v>
      </c>
      <c r="E1555">
        <v>52</v>
      </c>
      <c r="F1555">
        <v>2.14E-3</v>
      </c>
      <c r="G1555">
        <v>0</v>
      </c>
      <c r="H1555" t="str">
        <f t="shared" si="72"/>
        <v>50-59</v>
      </c>
      <c r="I1555" t="str">
        <f t="shared" si="73"/>
        <v>10-19</v>
      </c>
      <c r="J1555">
        <f t="shared" si="74"/>
        <v>2.14E-3</v>
      </c>
    </row>
    <row r="1556" spans="1:10">
      <c r="A1556" t="s">
        <v>1638</v>
      </c>
      <c r="B1556">
        <v>28</v>
      </c>
      <c r="C1556" t="s">
        <v>7</v>
      </c>
      <c r="D1556">
        <v>20</v>
      </c>
      <c r="E1556">
        <v>47</v>
      </c>
      <c r="F1556">
        <v>1.57E-3</v>
      </c>
      <c r="G1556">
        <v>0</v>
      </c>
      <c r="H1556" t="str">
        <f t="shared" si="72"/>
        <v>40-49</v>
      </c>
      <c r="I1556" t="str">
        <f t="shared" si="73"/>
        <v>20-29</v>
      </c>
      <c r="J1556">
        <f t="shared" si="74"/>
        <v>1.57E-3</v>
      </c>
    </row>
    <row r="1557" spans="1:10">
      <c r="A1557" t="s">
        <v>1639</v>
      </c>
      <c r="B1557">
        <v>60</v>
      </c>
      <c r="C1557" t="s">
        <v>9</v>
      </c>
      <c r="D1557">
        <v>16</v>
      </c>
      <c r="E1557">
        <v>75</v>
      </c>
      <c r="F1557">
        <v>2.9260000000000001E-2</v>
      </c>
      <c r="G1557">
        <v>0</v>
      </c>
      <c r="H1557" t="str">
        <f t="shared" si="72"/>
        <v>70-79</v>
      </c>
      <c r="I1557" t="str">
        <f t="shared" si="73"/>
        <v>10-19</v>
      </c>
      <c r="J1557">
        <f t="shared" si="74"/>
        <v>2.9260000000000001E-2</v>
      </c>
    </row>
    <row r="1558" spans="1:10">
      <c r="A1558" t="s">
        <v>1640</v>
      </c>
      <c r="B1558">
        <v>59</v>
      </c>
      <c r="C1558" t="s">
        <v>7</v>
      </c>
      <c r="D1558">
        <v>8</v>
      </c>
      <c r="E1558">
        <v>66</v>
      </c>
      <c r="F1558">
        <v>6.3899999999999998E-3</v>
      </c>
      <c r="G1558">
        <v>0</v>
      </c>
      <c r="H1558" t="str">
        <f t="shared" si="72"/>
        <v>60-69</v>
      </c>
      <c r="I1558" t="str">
        <f t="shared" si="73"/>
        <v>0-9</v>
      </c>
      <c r="J1558">
        <f t="shared" si="74"/>
        <v>6.3899999999999998E-3</v>
      </c>
    </row>
    <row r="1559" spans="1:10">
      <c r="A1559" t="s">
        <v>1641</v>
      </c>
      <c r="B1559">
        <v>20</v>
      </c>
      <c r="C1559" t="s">
        <v>9</v>
      </c>
      <c r="D1559">
        <v>4</v>
      </c>
      <c r="E1559">
        <v>23</v>
      </c>
      <c r="F1559">
        <v>7.7999999999999999E-4</v>
      </c>
      <c r="G1559">
        <v>0</v>
      </c>
      <c r="H1559" t="str">
        <f t="shared" si="72"/>
        <v>20-29</v>
      </c>
      <c r="I1559" t="str">
        <f t="shared" si="73"/>
        <v>0-9</v>
      </c>
      <c r="J1559">
        <f t="shared" si="74"/>
        <v>7.7999999999999999E-4</v>
      </c>
    </row>
    <row r="1560" spans="1:10">
      <c r="A1560" t="s">
        <v>1642</v>
      </c>
      <c r="B1560">
        <v>27</v>
      </c>
      <c r="C1560" t="s">
        <v>7</v>
      </c>
      <c r="D1560">
        <v>24</v>
      </c>
      <c r="E1560">
        <v>50</v>
      </c>
      <c r="F1560">
        <v>2.0200000000000001E-3</v>
      </c>
      <c r="G1560">
        <v>0</v>
      </c>
      <c r="H1560" t="str">
        <f t="shared" si="72"/>
        <v>50-59</v>
      </c>
      <c r="I1560" t="str">
        <f t="shared" si="73"/>
        <v>20-29</v>
      </c>
      <c r="J1560">
        <f t="shared" si="74"/>
        <v>2.0200000000000001E-3</v>
      </c>
    </row>
    <row r="1561" spans="1:10">
      <c r="A1561" t="s">
        <v>1643</v>
      </c>
      <c r="B1561">
        <v>46</v>
      </c>
      <c r="C1561" t="s">
        <v>9</v>
      </c>
      <c r="D1561">
        <v>14</v>
      </c>
      <c r="E1561">
        <v>59</v>
      </c>
      <c r="F1561">
        <v>5.4299999999999999E-3</v>
      </c>
      <c r="G1561">
        <v>0</v>
      </c>
      <c r="H1561" t="str">
        <f t="shared" si="72"/>
        <v>50-59</v>
      </c>
      <c r="I1561" t="str">
        <f t="shared" si="73"/>
        <v>10-19</v>
      </c>
      <c r="J1561">
        <f t="shared" si="74"/>
        <v>5.4299999999999999E-3</v>
      </c>
    </row>
    <row r="1562" spans="1:10">
      <c r="A1562" t="s">
        <v>1644</v>
      </c>
      <c r="B1562">
        <v>60</v>
      </c>
      <c r="C1562" t="s">
        <v>9</v>
      </c>
      <c r="D1562">
        <v>7</v>
      </c>
      <c r="E1562">
        <v>66</v>
      </c>
      <c r="F1562">
        <v>9.4599999999999997E-3</v>
      </c>
      <c r="G1562">
        <v>0</v>
      </c>
      <c r="H1562" t="str">
        <f t="shared" si="72"/>
        <v>60-69</v>
      </c>
      <c r="I1562" t="str">
        <f t="shared" si="73"/>
        <v>0-9</v>
      </c>
      <c r="J1562">
        <f t="shared" si="74"/>
        <v>9.4599999999999997E-3</v>
      </c>
    </row>
    <row r="1563" spans="1:10">
      <c r="A1563" t="s">
        <v>1645</v>
      </c>
      <c r="B1563">
        <v>38</v>
      </c>
      <c r="C1563" t="s">
        <v>7</v>
      </c>
      <c r="D1563">
        <v>9</v>
      </c>
      <c r="E1563">
        <v>46</v>
      </c>
      <c r="F1563">
        <v>1.01E-3</v>
      </c>
      <c r="G1563">
        <v>0</v>
      </c>
      <c r="H1563" t="str">
        <f t="shared" si="72"/>
        <v>40-49</v>
      </c>
      <c r="I1563" t="str">
        <f t="shared" si="73"/>
        <v>0-9</v>
      </c>
      <c r="J1563">
        <f t="shared" si="74"/>
        <v>1.01E-3</v>
      </c>
    </row>
    <row r="1564" spans="1:10">
      <c r="A1564" t="s">
        <v>1646</v>
      </c>
      <c r="B1564">
        <v>52</v>
      </c>
      <c r="C1564" t="s">
        <v>9</v>
      </c>
      <c r="D1564">
        <v>18</v>
      </c>
      <c r="E1564">
        <v>69</v>
      </c>
      <c r="F1564">
        <v>1.5049999999999999E-2</v>
      </c>
      <c r="G1564">
        <v>1</v>
      </c>
      <c r="H1564" t="str">
        <f t="shared" si="72"/>
        <v>60-69</v>
      </c>
      <c r="I1564" t="str">
        <f t="shared" si="73"/>
        <v>10-19</v>
      </c>
      <c r="J1564">
        <f t="shared" si="74"/>
        <v>1.5049999999999999E-2</v>
      </c>
    </row>
    <row r="1565" spans="1:10">
      <c r="A1565" t="s">
        <v>1647</v>
      </c>
      <c r="B1565">
        <v>63</v>
      </c>
      <c r="C1565" t="s">
        <v>9</v>
      </c>
      <c r="D1565">
        <v>11</v>
      </c>
      <c r="E1565">
        <v>73</v>
      </c>
      <c r="F1565">
        <v>1.9539999999999998E-2</v>
      </c>
      <c r="G1565">
        <v>0</v>
      </c>
      <c r="H1565" t="str">
        <f t="shared" si="72"/>
        <v>70-79</v>
      </c>
      <c r="I1565" t="str">
        <f t="shared" si="73"/>
        <v>10-19</v>
      </c>
      <c r="J1565">
        <f t="shared" si="74"/>
        <v>1.9539999999999998E-2</v>
      </c>
    </row>
    <row r="1566" spans="1:10">
      <c r="A1566" t="s">
        <v>1648</v>
      </c>
      <c r="B1566">
        <v>59</v>
      </c>
      <c r="C1566" t="s">
        <v>7</v>
      </c>
      <c r="D1566">
        <v>1</v>
      </c>
      <c r="E1566">
        <v>59</v>
      </c>
      <c r="F1566">
        <v>6.4999999999999997E-4</v>
      </c>
      <c r="G1566">
        <v>0</v>
      </c>
      <c r="H1566" t="str">
        <f t="shared" si="72"/>
        <v>50-59</v>
      </c>
      <c r="I1566" t="str">
        <f t="shared" si="73"/>
        <v>0-9</v>
      </c>
      <c r="J1566">
        <f t="shared" si="74"/>
        <v>6.4999999999999997E-4</v>
      </c>
    </row>
    <row r="1567" spans="1:10">
      <c r="A1567" t="s">
        <v>1649</v>
      </c>
      <c r="B1567">
        <v>41</v>
      </c>
      <c r="C1567" t="s">
        <v>7</v>
      </c>
      <c r="D1567">
        <v>30</v>
      </c>
      <c r="E1567">
        <v>70</v>
      </c>
      <c r="F1567">
        <v>9.2399999999999999E-3</v>
      </c>
      <c r="G1567">
        <v>0</v>
      </c>
      <c r="H1567" t="str">
        <f t="shared" si="72"/>
        <v>70-79</v>
      </c>
      <c r="I1567" t="str">
        <f t="shared" si="73"/>
        <v>30-39</v>
      </c>
      <c r="J1567">
        <f t="shared" si="74"/>
        <v>9.2399999999999999E-3</v>
      </c>
    </row>
    <row r="1568" spans="1:10">
      <c r="A1568" t="s">
        <v>1650</v>
      </c>
      <c r="B1568">
        <v>22</v>
      </c>
      <c r="C1568" t="s">
        <v>9</v>
      </c>
      <c r="D1568">
        <v>21</v>
      </c>
      <c r="E1568">
        <v>42</v>
      </c>
      <c r="F1568">
        <v>1.91E-3</v>
      </c>
      <c r="G1568">
        <v>0</v>
      </c>
      <c r="H1568" t="str">
        <f t="shared" si="72"/>
        <v>40-49</v>
      </c>
      <c r="I1568" t="str">
        <f t="shared" si="73"/>
        <v>20-29</v>
      </c>
      <c r="J1568">
        <f t="shared" si="74"/>
        <v>1.91E-3</v>
      </c>
    </row>
    <row r="1569" spans="1:10">
      <c r="A1569" t="s">
        <v>1651</v>
      </c>
      <c r="B1569">
        <v>49</v>
      </c>
      <c r="C1569" t="s">
        <v>7</v>
      </c>
      <c r="D1569">
        <v>29</v>
      </c>
      <c r="E1569">
        <v>77</v>
      </c>
      <c r="F1569">
        <v>2.0979999999999999E-2</v>
      </c>
      <c r="G1569">
        <v>0</v>
      </c>
      <c r="H1569" t="str">
        <f t="shared" si="72"/>
        <v>70-79</v>
      </c>
      <c r="I1569" t="str">
        <f t="shared" si="73"/>
        <v>20-29</v>
      </c>
      <c r="J1569">
        <f t="shared" si="74"/>
        <v>2.0979999999999999E-2</v>
      </c>
    </row>
    <row r="1570" spans="1:10">
      <c r="A1570" t="s">
        <v>1652</v>
      </c>
      <c r="B1570">
        <v>49</v>
      </c>
      <c r="C1570" t="s">
        <v>7</v>
      </c>
      <c r="D1570">
        <v>26</v>
      </c>
      <c r="E1570">
        <v>74</v>
      </c>
      <c r="F1570">
        <v>2.0979999999999999E-2</v>
      </c>
      <c r="G1570">
        <v>0</v>
      </c>
      <c r="H1570" t="str">
        <f t="shared" si="72"/>
        <v>70-79</v>
      </c>
      <c r="I1570" t="str">
        <f t="shared" si="73"/>
        <v>20-29</v>
      </c>
      <c r="J1570">
        <f t="shared" si="74"/>
        <v>2.0979999999999999E-2</v>
      </c>
    </row>
    <row r="1571" spans="1:10">
      <c r="A1571" t="s">
        <v>1653</v>
      </c>
      <c r="B1571">
        <v>23</v>
      </c>
      <c r="C1571" t="s">
        <v>7</v>
      </c>
      <c r="D1571">
        <v>27</v>
      </c>
      <c r="E1571">
        <v>49</v>
      </c>
      <c r="F1571">
        <v>1.73E-3</v>
      </c>
      <c r="G1571">
        <v>0</v>
      </c>
      <c r="H1571" t="str">
        <f t="shared" si="72"/>
        <v>40-49</v>
      </c>
      <c r="I1571" t="str">
        <f t="shared" si="73"/>
        <v>20-29</v>
      </c>
      <c r="J1571">
        <f t="shared" si="74"/>
        <v>1.73E-3</v>
      </c>
    </row>
    <row r="1572" spans="1:10">
      <c r="A1572" t="s">
        <v>1654</v>
      </c>
      <c r="B1572">
        <v>63</v>
      </c>
      <c r="C1572" t="s">
        <v>7</v>
      </c>
      <c r="D1572">
        <v>11</v>
      </c>
      <c r="E1572">
        <v>73</v>
      </c>
      <c r="F1572">
        <v>1.282E-2</v>
      </c>
      <c r="G1572">
        <v>0</v>
      </c>
      <c r="H1572" t="str">
        <f t="shared" si="72"/>
        <v>70-79</v>
      </c>
      <c r="I1572" t="str">
        <f t="shared" si="73"/>
        <v>10-19</v>
      </c>
      <c r="J1572">
        <f t="shared" si="74"/>
        <v>1.282E-2</v>
      </c>
    </row>
    <row r="1573" spans="1:10">
      <c r="A1573" t="s">
        <v>1655</v>
      </c>
      <c r="B1573">
        <v>56</v>
      </c>
      <c r="C1573" t="s">
        <v>9</v>
      </c>
      <c r="D1573">
        <v>22</v>
      </c>
      <c r="E1573">
        <v>77</v>
      </c>
      <c r="F1573">
        <v>3.7039999999999997E-2</v>
      </c>
      <c r="G1573">
        <v>0</v>
      </c>
      <c r="H1573" t="str">
        <f t="shared" si="72"/>
        <v>70-79</v>
      </c>
      <c r="I1573" t="str">
        <f t="shared" si="73"/>
        <v>20-29</v>
      </c>
      <c r="J1573">
        <f t="shared" si="74"/>
        <v>3.7039999999999997E-2</v>
      </c>
    </row>
    <row r="1574" spans="1:10">
      <c r="A1574" t="s">
        <v>1656</v>
      </c>
      <c r="B1574">
        <v>42</v>
      </c>
      <c r="C1574" t="s">
        <v>7</v>
      </c>
      <c r="D1574">
        <v>3</v>
      </c>
      <c r="E1574">
        <v>44</v>
      </c>
      <c r="F1574">
        <v>5.4000000000000001E-4</v>
      </c>
      <c r="G1574">
        <v>0</v>
      </c>
      <c r="H1574" t="str">
        <f t="shared" si="72"/>
        <v>40-49</v>
      </c>
      <c r="I1574" t="str">
        <f t="shared" si="73"/>
        <v>0-9</v>
      </c>
      <c r="J1574">
        <f t="shared" si="74"/>
        <v>5.4000000000000001E-4</v>
      </c>
    </row>
    <row r="1575" spans="1:10">
      <c r="A1575" t="s">
        <v>1657</v>
      </c>
      <c r="B1575">
        <v>21</v>
      </c>
      <c r="C1575" t="s">
        <v>7</v>
      </c>
      <c r="D1575">
        <v>11</v>
      </c>
      <c r="E1575">
        <v>31</v>
      </c>
      <c r="F1575">
        <v>4.0999999999999999E-4</v>
      </c>
      <c r="G1575">
        <v>0</v>
      </c>
      <c r="H1575" t="str">
        <f t="shared" si="72"/>
        <v>30-39</v>
      </c>
      <c r="I1575" t="str">
        <f t="shared" si="73"/>
        <v>10-19</v>
      </c>
      <c r="J1575">
        <f t="shared" si="74"/>
        <v>4.0999999999999999E-4</v>
      </c>
    </row>
    <row r="1576" spans="1:10">
      <c r="A1576" t="s">
        <v>1658</v>
      </c>
      <c r="B1576">
        <v>30</v>
      </c>
      <c r="C1576" t="s">
        <v>7</v>
      </c>
      <c r="D1576">
        <v>19</v>
      </c>
      <c r="E1576">
        <v>48</v>
      </c>
      <c r="F1576">
        <v>1.64E-3</v>
      </c>
      <c r="G1576">
        <v>0</v>
      </c>
      <c r="H1576" t="str">
        <f t="shared" si="72"/>
        <v>40-49</v>
      </c>
      <c r="I1576" t="str">
        <f t="shared" si="73"/>
        <v>10-19</v>
      </c>
      <c r="J1576">
        <f t="shared" si="74"/>
        <v>1.64E-3</v>
      </c>
    </row>
    <row r="1577" spans="1:10">
      <c r="A1577" t="s">
        <v>1659</v>
      </c>
      <c r="B1577">
        <v>27</v>
      </c>
      <c r="C1577" t="s">
        <v>7</v>
      </c>
      <c r="D1577">
        <v>28</v>
      </c>
      <c r="E1577">
        <v>54</v>
      </c>
      <c r="F1577">
        <v>2.3800000000000002E-3</v>
      </c>
      <c r="G1577">
        <v>0</v>
      </c>
      <c r="H1577" t="str">
        <f t="shared" si="72"/>
        <v>50-59</v>
      </c>
      <c r="I1577" t="str">
        <f t="shared" si="73"/>
        <v>20-29</v>
      </c>
      <c r="J1577">
        <f t="shared" si="74"/>
        <v>2.3800000000000002E-3</v>
      </c>
    </row>
    <row r="1578" spans="1:10">
      <c r="A1578" t="s">
        <v>1660</v>
      </c>
      <c r="B1578">
        <v>40</v>
      </c>
      <c r="C1578" t="s">
        <v>9</v>
      </c>
      <c r="D1578">
        <v>23</v>
      </c>
      <c r="E1578">
        <v>62</v>
      </c>
      <c r="F1578">
        <v>7.7400000000000004E-3</v>
      </c>
      <c r="G1578">
        <v>0</v>
      </c>
      <c r="H1578" t="str">
        <f t="shared" si="72"/>
        <v>60-69</v>
      </c>
      <c r="I1578" t="str">
        <f t="shared" si="73"/>
        <v>20-29</v>
      </c>
      <c r="J1578">
        <f t="shared" si="74"/>
        <v>7.7400000000000004E-3</v>
      </c>
    </row>
    <row r="1579" spans="1:10">
      <c r="A1579" t="s">
        <v>1661</v>
      </c>
      <c r="B1579">
        <v>51</v>
      </c>
      <c r="C1579" t="s">
        <v>9</v>
      </c>
      <c r="D1579">
        <v>29</v>
      </c>
      <c r="E1579">
        <v>79</v>
      </c>
      <c r="F1579">
        <v>3.3509999999999998E-2</v>
      </c>
      <c r="G1579">
        <v>0</v>
      </c>
      <c r="H1579" t="str">
        <f t="shared" si="72"/>
        <v>70-79</v>
      </c>
      <c r="I1579" t="str">
        <f t="shared" si="73"/>
        <v>20-29</v>
      </c>
      <c r="J1579">
        <f t="shared" si="74"/>
        <v>3.3509999999999998E-2</v>
      </c>
    </row>
    <row r="1580" spans="1:10">
      <c r="A1580" t="s">
        <v>1662</v>
      </c>
      <c r="B1580">
        <v>39</v>
      </c>
      <c r="C1580" t="s">
        <v>7</v>
      </c>
      <c r="D1580">
        <v>7</v>
      </c>
      <c r="E1580">
        <v>45</v>
      </c>
      <c r="F1580">
        <v>8.4999999999999995E-4</v>
      </c>
      <c r="G1580">
        <v>0</v>
      </c>
      <c r="H1580" t="str">
        <f t="shared" si="72"/>
        <v>40-49</v>
      </c>
      <c r="I1580" t="str">
        <f t="shared" si="73"/>
        <v>0-9</v>
      </c>
      <c r="J1580">
        <f t="shared" si="74"/>
        <v>8.4999999999999995E-4</v>
      </c>
    </row>
    <row r="1581" spans="1:10">
      <c r="A1581" t="s">
        <v>1663</v>
      </c>
      <c r="B1581">
        <v>43</v>
      </c>
      <c r="C1581" t="s">
        <v>9</v>
      </c>
      <c r="D1581">
        <v>26</v>
      </c>
      <c r="E1581">
        <v>68</v>
      </c>
      <c r="F1581">
        <v>1.413E-2</v>
      </c>
      <c r="G1581">
        <v>0</v>
      </c>
      <c r="H1581" t="str">
        <f t="shared" si="72"/>
        <v>60-69</v>
      </c>
      <c r="I1581" t="str">
        <f t="shared" si="73"/>
        <v>20-29</v>
      </c>
      <c r="J1581">
        <f t="shared" si="74"/>
        <v>1.413E-2</v>
      </c>
    </row>
    <row r="1582" spans="1:10">
      <c r="A1582" t="s">
        <v>1664</v>
      </c>
      <c r="B1582">
        <v>25</v>
      </c>
      <c r="C1582" t="s">
        <v>7</v>
      </c>
      <c r="D1582">
        <v>15</v>
      </c>
      <c r="E1582">
        <v>39</v>
      </c>
      <c r="F1582">
        <v>8.8999999999999995E-4</v>
      </c>
      <c r="G1582">
        <v>0</v>
      </c>
      <c r="H1582" t="str">
        <f t="shared" si="72"/>
        <v>30-39</v>
      </c>
      <c r="I1582" t="str">
        <f t="shared" si="73"/>
        <v>10-19</v>
      </c>
      <c r="J1582">
        <f t="shared" si="74"/>
        <v>8.8999999999999995E-4</v>
      </c>
    </row>
    <row r="1583" spans="1:10">
      <c r="A1583" t="s">
        <v>1665</v>
      </c>
      <c r="B1583">
        <v>52</v>
      </c>
      <c r="C1583" t="s">
        <v>9</v>
      </c>
      <c r="D1583">
        <v>5</v>
      </c>
      <c r="E1583">
        <v>56</v>
      </c>
      <c r="F1583">
        <v>3.2100000000000002E-3</v>
      </c>
      <c r="G1583">
        <v>0</v>
      </c>
      <c r="H1583" t="str">
        <f t="shared" si="72"/>
        <v>50-59</v>
      </c>
      <c r="I1583" t="str">
        <f t="shared" si="73"/>
        <v>0-9</v>
      </c>
      <c r="J1583">
        <f t="shared" si="74"/>
        <v>3.2100000000000002E-3</v>
      </c>
    </row>
    <row r="1584" spans="1:10">
      <c r="A1584" t="s">
        <v>1666</v>
      </c>
      <c r="B1584">
        <v>53</v>
      </c>
      <c r="C1584" t="s">
        <v>7</v>
      </c>
      <c r="D1584">
        <v>10</v>
      </c>
      <c r="E1584">
        <v>62</v>
      </c>
      <c r="F1584">
        <v>4.7299999999999998E-3</v>
      </c>
      <c r="G1584">
        <v>0</v>
      </c>
      <c r="H1584" t="str">
        <f t="shared" si="72"/>
        <v>60-69</v>
      </c>
      <c r="I1584" t="str">
        <f t="shared" si="73"/>
        <v>10-19</v>
      </c>
      <c r="J1584">
        <f t="shared" si="74"/>
        <v>4.7299999999999998E-3</v>
      </c>
    </row>
    <row r="1585" spans="1:10">
      <c r="A1585" t="s">
        <v>1667</v>
      </c>
      <c r="B1585">
        <v>26</v>
      </c>
      <c r="C1585" t="s">
        <v>7</v>
      </c>
      <c r="D1585">
        <v>27</v>
      </c>
      <c r="E1585">
        <v>52</v>
      </c>
      <c r="F1585">
        <v>2.1900000000000001E-3</v>
      </c>
      <c r="G1585">
        <v>0</v>
      </c>
      <c r="H1585" t="str">
        <f t="shared" si="72"/>
        <v>50-59</v>
      </c>
      <c r="I1585" t="str">
        <f t="shared" si="73"/>
        <v>20-29</v>
      </c>
      <c r="J1585">
        <f t="shared" si="74"/>
        <v>2.1900000000000001E-3</v>
      </c>
    </row>
    <row r="1586" spans="1:10">
      <c r="A1586" t="s">
        <v>1668</v>
      </c>
      <c r="B1586">
        <v>28</v>
      </c>
      <c r="C1586" t="s">
        <v>7</v>
      </c>
      <c r="D1586">
        <v>7</v>
      </c>
      <c r="E1586">
        <v>34</v>
      </c>
      <c r="F1586">
        <v>3.6000000000000002E-4</v>
      </c>
      <c r="G1586">
        <v>0</v>
      </c>
      <c r="H1586" t="str">
        <f t="shared" si="72"/>
        <v>30-39</v>
      </c>
      <c r="I1586" t="str">
        <f t="shared" si="73"/>
        <v>0-9</v>
      </c>
      <c r="J1586">
        <f t="shared" si="74"/>
        <v>3.6000000000000002E-4</v>
      </c>
    </row>
    <row r="1587" spans="1:10">
      <c r="A1587" t="s">
        <v>1669</v>
      </c>
      <c r="B1587">
        <v>65</v>
      </c>
      <c r="C1587" t="s">
        <v>7</v>
      </c>
      <c r="D1587">
        <v>28</v>
      </c>
      <c r="E1587">
        <v>92</v>
      </c>
      <c r="F1587">
        <v>0.13125000000000001</v>
      </c>
      <c r="G1587">
        <v>1</v>
      </c>
      <c r="H1587" t="str">
        <f t="shared" si="72"/>
        <v>90-99</v>
      </c>
      <c r="I1587" t="str">
        <f t="shared" si="73"/>
        <v>20-29</v>
      </c>
      <c r="J1587">
        <f t="shared" si="74"/>
        <v>0.13125000000000001</v>
      </c>
    </row>
    <row r="1588" spans="1:10">
      <c r="A1588" t="s">
        <v>1670</v>
      </c>
      <c r="B1588">
        <v>22</v>
      </c>
      <c r="C1588" t="s">
        <v>7</v>
      </c>
      <c r="D1588">
        <v>22</v>
      </c>
      <c r="E1588">
        <v>43</v>
      </c>
      <c r="F1588">
        <v>1.2800000000000001E-3</v>
      </c>
      <c r="G1588">
        <v>0</v>
      </c>
      <c r="H1588" t="str">
        <f t="shared" si="72"/>
        <v>40-49</v>
      </c>
      <c r="I1588" t="str">
        <f t="shared" si="73"/>
        <v>20-29</v>
      </c>
      <c r="J1588">
        <f t="shared" si="74"/>
        <v>1.2800000000000001E-3</v>
      </c>
    </row>
    <row r="1589" spans="1:10">
      <c r="A1589" t="s">
        <v>1671</v>
      </c>
      <c r="B1589">
        <v>41</v>
      </c>
      <c r="C1589" t="s">
        <v>7</v>
      </c>
      <c r="D1589">
        <v>15</v>
      </c>
      <c r="E1589">
        <v>55</v>
      </c>
      <c r="F1589">
        <v>2.7599999999999999E-3</v>
      </c>
      <c r="G1589">
        <v>0</v>
      </c>
      <c r="H1589" t="str">
        <f t="shared" si="72"/>
        <v>50-59</v>
      </c>
      <c r="I1589" t="str">
        <f t="shared" si="73"/>
        <v>10-19</v>
      </c>
      <c r="J1589">
        <f t="shared" si="74"/>
        <v>2.7599999999999999E-3</v>
      </c>
    </row>
    <row r="1590" spans="1:10">
      <c r="A1590" t="s">
        <v>1672</v>
      </c>
      <c r="B1590">
        <v>62</v>
      </c>
      <c r="C1590" t="s">
        <v>9</v>
      </c>
      <c r="D1590">
        <v>24</v>
      </c>
      <c r="E1590">
        <v>85</v>
      </c>
      <c r="F1590">
        <v>9.1270000000000004E-2</v>
      </c>
      <c r="G1590">
        <v>0</v>
      </c>
      <c r="H1590" t="str">
        <f t="shared" si="72"/>
        <v>80-89</v>
      </c>
      <c r="I1590" t="str">
        <f t="shared" si="73"/>
        <v>20-29</v>
      </c>
      <c r="J1590">
        <f t="shared" si="74"/>
        <v>9.1270000000000004E-2</v>
      </c>
    </row>
    <row r="1591" spans="1:10">
      <c r="A1591" t="s">
        <v>1673</v>
      </c>
      <c r="B1591">
        <v>39</v>
      </c>
      <c r="C1591" t="s">
        <v>7</v>
      </c>
      <c r="D1591">
        <v>21</v>
      </c>
      <c r="E1591">
        <v>59</v>
      </c>
      <c r="F1591">
        <v>4.4600000000000004E-3</v>
      </c>
      <c r="G1591">
        <v>0</v>
      </c>
      <c r="H1591" t="str">
        <f t="shared" si="72"/>
        <v>50-59</v>
      </c>
      <c r="I1591" t="str">
        <f t="shared" si="73"/>
        <v>20-29</v>
      </c>
      <c r="J1591">
        <f t="shared" si="74"/>
        <v>4.4600000000000004E-3</v>
      </c>
    </row>
    <row r="1592" spans="1:10">
      <c r="A1592" t="s">
        <v>1674</v>
      </c>
      <c r="B1592">
        <v>32</v>
      </c>
      <c r="C1592" t="s">
        <v>9</v>
      </c>
      <c r="D1592">
        <v>10</v>
      </c>
      <c r="E1592">
        <v>41</v>
      </c>
      <c r="F1592">
        <v>1.06E-3</v>
      </c>
      <c r="G1592">
        <v>0</v>
      </c>
      <c r="H1592" t="str">
        <f t="shared" si="72"/>
        <v>40-49</v>
      </c>
      <c r="I1592" t="str">
        <f t="shared" si="73"/>
        <v>10-19</v>
      </c>
      <c r="J1592">
        <f t="shared" si="74"/>
        <v>1.06E-3</v>
      </c>
    </row>
    <row r="1593" spans="1:10">
      <c r="A1593" t="s">
        <v>1675</v>
      </c>
      <c r="B1593">
        <v>48</v>
      </c>
      <c r="C1593" t="s">
        <v>9</v>
      </c>
      <c r="D1593">
        <v>22</v>
      </c>
      <c r="E1593">
        <v>69</v>
      </c>
      <c r="F1593">
        <v>1.5509999999999999E-2</v>
      </c>
      <c r="G1593">
        <v>0</v>
      </c>
      <c r="H1593" t="str">
        <f t="shared" si="72"/>
        <v>60-69</v>
      </c>
      <c r="I1593" t="str">
        <f t="shared" si="73"/>
        <v>20-29</v>
      </c>
      <c r="J1593">
        <f t="shared" si="74"/>
        <v>1.5509999999999999E-2</v>
      </c>
    </row>
    <row r="1594" spans="1:10">
      <c r="A1594" t="s">
        <v>1676</v>
      </c>
      <c r="B1594">
        <v>37</v>
      </c>
      <c r="C1594" t="s">
        <v>9</v>
      </c>
      <c r="D1594">
        <v>4</v>
      </c>
      <c r="E1594">
        <v>40</v>
      </c>
      <c r="F1594">
        <v>6.8999999999999997E-4</v>
      </c>
      <c r="G1594">
        <v>0</v>
      </c>
      <c r="H1594" t="str">
        <f t="shared" si="72"/>
        <v>40-49</v>
      </c>
      <c r="I1594" t="str">
        <f t="shared" si="73"/>
        <v>0-9</v>
      </c>
      <c r="J1594">
        <f t="shared" si="74"/>
        <v>6.8999999999999997E-4</v>
      </c>
    </row>
    <row r="1595" spans="1:10">
      <c r="A1595" t="s">
        <v>1677</v>
      </c>
      <c r="B1595">
        <v>52</v>
      </c>
      <c r="C1595" t="s">
        <v>9</v>
      </c>
      <c r="D1595">
        <v>4</v>
      </c>
      <c r="E1595">
        <v>55</v>
      </c>
      <c r="F1595">
        <v>2.7299999999999998E-3</v>
      </c>
      <c r="G1595">
        <v>0</v>
      </c>
      <c r="H1595" t="str">
        <f t="shared" si="72"/>
        <v>50-59</v>
      </c>
      <c r="I1595" t="str">
        <f t="shared" si="73"/>
        <v>0-9</v>
      </c>
      <c r="J1595">
        <f t="shared" si="74"/>
        <v>2.7299999999999998E-3</v>
      </c>
    </row>
    <row r="1596" spans="1:10">
      <c r="A1596" t="s">
        <v>1678</v>
      </c>
      <c r="B1596">
        <v>40</v>
      </c>
      <c r="C1596" t="s">
        <v>9</v>
      </c>
      <c r="D1596">
        <v>9</v>
      </c>
      <c r="E1596">
        <v>48</v>
      </c>
      <c r="F1596">
        <v>1.65E-3</v>
      </c>
      <c r="G1596">
        <v>0</v>
      </c>
      <c r="H1596" t="str">
        <f t="shared" si="72"/>
        <v>40-49</v>
      </c>
      <c r="I1596" t="str">
        <f t="shared" si="73"/>
        <v>0-9</v>
      </c>
      <c r="J1596">
        <f t="shared" si="74"/>
        <v>1.65E-3</v>
      </c>
    </row>
    <row r="1597" spans="1:10">
      <c r="A1597" t="s">
        <v>1679</v>
      </c>
      <c r="B1597">
        <v>38</v>
      </c>
      <c r="C1597" t="s">
        <v>9</v>
      </c>
      <c r="D1597">
        <v>19</v>
      </c>
      <c r="E1597">
        <v>56</v>
      </c>
      <c r="F1597">
        <v>4.2100000000000002E-3</v>
      </c>
      <c r="G1597">
        <v>0</v>
      </c>
      <c r="H1597" t="str">
        <f t="shared" si="72"/>
        <v>50-59</v>
      </c>
      <c r="I1597" t="str">
        <f t="shared" si="73"/>
        <v>10-19</v>
      </c>
      <c r="J1597">
        <f t="shared" si="74"/>
        <v>4.2100000000000002E-3</v>
      </c>
    </row>
    <row r="1598" spans="1:10">
      <c r="A1598" t="s">
        <v>1680</v>
      </c>
      <c r="B1598">
        <v>59</v>
      </c>
      <c r="C1598" t="s">
        <v>9</v>
      </c>
      <c r="D1598">
        <v>29</v>
      </c>
      <c r="E1598">
        <v>87</v>
      </c>
      <c r="F1598">
        <v>8.0629999999999993E-2</v>
      </c>
      <c r="G1598">
        <v>0</v>
      </c>
      <c r="H1598" t="str">
        <f t="shared" si="72"/>
        <v>80-89</v>
      </c>
      <c r="I1598" t="str">
        <f t="shared" si="73"/>
        <v>20-29</v>
      </c>
      <c r="J1598">
        <f t="shared" si="74"/>
        <v>8.0629999999999993E-2</v>
      </c>
    </row>
    <row r="1599" spans="1:10">
      <c r="A1599" t="s">
        <v>1681</v>
      </c>
      <c r="B1599">
        <v>28</v>
      </c>
      <c r="C1599" t="s">
        <v>9</v>
      </c>
      <c r="D1599">
        <v>1</v>
      </c>
      <c r="E1599">
        <v>28</v>
      </c>
      <c r="F1599">
        <v>2.7E-4</v>
      </c>
      <c r="G1599">
        <v>0</v>
      </c>
      <c r="H1599" t="str">
        <f t="shared" si="72"/>
        <v>20-29</v>
      </c>
      <c r="I1599" t="str">
        <f t="shared" si="73"/>
        <v>0-9</v>
      </c>
      <c r="J1599">
        <f t="shared" si="74"/>
        <v>2.7E-4</v>
      </c>
    </row>
    <row r="1600" spans="1:10">
      <c r="A1600" t="s">
        <v>1682</v>
      </c>
      <c r="B1600">
        <v>26</v>
      </c>
      <c r="C1600" t="s">
        <v>9</v>
      </c>
      <c r="D1600">
        <v>13</v>
      </c>
      <c r="E1600">
        <v>38</v>
      </c>
      <c r="F1600">
        <v>9.6000000000000002E-4</v>
      </c>
      <c r="G1600">
        <v>0</v>
      </c>
      <c r="H1600" t="str">
        <f t="shared" si="72"/>
        <v>30-39</v>
      </c>
      <c r="I1600" t="str">
        <f t="shared" si="73"/>
        <v>10-19</v>
      </c>
      <c r="J1600">
        <f t="shared" si="74"/>
        <v>9.6000000000000002E-4</v>
      </c>
    </row>
    <row r="1601" spans="1:10">
      <c r="A1601" t="s">
        <v>1683</v>
      </c>
      <c r="B1601">
        <v>31</v>
      </c>
      <c r="C1601" t="s">
        <v>7</v>
      </c>
      <c r="D1601">
        <v>23</v>
      </c>
      <c r="E1601">
        <v>53</v>
      </c>
      <c r="F1601">
        <v>2.5899999999999999E-3</v>
      </c>
      <c r="G1601">
        <v>0</v>
      </c>
      <c r="H1601" t="str">
        <f t="shared" si="72"/>
        <v>50-59</v>
      </c>
      <c r="I1601" t="str">
        <f t="shared" si="73"/>
        <v>20-29</v>
      </c>
      <c r="J1601">
        <f t="shared" si="74"/>
        <v>2.5899999999999999E-3</v>
      </c>
    </row>
    <row r="1602" spans="1:10">
      <c r="A1602" t="s">
        <v>1684</v>
      </c>
      <c r="B1602">
        <v>64</v>
      </c>
      <c r="C1602" t="s">
        <v>9</v>
      </c>
      <c r="D1602">
        <v>23</v>
      </c>
      <c r="E1602">
        <v>86</v>
      </c>
      <c r="F1602">
        <v>0.10346</v>
      </c>
      <c r="G1602">
        <v>0</v>
      </c>
      <c r="H1602" t="str">
        <f t="shared" si="72"/>
        <v>80-89</v>
      </c>
      <c r="I1602" t="str">
        <f t="shared" si="73"/>
        <v>20-29</v>
      </c>
      <c r="J1602">
        <f t="shared" si="74"/>
        <v>0.10346</v>
      </c>
    </row>
    <row r="1603" spans="1:10">
      <c r="A1603" t="s">
        <v>1685</v>
      </c>
      <c r="B1603">
        <v>41</v>
      </c>
      <c r="C1603" t="s">
        <v>9</v>
      </c>
      <c r="D1603">
        <v>27</v>
      </c>
      <c r="E1603">
        <v>67</v>
      </c>
      <c r="F1603">
        <v>1.1730000000000001E-2</v>
      </c>
      <c r="G1603">
        <v>0</v>
      </c>
      <c r="H1603" t="str">
        <f t="shared" ref="H1603:H1666" si="75">FLOOR(E1603,10) &amp; "-" &amp; FLOOR(E1603,10)+9</f>
        <v>60-69</v>
      </c>
      <c r="I1603" t="str">
        <f t="shared" ref="I1603:I1666" si="76">FLOOR(D1603, 10) &amp; "-"&amp;FLOOR(D1603, 10)+9</f>
        <v>20-29</v>
      </c>
      <c r="J1603">
        <f t="shared" ref="J1603:J1666" si="77">F1603</f>
        <v>1.1730000000000001E-2</v>
      </c>
    </row>
    <row r="1604" spans="1:10">
      <c r="A1604" t="s">
        <v>1686</v>
      </c>
      <c r="B1604">
        <v>54</v>
      </c>
      <c r="C1604" t="s">
        <v>7</v>
      </c>
      <c r="D1604">
        <v>3</v>
      </c>
      <c r="E1604">
        <v>56</v>
      </c>
      <c r="F1604">
        <v>1.75E-3</v>
      </c>
      <c r="G1604">
        <v>0</v>
      </c>
      <c r="H1604" t="str">
        <f t="shared" si="75"/>
        <v>50-59</v>
      </c>
      <c r="I1604" t="str">
        <f t="shared" si="76"/>
        <v>0-9</v>
      </c>
      <c r="J1604">
        <f t="shared" si="77"/>
        <v>1.75E-3</v>
      </c>
    </row>
    <row r="1605" spans="1:10">
      <c r="A1605" t="s">
        <v>1687</v>
      </c>
      <c r="B1605">
        <v>49</v>
      </c>
      <c r="C1605" t="s">
        <v>9</v>
      </c>
      <c r="D1605">
        <v>19</v>
      </c>
      <c r="E1605">
        <v>67</v>
      </c>
      <c r="F1605">
        <v>1.2460000000000001E-2</v>
      </c>
      <c r="G1605">
        <v>0</v>
      </c>
      <c r="H1605" t="str">
        <f t="shared" si="75"/>
        <v>60-69</v>
      </c>
      <c r="I1605" t="str">
        <f t="shared" si="76"/>
        <v>10-19</v>
      </c>
      <c r="J1605">
        <f t="shared" si="77"/>
        <v>1.2460000000000001E-2</v>
      </c>
    </row>
    <row r="1606" spans="1:10">
      <c r="A1606" t="s">
        <v>1688</v>
      </c>
      <c r="B1606">
        <v>64</v>
      </c>
      <c r="C1606" t="s">
        <v>9</v>
      </c>
      <c r="D1606">
        <v>15</v>
      </c>
      <c r="E1606">
        <v>78</v>
      </c>
      <c r="F1606">
        <v>3.6339999999999997E-2</v>
      </c>
      <c r="G1606">
        <v>0</v>
      </c>
      <c r="H1606" t="str">
        <f t="shared" si="75"/>
        <v>70-79</v>
      </c>
      <c r="I1606" t="str">
        <f t="shared" si="76"/>
        <v>10-19</v>
      </c>
      <c r="J1606">
        <f t="shared" si="77"/>
        <v>3.6339999999999997E-2</v>
      </c>
    </row>
    <row r="1607" spans="1:10">
      <c r="A1607" t="s">
        <v>1689</v>
      </c>
      <c r="B1607">
        <v>61</v>
      </c>
      <c r="C1607" t="s">
        <v>7</v>
      </c>
      <c r="D1607">
        <v>23</v>
      </c>
      <c r="E1607">
        <v>83</v>
      </c>
      <c r="F1607">
        <v>5.704E-2</v>
      </c>
      <c r="G1607">
        <v>0</v>
      </c>
      <c r="H1607" t="str">
        <f t="shared" si="75"/>
        <v>80-89</v>
      </c>
      <c r="I1607" t="str">
        <f t="shared" si="76"/>
        <v>20-29</v>
      </c>
      <c r="J1607">
        <f t="shared" si="77"/>
        <v>5.704E-2</v>
      </c>
    </row>
    <row r="1608" spans="1:10">
      <c r="A1608" t="s">
        <v>1690</v>
      </c>
      <c r="B1608">
        <v>34</v>
      </c>
      <c r="C1608" t="s">
        <v>7</v>
      </c>
      <c r="D1608">
        <v>5</v>
      </c>
      <c r="E1608">
        <v>38</v>
      </c>
      <c r="F1608">
        <v>4.6999999999999999E-4</v>
      </c>
      <c r="G1608">
        <v>0</v>
      </c>
      <c r="H1608" t="str">
        <f t="shared" si="75"/>
        <v>30-39</v>
      </c>
      <c r="I1608" t="str">
        <f t="shared" si="76"/>
        <v>0-9</v>
      </c>
      <c r="J1608">
        <f t="shared" si="77"/>
        <v>4.6999999999999999E-4</v>
      </c>
    </row>
    <row r="1609" spans="1:10">
      <c r="A1609" t="s">
        <v>1691</v>
      </c>
      <c r="B1609">
        <v>43</v>
      </c>
      <c r="C1609" t="s">
        <v>9</v>
      </c>
      <c r="D1609">
        <v>13</v>
      </c>
      <c r="E1609">
        <v>55</v>
      </c>
      <c r="F1609">
        <v>3.5400000000000002E-3</v>
      </c>
      <c r="G1609">
        <v>0</v>
      </c>
      <c r="H1609" t="str">
        <f t="shared" si="75"/>
        <v>50-59</v>
      </c>
      <c r="I1609" t="str">
        <f t="shared" si="76"/>
        <v>10-19</v>
      </c>
      <c r="J1609">
        <f t="shared" si="77"/>
        <v>3.5400000000000002E-3</v>
      </c>
    </row>
    <row r="1610" spans="1:10">
      <c r="A1610" t="s">
        <v>1692</v>
      </c>
      <c r="B1610">
        <v>41</v>
      </c>
      <c r="C1610" t="s">
        <v>7</v>
      </c>
      <c r="D1610">
        <v>26</v>
      </c>
      <c r="E1610">
        <v>66</v>
      </c>
      <c r="F1610">
        <v>9.2399999999999999E-3</v>
      </c>
      <c r="G1610">
        <v>0</v>
      </c>
      <c r="H1610" t="str">
        <f t="shared" si="75"/>
        <v>60-69</v>
      </c>
      <c r="I1610" t="str">
        <f t="shared" si="76"/>
        <v>20-29</v>
      </c>
      <c r="J1610">
        <f t="shared" si="77"/>
        <v>9.2399999999999999E-3</v>
      </c>
    </row>
    <row r="1611" spans="1:10">
      <c r="A1611" t="s">
        <v>1693</v>
      </c>
      <c r="B1611">
        <v>51</v>
      </c>
      <c r="C1611" t="s">
        <v>9</v>
      </c>
      <c r="D1611">
        <v>1</v>
      </c>
      <c r="E1611">
        <v>51</v>
      </c>
      <c r="F1611">
        <v>8.5999999999999998E-4</v>
      </c>
      <c r="G1611">
        <v>0</v>
      </c>
      <c r="H1611" t="str">
        <f t="shared" si="75"/>
        <v>50-59</v>
      </c>
      <c r="I1611" t="str">
        <f t="shared" si="76"/>
        <v>0-9</v>
      </c>
      <c r="J1611">
        <f t="shared" si="77"/>
        <v>8.5999999999999998E-4</v>
      </c>
    </row>
    <row r="1612" spans="1:10">
      <c r="A1612" t="s">
        <v>1694</v>
      </c>
      <c r="B1612">
        <v>50</v>
      </c>
      <c r="C1612" t="s">
        <v>7</v>
      </c>
      <c r="D1612">
        <v>15</v>
      </c>
      <c r="E1612">
        <v>64</v>
      </c>
      <c r="F1612">
        <v>6.8599999999999998E-3</v>
      </c>
      <c r="G1612">
        <v>0</v>
      </c>
      <c r="H1612" t="str">
        <f t="shared" si="75"/>
        <v>60-69</v>
      </c>
      <c r="I1612" t="str">
        <f t="shared" si="76"/>
        <v>10-19</v>
      </c>
      <c r="J1612">
        <f t="shared" si="77"/>
        <v>6.8599999999999998E-3</v>
      </c>
    </row>
    <row r="1613" spans="1:10">
      <c r="A1613" t="s">
        <v>1695</v>
      </c>
      <c r="B1613">
        <v>42</v>
      </c>
      <c r="C1613" t="s">
        <v>7</v>
      </c>
      <c r="D1613">
        <v>20</v>
      </c>
      <c r="E1613">
        <v>61</v>
      </c>
      <c r="F1613">
        <v>5.4000000000000003E-3</v>
      </c>
      <c r="G1613">
        <v>0</v>
      </c>
      <c r="H1613" t="str">
        <f t="shared" si="75"/>
        <v>60-69</v>
      </c>
      <c r="I1613" t="str">
        <f t="shared" si="76"/>
        <v>20-29</v>
      </c>
      <c r="J1613">
        <f t="shared" si="77"/>
        <v>5.4000000000000003E-3</v>
      </c>
    </row>
    <row r="1614" spans="1:10">
      <c r="A1614" t="s">
        <v>1696</v>
      </c>
      <c r="B1614">
        <v>45</v>
      </c>
      <c r="C1614" t="s">
        <v>7</v>
      </c>
      <c r="D1614">
        <v>27</v>
      </c>
      <c r="E1614">
        <v>71</v>
      </c>
      <c r="F1614">
        <v>1.404E-2</v>
      </c>
      <c r="G1614">
        <v>0</v>
      </c>
      <c r="H1614" t="str">
        <f t="shared" si="75"/>
        <v>70-79</v>
      </c>
      <c r="I1614" t="str">
        <f t="shared" si="76"/>
        <v>20-29</v>
      </c>
      <c r="J1614">
        <f t="shared" si="77"/>
        <v>1.404E-2</v>
      </c>
    </row>
    <row r="1615" spans="1:10">
      <c r="A1615" t="s">
        <v>1697</v>
      </c>
      <c r="B1615">
        <v>55</v>
      </c>
      <c r="C1615" t="s">
        <v>9</v>
      </c>
      <c r="D1615">
        <v>21</v>
      </c>
      <c r="E1615">
        <v>75</v>
      </c>
      <c r="F1615">
        <v>2.9780000000000001E-2</v>
      </c>
      <c r="G1615">
        <v>0</v>
      </c>
      <c r="H1615" t="str">
        <f t="shared" si="75"/>
        <v>70-79</v>
      </c>
      <c r="I1615" t="str">
        <f t="shared" si="76"/>
        <v>20-29</v>
      </c>
      <c r="J1615">
        <f t="shared" si="77"/>
        <v>2.9780000000000001E-2</v>
      </c>
    </row>
    <row r="1616" spans="1:10">
      <c r="A1616" t="s">
        <v>1698</v>
      </c>
      <c r="B1616">
        <v>49</v>
      </c>
      <c r="C1616" t="s">
        <v>7</v>
      </c>
      <c r="D1616">
        <v>13</v>
      </c>
      <c r="E1616">
        <v>61</v>
      </c>
      <c r="F1616">
        <v>4.8999999999999998E-3</v>
      </c>
      <c r="G1616">
        <v>0</v>
      </c>
      <c r="H1616" t="str">
        <f t="shared" si="75"/>
        <v>60-69</v>
      </c>
      <c r="I1616" t="str">
        <f t="shared" si="76"/>
        <v>10-19</v>
      </c>
      <c r="J1616">
        <f t="shared" si="77"/>
        <v>4.8999999999999998E-3</v>
      </c>
    </row>
    <row r="1617" spans="1:10">
      <c r="A1617" t="s">
        <v>1699</v>
      </c>
      <c r="B1617">
        <v>35</v>
      </c>
      <c r="C1617" t="s">
        <v>9</v>
      </c>
      <c r="D1617">
        <v>18</v>
      </c>
      <c r="E1617">
        <v>52</v>
      </c>
      <c r="F1617">
        <v>2.9099999999999998E-3</v>
      </c>
      <c r="G1617">
        <v>0</v>
      </c>
      <c r="H1617" t="str">
        <f t="shared" si="75"/>
        <v>50-59</v>
      </c>
      <c r="I1617" t="str">
        <f t="shared" si="76"/>
        <v>10-19</v>
      </c>
      <c r="J1617">
        <f t="shared" si="77"/>
        <v>2.9099999999999998E-3</v>
      </c>
    </row>
    <row r="1618" spans="1:10">
      <c r="A1618" t="s">
        <v>1700</v>
      </c>
      <c r="B1618">
        <v>24</v>
      </c>
      <c r="C1618" t="s">
        <v>9</v>
      </c>
      <c r="D1618">
        <v>11</v>
      </c>
      <c r="E1618">
        <v>34</v>
      </c>
      <c r="F1618">
        <v>7.1000000000000002E-4</v>
      </c>
      <c r="G1618">
        <v>0</v>
      </c>
      <c r="H1618" t="str">
        <f t="shared" si="75"/>
        <v>30-39</v>
      </c>
      <c r="I1618" t="str">
        <f t="shared" si="76"/>
        <v>10-19</v>
      </c>
      <c r="J1618">
        <f t="shared" si="77"/>
        <v>7.1000000000000002E-4</v>
      </c>
    </row>
    <row r="1619" spans="1:10">
      <c r="A1619" t="s">
        <v>1701</v>
      </c>
      <c r="B1619">
        <v>47</v>
      </c>
      <c r="C1619" t="s">
        <v>7</v>
      </c>
      <c r="D1619">
        <v>26</v>
      </c>
      <c r="E1619">
        <v>72</v>
      </c>
      <c r="F1619">
        <v>1.7170000000000001E-2</v>
      </c>
      <c r="G1619">
        <v>0</v>
      </c>
      <c r="H1619" t="str">
        <f t="shared" si="75"/>
        <v>70-79</v>
      </c>
      <c r="I1619" t="str">
        <f t="shared" si="76"/>
        <v>20-29</v>
      </c>
      <c r="J1619">
        <f t="shared" si="77"/>
        <v>1.7170000000000001E-2</v>
      </c>
    </row>
    <row r="1620" spans="1:10">
      <c r="A1620" t="s">
        <v>1702</v>
      </c>
      <c r="B1620">
        <v>41</v>
      </c>
      <c r="C1620" t="s">
        <v>7</v>
      </c>
      <c r="D1620">
        <v>18</v>
      </c>
      <c r="E1620">
        <v>58</v>
      </c>
      <c r="F1620">
        <v>3.8600000000000001E-3</v>
      </c>
      <c r="G1620">
        <v>0</v>
      </c>
      <c r="H1620" t="str">
        <f t="shared" si="75"/>
        <v>50-59</v>
      </c>
      <c r="I1620" t="str">
        <f t="shared" si="76"/>
        <v>10-19</v>
      </c>
      <c r="J1620">
        <f t="shared" si="77"/>
        <v>3.8600000000000001E-3</v>
      </c>
    </row>
    <row r="1621" spans="1:10">
      <c r="A1621" t="s">
        <v>1703</v>
      </c>
      <c r="B1621">
        <v>62</v>
      </c>
      <c r="C1621" t="s">
        <v>7</v>
      </c>
      <c r="D1621">
        <v>3</v>
      </c>
      <c r="E1621">
        <v>64</v>
      </c>
      <c r="F1621">
        <v>3.3300000000000001E-3</v>
      </c>
      <c r="G1621">
        <v>0</v>
      </c>
      <c r="H1621" t="str">
        <f t="shared" si="75"/>
        <v>60-69</v>
      </c>
      <c r="I1621" t="str">
        <f t="shared" si="76"/>
        <v>0-9</v>
      </c>
      <c r="J1621">
        <f t="shared" si="77"/>
        <v>3.3300000000000001E-3</v>
      </c>
    </row>
    <row r="1622" spans="1:10">
      <c r="A1622" t="s">
        <v>1704</v>
      </c>
      <c r="B1622">
        <v>51</v>
      </c>
      <c r="C1622" t="s">
        <v>7</v>
      </c>
      <c r="D1622">
        <v>4</v>
      </c>
      <c r="E1622">
        <v>54</v>
      </c>
      <c r="F1622">
        <v>1.72E-3</v>
      </c>
      <c r="G1622">
        <v>0</v>
      </c>
      <c r="H1622" t="str">
        <f t="shared" si="75"/>
        <v>50-59</v>
      </c>
      <c r="I1622" t="str">
        <f t="shared" si="76"/>
        <v>0-9</v>
      </c>
      <c r="J1622">
        <f t="shared" si="77"/>
        <v>1.72E-3</v>
      </c>
    </row>
    <row r="1623" spans="1:10">
      <c r="A1623" t="s">
        <v>1705</v>
      </c>
      <c r="B1623">
        <v>55</v>
      </c>
      <c r="C1623" t="s">
        <v>7</v>
      </c>
      <c r="D1623">
        <v>4</v>
      </c>
      <c r="E1623">
        <v>58</v>
      </c>
      <c r="F1623">
        <v>2.3400000000000001E-3</v>
      </c>
      <c r="G1623">
        <v>0</v>
      </c>
      <c r="H1623" t="str">
        <f t="shared" si="75"/>
        <v>50-59</v>
      </c>
      <c r="I1623" t="str">
        <f t="shared" si="76"/>
        <v>0-9</v>
      </c>
      <c r="J1623">
        <f t="shared" si="77"/>
        <v>2.3400000000000001E-3</v>
      </c>
    </row>
    <row r="1624" spans="1:10">
      <c r="A1624" t="s">
        <v>1706</v>
      </c>
      <c r="B1624">
        <v>45</v>
      </c>
      <c r="C1624" t="s">
        <v>7</v>
      </c>
      <c r="D1624">
        <v>3</v>
      </c>
      <c r="E1624">
        <v>47</v>
      </c>
      <c r="F1624">
        <v>6.8000000000000005E-4</v>
      </c>
      <c r="G1624">
        <v>0</v>
      </c>
      <c r="H1624" t="str">
        <f t="shared" si="75"/>
        <v>40-49</v>
      </c>
      <c r="I1624" t="str">
        <f t="shared" si="76"/>
        <v>0-9</v>
      </c>
      <c r="J1624">
        <f t="shared" si="77"/>
        <v>6.8000000000000005E-4</v>
      </c>
    </row>
    <row r="1625" spans="1:10">
      <c r="A1625" t="s">
        <v>1707</v>
      </c>
      <c r="B1625">
        <v>58</v>
      </c>
      <c r="C1625" t="s">
        <v>7</v>
      </c>
      <c r="D1625">
        <v>25</v>
      </c>
      <c r="E1625">
        <v>82</v>
      </c>
      <c r="F1625">
        <v>5.0599999999999999E-2</v>
      </c>
      <c r="G1625">
        <v>0</v>
      </c>
      <c r="H1625" t="str">
        <f t="shared" si="75"/>
        <v>80-89</v>
      </c>
      <c r="I1625" t="str">
        <f t="shared" si="76"/>
        <v>20-29</v>
      </c>
      <c r="J1625">
        <f t="shared" si="77"/>
        <v>5.0599999999999999E-2</v>
      </c>
    </row>
    <row r="1626" spans="1:10">
      <c r="A1626" t="s">
        <v>1708</v>
      </c>
      <c r="B1626">
        <v>61</v>
      </c>
      <c r="C1626" t="s">
        <v>9</v>
      </c>
      <c r="D1626">
        <v>22</v>
      </c>
      <c r="E1626">
        <v>82</v>
      </c>
      <c r="F1626">
        <v>6.3329999999999997E-2</v>
      </c>
      <c r="G1626">
        <v>0</v>
      </c>
      <c r="H1626" t="str">
        <f t="shared" si="75"/>
        <v>80-89</v>
      </c>
      <c r="I1626" t="str">
        <f t="shared" si="76"/>
        <v>20-29</v>
      </c>
      <c r="J1626">
        <f t="shared" si="77"/>
        <v>6.3329999999999997E-2</v>
      </c>
    </row>
    <row r="1627" spans="1:10">
      <c r="A1627" t="s">
        <v>1709</v>
      </c>
      <c r="B1627">
        <v>28</v>
      </c>
      <c r="C1627" t="s">
        <v>7</v>
      </c>
      <c r="D1627">
        <v>29</v>
      </c>
      <c r="E1627">
        <v>56</v>
      </c>
      <c r="F1627">
        <v>2.5899999999999999E-3</v>
      </c>
      <c r="G1627">
        <v>0</v>
      </c>
      <c r="H1627" t="str">
        <f t="shared" si="75"/>
        <v>50-59</v>
      </c>
      <c r="I1627" t="str">
        <f t="shared" si="76"/>
        <v>20-29</v>
      </c>
      <c r="J1627">
        <f t="shared" si="77"/>
        <v>2.5899999999999999E-3</v>
      </c>
    </row>
    <row r="1628" spans="1:10">
      <c r="A1628" t="s">
        <v>1710</v>
      </c>
      <c r="B1628">
        <v>20</v>
      </c>
      <c r="C1628" t="s">
        <v>9</v>
      </c>
      <c r="D1628">
        <v>25</v>
      </c>
      <c r="E1628">
        <v>44</v>
      </c>
      <c r="F1628">
        <v>2.3999999999999998E-3</v>
      </c>
      <c r="G1628">
        <v>0</v>
      </c>
      <c r="H1628" t="str">
        <f t="shared" si="75"/>
        <v>40-49</v>
      </c>
      <c r="I1628" t="str">
        <f t="shared" si="76"/>
        <v>20-29</v>
      </c>
      <c r="J1628">
        <f t="shared" si="77"/>
        <v>2.3999999999999998E-3</v>
      </c>
    </row>
    <row r="1629" spans="1:10">
      <c r="A1629" t="s">
        <v>1711</v>
      </c>
      <c r="B1629">
        <v>54</v>
      </c>
      <c r="C1629" t="s">
        <v>9</v>
      </c>
      <c r="D1629">
        <v>10</v>
      </c>
      <c r="E1629">
        <v>63</v>
      </c>
      <c r="F1629">
        <v>8.0300000000000007E-3</v>
      </c>
      <c r="G1629">
        <v>0</v>
      </c>
      <c r="H1629" t="str">
        <f t="shared" si="75"/>
        <v>60-69</v>
      </c>
      <c r="I1629" t="str">
        <f t="shared" si="76"/>
        <v>10-19</v>
      </c>
      <c r="J1629">
        <f t="shared" si="77"/>
        <v>8.0300000000000007E-3</v>
      </c>
    </row>
    <row r="1630" spans="1:10">
      <c r="A1630" t="s">
        <v>1712</v>
      </c>
      <c r="B1630">
        <v>32</v>
      </c>
      <c r="C1630" t="s">
        <v>7</v>
      </c>
      <c r="D1630">
        <v>7</v>
      </c>
      <c r="E1630">
        <v>38</v>
      </c>
      <c r="F1630">
        <v>5.2999999999999998E-4</v>
      </c>
      <c r="G1630">
        <v>0</v>
      </c>
      <c r="H1630" t="str">
        <f t="shared" si="75"/>
        <v>30-39</v>
      </c>
      <c r="I1630" t="str">
        <f t="shared" si="76"/>
        <v>0-9</v>
      </c>
      <c r="J1630">
        <f t="shared" si="77"/>
        <v>5.2999999999999998E-4</v>
      </c>
    </row>
    <row r="1631" spans="1:10">
      <c r="A1631" t="s">
        <v>1713</v>
      </c>
      <c r="B1631">
        <v>56</v>
      </c>
      <c r="C1631" t="s">
        <v>7</v>
      </c>
      <c r="D1631">
        <v>26</v>
      </c>
      <c r="E1631">
        <v>81</v>
      </c>
      <c r="F1631">
        <v>4.4880000000000003E-2</v>
      </c>
      <c r="G1631">
        <v>0</v>
      </c>
      <c r="H1631" t="str">
        <f t="shared" si="75"/>
        <v>80-89</v>
      </c>
      <c r="I1631" t="str">
        <f t="shared" si="76"/>
        <v>20-29</v>
      </c>
      <c r="J1631">
        <f t="shared" si="77"/>
        <v>4.4880000000000003E-2</v>
      </c>
    </row>
    <row r="1632" spans="1:10">
      <c r="A1632" t="s">
        <v>1714</v>
      </c>
      <c r="B1632">
        <v>47</v>
      </c>
      <c r="C1632" t="s">
        <v>7</v>
      </c>
      <c r="D1632">
        <v>23</v>
      </c>
      <c r="E1632">
        <v>69</v>
      </c>
      <c r="F1632">
        <v>1.2659999999999999E-2</v>
      </c>
      <c r="G1632">
        <v>0</v>
      </c>
      <c r="H1632" t="str">
        <f t="shared" si="75"/>
        <v>60-69</v>
      </c>
      <c r="I1632" t="str">
        <f t="shared" si="76"/>
        <v>20-29</v>
      </c>
      <c r="J1632">
        <f t="shared" si="77"/>
        <v>1.2659999999999999E-2</v>
      </c>
    </row>
    <row r="1633" spans="1:10">
      <c r="A1633" t="s">
        <v>1715</v>
      </c>
      <c r="B1633">
        <v>25</v>
      </c>
      <c r="C1633" t="s">
        <v>9</v>
      </c>
      <c r="D1633">
        <v>19</v>
      </c>
      <c r="E1633">
        <v>43</v>
      </c>
      <c r="F1633">
        <v>1.7799999999999999E-3</v>
      </c>
      <c r="G1633">
        <v>0</v>
      </c>
      <c r="H1633" t="str">
        <f t="shared" si="75"/>
        <v>40-49</v>
      </c>
      <c r="I1633" t="str">
        <f t="shared" si="76"/>
        <v>10-19</v>
      </c>
      <c r="J1633">
        <f t="shared" si="77"/>
        <v>1.7799999999999999E-3</v>
      </c>
    </row>
    <row r="1634" spans="1:10">
      <c r="A1634" t="s">
        <v>1716</v>
      </c>
      <c r="B1634">
        <v>45</v>
      </c>
      <c r="C1634" t="s">
        <v>9</v>
      </c>
      <c r="D1634">
        <v>28</v>
      </c>
      <c r="E1634">
        <v>72</v>
      </c>
      <c r="F1634">
        <v>1.7160000000000002E-2</v>
      </c>
      <c r="G1634">
        <v>0</v>
      </c>
      <c r="H1634" t="str">
        <f t="shared" si="75"/>
        <v>70-79</v>
      </c>
      <c r="I1634" t="str">
        <f t="shared" si="76"/>
        <v>20-29</v>
      </c>
      <c r="J1634">
        <f t="shared" si="77"/>
        <v>1.7160000000000002E-2</v>
      </c>
    </row>
    <row r="1635" spans="1:10">
      <c r="A1635" t="s">
        <v>1717</v>
      </c>
      <c r="B1635">
        <v>43</v>
      </c>
      <c r="C1635" t="s">
        <v>7</v>
      </c>
      <c r="D1635">
        <v>29</v>
      </c>
      <c r="E1635">
        <v>71</v>
      </c>
      <c r="F1635">
        <v>1.141E-2</v>
      </c>
      <c r="G1635">
        <v>0</v>
      </c>
      <c r="H1635" t="str">
        <f t="shared" si="75"/>
        <v>70-79</v>
      </c>
      <c r="I1635" t="str">
        <f t="shared" si="76"/>
        <v>20-29</v>
      </c>
      <c r="J1635">
        <f t="shared" si="77"/>
        <v>1.141E-2</v>
      </c>
    </row>
    <row r="1636" spans="1:10">
      <c r="A1636" t="s">
        <v>1718</v>
      </c>
      <c r="B1636">
        <v>65</v>
      </c>
      <c r="C1636" t="s">
        <v>7</v>
      </c>
      <c r="D1636">
        <v>18</v>
      </c>
      <c r="E1636">
        <v>82</v>
      </c>
      <c r="F1636">
        <v>4.897E-2</v>
      </c>
      <c r="G1636">
        <v>0</v>
      </c>
      <c r="H1636" t="str">
        <f t="shared" si="75"/>
        <v>80-89</v>
      </c>
      <c r="I1636" t="str">
        <f t="shared" si="76"/>
        <v>10-19</v>
      </c>
      <c r="J1636">
        <f t="shared" si="77"/>
        <v>4.897E-2</v>
      </c>
    </row>
    <row r="1637" spans="1:10">
      <c r="A1637" t="s">
        <v>1719</v>
      </c>
      <c r="B1637">
        <v>38</v>
      </c>
      <c r="C1637" t="s">
        <v>9</v>
      </c>
      <c r="D1637">
        <v>28</v>
      </c>
      <c r="E1637">
        <v>65</v>
      </c>
      <c r="F1637">
        <v>8.6599999999999993E-3</v>
      </c>
      <c r="G1637">
        <v>0</v>
      </c>
      <c r="H1637" t="str">
        <f t="shared" si="75"/>
        <v>60-69</v>
      </c>
      <c r="I1637" t="str">
        <f t="shared" si="76"/>
        <v>20-29</v>
      </c>
      <c r="J1637">
        <f t="shared" si="77"/>
        <v>8.6599999999999993E-3</v>
      </c>
    </row>
    <row r="1638" spans="1:10">
      <c r="A1638" t="s">
        <v>1720</v>
      </c>
      <c r="B1638">
        <v>57</v>
      </c>
      <c r="C1638" t="s">
        <v>7</v>
      </c>
      <c r="D1638">
        <v>13</v>
      </c>
      <c r="E1638">
        <v>69</v>
      </c>
      <c r="F1638">
        <v>9.9299999999999996E-3</v>
      </c>
      <c r="G1638">
        <v>0</v>
      </c>
      <c r="H1638" t="str">
        <f t="shared" si="75"/>
        <v>60-69</v>
      </c>
      <c r="I1638" t="str">
        <f t="shared" si="76"/>
        <v>10-19</v>
      </c>
      <c r="J1638">
        <f t="shared" si="77"/>
        <v>9.9299999999999996E-3</v>
      </c>
    </row>
    <row r="1639" spans="1:10">
      <c r="A1639" t="s">
        <v>1721</v>
      </c>
      <c r="B1639">
        <v>45</v>
      </c>
      <c r="C1639" t="s">
        <v>9</v>
      </c>
      <c r="D1639">
        <v>13</v>
      </c>
      <c r="E1639">
        <v>57</v>
      </c>
      <c r="F1639">
        <v>4.3600000000000002E-3</v>
      </c>
      <c r="G1639">
        <v>0</v>
      </c>
      <c r="H1639" t="str">
        <f t="shared" si="75"/>
        <v>50-59</v>
      </c>
      <c r="I1639" t="str">
        <f t="shared" si="76"/>
        <v>10-19</v>
      </c>
      <c r="J1639">
        <f t="shared" si="77"/>
        <v>4.3600000000000002E-3</v>
      </c>
    </row>
    <row r="1640" spans="1:10">
      <c r="A1640" t="s">
        <v>1722</v>
      </c>
      <c r="B1640">
        <v>31</v>
      </c>
      <c r="C1640" t="s">
        <v>9</v>
      </c>
      <c r="D1640">
        <v>16</v>
      </c>
      <c r="E1640">
        <v>46</v>
      </c>
      <c r="F1640">
        <v>1.7799999999999999E-3</v>
      </c>
      <c r="G1640">
        <v>0</v>
      </c>
      <c r="H1640" t="str">
        <f t="shared" si="75"/>
        <v>40-49</v>
      </c>
      <c r="I1640" t="str">
        <f t="shared" si="76"/>
        <v>10-19</v>
      </c>
      <c r="J1640">
        <f t="shared" si="77"/>
        <v>1.7799999999999999E-3</v>
      </c>
    </row>
    <row r="1641" spans="1:10">
      <c r="A1641" t="s">
        <v>1723</v>
      </c>
      <c r="B1641">
        <v>43</v>
      </c>
      <c r="C1641" t="s">
        <v>9</v>
      </c>
      <c r="D1641">
        <v>27</v>
      </c>
      <c r="E1641">
        <v>69</v>
      </c>
      <c r="F1641">
        <v>1.413E-2</v>
      </c>
      <c r="G1641">
        <v>0</v>
      </c>
      <c r="H1641" t="str">
        <f t="shared" si="75"/>
        <v>60-69</v>
      </c>
      <c r="I1641" t="str">
        <f t="shared" si="76"/>
        <v>20-29</v>
      </c>
      <c r="J1641">
        <f t="shared" si="77"/>
        <v>1.413E-2</v>
      </c>
    </row>
    <row r="1642" spans="1:10">
      <c r="A1642" t="s">
        <v>1724</v>
      </c>
      <c r="B1642">
        <v>62</v>
      </c>
      <c r="C1642" t="s">
        <v>9</v>
      </c>
      <c r="D1642">
        <v>5</v>
      </c>
      <c r="E1642">
        <v>66</v>
      </c>
      <c r="F1642">
        <v>7.9399999999999991E-3</v>
      </c>
      <c r="G1642">
        <v>0</v>
      </c>
      <c r="H1642" t="str">
        <f t="shared" si="75"/>
        <v>60-69</v>
      </c>
      <c r="I1642" t="str">
        <f t="shared" si="76"/>
        <v>0-9</v>
      </c>
      <c r="J1642">
        <f t="shared" si="77"/>
        <v>7.9399999999999991E-3</v>
      </c>
    </row>
    <row r="1643" spans="1:10">
      <c r="A1643" t="s">
        <v>1725</v>
      </c>
      <c r="B1643">
        <v>21</v>
      </c>
      <c r="C1643" t="s">
        <v>7</v>
      </c>
      <c r="D1643">
        <v>5</v>
      </c>
      <c r="E1643">
        <v>25</v>
      </c>
      <c r="F1643">
        <v>2.9999999999999997E-4</v>
      </c>
      <c r="G1643">
        <v>0</v>
      </c>
      <c r="H1643" t="str">
        <f t="shared" si="75"/>
        <v>20-29</v>
      </c>
      <c r="I1643" t="str">
        <f t="shared" si="76"/>
        <v>0-9</v>
      </c>
      <c r="J1643">
        <f t="shared" si="77"/>
        <v>2.9999999999999997E-4</v>
      </c>
    </row>
    <row r="1644" spans="1:10">
      <c r="A1644" t="s">
        <v>1726</v>
      </c>
      <c r="B1644">
        <v>47</v>
      </c>
      <c r="C1644" t="s">
        <v>9</v>
      </c>
      <c r="D1644">
        <v>5</v>
      </c>
      <c r="E1644">
        <v>51</v>
      </c>
      <c r="F1644">
        <v>1.8500000000000001E-3</v>
      </c>
      <c r="G1644">
        <v>0</v>
      </c>
      <c r="H1644" t="str">
        <f t="shared" si="75"/>
        <v>50-59</v>
      </c>
      <c r="I1644" t="str">
        <f t="shared" si="76"/>
        <v>0-9</v>
      </c>
      <c r="J1644">
        <f t="shared" si="77"/>
        <v>1.8500000000000001E-3</v>
      </c>
    </row>
    <row r="1645" spans="1:10">
      <c r="A1645" t="s">
        <v>1727</v>
      </c>
      <c r="B1645">
        <v>46</v>
      </c>
      <c r="C1645" t="s">
        <v>9</v>
      </c>
      <c r="D1645">
        <v>28</v>
      </c>
      <c r="E1645">
        <v>73</v>
      </c>
      <c r="F1645">
        <v>1.9089999999999999E-2</v>
      </c>
      <c r="G1645">
        <v>0</v>
      </c>
      <c r="H1645" t="str">
        <f t="shared" si="75"/>
        <v>70-79</v>
      </c>
      <c r="I1645" t="str">
        <f t="shared" si="76"/>
        <v>20-29</v>
      </c>
      <c r="J1645">
        <f t="shared" si="77"/>
        <v>1.9089999999999999E-2</v>
      </c>
    </row>
    <row r="1646" spans="1:10">
      <c r="A1646" t="s">
        <v>1728</v>
      </c>
      <c r="B1646">
        <v>58</v>
      </c>
      <c r="C1646" t="s">
        <v>9</v>
      </c>
      <c r="D1646">
        <v>30</v>
      </c>
      <c r="E1646">
        <v>87</v>
      </c>
      <c r="F1646">
        <v>7.1389999999999995E-2</v>
      </c>
      <c r="G1646">
        <v>0</v>
      </c>
      <c r="H1646" t="str">
        <f t="shared" si="75"/>
        <v>80-89</v>
      </c>
      <c r="I1646" t="str">
        <f t="shared" si="76"/>
        <v>30-39</v>
      </c>
      <c r="J1646">
        <f t="shared" si="77"/>
        <v>7.1389999999999995E-2</v>
      </c>
    </row>
    <row r="1647" spans="1:10">
      <c r="A1647" t="s">
        <v>1729</v>
      </c>
      <c r="B1647">
        <v>52</v>
      </c>
      <c r="C1647" t="s">
        <v>7</v>
      </c>
      <c r="D1647">
        <v>14</v>
      </c>
      <c r="E1647">
        <v>65</v>
      </c>
      <c r="F1647">
        <v>7.2399999999999999E-3</v>
      </c>
      <c r="G1647">
        <v>0</v>
      </c>
      <c r="H1647" t="str">
        <f t="shared" si="75"/>
        <v>60-69</v>
      </c>
      <c r="I1647" t="str">
        <f t="shared" si="76"/>
        <v>10-19</v>
      </c>
      <c r="J1647">
        <f t="shared" si="77"/>
        <v>7.2399999999999999E-3</v>
      </c>
    </row>
    <row r="1648" spans="1:10">
      <c r="A1648" t="s">
        <v>1730</v>
      </c>
      <c r="B1648">
        <v>42</v>
      </c>
      <c r="C1648" t="s">
        <v>9</v>
      </c>
      <c r="D1648">
        <v>8</v>
      </c>
      <c r="E1648">
        <v>49</v>
      </c>
      <c r="F1648">
        <v>1.74E-3</v>
      </c>
      <c r="G1648">
        <v>0</v>
      </c>
      <c r="H1648" t="str">
        <f t="shared" si="75"/>
        <v>40-49</v>
      </c>
      <c r="I1648" t="str">
        <f t="shared" si="76"/>
        <v>0-9</v>
      </c>
      <c r="J1648">
        <f t="shared" si="77"/>
        <v>1.74E-3</v>
      </c>
    </row>
    <row r="1649" spans="1:10">
      <c r="A1649" t="s">
        <v>1731</v>
      </c>
      <c r="B1649">
        <v>56</v>
      </c>
      <c r="C1649" t="s">
        <v>7</v>
      </c>
      <c r="D1649">
        <v>16</v>
      </c>
      <c r="E1649">
        <v>71</v>
      </c>
      <c r="F1649">
        <v>1.376E-2</v>
      </c>
      <c r="G1649">
        <v>0</v>
      </c>
      <c r="H1649" t="str">
        <f t="shared" si="75"/>
        <v>70-79</v>
      </c>
      <c r="I1649" t="str">
        <f t="shared" si="76"/>
        <v>10-19</v>
      </c>
      <c r="J1649">
        <f t="shared" si="77"/>
        <v>1.376E-2</v>
      </c>
    </row>
    <row r="1650" spans="1:10">
      <c r="A1650" t="s">
        <v>1732</v>
      </c>
      <c r="B1650">
        <v>52</v>
      </c>
      <c r="C1650" t="s">
        <v>9</v>
      </c>
      <c r="D1650">
        <v>9</v>
      </c>
      <c r="E1650">
        <v>60</v>
      </c>
      <c r="F1650">
        <v>5.7299999999999999E-3</v>
      </c>
      <c r="G1650">
        <v>0</v>
      </c>
      <c r="H1650" t="str">
        <f t="shared" si="75"/>
        <v>60-69</v>
      </c>
      <c r="I1650" t="str">
        <f t="shared" si="76"/>
        <v>0-9</v>
      </c>
      <c r="J1650">
        <f t="shared" si="77"/>
        <v>5.7299999999999999E-3</v>
      </c>
    </row>
    <row r="1651" spans="1:10">
      <c r="A1651" t="s">
        <v>1733</v>
      </c>
      <c r="B1651">
        <v>43</v>
      </c>
      <c r="C1651" t="s">
        <v>7</v>
      </c>
      <c r="D1651">
        <v>2</v>
      </c>
      <c r="E1651">
        <v>44</v>
      </c>
      <c r="F1651">
        <v>4.0000000000000002E-4</v>
      </c>
      <c r="G1651">
        <v>0</v>
      </c>
      <c r="H1651" t="str">
        <f t="shared" si="75"/>
        <v>40-49</v>
      </c>
      <c r="I1651" t="str">
        <f t="shared" si="76"/>
        <v>0-9</v>
      </c>
      <c r="J1651">
        <f t="shared" si="77"/>
        <v>4.0000000000000002E-4</v>
      </c>
    </row>
    <row r="1652" spans="1:10">
      <c r="A1652" t="s">
        <v>1734</v>
      </c>
      <c r="B1652">
        <v>65</v>
      </c>
      <c r="C1652" t="s">
        <v>9</v>
      </c>
      <c r="D1652">
        <v>12</v>
      </c>
      <c r="E1652">
        <v>76</v>
      </c>
      <c r="F1652">
        <v>2.529E-2</v>
      </c>
      <c r="G1652">
        <v>0</v>
      </c>
      <c r="H1652" t="str">
        <f t="shared" si="75"/>
        <v>70-79</v>
      </c>
      <c r="I1652" t="str">
        <f t="shared" si="76"/>
        <v>10-19</v>
      </c>
      <c r="J1652">
        <f t="shared" si="77"/>
        <v>2.529E-2</v>
      </c>
    </row>
    <row r="1653" spans="1:10">
      <c r="A1653" t="s">
        <v>1735</v>
      </c>
      <c r="B1653">
        <v>64</v>
      </c>
      <c r="C1653" t="s">
        <v>9</v>
      </c>
      <c r="D1653">
        <v>3</v>
      </c>
      <c r="E1653">
        <v>66</v>
      </c>
      <c r="F1653">
        <v>5.8999999999999999E-3</v>
      </c>
      <c r="G1653">
        <v>0</v>
      </c>
      <c r="H1653" t="str">
        <f t="shared" si="75"/>
        <v>60-69</v>
      </c>
      <c r="I1653" t="str">
        <f t="shared" si="76"/>
        <v>0-9</v>
      </c>
      <c r="J1653">
        <f t="shared" si="77"/>
        <v>5.8999999999999999E-3</v>
      </c>
    </row>
    <row r="1654" spans="1:10">
      <c r="A1654" t="s">
        <v>1736</v>
      </c>
      <c r="B1654">
        <v>37</v>
      </c>
      <c r="C1654" t="s">
        <v>7</v>
      </c>
      <c r="D1654">
        <v>15</v>
      </c>
      <c r="E1654">
        <v>51</v>
      </c>
      <c r="F1654">
        <v>1.92E-3</v>
      </c>
      <c r="G1654">
        <v>0</v>
      </c>
      <c r="H1654" t="str">
        <f t="shared" si="75"/>
        <v>50-59</v>
      </c>
      <c r="I1654" t="str">
        <f t="shared" si="76"/>
        <v>10-19</v>
      </c>
      <c r="J1654">
        <f t="shared" si="77"/>
        <v>1.92E-3</v>
      </c>
    </row>
    <row r="1655" spans="1:10">
      <c r="A1655" t="s">
        <v>1737</v>
      </c>
      <c r="B1655">
        <v>59</v>
      </c>
      <c r="C1655" t="s">
        <v>9</v>
      </c>
      <c r="D1655">
        <v>3</v>
      </c>
      <c r="E1655">
        <v>61</v>
      </c>
      <c r="F1655">
        <v>4.3800000000000002E-3</v>
      </c>
      <c r="G1655">
        <v>0</v>
      </c>
      <c r="H1655" t="str">
        <f t="shared" si="75"/>
        <v>60-69</v>
      </c>
      <c r="I1655" t="str">
        <f t="shared" si="76"/>
        <v>0-9</v>
      </c>
      <c r="J1655">
        <f t="shared" si="77"/>
        <v>4.3800000000000002E-3</v>
      </c>
    </row>
    <row r="1656" spans="1:10">
      <c r="A1656" t="s">
        <v>1738</v>
      </c>
      <c r="B1656">
        <v>62</v>
      </c>
      <c r="C1656" t="s">
        <v>9</v>
      </c>
      <c r="D1656">
        <v>22</v>
      </c>
      <c r="E1656">
        <v>83</v>
      </c>
      <c r="F1656">
        <v>7.1389999999999995E-2</v>
      </c>
      <c r="G1656">
        <v>0</v>
      </c>
      <c r="H1656" t="str">
        <f t="shared" si="75"/>
        <v>80-89</v>
      </c>
      <c r="I1656" t="str">
        <f t="shared" si="76"/>
        <v>20-29</v>
      </c>
      <c r="J1656">
        <f t="shared" si="77"/>
        <v>7.1389999999999995E-2</v>
      </c>
    </row>
    <row r="1657" spans="1:10">
      <c r="A1657" t="s">
        <v>1739</v>
      </c>
      <c r="B1657">
        <v>57</v>
      </c>
      <c r="C1657" t="s">
        <v>7</v>
      </c>
      <c r="D1657">
        <v>10</v>
      </c>
      <c r="E1657">
        <v>66</v>
      </c>
      <c r="F1657">
        <v>6.79E-3</v>
      </c>
      <c r="G1657">
        <v>0</v>
      </c>
      <c r="H1657" t="str">
        <f t="shared" si="75"/>
        <v>60-69</v>
      </c>
      <c r="I1657" t="str">
        <f t="shared" si="76"/>
        <v>10-19</v>
      </c>
      <c r="J1657">
        <f t="shared" si="77"/>
        <v>6.79E-3</v>
      </c>
    </row>
    <row r="1658" spans="1:10">
      <c r="A1658" t="s">
        <v>1740</v>
      </c>
      <c r="B1658">
        <v>54</v>
      </c>
      <c r="C1658" t="s">
        <v>9</v>
      </c>
      <c r="D1658">
        <v>25</v>
      </c>
      <c r="E1658">
        <v>78</v>
      </c>
      <c r="F1658">
        <v>4.1189999999999997E-2</v>
      </c>
      <c r="G1658">
        <v>0</v>
      </c>
      <c r="H1658" t="str">
        <f t="shared" si="75"/>
        <v>70-79</v>
      </c>
      <c r="I1658" t="str">
        <f t="shared" si="76"/>
        <v>20-29</v>
      </c>
      <c r="J1658">
        <f t="shared" si="77"/>
        <v>4.1189999999999997E-2</v>
      </c>
    </row>
    <row r="1659" spans="1:10">
      <c r="A1659" t="s">
        <v>1741</v>
      </c>
      <c r="B1659">
        <v>50</v>
      </c>
      <c r="C1659" t="s">
        <v>7</v>
      </c>
      <c r="D1659">
        <v>19</v>
      </c>
      <c r="E1659">
        <v>68</v>
      </c>
      <c r="F1659">
        <v>1.106E-2</v>
      </c>
      <c r="G1659">
        <v>0</v>
      </c>
      <c r="H1659" t="str">
        <f t="shared" si="75"/>
        <v>60-69</v>
      </c>
      <c r="I1659" t="str">
        <f t="shared" si="76"/>
        <v>10-19</v>
      </c>
      <c r="J1659">
        <f t="shared" si="77"/>
        <v>1.106E-2</v>
      </c>
    </row>
    <row r="1660" spans="1:10">
      <c r="A1660" t="s">
        <v>1742</v>
      </c>
      <c r="B1660">
        <v>38</v>
      </c>
      <c r="C1660" t="s">
        <v>9</v>
      </c>
      <c r="D1660">
        <v>10</v>
      </c>
      <c r="E1660">
        <v>47</v>
      </c>
      <c r="F1660">
        <v>1.56E-3</v>
      </c>
      <c r="G1660">
        <v>0</v>
      </c>
      <c r="H1660" t="str">
        <f t="shared" si="75"/>
        <v>40-49</v>
      </c>
      <c r="I1660" t="str">
        <f t="shared" si="76"/>
        <v>10-19</v>
      </c>
      <c r="J1660">
        <f t="shared" si="77"/>
        <v>1.56E-3</v>
      </c>
    </row>
    <row r="1661" spans="1:10">
      <c r="A1661" t="s">
        <v>1743</v>
      </c>
      <c r="B1661">
        <v>58</v>
      </c>
      <c r="C1661" t="s">
        <v>9</v>
      </c>
      <c r="D1661">
        <v>24</v>
      </c>
      <c r="E1661">
        <v>81</v>
      </c>
      <c r="F1661">
        <v>5.6829999999999999E-2</v>
      </c>
      <c r="G1661">
        <v>0</v>
      </c>
      <c r="H1661" t="str">
        <f t="shared" si="75"/>
        <v>80-89</v>
      </c>
      <c r="I1661" t="str">
        <f t="shared" si="76"/>
        <v>20-29</v>
      </c>
      <c r="J1661">
        <f t="shared" si="77"/>
        <v>5.6829999999999999E-2</v>
      </c>
    </row>
    <row r="1662" spans="1:10">
      <c r="A1662" t="s">
        <v>1744</v>
      </c>
      <c r="B1662">
        <v>36</v>
      </c>
      <c r="C1662" t="s">
        <v>7</v>
      </c>
      <c r="D1662">
        <v>2</v>
      </c>
      <c r="E1662">
        <v>37</v>
      </c>
      <c r="F1662">
        <v>2.7E-4</v>
      </c>
      <c r="G1662">
        <v>0</v>
      </c>
      <c r="H1662" t="str">
        <f t="shared" si="75"/>
        <v>30-39</v>
      </c>
      <c r="I1662" t="str">
        <f t="shared" si="76"/>
        <v>0-9</v>
      </c>
      <c r="J1662">
        <f t="shared" si="77"/>
        <v>2.7E-4</v>
      </c>
    </row>
    <row r="1663" spans="1:10">
      <c r="A1663" t="s">
        <v>1745</v>
      </c>
      <c r="B1663">
        <v>56</v>
      </c>
      <c r="C1663" t="s">
        <v>7</v>
      </c>
      <c r="D1663">
        <v>2</v>
      </c>
      <c r="E1663">
        <v>57</v>
      </c>
      <c r="F1663">
        <v>1.31E-3</v>
      </c>
      <c r="G1663">
        <v>0</v>
      </c>
      <c r="H1663" t="str">
        <f t="shared" si="75"/>
        <v>50-59</v>
      </c>
      <c r="I1663" t="str">
        <f t="shared" si="76"/>
        <v>0-9</v>
      </c>
      <c r="J1663">
        <f t="shared" si="77"/>
        <v>1.31E-3</v>
      </c>
    </row>
    <row r="1664" spans="1:10">
      <c r="A1664" t="s">
        <v>1746</v>
      </c>
      <c r="B1664">
        <v>59</v>
      </c>
      <c r="C1664" t="s">
        <v>9</v>
      </c>
      <c r="D1664">
        <v>1</v>
      </c>
      <c r="E1664">
        <v>59</v>
      </c>
      <c r="F1664">
        <v>1.81E-3</v>
      </c>
      <c r="G1664">
        <v>0</v>
      </c>
      <c r="H1664" t="str">
        <f t="shared" si="75"/>
        <v>50-59</v>
      </c>
      <c r="I1664" t="str">
        <f t="shared" si="76"/>
        <v>0-9</v>
      </c>
      <c r="J1664">
        <f t="shared" si="77"/>
        <v>1.81E-3</v>
      </c>
    </row>
    <row r="1665" spans="1:10">
      <c r="A1665" t="s">
        <v>1747</v>
      </c>
      <c r="B1665">
        <v>52</v>
      </c>
      <c r="C1665" t="s">
        <v>7</v>
      </c>
      <c r="D1665">
        <v>3</v>
      </c>
      <c r="E1665">
        <v>54</v>
      </c>
      <c r="F1665">
        <v>1.5499999999999999E-3</v>
      </c>
      <c r="G1665">
        <v>0</v>
      </c>
      <c r="H1665" t="str">
        <f t="shared" si="75"/>
        <v>50-59</v>
      </c>
      <c r="I1665" t="str">
        <f t="shared" si="76"/>
        <v>0-9</v>
      </c>
      <c r="J1665">
        <f t="shared" si="77"/>
        <v>1.5499999999999999E-3</v>
      </c>
    </row>
    <row r="1666" spans="1:10">
      <c r="A1666" t="s">
        <v>1748</v>
      </c>
      <c r="B1666">
        <v>28</v>
      </c>
      <c r="C1666" t="s">
        <v>9</v>
      </c>
      <c r="D1666">
        <v>20</v>
      </c>
      <c r="E1666">
        <v>47</v>
      </c>
      <c r="F1666">
        <v>2.0300000000000001E-3</v>
      </c>
      <c r="G1666">
        <v>0</v>
      </c>
      <c r="H1666" t="str">
        <f t="shared" si="75"/>
        <v>40-49</v>
      </c>
      <c r="I1666" t="str">
        <f t="shared" si="76"/>
        <v>20-29</v>
      </c>
      <c r="J1666">
        <f t="shared" si="77"/>
        <v>2.0300000000000001E-3</v>
      </c>
    </row>
    <row r="1667" spans="1:10">
      <c r="A1667" t="s">
        <v>1749</v>
      </c>
      <c r="B1667">
        <v>20</v>
      </c>
      <c r="C1667" t="s">
        <v>9</v>
      </c>
      <c r="D1667">
        <v>24</v>
      </c>
      <c r="E1667">
        <v>43</v>
      </c>
      <c r="F1667">
        <v>2.2499999999999998E-3</v>
      </c>
      <c r="G1667">
        <v>0</v>
      </c>
      <c r="H1667" t="str">
        <f t="shared" ref="H1667:H1730" si="78">FLOOR(E1667,10) &amp; "-" &amp; FLOOR(E1667,10)+9</f>
        <v>40-49</v>
      </c>
      <c r="I1667" t="str">
        <f t="shared" ref="I1667:I1730" si="79">FLOOR(D1667, 10) &amp; "-"&amp;FLOOR(D1667, 10)+9</f>
        <v>20-29</v>
      </c>
      <c r="J1667">
        <f t="shared" ref="J1667:J1730" si="80">F1667</f>
        <v>2.2499999999999998E-3</v>
      </c>
    </row>
    <row r="1668" spans="1:10">
      <c r="A1668" t="s">
        <v>1750</v>
      </c>
      <c r="B1668">
        <v>57</v>
      </c>
      <c r="C1668" t="s">
        <v>9</v>
      </c>
      <c r="D1668">
        <v>24</v>
      </c>
      <c r="E1668">
        <v>80</v>
      </c>
      <c r="F1668">
        <v>5.0909999999999997E-2</v>
      </c>
      <c r="G1668">
        <v>0</v>
      </c>
      <c r="H1668" t="str">
        <f t="shared" si="78"/>
        <v>80-89</v>
      </c>
      <c r="I1668" t="str">
        <f t="shared" si="79"/>
        <v>20-29</v>
      </c>
      <c r="J1668">
        <f t="shared" si="80"/>
        <v>5.0909999999999997E-2</v>
      </c>
    </row>
    <row r="1669" spans="1:10">
      <c r="A1669" t="s">
        <v>1751</v>
      </c>
      <c r="B1669">
        <v>31</v>
      </c>
      <c r="C1669" t="s">
        <v>7</v>
      </c>
      <c r="D1669">
        <v>9</v>
      </c>
      <c r="E1669">
        <v>39</v>
      </c>
      <c r="F1669">
        <v>6.6E-4</v>
      </c>
      <c r="G1669">
        <v>0</v>
      </c>
      <c r="H1669" t="str">
        <f t="shared" si="78"/>
        <v>30-39</v>
      </c>
      <c r="I1669" t="str">
        <f t="shared" si="79"/>
        <v>0-9</v>
      </c>
      <c r="J1669">
        <f t="shared" si="80"/>
        <v>6.6E-4</v>
      </c>
    </row>
    <row r="1670" spans="1:10">
      <c r="A1670" t="s">
        <v>1752</v>
      </c>
      <c r="B1670">
        <v>31</v>
      </c>
      <c r="C1670" t="s">
        <v>7</v>
      </c>
      <c r="D1670">
        <v>26</v>
      </c>
      <c r="E1670">
        <v>56</v>
      </c>
      <c r="F1670">
        <v>3.3700000000000002E-3</v>
      </c>
      <c r="G1670">
        <v>0</v>
      </c>
      <c r="H1670" t="str">
        <f t="shared" si="78"/>
        <v>50-59</v>
      </c>
      <c r="I1670" t="str">
        <f t="shared" si="79"/>
        <v>20-29</v>
      </c>
      <c r="J1670">
        <f t="shared" si="80"/>
        <v>3.3700000000000002E-3</v>
      </c>
    </row>
    <row r="1671" spans="1:10">
      <c r="A1671" t="s">
        <v>1753</v>
      </c>
      <c r="B1671">
        <v>25</v>
      </c>
      <c r="C1671" t="s">
        <v>7</v>
      </c>
      <c r="D1671">
        <v>5</v>
      </c>
      <c r="E1671">
        <v>29</v>
      </c>
      <c r="F1671">
        <v>2.5000000000000001E-4</v>
      </c>
      <c r="G1671">
        <v>0</v>
      </c>
      <c r="H1671" t="str">
        <f t="shared" si="78"/>
        <v>20-29</v>
      </c>
      <c r="I1671" t="str">
        <f t="shared" si="79"/>
        <v>0-9</v>
      </c>
      <c r="J1671">
        <f t="shared" si="80"/>
        <v>2.5000000000000001E-4</v>
      </c>
    </row>
    <row r="1672" spans="1:10">
      <c r="A1672" t="s">
        <v>1754</v>
      </c>
      <c r="B1672">
        <v>51</v>
      </c>
      <c r="C1672" t="s">
        <v>7</v>
      </c>
      <c r="D1672">
        <v>25</v>
      </c>
      <c r="E1672">
        <v>75</v>
      </c>
      <c r="F1672">
        <v>2.325E-2</v>
      </c>
      <c r="G1672">
        <v>0</v>
      </c>
      <c r="H1672" t="str">
        <f t="shared" si="78"/>
        <v>70-79</v>
      </c>
      <c r="I1672" t="str">
        <f t="shared" si="79"/>
        <v>20-29</v>
      </c>
      <c r="J1672">
        <f t="shared" si="80"/>
        <v>2.325E-2</v>
      </c>
    </row>
    <row r="1673" spans="1:10">
      <c r="A1673" t="s">
        <v>1755</v>
      </c>
      <c r="B1673">
        <v>35</v>
      </c>
      <c r="C1673" t="s">
        <v>9</v>
      </c>
      <c r="D1673">
        <v>22</v>
      </c>
      <c r="E1673">
        <v>56</v>
      </c>
      <c r="F1673">
        <v>4.3899999999999998E-3</v>
      </c>
      <c r="G1673">
        <v>0</v>
      </c>
      <c r="H1673" t="str">
        <f t="shared" si="78"/>
        <v>50-59</v>
      </c>
      <c r="I1673" t="str">
        <f t="shared" si="79"/>
        <v>20-29</v>
      </c>
      <c r="J1673">
        <f t="shared" si="80"/>
        <v>4.3899999999999998E-3</v>
      </c>
    </row>
    <row r="1674" spans="1:10">
      <c r="A1674" t="s">
        <v>1756</v>
      </c>
      <c r="B1674">
        <v>33</v>
      </c>
      <c r="C1674" t="s">
        <v>7</v>
      </c>
      <c r="D1674">
        <v>19</v>
      </c>
      <c r="E1674">
        <v>51</v>
      </c>
      <c r="F1674">
        <v>2.0400000000000001E-3</v>
      </c>
      <c r="G1674">
        <v>0</v>
      </c>
      <c r="H1674" t="str">
        <f t="shared" si="78"/>
        <v>50-59</v>
      </c>
      <c r="I1674" t="str">
        <f t="shared" si="79"/>
        <v>10-19</v>
      </c>
      <c r="J1674">
        <f t="shared" si="80"/>
        <v>2.0400000000000001E-3</v>
      </c>
    </row>
    <row r="1675" spans="1:10">
      <c r="A1675" t="s">
        <v>1757</v>
      </c>
      <c r="B1675">
        <v>61</v>
      </c>
      <c r="C1675" t="s">
        <v>7</v>
      </c>
      <c r="D1675">
        <v>9</v>
      </c>
      <c r="E1675">
        <v>69</v>
      </c>
      <c r="F1675">
        <v>8.0199999999999994E-3</v>
      </c>
      <c r="G1675">
        <v>0</v>
      </c>
      <c r="H1675" t="str">
        <f t="shared" si="78"/>
        <v>60-69</v>
      </c>
      <c r="I1675" t="str">
        <f t="shared" si="79"/>
        <v>0-9</v>
      </c>
      <c r="J1675">
        <f t="shared" si="80"/>
        <v>8.0199999999999994E-3</v>
      </c>
    </row>
    <row r="1676" spans="1:10">
      <c r="A1676" t="s">
        <v>1758</v>
      </c>
      <c r="B1676">
        <v>30</v>
      </c>
      <c r="C1676" t="s">
        <v>9</v>
      </c>
      <c r="D1676">
        <v>15</v>
      </c>
      <c r="E1676">
        <v>44</v>
      </c>
      <c r="F1676">
        <v>1.5200000000000001E-3</v>
      </c>
      <c r="G1676">
        <v>0</v>
      </c>
      <c r="H1676" t="str">
        <f t="shared" si="78"/>
        <v>40-49</v>
      </c>
      <c r="I1676" t="str">
        <f t="shared" si="79"/>
        <v>10-19</v>
      </c>
      <c r="J1676">
        <f t="shared" si="80"/>
        <v>1.5200000000000001E-3</v>
      </c>
    </row>
    <row r="1677" spans="1:10">
      <c r="A1677" t="s">
        <v>1759</v>
      </c>
      <c r="B1677">
        <v>54</v>
      </c>
      <c r="C1677" t="s">
        <v>9</v>
      </c>
      <c r="D1677">
        <v>8</v>
      </c>
      <c r="E1677">
        <v>61</v>
      </c>
      <c r="F1677">
        <v>6.1799999999999997E-3</v>
      </c>
      <c r="G1677">
        <v>0</v>
      </c>
      <c r="H1677" t="str">
        <f t="shared" si="78"/>
        <v>60-69</v>
      </c>
      <c r="I1677" t="str">
        <f t="shared" si="79"/>
        <v>0-9</v>
      </c>
      <c r="J1677">
        <f t="shared" si="80"/>
        <v>6.1799999999999997E-3</v>
      </c>
    </row>
    <row r="1678" spans="1:10">
      <c r="A1678" t="s">
        <v>1760</v>
      </c>
      <c r="B1678">
        <v>50</v>
      </c>
      <c r="C1678" t="s">
        <v>9</v>
      </c>
      <c r="D1678">
        <v>9</v>
      </c>
      <c r="E1678">
        <v>58</v>
      </c>
      <c r="F1678">
        <v>4.5999999999999999E-3</v>
      </c>
      <c r="G1678">
        <v>0</v>
      </c>
      <c r="H1678" t="str">
        <f t="shared" si="78"/>
        <v>50-59</v>
      </c>
      <c r="I1678" t="str">
        <f t="shared" si="79"/>
        <v>0-9</v>
      </c>
      <c r="J1678">
        <f t="shared" si="80"/>
        <v>4.5999999999999999E-3</v>
      </c>
    </row>
    <row r="1679" spans="1:10">
      <c r="A1679" t="s">
        <v>1761</v>
      </c>
      <c r="B1679">
        <v>20</v>
      </c>
      <c r="C1679" t="s">
        <v>7</v>
      </c>
      <c r="D1679">
        <v>10</v>
      </c>
      <c r="E1679">
        <v>29</v>
      </c>
      <c r="F1679">
        <v>3.8000000000000002E-4</v>
      </c>
      <c r="G1679">
        <v>0</v>
      </c>
      <c r="H1679" t="str">
        <f t="shared" si="78"/>
        <v>20-29</v>
      </c>
      <c r="I1679" t="str">
        <f t="shared" si="79"/>
        <v>10-19</v>
      </c>
      <c r="J1679">
        <f t="shared" si="80"/>
        <v>3.8000000000000002E-4</v>
      </c>
    </row>
    <row r="1680" spans="1:10">
      <c r="A1680" t="s">
        <v>1762</v>
      </c>
      <c r="B1680">
        <v>63</v>
      </c>
      <c r="C1680" t="s">
        <v>7</v>
      </c>
      <c r="D1680">
        <v>11</v>
      </c>
      <c r="E1680">
        <v>73</v>
      </c>
      <c r="F1680">
        <v>1.282E-2</v>
      </c>
      <c r="G1680">
        <v>0</v>
      </c>
      <c r="H1680" t="str">
        <f t="shared" si="78"/>
        <v>70-79</v>
      </c>
      <c r="I1680" t="str">
        <f t="shared" si="79"/>
        <v>10-19</v>
      </c>
      <c r="J1680">
        <f t="shared" si="80"/>
        <v>1.282E-2</v>
      </c>
    </row>
    <row r="1681" spans="1:10">
      <c r="A1681" t="s">
        <v>1763</v>
      </c>
      <c r="B1681">
        <v>22</v>
      </c>
      <c r="C1681" t="s">
        <v>7</v>
      </c>
      <c r="D1681">
        <v>4</v>
      </c>
      <c r="E1681">
        <v>25</v>
      </c>
      <c r="F1681">
        <v>2.7E-4</v>
      </c>
      <c r="G1681">
        <v>0</v>
      </c>
      <c r="H1681" t="str">
        <f t="shared" si="78"/>
        <v>20-29</v>
      </c>
      <c r="I1681" t="str">
        <f t="shared" si="79"/>
        <v>0-9</v>
      </c>
      <c r="J1681">
        <f t="shared" si="80"/>
        <v>2.7E-4</v>
      </c>
    </row>
    <row r="1682" spans="1:10">
      <c r="A1682" t="s">
        <v>1764</v>
      </c>
      <c r="B1682">
        <v>47</v>
      </c>
      <c r="C1682" t="s">
        <v>7</v>
      </c>
      <c r="D1682">
        <v>20</v>
      </c>
      <c r="E1682">
        <v>66</v>
      </c>
      <c r="F1682">
        <v>9.1199999999999996E-3</v>
      </c>
      <c r="G1682">
        <v>0</v>
      </c>
      <c r="H1682" t="str">
        <f t="shared" si="78"/>
        <v>60-69</v>
      </c>
      <c r="I1682" t="str">
        <f t="shared" si="79"/>
        <v>20-29</v>
      </c>
      <c r="J1682">
        <f t="shared" si="80"/>
        <v>9.1199999999999996E-3</v>
      </c>
    </row>
    <row r="1683" spans="1:10">
      <c r="A1683" t="s">
        <v>1765</v>
      </c>
      <c r="B1683">
        <v>41</v>
      </c>
      <c r="C1683" t="s">
        <v>9</v>
      </c>
      <c r="D1683">
        <v>9</v>
      </c>
      <c r="E1683">
        <v>49</v>
      </c>
      <c r="F1683">
        <v>1.82E-3</v>
      </c>
      <c r="G1683">
        <v>0</v>
      </c>
      <c r="H1683" t="str">
        <f t="shared" si="78"/>
        <v>40-49</v>
      </c>
      <c r="I1683" t="str">
        <f t="shared" si="79"/>
        <v>0-9</v>
      </c>
      <c r="J1683">
        <f t="shared" si="80"/>
        <v>1.82E-3</v>
      </c>
    </row>
    <row r="1684" spans="1:10">
      <c r="A1684" t="s">
        <v>1766</v>
      </c>
      <c r="B1684">
        <v>61</v>
      </c>
      <c r="C1684" t="s">
        <v>9</v>
      </c>
      <c r="D1684">
        <v>19</v>
      </c>
      <c r="E1684">
        <v>79</v>
      </c>
      <c r="F1684">
        <v>4.5609999999999998E-2</v>
      </c>
      <c r="G1684">
        <v>0</v>
      </c>
      <c r="H1684" t="str">
        <f t="shared" si="78"/>
        <v>70-79</v>
      </c>
      <c r="I1684" t="str">
        <f t="shared" si="79"/>
        <v>10-19</v>
      </c>
      <c r="J1684">
        <f t="shared" si="80"/>
        <v>4.5609999999999998E-2</v>
      </c>
    </row>
    <row r="1685" spans="1:10">
      <c r="A1685" t="s">
        <v>1767</v>
      </c>
      <c r="B1685">
        <v>35</v>
      </c>
      <c r="C1685" t="s">
        <v>7</v>
      </c>
      <c r="D1685">
        <v>24</v>
      </c>
      <c r="E1685">
        <v>58</v>
      </c>
      <c r="F1685">
        <v>4.0499999999999998E-3</v>
      </c>
      <c r="G1685">
        <v>0</v>
      </c>
      <c r="H1685" t="str">
        <f t="shared" si="78"/>
        <v>50-59</v>
      </c>
      <c r="I1685" t="str">
        <f t="shared" si="79"/>
        <v>20-29</v>
      </c>
      <c r="J1685">
        <f t="shared" si="80"/>
        <v>4.0499999999999998E-3</v>
      </c>
    </row>
    <row r="1686" spans="1:10">
      <c r="A1686" t="s">
        <v>1768</v>
      </c>
      <c r="B1686">
        <v>53</v>
      </c>
      <c r="C1686" t="s">
        <v>7</v>
      </c>
      <c r="D1686">
        <v>11</v>
      </c>
      <c r="E1686">
        <v>63</v>
      </c>
      <c r="F1686">
        <v>5.3299999999999997E-3</v>
      </c>
      <c r="G1686">
        <v>0</v>
      </c>
      <c r="H1686" t="str">
        <f t="shared" si="78"/>
        <v>60-69</v>
      </c>
      <c r="I1686" t="str">
        <f t="shared" si="79"/>
        <v>10-19</v>
      </c>
      <c r="J1686">
        <f t="shared" si="80"/>
        <v>5.3299999999999997E-3</v>
      </c>
    </row>
    <row r="1687" spans="1:10">
      <c r="A1687" t="s">
        <v>1769</v>
      </c>
      <c r="B1687">
        <v>40</v>
      </c>
      <c r="C1687" t="s">
        <v>9</v>
      </c>
      <c r="D1687">
        <v>18</v>
      </c>
      <c r="E1687">
        <v>57</v>
      </c>
      <c r="F1687">
        <v>4.5900000000000003E-3</v>
      </c>
      <c r="G1687">
        <v>0</v>
      </c>
      <c r="H1687" t="str">
        <f t="shared" si="78"/>
        <v>50-59</v>
      </c>
      <c r="I1687" t="str">
        <f t="shared" si="79"/>
        <v>10-19</v>
      </c>
      <c r="J1687">
        <f t="shared" si="80"/>
        <v>4.5900000000000003E-3</v>
      </c>
    </row>
    <row r="1688" spans="1:10">
      <c r="A1688" t="s">
        <v>1770</v>
      </c>
      <c r="B1688">
        <v>24</v>
      </c>
      <c r="C1688" t="s">
        <v>9</v>
      </c>
      <c r="D1688">
        <v>1</v>
      </c>
      <c r="E1688">
        <v>24</v>
      </c>
      <c r="F1688">
        <v>4.4000000000000002E-4</v>
      </c>
      <c r="G1688">
        <v>0</v>
      </c>
      <c r="H1688" t="str">
        <f t="shared" si="78"/>
        <v>20-29</v>
      </c>
      <c r="I1688" t="str">
        <f t="shared" si="79"/>
        <v>0-9</v>
      </c>
      <c r="J1688">
        <f t="shared" si="80"/>
        <v>4.4000000000000002E-4</v>
      </c>
    </row>
    <row r="1689" spans="1:10">
      <c r="A1689" t="s">
        <v>1771</v>
      </c>
      <c r="B1689">
        <v>63</v>
      </c>
      <c r="C1689" t="s">
        <v>9</v>
      </c>
      <c r="D1689">
        <v>15</v>
      </c>
      <c r="E1689">
        <v>77</v>
      </c>
      <c r="F1689">
        <v>3.3599999999999998E-2</v>
      </c>
      <c r="G1689">
        <v>0</v>
      </c>
      <c r="H1689" t="str">
        <f t="shared" si="78"/>
        <v>70-79</v>
      </c>
      <c r="I1689" t="str">
        <f t="shared" si="79"/>
        <v>10-19</v>
      </c>
      <c r="J1689">
        <f t="shared" si="80"/>
        <v>3.3599999999999998E-2</v>
      </c>
    </row>
    <row r="1690" spans="1:10">
      <c r="A1690" t="s">
        <v>1772</v>
      </c>
      <c r="B1690">
        <v>36</v>
      </c>
      <c r="C1690" t="s">
        <v>9</v>
      </c>
      <c r="D1690">
        <v>7</v>
      </c>
      <c r="E1690">
        <v>42</v>
      </c>
      <c r="F1690">
        <v>9.5E-4</v>
      </c>
      <c r="G1690">
        <v>0</v>
      </c>
      <c r="H1690" t="str">
        <f t="shared" si="78"/>
        <v>40-49</v>
      </c>
      <c r="I1690" t="str">
        <f t="shared" si="79"/>
        <v>0-9</v>
      </c>
      <c r="J1690">
        <f t="shared" si="80"/>
        <v>9.5E-4</v>
      </c>
    </row>
    <row r="1691" spans="1:10">
      <c r="A1691" t="s">
        <v>1773</v>
      </c>
      <c r="B1691">
        <v>23</v>
      </c>
      <c r="C1691" t="s">
        <v>7</v>
      </c>
      <c r="D1691">
        <v>20</v>
      </c>
      <c r="E1691">
        <v>42</v>
      </c>
      <c r="F1691">
        <v>1.23E-3</v>
      </c>
      <c r="G1691">
        <v>0</v>
      </c>
      <c r="H1691" t="str">
        <f t="shared" si="78"/>
        <v>40-49</v>
      </c>
      <c r="I1691" t="str">
        <f t="shared" si="79"/>
        <v>20-29</v>
      </c>
      <c r="J1691">
        <f t="shared" si="80"/>
        <v>1.23E-3</v>
      </c>
    </row>
    <row r="1692" spans="1:10">
      <c r="A1692" t="s">
        <v>1774</v>
      </c>
      <c r="B1692">
        <v>58</v>
      </c>
      <c r="C1692" t="s">
        <v>9</v>
      </c>
      <c r="D1692">
        <v>21</v>
      </c>
      <c r="E1692">
        <v>78</v>
      </c>
      <c r="F1692">
        <v>4.1189999999999997E-2</v>
      </c>
      <c r="G1692">
        <v>0</v>
      </c>
      <c r="H1692" t="str">
        <f t="shared" si="78"/>
        <v>70-79</v>
      </c>
      <c r="I1692" t="str">
        <f t="shared" si="79"/>
        <v>20-29</v>
      </c>
      <c r="J1692">
        <f t="shared" si="80"/>
        <v>4.1189999999999997E-2</v>
      </c>
    </row>
    <row r="1693" spans="1:10">
      <c r="A1693" t="s">
        <v>1775</v>
      </c>
      <c r="B1693">
        <v>25</v>
      </c>
      <c r="C1693" t="s">
        <v>7</v>
      </c>
      <c r="D1693">
        <v>28</v>
      </c>
      <c r="E1693">
        <v>52</v>
      </c>
      <c r="F1693">
        <v>2.0200000000000001E-3</v>
      </c>
      <c r="G1693">
        <v>0</v>
      </c>
      <c r="H1693" t="str">
        <f t="shared" si="78"/>
        <v>50-59</v>
      </c>
      <c r="I1693" t="str">
        <f t="shared" si="79"/>
        <v>20-29</v>
      </c>
      <c r="J1693">
        <f t="shared" si="80"/>
        <v>2.0200000000000001E-3</v>
      </c>
    </row>
    <row r="1694" spans="1:10">
      <c r="A1694" t="s">
        <v>1776</v>
      </c>
      <c r="B1694">
        <v>61</v>
      </c>
      <c r="C1694" t="s">
        <v>7</v>
      </c>
      <c r="D1694">
        <v>19</v>
      </c>
      <c r="E1694">
        <v>79</v>
      </c>
      <c r="F1694">
        <v>3.3739999999999999E-2</v>
      </c>
      <c r="G1694">
        <v>0</v>
      </c>
      <c r="H1694" t="str">
        <f t="shared" si="78"/>
        <v>70-79</v>
      </c>
      <c r="I1694" t="str">
        <f t="shared" si="79"/>
        <v>10-19</v>
      </c>
      <c r="J1694">
        <f t="shared" si="80"/>
        <v>3.3739999999999999E-2</v>
      </c>
    </row>
    <row r="1695" spans="1:10">
      <c r="A1695" t="s">
        <v>1777</v>
      </c>
      <c r="B1695">
        <v>27</v>
      </c>
      <c r="C1695" t="s">
        <v>9</v>
      </c>
      <c r="D1695">
        <v>23</v>
      </c>
      <c r="E1695">
        <v>49</v>
      </c>
      <c r="F1695">
        <v>2.49E-3</v>
      </c>
      <c r="G1695">
        <v>0</v>
      </c>
      <c r="H1695" t="str">
        <f t="shared" si="78"/>
        <v>40-49</v>
      </c>
      <c r="I1695" t="str">
        <f t="shared" si="79"/>
        <v>20-29</v>
      </c>
      <c r="J1695">
        <f t="shared" si="80"/>
        <v>2.49E-3</v>
      </c>
    </row>
    <row r="1696" spans="1:10">
      <c r="A1696" t="s">
        <v>1778</v>
      </c>
      <c r="B1696">
        <v>62</v>
      </c>
      <c r="C1696" t="s">
        <v>9</v>
      </c>
      <c r="D1696">
        <v>30</v>
      </c>
      <c r="E1696">
        <v>91</v>
      </c>
      <c r="F1696">
        <v>0.11724</v>
      </c>
      <c r="G1696">
        <v>0</v>
      </c>
      <c r="H1696" t="str">
        <f t="shared" si="78"/>
        <v>90-99</v>
      </c>
      <c r="I1696" t="str">
        <f t="shared" si="79"/>
        <v>30-39</v>
      </c>
      <c r="J1696">
        <f t="shared" si="80"/>
        <v>0.11724</v>
      </c>
    </row>
    <row r="1697" spans="1:10">
      <c r="A1697" t="s">
        <v>1779</v>
      </c>
      <c r="B1697">
        <v>37</v>
      </c>
      <c r="C1697" t="s">
        <v>9</v>
      </c>
      <c r="D1697">
        <v>25</v>
      </c>
      <c r="E1697">
        <v>61</v>
      </c>
      <c r="F1697">
        <v>7.0200000000000002E-3</v>
      </c>
      <c r="G1697">
        <v>0</v>
      </c>
      <c r="H1697" t="str">
        <f t="shared" si="78"/>
        <v>60-69</v>
      </c>
      <c r="I1697" t="str">
        <f t="shared" si="79"/>
        <v>20-29</v>
      </c>
      <c r="J1697">
        <f t="shared" si="80"/>
        <v>7.0200000000000002E-3</v>
      </c>
    </row>
    <row r="1698" spans="1:10">
      <c r="A1698" t="s">
        <v>1780</v>
      </c>
      <c r="B1698">
        <v>40</v>
      </c>
      <c r="C1698" t="s">
        <v>9</v>
      </c>
      <c r="D1698">
        <v>9</v>
      </c>
      <c r="E1698">
        <v>48</v>
      </c>
      <c r="F1698">
        <v>1.65E-3</v>
      </c>
      <c r="G1698">
        <v>0</v>
      </c>
      <c r="H1698" t="str">
        <f t="shared" si="78"/>
        <v>40-49</v>
      </c>
      <c r="I1698" t="str">
        <f t="shared" si="79"/>
        <v>0-9</v>
      </c>
      <c r="J1698">
        <f t="shared" si="80"/>
        <v>1.65E-3</v>
      </c>
    </row>
    <row r="1699" spans="1:10">
      <c r="A1699" t="s">
        <v>1781</v>
      </c>
      <c r="B1699">
        <v>23</v>
      </c>
      <c r="C1699" t="s">
        <v>9</v>
      </c>
      <c r="D1699">
        <v>13</v>
      </c>
      <c r="E1699">
        <v>35</v>
      </c>
      <c r="F1699">
        <v>8.0999999999999996E-4</v>
      </c>
      <c r="G1699">
        <v>0</v>
      </c>
      <c r="H1699" t="str">
        <f t="shared" si="78"/>
        <v>30-39</v>
      </c>
      <c r="I1699" t="str">
        <f t="shared" si="79"/>
        <v>10-19</v>
      </c>
      <c r="J1699">
        <f t="shared" si="80"/>
        <v>8.0999999999999996E-4</v>
      </c>
    </row>
    <row r="1700" spans="1:10">
      <c r="A1700" t="s">
        <v>1782</v>
      </c>
      <c r="B1700">
        <v>36</v>
      </c>
      <c r="C1700" t="s">
        <v>9</v>
      </c>
      <c r="D1700">
        <v>27</v>
      </c>
      <c r="E1700">
        <v>62</v>
      </c>
      <c r="F1700">
        <v>7.0200000000000002E-3</v>
      </c>
      <c r="G1700">
        <v>0</v>
      </c>
      <c r="H1700" t="str">
        <f t="shared" si="78"/>
        <v>60-69</v>
      </c>
      <c r="I1700" t="str">
        <f t="shared" si="79"/>
        <v>20-29</v>
      </c>
      <c r="J1700">
        <f t="shared" si="80"/>
        <v>7.0200000000000002E-3</v>
      </c>
    </row>
    <row r="1701" spans="1:10">
      <c r="A1701" t="s">
        <v>1783</v>
      </c>
      <c r="B1701">
        <v>51</v>
      </c>
      <c r="C1701" t="s">
        <v>9</v>
      </c>
      <c r="D1701">
        <v>30</v>
      </c>
      <c r="E1701">
        <v>80</v>
      </c>
      <c r="F1701">
        <v>3.3509999999999998E-2</v>
      </c>
      <c r="G1701">
        <v>0</v>
      </c>
      <c r="H1701" t="str">
        <f t="shared" si="78"/>
        <v>80-89</v>
      </c>
      <c r="I1701" t="str">
        <f t="shared" si="79"/>
        <v>30-39</v>
      </c>
      <c r="J1701">
        <f t="shared" si="80"/>
        <v>3.3509999999999998E-2</v>
      </c>
    </row>
    <row r="1702" spans="1:10">
      <c r="A1702" t="s">
        <v>1784</v>
      </c>
      <c r="B1702">
        <v>61</v>
      </c>
      <c r="C1702" t="s">
        <v>9</v>
      </c>
      <c r="D1702">
        <v>16</v>
      </c>
      <c r="E1702">
        <v>76</v>
      </c>
      <c r="F1702">
        <v>3.1919999999999997E-2</v>
      </c>
      <c r="G1702">
        <v>0</v>
      </c>
      <c r="H1702" t="str">
        <f t="shared" si="78"/>
        <v>70-79</v>
      </c>
      <c r="I1702" t="str">
        <f t="shared" si="79"/>
        <v>10-19</v>
      </c>
      <c r="J1702">
        <f t="shared" si="80"/>
        <v>3.1919999999999997E-2</v>
      </c>
    </row>
    <row r="1703" spans="1:10">
      <c r="A1703" t="s">
        <v>1785</v>
      </c>
      <c r="B1703">
        <v>47</v>
      </c>
      <c r="C1703" t="s">
        <v>7</v>
      </c>
      <c r="D1703">
        <v>7</v>
      </c>
      <c r="E1703">
        <v>53</v>
      </c>
      <c r="F1703">
        <v>1.75E-3</v>
      </c>
      <c r="G1703">
        <v>0</v>
      </c>
      <c r="H1703" t="str">
        <f t="shared" si="78"/>
        <v>50-59</v>
      </c>
      <c r="I1703" t="str">
        <f t="shared" si="79"/>
        <v>0-9</v>
      </c>
      <c r="J1703">
        <f t="shared" si="80"/>
        <v>1.75E-3</v>
      </c>
    </row>
    <row r="1704" spans="1:10">
      <c r="A1704" t="s">
        <v>1786</v>
      </c>
      <c r="B1704">
        <v>48</v>
      </c>
      <c r="C1704" t="s">
        <v>9</v>
      </c>
      <c r="D1704">
        <v>23</v>
      </c>
      <c r="E1704">
        <v>70</v>
      </c>
      <c r="F1704">
        <v>1.7160000000000002E-2</v>
      </c>
      <c r="G1704">
        <v>0</v>
      </c>
      <c r="H1704" t="str">
        <f t="shared" si="78"/>
        <v>70-79</v>
      </c>
      <c r="I1704" t="str">
        <f t="shared" si="79"/>
        <v>20-29</v>
      </c>
      <c r="J1704">
        <f t="shared" si="80"/>
        <v>1.7160000000000002E-2</v>
      </c>
    </row>
    <row r="1705" spans="1:10">
      <c r="A1705" t="s">
        <v>1787</v>
      </c>
      <c r="B1705">
        <v>24</v>
      </c>
      <c r="C1705" t="s">
        <v>7</v>
      </c>
      <c r="D1705">
        <v>19</v>
      </c>
      <c r="E1705">
        <v>42</v>
      </c>
      <c r="F1705">
        <v>1.17E-3</v>
      </c>
      <c r="G1705">
        <v>0</v>
      </c>
      <c r="H1705" t="str">
        <f t="shared" si="78"/>
        <v>40-49</v>
      </c>
      <c r="I1705" t="str">
        <f t="shared" si="79"/>
        <v>10-19</v>
      </c>
      <c r="J1705">
        <f t="shared" si="80"/>
        <v>1.17E-3</v>
      </c>
    </row>
    <row r="1706" spans="1:10">
      <c r="A1706" t="s">
        <v>1788</v>
      </c>
      <c r="B1706">
        <v>21</v>
      </c>
      <c r="C1706" t="s">
        <v>9</v>
      </c>
      <c r="D1706">
        <v>29</v>
      </c>
      <c r="E1706">
        <v>49</v>
      </c>
      <c r="F1706">
        <v>2.6099999999999999E-3</v>
      </c>
      <c r="G1706">
        <v>0</v>
      </c>
      <c r="H1706" t="str">
        <f t="shared" si="78"/>
        <v>40-49</v>
      </c>
      <c r="I1706" t="str">
        <f t="shared" si="79"/>
        <v>20-29</v>
      </c>
      <c r="J1706">
        <f t="shared" si="80"/>
        <v>2.6099999999999999E-3</v>
      </c>
    </row>
    <row r="1707" spans="1:10">
      <c r="A1707" t="s">
        <v>1789</v>
      </c>
      <c r="B1707">
        <v>20</v>
      </c>
      <c r="C1707" t="s">
        <v>9</v>
      </c>
      <c r="D1707">
        <v>30</v>
      </c>
      <c r="E1707">
        <v>49</v>
      </c>
      <c r="F1707">
        <v>2.5400000000000002E-3</v>
      </c>
      <c r="G1707">
        <v>0</v>
      </c>
      <c r="H1707" t="str">
        <f t="shared" si="78"/>
        <v>40-49</v>
      </c>
      <c r="I1707" t="str">
        <f t="shared" si="79"/>
        <v>30-39</v>
      </c>
      <c r="J1707">
        <f t="shared" si="80"/>
        <v>2.5400000000000002E-3</v>
      </c>
    </row>
    <row r="1708" spans="1:10">
      <c r="A1708" t="s">
        <v>1790</v>
      </c>
      <c r="B1708">
        <v>29</v>
      </c>
      <c r="C1708" t="s">
        <v>9</v>
      </c>
      <c r="D1708">
        <v>23</v>
      </c>
      <c r="E1708">
        <v>51</v>
      </c>
      <c r="F1708">
        <v>2.82E-3</v>
      </c>
      <c r="G1708">
        <v>0</v>
      </c>
      <c r="H1708" t="str">
        <f t="shared" si="78"/>
        <v>50-59</v>
      </c>
      <c r="I1708" t="str">
        <f t="shared" si="79"/>
        <v>20-29</v>
      </c>
      <c r="J1708">
        <f t="shared" si="80"/>
        <v>2.82E-3</v>
      </c>
    </row>
    <row r="1709" spans="1:10">
      <c r="A1709" t="s">
        <v>1791</v>
      </c>
      <c r="B1709">
        <v>20</v>
      </c>
      <c r="C1709" t="s">
        <v>7</v>
      </c>
      <c r="D1709">
        <v>17</v>
      </c>
      <c r="E1709">
        <v>36</v>
      </c>
      <c r="F1709">
        <v>7.7999999999999999E-4</v>
      </c>
      <c r="G1709">
        <v>0</v>
      </c>
      <c r="H1709" t="str">
        <f t="shared" si="78"/>
        <v>30-39</v>
      </c>
      <c r="I1709" t="str">
        <f t="shared" si="79"/>
        <v>10-19</v>
      </c>
      <c r="J1709">
        <f t="shared" si="80"/>
        <v>7.7999999999999999E-4</v>
      </c>
    </row>
    <row r="1710" spans="1:10">
      <c r="A1710" t="s">
        <v>1792</v>
      </c>
      <c r="B1710">
        <v>50</v>
      </c>
      <c r="C1710" t="s">
        <v>9</v>
      </c>
      <c r="D1710">
        <v>14</v>
      </c>
      <c r="E1710">
        <v>63</v>
      </c>
      <c r="F1710">
        <v>8.1300000000000001E-3</v>
      </c>
      <c r="G1710">
        <v>0</v>
      </c>
      <c r="H1710" t="str">
        <f t="shared" si="78"/>
        <v>60-69</v>
      </c>
      <c r="I1710" t="str">
        <f t="shared" si="79"/>
        <v>10-19</v>
      </c>
      <c r="J1710">
        <f t="shared" si="80"/>
        <v>8.1300000000000001E-3</v>
      </c>
    </row>
    <row r="1711" spans="1:10">
      <c r="A1711" t="s">
        <v>1793</v>
      </c>
      <c r="B1711">
        <v>24</v>
      </c>
      <c r="C1711" t="s">
        <v>9</v>
      </c>
      <c r="D1711">
        <v>18</v>
      </c>
      <c r="E1711">
        <v>41</v>
      </c>
      <c r="F1711">
        <v>1.5499999999999999E-3</v>
      </c>
      <c r="G1711">
        <v>0</v>
      </c>
      <c r="H1711" t="str">
        <f t="shared" si="78"/>
        <v>40-49</v>
      </c>
      <c r="I1711" t="str">
        <f t="shared" si="79"/>
        <v>10-19</v>
      </c>
      <c r="J1711">
        <f t="shared" si="80"/>
        <v>1.5499999999999999E-3</v>
      </c>
    </row>
    <row r="1712" spans="1:10">
      <c r="A1712" t="s">
        <v>1794</v>
      </c>
      <c r="B1712">
        <v>64</v>
      </c>
      <c r="C1712" t="s">
        <v>7</v>
      </c>
      <c r="D1712">
        <v>27</v>
      </c>
      <c r="E1712">
        <v>90</v>
      </c>
      <c r="F1712">
        <v>0.11754000000000001</v>
      </c>
      <c r="G1712">
        <v>0</v>
      </c>
      <c r="H1712" t="str">
        <f t="shared" si="78"/>
        <v>90-99</v>
      </c>
      <c r="I1712" t="str">
        <f t="shared" si="79"/>
        <v>20-29</v>
      </c>
      <c r="J1712">
        <f t="shared" si="80"/>
        <v>0.11754000000000001</v>
      </c>
    </row>
    <row r="1713" spans="1:10">
      <c r="A1713" t="s">
        <v>1795</v>
      </c>
      <c r="B1713">
        <v>54</v>
      </c>
      <c r="C1713" t="s">
        <v>7</v>
      </c>
      <c r="D1713">
        <v>30</v>
      </c>
      <c r="E1713">
        <v>83</v>
      </c>
      <c r="F1713">
        <v>3.569E-2</v>
      </c>
      <c r="G1713">
        <v>0</v>
      </c>
      <c r="H1713" t="str">
        <f t="shared" si="78"/>
        <v>80-89</v>
      </c>
      <c r="I1713" t="str">
        <f t="shared" si="79"/>
        <v>30-39</v>
      </c>
      <c r="J1713">
        <f t="shared" si="80"/>
        <v>3.569E-2</v>
      </c>
    </row>
    <row r="1714" spans="1:10">
      <c r="A1714" t="s">
        <v>1796</v>
      </c>
      <c r="B1714">
        <v>39</v>
      </c>
      <c r="C1714" t="s">
        <v>9</v>
      </c>
      <c r="D1714">
        <v>13</v>
      </c>
      <c r="E1714">
        <v>51</v>
      </c>
      <c r="F1714">
        <v>2.3999999999999998E-3</v>
      </c>
      <c r="G1714">
        <v>0</v>
      </c>
      <c r="H1714" t="str">
        <f t="shared" si="78"/>
        <v>50-59</v>
      </c>
      <c r="I1714" t="str">
        <f t="shared" si="79"/>
        <v>10-19</v>
      </c>
      <c r="J1714">
        <f t="shared" si="80"/>
        <v>2.3999999999999998E-3</v>
      </c>
    </row>
    <row r="1715" spans="1:10">
      <c r="A1715" t="s">
        <v>1797</v>
      </c>
      <c r="B1715">
        <v>61</v>
      </c>
      <c r="C1715" t="s">
        <v>9</v>
      </c>
      <c r="D1715">
        <v>3</v>
      </c>
      <c r="E1715">
        <v>63</v>
      </c>
      <c r="F1715">
        <v>4.9100000000000003E-3</v>
      </c>
      <c r="G1715">
        <v>0</v>
      </c>
      <c r="H1715" t="str">
        <f t="shared" si="78"/>
        <v>60-69</v>
      </c>
      <c r="I1715" t="str">
        <f t="shared" si="79"/>
        <v>0-9</v>
      </c>
      <c r="J1715">
        <f t="shared" si="80"/>
        <v>4.9100000000000003E-3</v>
      </c>
    </row>
    <row r="1716" spans="1:10">
      <c r="A1716" t="s">
        <v>1798</v>
      </c>
      <c r="B1716">
        <v>41</v>
      </c>
      <c r="C1716" t="s">
        <v>7</v>
      </c>
      <c r="D1716">
        <v>3</v>
      </c>
      <c r="E1716">
        <v>43</v>
      </c>
      <c r="F1716">
        <v>5.1999999999999995E-4</v>
      </c>
      <c r="G1716">
        <v>0</v>
      </c>
      <c r="H1716" t="str">
        <f t="shared" si="78"/>
        <v>40-49</v>
      </c>
      <c r="I1716" t="str">
        <f t="shared" si="79"/>
        <v>0-9</v>
      </c>
      <c r="J1716">
        <f t="shared" si="80"/>
        <v>5.1999999999999995E-4</v>
      </c>
    </row>
    <row r="1717" spans="1:10">
      <c r="A1717" t="s">
        <v>1799</v>
      </c>
      <c r="B1717">
        <v>38</v>
      </c>
      <c r="C1717" t="s">
        <v>9</v>
      </c>
      <c r="D1717">
        <v>21</v>
      </c>
      <c r="E1717">
        <v>58</v>
      </c>
      <c r="F1717">
        <v>5.2199999999999998E-3</v>
      </c>
      <c r="G1717">
        <v>0</v>
      </c>
      <c r="H1717" t="str">
        <f t="shared" si="78"/>
        <v>50-59</v>
      </c>
      <c r="I1717" t="str">
        <f t="shared" si="79"/>
        <v>20-29</v>
      </c>
      <c r="J1717">
        <f t="shared" si="80"/>
        <v>5.2199999999999998E-3</v>
      </c>
    </row>
    <row r="1718" spans="1:10">
      <c r="A1718" t="s">
        <v>1800</v>
      </c>
      <c r="B1718">
        <v>44</v>
      </c>
      <c r="C1718" t="s">
        <v>9</v>
      </c>
      <c r="D1718">
        <v>22</v>
      </c>
      <c r="E1718">
        <v>65</v>
      </c>
      <c r="F1718">
        <v>1.03E-2</v>
      </c>
      <c r="G1718">
        <v>0</v>
      </c>
      <c r="H1718" t="str">
        <f t="shared" si="78"/>
        <v>60-69</v>
      </c>
      <c r="I1718" t="str">
        <f t="shared" si="79"/>
        <v>20-29</v>
      </c>
      <c r="J1718">
        <f t="shared" si="80"/>
        <v>1.03E-2</v>
      </c>
    </row>
    <row r="1719" spans="1:10">
      <c r="A1719" t="s">
        <v>1801</v>
      </c>
      <c r="B1719">
        <v>26</v>
      </c>
      <c r="C1719" t="s">
        <v>7</v>
      </c>
      <c r="D1719">
        <v>21</v>
      </c>
      <c r="E1719">
        <v>46</v>
      </c>
      <c r="F1719">
        <v>1.49E-3</v>
      </c>
      <c r="G1719">
        <v>0</v>
      </c>
      <c r="H1719" t="str">
        <f t="shared" si="78"/>
        <v>40-49</v>
      </c>
      <c r="I1719" t="str">
        <f t="shared" si="79"/>
        <v>20-29</v>
      </c>
      <c r="J1719">
        <f t="shared" si="80"/>
        <v>1.49E-3</v>
      </c>
    </row>
    <row r="1720" spans="1:10">
      <c r="A1720" t="s">
        <v>1802</v>
      </c>
      <c r="B1720">
        <v>60</v>
      </c>
      <c r="C1720" t="s">
        <v>7</v>
      </c>
      <c r="D1720">
        <v>15</v>
      </c>
      <c r="E1720">
        <v>74</v>
      </c>
      <c r="F1720">
        <v>1.7819999999999999E-2</v>
      </c>
      <c r="G1720">
        <v>0</v>
      </c>
      <c r="H1720" t="str">
        <f t="shared" si="78"/>
        <v>70-79</v>
      </c>
      <c r="I1720" t="str">
        <f t="shared" si="79"/>
        <v>10-19</v>
      </c>
      <c r="J1720">
        <f t="shared" si="80"/>
        <v>1.7819999999999999E-2</v>
      </c>
    </row>
    <row r="1721" spans="1:10">
      <c r="A1721" t="s">
        <v>1803</v>
      </c>
      <c r="B1721">
        <v>32</v>
      </c>
      <c r="C1721" t="s">
        <v>7</v>
      </c>
      <c r="D1721">
        <v>1</v>
      </c>
      <c r="E1721">
        <v>32</v>
      </c>
      <c r="F1721">
        <v>1.2E-4</v>
      </c>
      <c r="G1721">
        <v>0</v>
      </c>
      <c r="H1721" t="str">
        <f t="shared" si="78"/>
        <v>30-39</v>
      </c>
      <c r="I1721" t="str">
        <f t="shared" si="79"/>
        <v>0-9</v>
      </c>
      <c r="J1721">
        <f t="shared" si="80"/>
        <v>1.2E-4</v>
      </c>
    </row>
    <row r="1722" spans="1:10">
      <c r="A1722" t="s">
        <v>1804</v>
      </c>
      <c r="B1722">
        <v>51</v>
      </c>
      <c r="C1722" t="s">
        <v>9</v>
      </c>
      <c r="D1722">
        <v>13</v>
      </c>
      <c r="E1722">
        <v>63</v>
      </c>
      <c r="F1722">
        <v>8.0300000000000007E-3</v>
      </c>
      <c r="G1722">
        <v>0</v>
      </c>
      <c r="H1722" t="str">
        <f t="shared" si="78"/>
        <v>60-69</v>
      </c>
      <c r="I1722" t="str">
        <f t="shared" si="79"/>
        <v>10-19</v>
      </c>
      <c r="J1722">
        <f t="shared" si="80"/>
        <v>8.0300000000000007E-3</v>
      </c>
    </row>
    <row r="1723" spans="1:10">
      <c r="A1723" t="s">
        <v>1805</v>
      </c>
      <c r="B1723">
        <v>39</v>
      </c>
      <c r="C1723" t="s">
        <v>7</v>
      </c>
      <c r="D1723">
        <v>16</v>
      </c>
      <c r="E1723">
        <v>54</v>
      </c>
      <c r="F1723">
        <v>2.5400000000000002E-3</v>
      </c>
      <c r="G1723">
        <v>0</v>
      </c>
      <c r="H1723" t="str">
        <f t="shared" si="78"/>
        <v>50-59</v>
      </c>
      <c r="I1723" t="str">
        <f t="shared" si="79"/>
        <v>10-19</v>
      </c>
      <c r="J1723">
        <f t="shared" si="80"/>
        <v>2.5400000000000002E-3</v>
      </c>
    </row>
    <row r="1724" spans="1:10">
      <c r="A1724" t="s">
        <v>1806</v>
      </c>
      <c r="B1724">
        <v>48</v>
      </c>
      <c r="C1724" t="s">
        <v>9</v>
      </c>
      <c r="D1724">
        <v>1</v>
      </c>
      <c r="E1724">
        <v>48</v>
      </c>
      <c r="F1724">
        <v>7.2999999999999996E-4</v>
      </c>
      <c r="G1724">
        <v>0</v>
      </c>
      <c r="H1724" t="str">
        <f t="shared" si="78"/>
        <v>40-49</v>
      </c>
      <c r="I1724" t="str">
        <f t="shared" si="79"/>
        <v>0-9</v>
      </c>
      <c r="J1724">
        <f t="shared" si="80"/>
        <v>7.2999999999999996E-4</v>
      </c>
    </row>
    <row r="1725" spans="1:10">
      <c r="A1725" t="s">
        <v>1807</v>
      </c>
      <c r="B1725">
        <v>22</v>
      </c>
      <c r="C1725" t="s">
        <v>9</v>
      </c>
      <c r="D1725">
        <v>13</v>
      </c>
      <c r="E1725">
        <v>34</v>
      </c>
      <c r="F1725">
        <v>7.9000000000000001E-4</v>
      </c>
      <c r="G1725">
        <v>0</v>
      </c>
      <c r="H1725" t="str">
        <f t="shared" si="78"/>
        <v>30-39</v>
      </c>
      <c r="I1725" t="str">
        <f t="shared" si="79"/>
        <v>10-19</v>
      </c>
      <c r="J1725">
        <f t="shared" si="80"/>
        <v>7.9000000000000001E-4</v>
      </c>
    </row>
    <row r="1726" spans="1:10">
      <c r="A1726" t="s">
        <v>1808</v>
      </c>
      <c r="B1726">
        <v>62</v>
      </c>
      <c r="C1726" t="s">
        <v>9</v>
      </c>
      <c r="D1726">
        <v>17</v>
      </c>
      <c r="E1726">
        <v>78</v>
      </c>
      <c r="F1726">
        <v>3.943E-2</v>
      </c>
      <c r="G1726">
        <v>0</v>
      </c>
      <c r="H1726" t="str">
        <f t="shared" si="78"/>
        <v>70-79</v>
      </c>
      <c r="I1726" t="str">
        <f t="shared" si="79"/>
        <v>10-19</v>
      </c>
      <c r="J1726">
        <f t="shared" si="80"/>
        <v>3.943E-2</v>
      </c>
    </row>
    <row r="1727" spans="1:10">
      <c r="A1727" t="s">
        <v>1809</v>
      </c>
      <c r="B1727">
        <v>54</v>
      </c>
      <c r="C1727" t="s">
        <v>7</v>
      </c>
      <c r="D1727">
        <v>5</v>
      </c>
      <c r="E1727">
        <v>58</v>
      </c>
      <c r="F1727">
        <v>2.63E-3</v>
      </c>
      <c r="G1727">
        <v>0</v>
      </c>
      <c r="H1727" t="str">
        <f t="shared" si="78"/>
        <v>50-59</v>
      </c>
      <c r="I1727" t="str">
        <f t="shared" si="79"/>
        <v>0-9</v>
      </c>
      <c r="J1727">
        <f t="shared" si="80"/>
        <v>2.63E-3</v>
      </c>
    </row>
    <row r="1728" spans="1:10">
      <c r="A1728" t="s">
        <v>1810</v>
      </c>
      <c r="B1728">
        <v>24</v>
      </c>
      <c r="C1728" t="s">
        <v>7</v>
      </c>
      <c r="D1728">
        <v>2</v>
      </c>
      <c r="E1728">
        <v>25</v>
      </c>
      <c r="F1728">
        <v>2.2000000000000001E-4</v>
      </c>
      <c r="G1728">
        <v>0</v>
      </c>
      <c r="H1728" t="str">
        <f t="shared" si="78"/>
        <v>20-29</v>
      </c>
      <c r="I1728" t="str">
        <f t="shared" si="79"/>
        <v>0-9</v>
      </c>
      <c r="J1728">
        <f t="shared" si="80"/>
        <v>2.2000000000000001E-4</v>
      </c>
    </row>
    <row r="1729" spans="1:10">
      <c r="A1729" t="s">
        <v>1811</v>
      </c>
      <c r="B1729">
        <v>21</v>
      </c>
      <c r="C1729" t="s">
        <v>7</v>
      </c>
      <c r="D1729">
        <v>16</v>
      </c>
      <c r="E1729">
        <v>36</v>
      </c>
      <c r="F1729">
        <v>7.2999999999999996E-4</v>
      </c>
      <c r="G1729">
        <v>0</v>
      </c>
      <c r="H1729" t="str">
        <f t="shared" si="78"/>
        <v>30-39</v>
      </c>
      <c r="I1729" t="str">
        <f t="shared" si="79"/>
        <v>10-19</v>
      </c>
      <c r="J1729">
        <f t="shared" si="80"/>
        <v>7.2999999999999996E-4</v>
      </c>
    </row>
    <row r="1730" spans="1:10">
      <c r="A1730" t="s">
        <v>1812</v>
      </c>
      <c r="B1730">
        <v>35</v>
      </c>
      <c r="C1730" t="s">
        <v>7</v>
      </c>
      <c r="D1730">
        <v>23</v>
      </c>
      <c r="E1730">
        <v>57</v>
      </c>
      <c r="F1730">
        <v>3.6900000000000001E-3</v>
      </c>
      <c r="G1730">
        <v>0</v>
      </c>
      <c r="H1730" t="str">
        <f t="shared" si="78"/>
        <v>50-59</v>
      </c>
      <c r="I1730" t="str">
        <f t="shared" si="79"/>
        <v>20-29</v>
      </c>
      <c r="J1730">
        <f t="shared" si="80"/>
        <v>3.6900000000000001E-3</v>
      </c>
    </row>
    <row r="1731" spans="1:10">
      <c r="A1731" t="s">
        <v>1813</v>
      </c>
      <c r="B1731">
        <v>60</v>
      </c>
      <c r="C1731" t="s">
        <v>7</v>
      </c>
      <c r="D1731">
        <v>2</v>
      </c>
      <c r="E1731">
        <v>61</v>
      </c>
      <c r="F1731">
        <v>1.58E-3</v>
      </c>
      <c r="G1731">
        <v>0</v>
      </c>
      <c r="H1731" t="str">
        <f t="shared" ref="H1731:H1794" si="81">FLOOR(E1731,10) &amp; "-" &amp; FLOOR(E1731,10)+9</f>
        <v>60-69</v>
      </c>
      <c r="I1731" t="str">
        <f t="shared" ref="I1731:I1794" si="82">FLOOR(D1731, 10) &amp; "-"&amp;FLOOR(D1731, 10)+9</f>
        <v>0-9</v>
      </c>
      <c r="J1731">
        <f t="shared" ref="J1731:J1794" si="83">F1731</f>
        <v>1.58E-3</v>
      </c>
    </row>
    <row r="1732" spans="1:10">
      <c r="A1732" t="s">
        <v>1814</v>
      </c>
      <c r="B1732">
        <v>26</v>
      </c>
      <c r="C1732" t="s">
        <v>7</v>
      </c>
      <c r="D1732">
        <v>15</v>
      </c>
      <c r="E1732">
        <v>40</v>
      </c>
      <c r="F1732">
        <v>9.3999999999999997E-4</v>
      </c>
      <c r="G1732">
        <v>0</v>
      </c>
      <c r="H1732" t="str">
        <f t="shared" si="81"/>
        <v>40-49</v>
      </c>
      <c r="I1732" t="str">
        <f t="shared" si="82"/>
        <v>10-19</v>
      </c>
      <c r="J1732">
        <f t="shared" si="83"/>
        <v>9.3999999999999997E-4</v>
      </c>
    </row>
    <row r="1733" spans="1:10">
      <c r="A1733" t="s">
        <v>1815</v>
      </c>
      <c r="B1733">
        <v>24</v>
      </c>
      <c r="C1733" t="s">
        <v>7</v>
      </c>
      <c r="D1733">
        <v>27</v>
      </c>
      <c r="E1733">
        <v>50</v>
      </c>
      <c r="F1733">
        <v>1.8699999999999999E-3</v>
      </c>
      <c r="G1733">
        <v>0</v>
      </c>
      <c r="H1733" t="str">
        <f t="shared" si="81"/>
        <v>50-59</v>
      </c>
      <c r="I1733" t="str">
        <f t="shared" si="82"/>
        <v>20-29</v>
      </c>
      <c r="J1733">
        <f t="shared" si="83"/>
        <v>1.8699999999999999E-3</v>
      </c>
    </row>
    <row r="1734" spans="1:10">
      <c r="A1734" t="s">
        <v>1816</v>
      </c>
      <c r="B1734">
        <v>58</v>
      </c>
      <c r="C1734" t="s">
        <v>7</v>
      </c>
      <c r="D1734">
        <v>26</v>
      </c>
      <c r="E1734">
        <v>83</v>
      </c>
      <c r="F1734">
        <v>5.704E-2</v>
      </c>
      <c r="G1734">
        <v>0</v>
      </c>
      <c r="H1734" t="str">
        <f t="shared" si="81"/>
        <v>80-89</v>
      </c>
      <c r="I1734" t="str">
        <f t="shared" si="82"/>
        <v>20-29</v>
      </c>
      <c r="J1734">
        <f t="shared" si="83"/>
        <v>5.704E-2</v>
      </c>
    </row>
    <row r="1735" spans="1:10">
      <c r="A1735" t="s">
        <v>1817</v>
      </c>
      <c r="B1735">
        <v>32</v>
      </c>
      <c r="C1735" t="s">
        <v>9</v>
      </c>
      <c r="D1735">
        <v>14</v>
      </c>
      <c r="E1735">
        <v>45</v>
      </c>
      <c r="F1735">
        <v>1.5200000000000001E-3</v>
      </c>
      <c r="G1735">
        <v>0</v>
      </c>
      <c r="H1735" t="str">
        <f t="shared" si="81"/>
        <v>40-49</v>
      </c>
      <c r="I1735" t="str">
        <f t="shared" si="82"/>
        <v>10-19</v>
      </c>
      <c r="J1735">
        <f t="shared" si="83"/>
        <v>1.5200000000000001E-3</v>
      </c>
    </row>
    <row r="1736" spans="1:10">
      <c r="A1736" t="s">
        <v>1818</v>
      </c>
      <c r="B1736">
        <v>63</v>
      </c>
      <c r="C1736" t="s">
        <v>9</v>
      </c>
      <c r="D1736">
        <v>13</v>
      </c>
      <c r="E1736">
        <v>75</v>
      </c>
      <c r="F1736">
        <v>2.5520000000000001E-2</v>
      </c>
      <c r="G1736">
        <v>0</v>
      </c>
      <c r="H1736" t="str">
        <f t="shared" si="81"/>
        <v>70-79</v>
      </c>
      <c r="I1736" t="str">
        <f t="shared" si="82"/>
        <v>10-19</v>
      </c>
      <c r="J1736">
        <f t="shared" si="83"/>
        <v>2.5520000000000001E-2</v>
      </c>
    </row>
    <row r="1737" spans="1:10">
      <c r="A1737" t="s">
        <v>1819</v>
      </c>
      <c r="B1737">
        <v>56</v>
      </c>
      <c r="C1737" t="s">
        <v>9</v>
      </c>
      <c r="D1737">
        <v>18</v>
      </c>
      <c r="E1737">
        <v>73</v>
      </c>
      <c r="F1737">
        <v>2.3859999999999999E-2</v>
      </c>
      <c r="G1737">
        <v>0</v>
      </c>
      <c r="H1737" t="str">
        <f t="shared" si="81"/>
        <v>70-79</v>
      </c>
      <c r="I1737" t="str">
        <f t="shared" si="82"/>
        <v>10-19</v>
      </c>
      <c r="J1737">
        <f t="shared" si="83"/>
        <v>2.3859999999999999E-2</v>
      </c>
    </row>
    <row r="1738" spans="1:10">
      <c r="A1738" t="s">
        <v>1820</v>
      </c>
      <c r="B1738">
        <v>33</v>
      </c>
      <c r="C1738" t="s">
        <v>9</v>
      </c>
      <c r="D1738">
        <v>25</v>
      </c>
      <c r="E1738">
        <v>57</v>
      </c>
      <c r="F1738">
        <v>4.7800000000000004E-3</v>
      </c>
      <c r="G1738">
        <v>0</v>
      </c>
      <c r="H1738" t="str">
        <f t="shared" si="81"/>
        <v>50-59</v>
      </c>
      <c r="I1738" t="str">
        <f t="shared" si="82"/>
        <v>20-29</v>
      </c>
      <c r="J1738">
        <f t="shared" si="83"/>
        <v>4.7800000000000004E-3</v>
      </c>
    </row>
    <row r="1739" spans="1:10">
      <c r="A1739" t="s">
        <v>1821</v>
      </c>
      <c r="B1739">
        <v>24</v>
      </c>
      <c r="C1739" t="s">
        <v>9</v>
      </c>
      <c r="D1739">
        <v>4</v>
      </c>
      <c r="E1739">
        <v>27</v>
      </c>
      <c r="F1739">
        <v>4.6000000000000001E-4</v>
      </c>
      <c r="G1739">
        <v>0</v>
      </c>
      <c r="H1739" t="str">
        <f t="shared" si="81"/>
        <v>20-29</v>
      </c>
      <c r="I1739" t="str">
        <f t="shared" si="82"/>
        <v>0-9</v>
      </c>
      <c r="J1739">
        <f t="shared" si="83"/>
        <v>4.6000000000000001E-4</v>
      </c>
    </row>
    <row r="1740" spans="1:10">
      <c r="A1740" t="s">
        <v>1822</v>
      </c>
      <c r="B1740">
        <v>30</v>
      </c>
      <c r="C1740" t="s">
        <v>9</v>
      </c>
      <c r="D1740">
        <v>23</v>
      </c>
      <c r="E1740">
        <v>52</v>
      </c>
      <c r="F1740">
        <v>3.0500000000000002E-3</v>
      </c>
      <c r="G1740">
        <v>0</v>
      </c>
      <c r="H1740" t="str">
        <f t="shared" si="81"/>
        <v>50-59</v>
      </c>
      <c r="I1740" t="str">
        <f t="shared" si="82"/>
        <v>20-29</v>
      </c>
      <c r="J1740">
        <f t="shared" si="83"/>
        <v>3.0500000000000002E-3</v>
      </c>
    </row>
    <row r="1741" spans="1:10">
      <c r="A1741" t="s">
        <v>1823</v>
      </c>
      <c r="B1741">
        <v>35</v>
      </c>
      <c r="C1741" t="s">
        <v>7</v>
      </c>
      <c r="D1741">
        <v>30</v>
      </c>
      <c r="E1741">
        <v>64</v>
      </c>
      <c r="F1741">
        <v>4.9300000000000004E-3</v>
      </c>
      <c r="G1741">
        <v>0</v>
      </c>
      <c r="H1741" t="str">
        <f t="shared" si="81"/>
        <v>60-69</v>
      </c>
      <c r="I1741" t="str">
        <f t="shared" si="82"/>
        <v>30-39</v>
      </c>
      <c r="J1741">
        <f t="shared" si="83"/>
        <v>4.9300000000000004E-3</v>
      </c>
    </row>
    <row r="1742" spans="1:10">
      <c r="A1742" t="s">
        <v>1824</v>
      </c>
      <c r="B1742">
        <v>60</v>
      </c>
      <c r="C1742" t="s">
        <v>9</v>
      </c>
      <c r="D1742">
        <v>20</v>
      </c>
      <c r="E1742">
        <v>79</v>
      </c>
      <c r="F1742">
        <v>4.5769999999999998E-2</v>
      </c>
      <c r="G1742">
        <v>0</v>
      </c>
      <c r="H1742" t="str">
        <f t="shared" si="81"/>
        <v>70-79</v>
      </c>
      <c r="I1742" t="str">
        <f t="shared" si="82"/>
        <v>20-29</v>
      </c>
      <c r="J1742">
        <f t="shared" si="83"/>
        <v>4.5769999999999998E-2</v>
      </c>
    </row>
    <row r="1743" spans="1:10">
      <c r="A1743" t="s">
        <v>1825</v>
      </c>
      <c r="B1743">
        <v>51</v>
      </c>
      <c r="C1743" t="s">
        <v>9</v>
      </c>
      <c r="D1743">
        <v>3</v>
      </c>
      <c r="E1743">
        <v>53</v>
      </c>
      <c r="F1743">
        <v>1.91E-3</v>
      </c>
      <c r="G1743">
        <v>0</v>
      </c>
      <c r="H1743" t="str">
        <f t="shared" si="81"/>
        <v>50-59</v>
      </c>
      <c r="I1743" t="str">
        <f t="shared" si="82"/>
        <v>0-9</v>
      </c>
      <c r="J1743">
        <f t="shared" si="83"/>
        <v>1.91E-3</v>
      </c>
    </row>
    <row r="1744" spans="1:10">
      <c r="A1744" t="s">
        <v>1826</v>
      </c>
      <c r="B1744">
        <v>25</v>
      </c>
      <c r="C1744" t="s">
        <v>7</v>
      </c>
      <c r="D1744">
        <v>23</v>
      </c>
      <c r="E1744">
        <v>47</v>
      </c>
      <c r="F1744">
        <v>1.6000000000000001E-3</v>
      </c>
      <c r="G1744">
        <v>0</v>
      </c>
      <c r="H1744" t="str">
        <f t="shared" si="81"/>
        <v>40-49</v>
      </c>
      <c r="I1744" t="str">
        <f t="shared" si="82"/>
        <v>20-29</v>
      </c>
      <c r="J1744">
        <f t="shared" si="83"/>
        <v>1.6000000000000001E-3</v>
      </c>
    </row>
    <row r="1745" spans="1:10">
      <c r="A1745" t="s">
        <v>1827</v>
      </c>
      <c r="B1745">
        <v>46</v>
      </c>
      <c r="C1745" t="s">
        <v>7</v>
      </c>
      <c r="D1745">
        <v>23</v>
      </c>
      <c r="E1745">
        <v>68</v>
      </c>
      <c r="F1745">
        <v>1.141E-2</v>
      </c>
      <c r="G1745">
        <v>0</v>
      </c>
      <c r="H1745" t="str">
        <f t="shared" si="81"/>
        <v>60-69</v>
      </c>
      <c r="I1745" t="str">
        <f t="shared" si="82"/>
        <v>20-29</v>
      </c>
      <c r="J1745">
        <f t="shared" si="83"/>
        <v>1.141E-2</v>
      </c>
    </row>
    <row r="1746" spans="1:10">
      <c r="A1746" t="s">
        <v>1828</v>
      </c>
      <c r="B1746">
        <v>64</v>
      </c>
      <c r="C1746" t="s">
        <v>9</v>
      </c>
      <c r="D1746">
        <v>5</v>
      </c>
      <c r="E1746">
        <v>68</v>
      </c>
      <c r="F1746">
        <v>9.1599999999999997E-3</v>
      </c>
      <c r="G1746">
        <v>0</v>
      </c>
      <c r="H1746" t="str">
        <f t="shared" si="81"/>
        <v>60-69</v>
      </c>
      <c r="I1746" t="str">
        <f t="shared" si="82"/>
        <v>0-9</v>
      </c>
      <c r="J1746">
        <f t="shared" si="83"/>
        <v>9.1599999999999997E-3</v>
      </c>
    </row>
    <row r="1747" spans="1:10">
      <c r="A1747" t="s">
        <v>1829</v>
      </c>
      <c r="B1747">
        <v>53</v>
      </c>
      <c r="C1747" t="s">
        <v>9</v>
      </c>
      <c r="D1747">
        <v>15</v>
      </c>
      <c r="E1747">
        <v>67</v>
      </c>
      <c r="F1747">
        <v>1.2460000000000001E-2</v>
      </c>
      <c r="G1747">
        <v>0</v>
      </c>
      <c r="H1747" t="str">
        <f t="shared" si="81"/>
        <v>60-69</v>
      </c>
      <c r="I1747" t="str">
        <f t="shared" si="82"/>
        <v>10-19</v>
      </c>
      <c r="J1747">
        <f t="shared" si="83"/>
        <v>1.2460000000000001E-2</v>
      </c>
    </row>
    <row r="1748" spans="1:10">
      <c r="A1748" t="s">
        <v>1830</v>
      </c>
      <c r="B1748">
        <v>59</v>
      </c>
      <c r="C1748" t="s">
        <v>9</v>
      </c>
      <c r="D1748">
        <v>23</v>
      </c>
      <c r="E1748">
        <v>81</v>
      </c>
      <c r="F1748">
        <v>5.6829999999999999E-2</v>
      </c>
      <c r="G1748">
        <v>0</v>
      </c>
      <c r="H1748" t="str">
        <f t="shared" si="81"/>
        <v>80-89</v>
      </c>
      <c r="I1748" t="str">
        <f t="shared" si="82"/>
        <v>20-29</v>
      </c>
      <c r="J1748">
        <f t="shared" si="83"/>
        <v>5.6829999999999999E-2</v>
      </c>
    </row>
    <row r="1749" spans="1:10">
      <c r="A1749" t="s">
        <v>1831</v>
      </c>
      <c r="B1749">
        <v>51</v>
      </c>
      <c r="C1749" t="s">
        <v>7</v>
      </c>
      <c r="D1749">
        <v>20</v>
      </c>
      <c r="E1749">
        <v>70</v>
      </c>
      <c r="F1749">
        <v>1.3610000000000001E-2</v>
      </c>
      <c r="G1749">
        <v>0</v>
      </c>
      <c r="H1749" t="str">
        <f t="shared" si="81"/>
        <v>70-79</v>
      </c>
      <c r="I1749" t="str">
        <f t="shared" si="82"/>
        <v>20-29</v>
      </c>
      <c r="J1749">
        <f t="shared" si="83"/>
        <v>1.3610000000000001E-2</v>
      </c>
    </row>
    <row r="1750" spans="1:10">
      <c r="A1750" t="s">
        <v>1832</v>
      </c>
      <c r="B1750">
        <v>39</v>
      </c>
      <c r="C1750" t="s">
        <v>9</v>
      </c>
      <c r="D1750">
        <v>12</v>
      </c>
      <c r="E1750">
        <v>50</v>
      </c>
      <c r="F1750">
        <v>2.1299999999999999E-3</v>
      </c>
      <c r="G1750">
        <v>0</v>
      </c>
      <c r="H1750" t="str">
        <f t="shared" si="81"/>
        <v>50-59</v>
      </c>
      <c r="I1750" t="str">
        <f t="shared" si="82"/>
        <v>10-19</v>
      </c>
      <c r="J1750">
        <f t="shared" si="83"/>
        <v>2.1299999999999999E-3</v>
      </c>
    </row>
    <row r="1751" spans="1:10">
      <c r="A1751" t="s">
        <v>1833</v>
      </c>
      <c r="B1751">
        <v>32</v>
      </c>
      <c r="C1751" t="s">
        <v>7</v>
      </c>
      <c r="D1751">
        <v>4</v>
      </c>
      <c r="E1751">
        <v>35</v>
      </c>
      <c r="F1751">
        <v>2.9999999999999997E-4</v>
      </c>
      <c r="G1751">
        <v>0</v>
      </c>
      <c r="H1751" t="str">
        <f t="shared" si="81"/>
        <v>30-39</v>
      </c>
      <c r="I1751" t="str">
        <f t="shared" si="82"/>
        <v>0-9</v>
      </c>
      <c r="J1751">
        <f t="shared" si="83"/>
        <v>2.9999999999999997E-4</v>
      </c>
    </row>
    <row r="1752" spans="1:10">
      <c r="A1752" t="s">
        <v>1834</v>
      </c>
      <c r="B1752">
        <v>59</v>
      </c>
      <c r="C1752" t="s">
        <v>7</v>
      </c>
      <c r="D1752">
        <v>12</v>
      </c>
      <c r="E1752">
        <v>70</v>
      </c>
      <c r="F1752">
        <v>1.009E-2</v>
      </c>
      <c r="G1752">
        <v>0</v>
      </c>
      <c r="H1752" t="str">
        <f t="shared" si="81"/>
        <v>70-79</v>
      </c>
      <c r="I1752" t="str">
        <f t="shared" si="82"/>
        <v>10-19</v>
      </c>
      <c r="J1752">
        <f t="shared" si="83"/>
        <v>1.009E-2</v>
      </c>
    </row>
    <row r="1753" spans="1:10">
      <c r="A1753" t="s">
        <v>1835</v>
      </c>
      <c r="B1753">
        <v>52</v>
      </c>
      <c r="C1753" t="s">
        <v>9</v>
      </c>
      <c r="D1753">
        <v>8</v>
      </c>
      <c r="E1753">
        <v>59</v>
      </c>
      <c r="F1753">
        <v>4.9300000000000004E-3</v>
      </c>
      <c r="G1753">
        <v>0</v>
      </c>
      <c r="H1753" t="str">
        <f t="shared" si="81"/>
        <v>50-59</v>
      </c>
      <c r="I1753" t="str">
        <f t="shared" si="82"/>
        <v>0-9</v>
      </c>
      <c r="J1753">
        <f t="shared" si="83"/>
        <v>4.9300000000000004E-3</v>
      </c>
    </row>
    <row r="1754" spans="1:10">
      <c r="A1754" t="s">
        <v>1836</v>
      </c>
      <c r="B1754">
        <v>33</v>
      </c>
      <c r="C1754" t="s">
        <v>9</v>
      </c>
      <c r="D1754">
        <v>9</v>
      </c>
      <c r="E1754">
        <v>41</v>
      </c>
      <c r="F1754">
        <v>1E-3</v>
      </c>
      <c r="G1754">
        <v>0</v>
      </c>
      <c r="H1754" t="str">
        <f t="shared" si="81"/>
        <v>40-49</v>
      </c>
      <c r="I1754" t="str">
        <f t="shared" si="82"/>
        <v>0-9</v>
      </c>
      <c r="J1754">
        <f t="shared" si="83"/>
        <v>1E-3</v>
      </c>
    </row>
    <row r="1755" spans="1:10">
      <c r="A1755" t="s">
        <v>1837</v>
      </c>
      <c r="B1755">
        <v>29</v>
      </c>
      <c r="C1755" t="s">
        <v>7</v>
      </c>
      <c r="D1755">
        <v>22</v>
      </c>
      <c r="E1755">
        <v>50</v>
      </c>
      <c r="F1755">
        <v>2.0200000000000001E-3</v>
      </c>
      <c r="G1755">
        <v>0</v>
      </c>
      <c r="H1755" t="str">
        <f t="shared" si="81"/>
        <v>50-59</v>
      </c>
      <c r="I1755" t="str">
        <f t="shared" si="82"/>
        <v>20-29</v>
      </c>
      <c r="J1755">
        <f t="shared" si="83"/>
        <v>2.0200000000000001E-3</v>
      </c>
    </row>
    <row r="1756" spans="1:10">
      <c r="A1756" t="s">
        <v>1838</v>
      </c>
      <c r="B1756">
        <v>51</v>
      </c>
      <c r="C1756" t="s">
        <v>9</v>
      </c>
      <c r="D1756">
        <v>6</v>
      </c>
      <c r="E1756">
        <v>56</v>
      </c>
      <c r="F1756">
        <v>3.2699999999999999E-3</v>
      </c>
      <c r="G1756">
        <v>0</v>
      </c>
      <c r="H1756" t="str">
        <f t="shared" si="81"/>
        <v>50-59</v>
      </c>
      <c r="I1756" t="str">
        <f t="shared" si="82"/>
        <v>0-9</v>
      </c>
      <c r="J1756">
        <f t="shared" si="83"/>
        <v>3.2699999999999999E-3</v>
      </c>
    </row>
    <row r="1757" spans="1:10">
      <c r="A1757" t="s">
        <v>1839</v>
      </c>
      <c r="B1757">
        <v>23</v>
      </c>
      <c r="C1757" t="s">
        <v>9</v>
      </c>
      <c r="D1757">
        <v>21</v>
      </c>
      <c r="E1757">
        <v>43</v>
      </c>
      <c r="F1757">
        <v>1.9499999999999999E-3</v>
      </c>
      <c r="G1757">
        <v>0</v>
      </c>
      <c r="H1757" t="str">
        <f t="shared" si="81"/>
        <v>40-49</v>
      </c>
      <c r="I1757" t="str">
        <f t="shared" si="82"/>
        <v>20-29</v>
      </c>
      <c r="J1757">
        <f t="shared" si="83"/>
        <v>1.9499999999999999E-3</v>
      </c>
    </row>
    <row r="1758" spans="1:10">
      <c r="A1758" t="s">
        <v>1840</v>
      </c>
      <c r="B1758">
        <v>36</v>
      </c>
      <c r="C1758" t="s">
        <v>7</v>
      </c>
      <c r="D1758">
        <v>11</v>
      </c>
      <c r="E1758">
        <v>46</v>
      </c>
      <c r="F1758">
        <v>1.1000000000000001E-3</v>
      </c>
      <c r="G1758">
        <v>0</v>
      </c>
      <c r="H1758" t="str">
        <f t="shared" si="81"/>
        <v>40-49</v>
      </c>
      <c r="I1758" t="str">
        <f t="shared" si="82"/>
        <v>10-19</v>
      </c>
      <c r="J1758">
        <f t="shared" si="83"/>
        <v>1.1000000000000001E-3</v>
      </c>
    </row>
    <row r="1759" spans="1:10">
      <c r="A1759" t="s">
        <v>1841</v>
      </c>
      <c r="B1759">
        <v>49</v>
      </c>
      <c r="C1759" t="s">
        <v>9</v>
      </c>
      <c r="D1759">
        <v>2</v>
      </c>
      <c r="E1759">
        <v>50</v>
      </c>
      <c r="F1759">
        <v>1.09E-3</v>
      </c>
      <c r="G1759">
        <v>0</v>
      </c>
      <c r="H1759" t="str">
        <f t="shared" si="81"/>
        <v>50-59</v>
      </c>
      <c r="I1759" t="str">
        <f t="shared" si="82"/>
        <v>0-9</v>
      </c>
      <c r="J1759">
        <f t="shared" si="83"/>
        <v>1.09E-3</v>
      </c>
    </row>
    <row r="1760" spans="1:10">
      <c r="A1760" t="s">
        <v>1842</v>
      </c>
      <c r="B1760">
        <v>54</v>
      </c>
      <c r="C1760" t="s">
        <v>9</v>
      </c>
      <c r="D1760">
        <v>6</v>
      </c>
      <c r="E1760">
        <v>59</v>
      </c>
      <c r="F1760">
        <v>4.6100000000000004E-3</v>
      </c>
      <c r="G1760">
        <v>0</v>
      </c>
      <c r="H1760" t="str">
        <f t="shared" si="81"/>
        <v>50-59</v>
      </c>
      <c r="I1760" t="str">
        <f t="shared" si="82"/>
        <v>0-9</v>
      </c>
      <c r="J1760">
        <f t="shared" si="83"/>
        <v>4.6100000000000004E-3</v>
      </c>
    </row>
    <row r="1761" spans="1:10">
      <c r="A1761" t="s">
        <v>1843</v>
      </c>
      <c r="B1761">
        <v>52</v>
      </c>
      <c r="C1761" t="s">
        <v>9</v>
      </c>
      <c r="D1761">
        <v>4</v>
      </c>
      <c r="E1761">
        <v>55</v>
      </c>
      <c r="F1761">
        <v>2.7299999999999998E-3</v>
      </c>
      <c r="G1761">
        <v>0</v>
      </c>
      <c r="H1761" t="str">
        <f t="shared" si="81"/>
        <v>50-59</v>
      </c>
      <c r="I1761" t="str">
        <f t="shared" si="82"/>
        <v>0-9</v>
      </c>
      <c r="J1761">
        <f t="shared" si="83"/>
        <v>2.7299999999999998E-3</v>
      </c>
    </row>
    <row r="1762" spans="1:10">
      <c r="A1762" t="s">
        <v>1844</v>
      </c>
      <c r="B1762">
        <v>48</v>
      </c>
      <c r="C1762" t="s">
        <v>7</v>
      </c>
      <c r="D1762">
        <v>19</v>
      </c>
      <c r="E1762">
        <v>66</v>
      </c>
      <c r="F1762">
        <v>9.0399999999999994E-3</v>
      </c>
      <c r="G1762">
        <v>0</v>
      </c>
      <c r="H1762" t="str">
        <f t="shared" si="81"/>
        <v>60-69</v>
      </c>
      <c r="I1762" t="str">
        <f t="shared" si="82"/>
        <v>10-19</v>
      </c>
      <c r="J1762">
        <f t="shared" si="83"/>
        <v>9.0399999999999994E-3</v>
      </c>
    </row>
    <row r="1763" spans="1:10">
      <c r="A1763" t="s">
        <v>1845</v>
      </c>
      <c r="B1763">
        <v>63</v>
      </c>
      <c r="C1763" t="s">
        <v>9</v>
      </c>
      <c r="D1763">
        <v>29</v>
      </c>
      <c r="E1763">
        <v>91</v>
      </c>
      <c r="F1763">
        <v>0.13258</v>
      </c>
      <c r="G1763">
        <v>0</v>
      </c>
      <c r="H1763" t="str">
        <f t="shared" si="81"/>
        <v>90-99</v>
      </c>
      <c r="I1763" t="str">
        <f t="shared" si="82"/>
        <v>20-29</v>
      </c>
      <c r="J1763">
        <f t="shared" si="83"/>
        <v>0.13258</v>
      </c>
    </row>
    <row r="1764" spans="1:10">
      <c r="A1764" t="s">
        <v>1846</v>
      </c>
      <c r="B1764">
        <v>40</v>
      </c>
      <c r="C1764" t="s">
        <v>9</v>
      </c>
      <c r="D1764">
        <v>8</v>
      </c>
      <c r="E1764">
        <v>47</v>
      </c>
      <c r="F1764">
        <v>1.4400000000000001E-3</v>
      </c>
      <c r="G1764">
        <v>0</v>
      </c>
      <c r="H1764" t="str">
        <f t="shared" si="81"/>
        <v>40-49</v>
      </c>
      <c r="I1764" t="str">
        <f t="shared" si="82"/>
        <v>0-9</v>
      </c>
      <c r="J1764">
        <f t="shared" si="83"/>
        <v>1.4400000000000001E-3</v>
      </c>
    </row>
    <row r="1765" spans="1:10">
      <c r="A1765" t="s">
        <v>1847</v>
      </c>
      <c r="B1765">
        <v>32</v>
      </c>
      <c r="C1765" t="s">
        <v>7</v>
      </c>
      <c r="D1765">
        <v>13</v>
      </c>
      <c r="E1765">
        <v>44</v>
      </c>
      <c r="F1765">
        <v>1.06E-3</v>
      </c>
      <c r="G1765">
        <v>0</v>
      </c>
      <c r="H1765" t="str">
        <f t="shared" si="81"/>
        <v>40-49</v>
      </c>
      <c r="I1765" t="str">
        <f t="shared" si="82"/>
        <v>10-19</v>
      </c>
      <c r="J1765">
        <f t="shared" si="83"/>
        <v>1.06E-3</v>
      </c>
    </row>
    <row r="1766" spans="1:10">
      <c r="A1766" t="s">
        <v>1848</v>
      </c>
      <c r="B1766">
        <v>57</v>
      </c>
      <c r="C1766" t="s">
        <v>9</v>
      </c>
      <c r="D1766">
        <v>16</v>
      </c>
      <c r="E1766">
        <v>72</v>
      </c>
      <c r="F1766">
        <v>2.1080000000000002E-2</v>
      </c>
      <c r="G1766">
        <v>0</v>
      </c>
      <c r="H1766" t="str">
        <f t="shared" si="81"/>
        <v>70-79</v>
      </c>
      <c r="I1766" t="str">
        <f t="shared" si="82"/>
        <v>10-19</v>
      </c>
      <c r="J1766">
        <f t="shared" si="83"/>
        <v>2.1080000000000002E-2</v>
      </c>
    </row>
    <row r="1767" spans="1:10">
      <c r="A1767" t="s">
        <v>1849</v>
      </c>
      <c r="B1767">
        <v>33</v>
      </c>
      <c r="C1767" t="s">
        <v>7</v>
      </c>
      <c r="D1767">
        <v>30</v>
      </c>
      <c r="E1767">
        <v>62</v>
      </c>
      <c r="F1767">
        <v>4.0499999999999998E-3</v>
      </c>
      <c r="G1767">
        <v>0</v>
      </c>
      <c r="H1767" t="str">
        <f t="shared" si="81"/>
        <v>60-69</v>
      </c>
      <c r="I1767" t="str">
        <f t="shared" si="82"/>
        <v>30-39</v>
      </c>
      <c r="J1767">
        <f t="shared" si="83"/>
        <v>4.0499999999999998E-3</v>
      </c>
    </row>
    <row r="1768" spans="1:10">
      <c r="A1768" t="s">
        <v>1850</v>
      </c>
      <c r="B1768">
        <v>43</v>
      </c>
      <c r="C1768" t="s">
        <v>9</v>
      </c>
      <c r="D1768">
        <v>5</v>
      </c>
      <c r="E1768">
        <v>47</v>
      </c>
      <c r="F1768">
        <v>1.2800000000000001E-3</v>
      </c>
      <c r="G1768">
        <v>0</v>
      </c>
      <c r="H1768" t="str">
        <f t="shared" si="81"/>
        <v>40-49</v>
      </c>
      <c r="I1768" t="str">
        <f t="shared" si="82"/>
        <v>0-9</v>
      </c>
      <c r="J1768">
        <f t="shared" si="83"/>
        <v>1.2800000000000001E-3</v>
      </c>
    </row>
    <row r="1769" spans="1:10">
      <c r="A1769" t="s">
        <v>1851</v>
      </c>
      <c r="B1769">
        <v>42</v>
      </c>
      <c r="C1769" t="s">
        <v>9</v>
      </c>
      <c r="D1769">
        <v>9</v>
      </c>
      <c r="E1769">
        <v>50</v>
      </c>
      <c r="F1769">
        <v>2E-3</v>
      </c>
      <c r="G1769">
        <v>0</v>
      </c>
      <c r="H1769" t="str">
        <f t="shared" si="81"/>
        <v>50-59</v>
      </c>
      <c r="I1769" t="str">
        <f t="shared" si="82"/>
        <v>0-9</v>
      </c>
      <c r="J1769">
        <f t="shared" si="83"/>
        <v>2E-3</v>
      </c>
    </row>
    <row r="1770" spans="1:10">
      <c r="A1770" t="s">
        <v>1852</v>
      </c>
      <c r="B1770">
        <v>64</v>
      </c>
      <c r="C1770" t="s">
        <v>9</v>
      </c>
      <c r="D1770">
        <v>19</v>
      </c>
      <c r="E1770">
        <v>82</v>
      </c>
      <c r="F1770">
        <v>6.2700000000000006E-2</v>
      </c>
      <c r="G1770">
        <v>0</v>
      </c>
      <c r="H1770" t="str">
        <f t="shared" si="81"/>
        <v>80-89</v>
      </c>
      <c r="I1770" t="str">
        <f t="shared" si="82"/>
        <v>10-19</v>
      </c>
      <c r="J1770">
        <f t="shared" si="83"/>
        <v>6.2700000000000006E-2</v>
      </c>
    </row>
    <row r="1771" spans="1:10">
      <c r="A1771" t="s">
        <v>1853</v>
      </c>
      <c r="B1771">
        <v>49</v>
      </c>
      <c r="C1771" t="s">
        <v>9</v>
      </c>
      <c r="D1771">
        <v>15</v>
      </c>
      <c r="E1771">
        <v>63</v>
      </c>
      <c r="F1771">
        <v>8.2799999999999992E-3</v>
      </c>
      <c r="G1771">
        <v>0</v>
      </c>
      <c r="H1771" t="str">
        <f t="shared" si="81"/>
        <v>60-69</v>
      </c>
      <c r="I1771" t="str">
        <f t="shared" si="82"/>
        <v>10-19</v>
      </c>
      <c r="J1771">
        <f t="shared" si="83"/>
        <v>8.2799999999999992E-3</v>
      </c>
    </row>
    <row r="1772" spans="1:10">
      <c r="A1772" t="s">
        <v>1854</v>
      </c>
      <c r="B1772">
        <v>34</v>
      </c>
      <c r="C1772" t="s">
        <v>9</v>
      </c>
      <c r="D1772">
        <v>29</v>
      </c>
      <c r="E1772">
        <v>62</v>
      </c>
      <c r="F1772">
        <v>5.7400000000000003E-3</v>
      </c>
      <c r="G1772">
        <v>0</v>
      </c>
      <c r="H1772" t="str">
        <f t="shared" si="81"/>
        <v>60-69</v>
      </c>
      <c r="I1772" t="str">
        <f t="shared" si="82"/>
        <v>20-29</v>
      </c>
      <c r="J1772">
        <f t="shared" si="83"/>
        <v>5.7400000000000003E-3</v>
      </c>
    </row>
    <row r="1773" spans="1:10">
      <c r="A1773" t="s">
        <v>1855</v>
      </c>
      <c r="B1773">
        <v>60</v>
      </c>
      <c r="C1773" t="s">
        <v>7</v>
      </c>
      <c r="D1773">
        <v>20</v>
      </c>
      <c r="E1773">
        <v>79</v>
      </c>
      <c r="F1773">
        <v>3.4779999999999998E-2</v>
      </c>
      <c r="G1773">
        <v>0</v>
      </c>
      <c r="H1773" t="str">
        <f t="shared" si="81"/>
        <v>70-79</v>
      </c>
      <c r="I1773" t="str">
        <f t="shared" si="82"/>
        <v>20-29</v>
      </c>
      <c r="J1773">
        <f t="shared" si="83"/>
        <v>3.4779999999999998E-2</v>
      </c>
    </row>
    <row r="1774" spans="1:10">
      <c r="A1774" t="s">
        <v>1856</v>
      </c>
      <c r="B1774">
        <v>55</v>
      </c>
      <c r="C1774" t="s">
        <v>9</v>
      </c>
      <c r="D1774">
        <v>28</v>
      </c>
      <c r="E1774">
        <v>82</v>
      </c>
      <c r="F1774">
        <v>5.0909999999999997E-2</v>
      </c>
      <c r="G1774">
        <v>0</v>
      </c>
      <c r="H1774" t="str">
        <f t="shared" si="81"/>
        <v>80-89</v>
      </c>
      <c r="I1774" t="str">
        <f t="shared" si="82"/>
        <v>20-29</v>
      </c>
      <c r="J1774">
        <f t="shared" si="83"/>
        <v>5.0909999999999997E-2</v>
      </c>
    </row>
    <row r="1775" spans="1:10">
      <c r="A1775" t="s">
        <v>1857</v>
      </c>
      <c r="B1775">
        <v>53</v>
      </c>
      <c r="C1775" t="s">
        <v>7</v>
      </c>
      <c r="D1775">
        <v>16</v>
      </c>
      <c r="E1775">
        <v>68</v>
      </c>
      <c r="F1775">
        <v>1.03E-2</v>
      </c>
      <c r="G1775">
        <v>0</v>
      </c>
      <c r="H1775" t="str">
        <f t="shared" si="81"/>
        <v>60-69</v>
      </c>
      <c r="I1775" t="str">
        <f t="shared" si="82"/>
        <v>10-19</v>
      </c>
      <c r="J1775">
        <f t="shared" si="83"/>
        <v>1.03E-2</v>
      </c>
    </row>
    <row r="1776" spans="1:10">
      <c r="A1776" t="s">
        <v>1858</v>
      </c>
      <c r="B1776">
        <v>50</v>
      </c>
      <c r="C1776" t="s">
        <v>9</v>
      </c>
      <c r="D1776">
        <v>27</v>
      </c>
      <c r="E1776">
        <v>76</v>
      </c>
      <c r="F1776">
        <v>3.006E-2</v>
      </c>
      <c r="G1776">
        <v>1</v>
      </c>
      <c r="H1776" t="str">
        <f t="shared" si="81"/>
        <v>70-79</v>
      </c>
      <c r="I1776" t="str">
        <f t="shared" si="82"/>
        <v>20-29</v>
      </c>
      <c r="J1776">
        <f t="shared" si="83"/>
        <v>3.006E-2</v>
      </c>
    </row>
    <row r="1777" spans="1:10">
      <c r="A1777" t="s">
        <v>1859</v>
      </c>
      <c r="B1777">
        <v>47</v>
      </c>
      <c r="C1777" t="s">
        <v>7</v>
      </c>
      <c r="D1777">
        <v>24</v>
      </c>
      <c r="E1777">
        <v>70</v>
      </c>
      <c r="F1777">
        <v>1.404E-2</v>
      </c>
      <c r="G1777">
        <v>0</v>
      </c>
      <c r="H1777" t="str">
        <f t="shared" si="81"/>
        <v>70-79</v>
      </c>
      <c r="I1777" t="str">
        <f t="shared" si="82"/>
        <v>20-29</v>
      </c>
      <c r="J1777">
        <f t="shared" si="83"/>
        <v>1.404E-2</v>
      </c>
    </row>
    <row r="1778" spans="1:10">
      <c r="A1778" t="s">
        <v>1860</v>
      </c>
      <c r="B1778">
        <v>47</v>
      </c>
      <c r="C1778" t="s">
        <v>9</v>
      </c>
      <c r="D1778">
        <v>19</v>
      </c>
      <c r="E1778">
        <v>65</v>
      </c>
      <c r="F1778">
        <v>1.022E-2</v>
      </c>
      <c r="G1778">
        <v>0</v>
      </c>
      <c r="H1778" t="str">
        <f t="shared" si="81"/>
        <v>60-69</v>
      </c>
      <c r="I1778" t="str">
        <f t="shared" si="82"/>
        <v>10-19</v>
      </c>
      <c r="J1778">
        <f t="shared" si="83"/>
        <v>1.022E-2</v>
      </c>
    </row>
    <row r="1779" spans="1:10">
      <c r="A1779" t="s">
        <v>1861</v>
      </c>
      <c r="B1779">
        <v>29</v>
      </c>
      <c r="C1779" t="s">
        <v>7</v>
      </c>
      <c r="D1779">
        <v>30</v>
      </c>
      <c r="E1779">
        <v>58</v>
      </c>
      <c r="F1779">
        <v>2.82E-3</v>
      </c>
      <c r="G1779">
        <v>0</v>
      </c>
      <c r="H1779" t="str">
        <f t="shared" si="81"/>
        <v>50-59</v>
      </c>
      <c r="I1779" t="str">
        <f t="shared" si="82"/>
        <v>30-39</v>
      </c>
      <c r="J1779">
        <f t="shared" si="83"/>
        <v>2.82E-3</v>
      </c>
    </row>
    <row r="1780" spans="1:10">
      <c r="A1780" t="s">
        <v>1862</v>
      </c>
      <c r="B1780">
        <v>22</v>
      </c>
      <c r="C1780" t="s">
        <v>7</v>
      </c>
      <c r="D1780">
        <v>2</v>
      </c>
      <c r="E1780">
        <v>23</v>
      </c>
      <c r="F1780">
        <v>2.4000000000000001E-4</v>
      </c>
      <c r="G1780">
        <v>0</v>
      </c>
      <c r="H1780" t="str">
        <f t="shared" si="81"/>
        <v>20-29</v>
      </c>
      <c r="I1780" t="str">
        <f t="shared" si="82"/>
        <v>0-9</v>
      </c>
      <c r="J1780">
        <f t="shared" si="83"/>
        <v>2.4000000000000001E-4</v>
      </c>
    </row>
    <row r="1781" spans="1:10">
      <c r="A1781" t="s">
        <v>1863</v>
      </c>
      <c r="B1781">
        <v>52</v>
      </c>
      <c r="C1781" t="s">
        <v>9</v>
      </c>
      <c r="D1781">
        <v>2</v>
      </c>
      <c r="E1781">
        <v>53</v>
      </c>
      <c r="F1781">
        <v>1.5E-3</v>
      </c>
      <c r="G1781">
        <v>0</v>
      </c>
      <c r="H1781" t="str">
        <f t="shared" si="81"/>
        <v>50-59</v>
      </c>
      <c r="I1781" t="str">
        <f t="shared" si="82"/>
        <v>0-9</v>
      </c>
      <c r="J1781">
        <f t="shared" si="83"/>
        <v>1.5E-3</v>
      </c>
    </row>
    <row r="1782" spans="1:10">
      <c r="A1782" t="s">
        <v>1864</v>
      </c>
      <c r="B1782">
        <v>64</v>
      </c>
      <c r="C1782" t="s">
        <v>9</v>
      </c>
      <c r="D1782">
        <v>27</v>
      </c>
      <c r="E1782">
        <v>90</v>
      </c>
      <c r="F1782">
        <v>0.14893999999999999</v>
      </c>
      <c r="G1782">
        <v>0</v>
      </c>
      <c r="H1782" t="str">
        <f t="shared" si="81"/>
        <v>90-99</v>
      </c>
      <c r="I1782" t="str">
        <f t="shared" si="82"/>
        <v>20-29</v>
      </c>
      <c r="J1782">
        <f t="shared" si="83"/>
        <v>0.14893999999999999</v>
      </c>
    </row>
    <row r="1783" spans="1:10">
      <c r="A1783" t="s">
        <v>1865</v>
      </c>
      <c r="B1783">
        <v>25</v>
      </c>
      <c r="C1783" t="s">
        <v>7</v>
      </c>
      <c r="D1783">
        <v>18</v>
      </c>
      <c r="E1783">
        <v>42</v>
      </c>
      <c r="F1783">
        <v>1.1199999999999999E-3</v>
      </c>
      <c r="G1783">
        <v>0</v>
      </c>
      <c r="H1783" t="str">
        <f t="shared" si="81"/>
        <v>40-49</v>
      </c>
      <c r="I1783" t="str">
        <f t="shared" si="82"/>
        <v>10-19</v>
      </c>
      <c r="J1783">
        <f t="shared" si="83"/>
        <v>1.1199999999999999E-3</v>
      </c>
    </row>
    <row r="1784" spans="1:10">
      <c r="A1784" t="s">
        <v>1866</v>
      </c>
      <c r="B1784">
        <v>46</v>
      </c>
      <c r="C1784" t="s">
        <v>9</v>
      </c>
      <c r="D1784">
        <v>7</v>
      </c>
      <c r="E1784">
        <v>52</v>
      </c>
      <c r="F1784">
        <v>2.2399999999999998E-3</v>
      </c>
      <c r="G1784">
        <v>0</v>
      </c>
      <c r="H1784" t="str">
        <f t="shared" si="81"/>
        <v>50-59</v>
      </c>
      <c r="I1784" t="str">
        <f t="shared" si="82"/>
        <v>0-9</v>
      </c>
      <c r="J1784">
        <f t="shared" si="83"/>
        <v>2.2399999999999998E-3</v>
      </c>
    </row>
    <row r="1785" spans="1:10">
      <c r="A1785" t="s">
        <v>1867</v>
      </c>
      <c r="B1785">
        <v>61</v>
      </c>
      <c r="C1785" t="s">
        <v>9</v>
      </c>
      <c r="D1785">
        <v>3</v>
      </c>
      <c r="E1785">
        <v>63</v>
      </c>
      <c r="F1785">
        <v>4.9100000000000003E-3</v>
      </c>
      <c r="G1785">
        <v>0</v>
      </c>
      <c r="H1785" t="str">
        <f t="shared" si="81"/>
        <v>60-69</v>
      </c>
      <c r="I1785" t="str">
        <f t="shared" si="82"/>
        <v>0-9</v>
      </c>
      <c r="J1785">
        <f t="shared" si="83"/>
        <v>4.9100000000000003E-3</v>
      </c>
    </row>
    <row r="1786" spans="1:10">
      <c r="A1786" t="s">
        <v>1868</v>
      </c>
      <c r="B1786">
        <v>30</v>
      </c>
      <c r="C1786" t="s">
        <v>9</v>
      </c>
      <c r="D1786">
        <v>23</v>
      </c>
      <c r="E1786">
        <v>52</v>
      </c>
      <c r="F1786">
        <v>3.0500000000000002E-3</v>
      </c>
      <c r="G1786">
        <v>0</v>
      </c>
      <c r="H1786" t="str">
        <f t="shared" si="81"/>
        <v>50-59</v>
      </c>
      <c r="I1786" t="str">
        <f t="shared" si="82"/>
        <v>20-29</v>
      </c>
      <c r="J1786">
        <f t="shared" si="83"/>
        <v>3.0500000000000002E-3</v>
      </c>
    </row>
    <row r="1787" spans="1:10">
      <c r="A1787" t="s">
        <v>1869</v>
      </c>
      <c r="B1787">
        <v>57</v>
      </c>
      <c r="C1787" t="s">
        <v>7</v>
      </c>
      <c r="D1787">
        <v>1</v>
      </c>
      <c r="E1787">
        <v>57</v>
      </c>
      <c r="F1787">
        <v>5.9000000000000003E-4</v>
      </c>
      <c r="G1787">
        <v>0</v>
      </c>
      <c r="H1787" t="str">
        <f t="shared" si="81"/>
        <v>50-59</v>
      </c>
      <c r="I1787" t="str">
        <f t="shared" si="82"/>
        <v>0-9</v>
      </c>
      <c r="J1787">
        <f t="shared" si="83"/>
        <v>5.9000000000000003E-4</v>
      </c>
    </row>
    <row r="1788" spans="1:10">
      <c r="A1788" t="s">
        <v>1870</v>
      </c>
      <c r="B1788">
        <v>28</v>
      </c>
      <c r="C1788" t="s">
        <v>7</v>
      </c>
      <c r="D1788">
        <v>28</v>
      </c>
      <c r="E1788">
        <v>55</v>
      </c>
      <c r="F1788">
        <v>2.5899999999999999E-3</v>
      </c>
      <c r="G1788">
        <v>0</v>
      </c>
      <c r="H1788" t="str">
        <f t="shared" si="81"/>
        <v>50-59</v>
      </c>
      <c r="I1788" t="str">
        <f t="shared" si="82"/>
        <v>20-29</v>
      </c>
      <c r="J1788">
        <f t="shared" si="83"/>
        <v>2.5899999999999999E-3</v>
      </c>
    </row>
    <row r="1789" spans="1:10">
      <c r="A1789" t="s">
        <v>1871</v>
      </c>
      <c r="B1789">
        <v>43</v>
      </c>
      <c r="C1789" t="s">
        <v>9</v>
      </c>
      <c r="D1789">
        <v>21</v>
      </c>
      <c r="E1789">
        <v>63</v>
      </c>
      <c r="F1789">
        <v>8.4899999999999993E-3</v>
      </c>
      <c r="G1789">
        <v>0</v>
      </c>
      <c r="H1789" t="str">
        <f t="shared" si="81"/>
        <v>60-69</v>
      </c>
      <c r="I1789" t="str">
        <f t="shared" si="82"/>
        <v>20-29</v>
      </c>
      <c r="J1789">
        <f t="shared" si="83"/>
        <v>8.4899999999999993E-3</v>
      </c>
    </row>
    <row r="1790" spans="1:10">
      <c r="A1790" t="s">
        <v>1872</v>
      </c>
      <c r="B1790">
        <v>60</v>
      </c>
      <c r="C1790" t="s">
        <v>9</v>
      </c>
      <c r="D1790">
        <v>3</v>
      </c>
      <c r="E1790">
        <v>62</v>
      </c>
      <c r="F1790">
        <v>4.6499999999999996E-3</v>
      </c>
      <c r="G1790">
        <v>0</v>
      </c>
      <c r="H1790" t="str">
        <f t="shared" si="81"/>
        <v>60-69</v>
      </c>
      <c r="I1790" t="str">
        <f t="shared" si="82"/>
        <v>0-9</v>
      </c>
      <c r="J1790">
        <f t="shared" si="83"/>
        <v>4.6499999999999996E-3</v>
      </c>
    </row>
    <row r="1791" spans="1:10">
      <c r="A1791" t="s">
        <v>1873</v>
      </c>
      <c r="B1791">
        <v>53</v>
      </c>
      <c r="C1791" t="s">
        <v>9</v>
      </c>
      <c r="D1791">
        <v>2</v>
      </c>
      <c r="E1791">
        <v>54</v>
      </c>
      <c r="F1791">
        <v>1.67E-3</v>
      </c>
      <c r="G1791">
        <v>0</v>
      </c>
      <c r="H1791" t="str">
        <f t="shared" si="81"/>
        <v>50-59</v>
      </c>
      <c r="I1791" t="str">
        <f t="shared" si="82"/>
        <v>0-9</v>
      </c>
      <c r="J1791">
        <f t="shared" si="83"/>
        <v>1.67E-3</v>
      </c>
    </row>
    <row r="1792" spans="1:10">
      <c r="A1792" t="s">
        <v>1874</v>
      </c>
      <c r="B1792">
        <v>64</v>
      </c>
      <c r="C1792" t="s">
        <v>7</v>
      </c>
      <c r="D1792">
        <v>20</v>
      </c>
      <c r="E1792">
        <v>83</v>
      </c>
      <c r="F1792">
        <v>5.6770000000000001E-2</v>
      </c>
      <c r="G1792">
        <v>0</v>
      </c>
      <c r="H1792" t="str">
        <f t="shared" si="81"/>
        <v>80-89</v>
      </c>
      <c r="I1792" t="str">
        <f t="shared" si="82"/>
        <v>20-29</v>
      </c>
      <c r="J1792">
        <f t="shared" si="83"/>
        <v>5.6770000000000001E-2</v>
      </c>
    </row>
    <row r="1793" spans="1:10">
      <c r="A1793" t="s">
        <v>1875</v>
      </c>
      <c r="B1793">
        <v>63</v>
      </c>
      <c r="C1793" t="s">
        <v>7</v>
      </c>
      <c r="D1793">
        <v>3</v>
      </c>
      <c r="E1793">
        <v>65</v>
      </c>
      <c r="F1793">
        <v>3.8E-3</v>
      </c>
      <c r="G1793">
        <v>0</v>
      </c>
      <c r="H1793" t="str">
        <f t="shared" si="81"/>
        <v>60-69</v>
      </c>
      <c r="I1793" t="str">
        <f t="shared" si="82"/>
        <v>0-9</v>
      </c>
      <c r="J1793">
        <f t="shared" si="83"/>
        <v>3.8E-3</v>
      </c>
    </row>
    <row r="1794" spans="1:10">
      <c r="A1794" t="s">
        <v>1876</v>
      </c>
      <c r="B1794">
        <v>23</v>
      </c>
      <c r="C1794" t="s">
        <v>7</v>
      </c>
      <c r="D1794">
        <v>17</v>
      </c>
      <c r="E1794">
        <v>39</v>
      </c>
      <c r="F1794">
        <v>9.5E-4</v>
      </c>
      <c r="G1794">
        <v>0</v>
      </c>
      <c r="H1794" t="str">
        <f t="shared" si="81"/>
        <v>30-39</v>
      </c>
      <c r="I1794" t="str">
        <f t="shared" si="82"/>
        <v>10-19</v>
      </c>
      <c r="J1794">
        <f t="shared" si="83"/>
        <v>9.5E-4</v>
      </c>
    </row>
    <row r="1795" spans="1:10">
      <c r="A1795" t="s">
        <v>1877</v>
      </c>
      <c r="B1795">
        <v>23</v>
      </c>
      <c r="C1795" t="s">
        <v>9</v>
      </c>
      <c r="D1795">
        <v>4</v>
      </c>
      <c r="E1795">
        <v>26</v>
      </c>
      <c r="F1795">
        <v>5.1000000000000004E-4</v>
      </c>
      <c r="G1795">
        <v>0</v>
      </c>
      <c r="H1795" t="str">
        <f t="shared" ref="H1795:H1858" si="84">FLOOR(E1795,10) &amp; "-" &amp; FLOOR(E1795,10)+9</f>
        <v>20-29</v>
      </c>
      <c r="I1795" t="str">
        <f t="shared" ref="I1795:I1858" si="85">FLOOR(D1795, 10) &amp; "-"&amp;FLOOR(D1795, 10)+9</f>
        <v>0-9</v>
      </c>
      <c r="J1795">
        <f t="shared" ref="J1795:J1858" si="86">F1795</f>
        <v>5.1000000000000004E-4</v>
      </c>
    </row>
    <row r="1796" spans="1:10">
      <c r="A1796" t="s">
        <v>1878</v>
      </c>
      <c r="B1796">
        <v>22</v>
      </c>
      <c r="C1796" t="s">
        <v>9</v>
      </c>
      <c r="D1796">
        <v>12</v>
      </c>
      <c r="E1796">
        <v>33</v>
      </c>
      <c r="F1796">
        <v>7.3999999999999999E-4</v>
      </c>
      <c r="G1796">
        <v>0</v>
      </c>
      <c r="H1796" t="str">
        <f t="shared" si="84"/>
        <v>30-39</v>
      </c>
      <c r="I1796" t="str">
        <f t="shared" si="85"/>
        <v>10-19</v>
      </c>
      <c r="J1796">
        <f t="shared" si="86"/>
        <v>7.3999999999999999E-4</v>
      </c>
    </row>
    <row r="1797" spans="1:10">
      <c r="A1797" t="s">
        <v>1879</v>
      </c>
      <c r="B1797">
        <v>65</v>
      </c>
      <c r="C1797" t="s">
        <v>7</v>
      </c>
      <c r="D1797">
        <v>3</v>
      </c>
      <c r="E1797">
        <v>67</v>
      </c>
      <c r="F1797">
        <v>4.6100000000000004E-3</v>
      </c>
      <c r="G1797">
        <v>0</v>
      </c>
      <c r="H1797" t="str">
        <f t="shared" si="84"/>
        <v>60-69</v>
      </c>
      <c r="I1797" t="str">
        <f t="shared" si="85"/>
        <v>0-9</v>
      </c>
      <c r="J1797">
        <f t="shared" si="86"/>
        <v>4.6100000000000004E-3</v>
      </c>
    </row>
    <row r="1798" spans="1:10">
      <c r="A1798" t="s">
        <v>1880</v>
      </c>
      <c r="B1798">
        <v>28</v>
      </c>
      <c r="C1798" t="s">
        <v>9</v>
      </c>
      <c r="D1798">
        <v>11</v>
      </c>
      <c r="E1798">
        <v>38</v>
      </c>
      <c r="F1798">
        <v>8.7000000000000001E-4</v>
      </c>
      <c r="G1798">
        <v>0</v>
      </c>
      <c r="H1798" t="str">
        <f t="shared" si="84"/>
        <v>30-39</v>
      </c>
      <c r="I1798" t="str">
        <f t="shared" si="85"/>
        <v>10-19</v>
      </c>
      <c r="J1798">
        <f t="shared" si="86"/>
        <v>8.7000000000000001E-4</v>
      </c>
    </row>
    <row r="1799" spans="1:10">
      <c r="A1799" t="s">
        <v>1881</v>
      </c>
      <c r="B1799">
        <v>50</v>
      </c>
      <c r="C1799" t="s">
        <v>7</v>
      </c>
      <c r="D1799">
        <v>24</v>
      </c>
      <c r="E1799">
        <v>73</v>
      </c>
      <c r="F1799">
        <v>1.8970000000000001E-2</v>
      </c>
      <c r="G1799">
        <v>0</v>
      </c>
      <c r="H1799" t="str">
        <f t="shared" si="84"/>
        <v>70-79</v>
      </c>
      <c r="I1799" t="str">
        <f t="shared" si="85"/>
        <v>20-29</v>
      </c>
      <c r="J1799">
        <f t="shared" si="86"/>
        <v>1.8970000000000001E-2</v>
      </c>
    </row>
    <row r="1800" spans="1:10">
      <c r="A1800" t="s">
        <v>1882</v>
      </c>
      <c r="B1800">
        <v>64</v>
      </c>
      <c r="C1800" t="s">
        <v>7</v>
      </c>
      <c r="D1800">
        <v>7</v>
      </c>
      <c r="E1800">
        <v>70</v>
      </c>
      <c r="F1800">
        <v>8.2500000000000004E-3</v>
      </c>
      <c r="G1800">
        <v>0</v>
      </c>
      <c r="H1800" t="str">
        <f t="shared" si="84"/>
        <v>70-79</v>
      </c>
      <c r="I1800" t="str">
        <f t="shared" si="85"/>
        <v>0-9</v>
      </c>
      <c r="J1800">
        <f t="shared" si="86"/>
        <v>8.2500000000000004E-3</v>
      </c>
    </row>
    <row r="1801" spans="1:10">
      <c r="A1801" t="s">
        <v>1883</v>
      </c>
      <c r="B1801">
        <v>40</v>
      </c>
      <c r="C1801" t="s">
        <v>7</v>
      </c>
      <c r="D1801">
        <v>12</v>
      </c>
      <c r="E1801">
        <v>51</v>
      </c>
      <c r="F1801">
        <v>1.8500000000000001E-3</v>
      </c>
      <c r="G1801">
        <v>0</v>
      </c>
      <c r="H1801" t="str">
        <f t="shared" si="84"/>
        <v>50-59</v>
      </c>
      <c r="I1801" t="str">
        <f t="shared" si="85"/>
        <v>10-19</v>
      </c>
      <c r="J1801">
        <f t="shared" si="86"/>
        <v>1.8500000000000001E-3</v>
      </c>
    </row>
    <row r="1802" spans="1:10">
      <c r="A1802" t="s">
        <v>1884</v>
      </c>
      <c r="B1802">
        <v>47</v>
      </c>
      <c r="C1802" t="s">
        <v>9</v>
      </c>
      <c r="D1802">
        <v>9</v>
      </c>
      <c r="E1802">
        <v>55</v>
      </c>
      <c r="F1802">
        <v>3.1900000000000001E-3</v>
      </c>
      <c r="G1802">
        <v>0</v>
      </c>
      <c r="H1802" t="str">
        <f t="shared" si="84"/>
        <v>50-59</v>
      </c>
      <c r="I1802" t="str">
        <f t="shared" si="85"/>
        <v>0-9</v>
      </c>
      <c r="J1802">
        <f t="shared" si="86"/>
        <v>3.1900000000000001E-3</v>
      </c>
    </row>
    <row r="1803" spans="1:10">
      <c r="A1803" t="s">
        <v>1885</v>
      </c>
      <c r="B1803">
        <v>48</v>
      </c>
      <c r="C1803" t="s">
        <v>7</v>
      </c>
      <c r="D1803">
        <v>16</v>
      </c>
      <c r="E1803">
        <v>63</v>
      </c>
      <c r="F1803">
        <v>6.3899999999999998E-3</v>
      </c>
      <c r="G1803">
        <v>0</v>
      </c>
      <c r="H1803" t="str">
        <f t="shared" si="84"/>
        <v>60-69</v>
      </c>
      <c r="I1803" t="str">
        <f t="shared" si="85"/>
        <v>10-19</v>
      </c>
      <c r="J1803">
        <f t="shared" si="86"/>
        <v>6.3899999999999998E-3</v>
      </c>
    </row>
    <row r="1804" spans="1:10">
      <c r="A1804" t="s">
        <v>1886</v>
      </c>
      <c r="B1804">
        <v>50</v>
      </c>
      <c r="C1804" t="s">
        <v>7</v>
      </c>
      <c r="D1804">
        <v>23</v>
      </c>
      <c r="E1804">
        <v>72</v>
      </c>
      <c r="F1804">
        <v>1.7170000000000001E-2</v>
      </c>
      <c r="G1804">
        <v>0</v>
      </c>
      <c r="H1804" t="str">
        <f t="shared" si="84"/>
        <v>70-79</v>
      </c>
      <c r="I1804" t="str">
        <f t="shared" si="85"/>
        <v>20-29</v>
      </c>
      <c r="J1804">
        <f t="shared" si="86"/>
        <v>1.7170000000000001E-2</v>
      </c>
    </row>
    <row r="1805" spans="1:10">
      <c r="A1805" t="s">
        <v>1887</v>
      </c>
      <c r="B1805">
        <v>38</v>
      </c>
      <c r="C1805" t="s">
        <v>7</v>
      </c>
      <c r="D1805">
        <v>15</v>
      </c>
      <c r="E1805">
        <v>52</v>
      </c>
      <c r="F1805">
        <v>2.0899999999999998E-3</v>
      </c>
      <c r="G1805">
        <v>0</v>
      </c>
      <c r="H1805" t="str">
        <f t="shared" si="84"/>
        <v>50-59</v>
      </c>
      <c r="I1805" t="str">
        <f t="shared" si="85"/>
        <v>10-19</v>
      </c>
      <c r="J1805">
        <f t="shared" si="86"/>
        <v>2.0899999999999998E-3</v>
      </c>
    </row>
    <row r="1806" spans="1:10">
      <c r="A1806" t="s">
        <v>1888</v>
      </c>
      <c r="B1806">
        <v>64</v>
      </c>
      <c r="C1806" t="s">
        <v>7</v>
      </c>
      <c r="D1806">
        <v>26</v>
      </c>
      <c r="E1806">
        <v>89</v>
      </c>
      <c r="F1806">
        <v>0.11754000000000001</v>
      </c>
      <c r="G1806">
        <v>0</v>
      </c>
      <c r="H1806" t="str">
        <f t="shared" si="84"/>
        <v>80-89</v>
      </c>
      <c r="I1806" t="str">
        <f t="shared" si="85"/>
        <v>20-29</v>
      </c>
      <c r="J1806">
        <f t="shared" si="86"/>
        <v>0.11754000000000001</v>
      </c>
    </row>
    <row r="1807" spans="1:10">
      <c r="A1807" t="s">
        <v>1889</v>
      </c>
      <c r="B1807">
        <v>32</v>
      </c>
      <c r="C1807" t="s">
        <v>7</v>
      </c>
      <c r="D1807">
        <v>29</v>
      </c>
      <c r="E1807">
        <v>60</v>
      </c>
      <c r="F1807">
        <v>3.6900000000000001E-3</v>
      </c>
      <c r="G1807">
        <v>0</v>
      </c>
      <c r="H1807" t="str">
        <f t="shared" si="84"/>
        <v>60-69</v>
      </c>
      <c r="I1807" t="str">
        <f t="shared" si="85"/>
        <v>20-29</v>
      </c>
      <c r="J1807">
        <f t="shared" si="86"/>
        <v>3.6900000000000001E-3</v>
      </c>
    </row>
    <row r="1808" spans="1:10">
      <c r="A1808" t="s">
        <v>1890</v>
      </c>
      <c r="B1808">
        <v>45</v>
      </c>
      <c r="C1808" t="s">
        <v>9</v>
      </c>
      <c r="D1808">
        <v>29</v>
      </c>
      <c r="E1808">
        <v>73</v>
      </c>
      <c r="F1808">
        <v>1.7160000000000002E-2</v>
      </c>
      <c r="G1808">
        <v>0</v>
      </c>
      <c r="H1808" t="str">
        <f t="shared" si="84"/>
        <v>70-79</v>
      </c>
      <c r="I1808" t="str">
        <f t="shared" si="85"/>
        <v>20-29</v>
      </c>
      <c r="J1808">
        <f t="shared" si="86"/>
        <v>1.7160000000000002E-2</v>
      </c>
    </row>
    <row r="1809" spans="1:10">
      <c r="A1809" t="s">
        <v>1891</v>
      </c>
      <c r="B1809">
        <v>24</v>
      </c>
      <c r="C1809" t="s">
        <v>9</v>
      </c>
      <c r="D1809">
        <v>4</v>
      </c>
      <c r="E1809">
        <v>27</v>
      </c>
      <c r="F1809">
        <v>4.6000000000000001E-4</v>
      </c>
      <c r="G1809">
        <v>0</v>
      </c>
      <c r="H1809" t="str">
        <f t="shared" si="84"/>
        <v>20-29</v>
      </c>
      <c r="I1809" t="str">
        <f t="shared" si="85"/>
        <v>0-9</v>
      </c>
      <c r="J1809">
        <f t="shared" si="86"/>
        <v>4.6000000000000001E-4</v>
      </c>
    </row>
    <row r="1810" spans="1:10">
      <c r="A1810" t="s">
        <v>1892</v>
      </c>
      <c r="B1810">
        <v>29</v>
      </c>
      <c r="C1810" t="s">
        <v>9</v>
      </c>
      <c r="D1810">
        <v>16</v>
      </c>
      <c r="E1810">
        <v>44</v>
      </c>
      <c r="F1810">
        <v>1.6100000000000001E-3</v>
      </c>
      <c r="G1810">
        <v>0</v>
      </c>
      <c r="H1810" t="str">
        <f t="shared" si="84"/>
        <v>40-49</v>
      </c>
      <c r="I1810" t="str">
        <f t="shared" si="85"/>
        <v>10-19</v>
      </c>
      <c r="J1810">
        <f t="shared" si="86"/>
        <v>1.6100000000000001E-3</v>
      </c>
    </row>
    <row r="1811" spans="1:10">
      <c r="A1811" t="s">
        <v>1893</v>
      </c>
      <c r="B1811">
        <v>60</v>
      </c>
      <c r="C1811" t="s">
        <v>9</v>
      </c>
      <c r="D1811">
        <v>1</v>
      </c>
      <c r="E1811">
        <v>60</v>
      </c>
      <c r="F1811">
        <v>2.0500000000000002E-3</v>
      </c>
      <c r="G1811">
        <v>0</v>
      </c>
      <c r="H1811" t="str">
        <f t="shared" si="84"/>
        <v>60-69</v>
      </c>
      <c r="I1811" t="str">
        <f t="shared" si="85"/>
        <v>0-9</v>
      </c>
      <c r="J1811">
        <f t="shared" si="86"/>
        <v>2.0500000000000002E-3</v>
      </c>
    </row>
    <row r="1812" spans="1:10">
      <c r="A1812" t="s">
        <v>1894</v>
      </c>
      <c r="B1812">
        <v>54</v>
      </c>
      <c r="C1812" t="s">
        <v>9</v>
      </c>
      <c r="D1812">
        <v>30</v>
      </c>
      <c r="E1812">
        <v>83</v>
      </c>
      <c r="F1812">
        <v>4.5769999999999998E-2</v>
      </c>
      <c r="G1812">
        <v>0</v>
      </c>
      <c r="H1812" t="str">
        <f t="shared" si="84"/>
        <v>80-89</v>
      </c>
      <c r="I1812" t="str">
        <f t="shared" si="85"/>
        <v>30-39</v>
      </c>
      <c r="J1812">
        <f t="shared" si="86"/>
        <v>4.5769999999999998E-2</v>
      </c>
    </row>
    <row r="1813" spans="1:10">
      <c r="A1813" t="s">
        <v>1895</v>
      </c>
      <c r="B1813">
        <v>48</v>
      </c>
      <c r="C1813" t="s">
        <v>7</v>
      </c>
      <c r="D1813">
        <v>24</v>
      </c>
      <c r="E1813">
        <v>71</v>
      </c>
      <c r="F1813">
        <v>1.553E-2</v>
      </c>
      <c r="G1813">
        <v>0</v>
      </c>
      <c r="H1813" t="str">
        <f t="shared" si="84"/>
        <v>70-79</v>
      </c>
      <c r="I1813" t="str">
        <f t="shared" si="85"/>
        <v>20-29</v>
      </c>
      <c r="J1813">
        <f t="shared" si="86"/>
        <v>1.553E-2</v>
      </c>
    </row>
    <row r="1814" spans="1:10">
      <c r="A1814" t="s">
        <v>1896</v>
      </c>
      <c r="B1814">
        <v>24</v>
      </c>
      <c r="C1814" t="s">
        <v>7</v>
      </c>
      <c r="D1814">
        <v>1</v>
      </c>
      <c r="E1814">
        <v>24</v>
      </c>
      <c r="F1814">
        <v>1.8000000000000001E-4</v>
      </c>
      <c r="G1814">
        <v>0</v>
      </c>
      <c r="H1814" t="str">
        <f t="shared" si="84"/>
        <v>20-29</v>
      </c>
      <c r="I1814" t="str">
        <f t="shared" si="85"/>
        <v>0-9</v>
      </c>
      <c r="J1814">
        <f t="shared" si="86"/>
        <v>1.8000000000000001E-4</v>
      </c>
    </row>
    <row r="1815" spans="1:10">
      <c r="A1815" t="s">
        <v>1897</v>
      </c>
      <c r="B1815">
        <v>53</v>
      </c>
      <c r="C1815" t="s">
        <v>9</v>
      </c>
      <c r="D1815">
        <v>21</v>
      </c>
      <c r="E1815">
        <v>73</v>
      </c>
      <c r="F1815">
        <v>2.3869999999999999E-2</v>
      </c>
      <c r="G1815">
        <v>0</v>
      </c>
      <c r="H1815" t="str">
        <f t="shared" si="84"/>
        <v>70-79</v>
      </c>
      <c r="I1815" t="str">
        <f t="shared" si="85"/>
        <v>20-29</v>
      </c>
      <c r="J1815">
        <f t="shared" si="86"/>
        <v>2.3869999999999999E-2</v>
      </c>
    </row>
    <row r="1816" spans="1:10">
      <c r="A1816" t="s">
        <v>1898</v>
      </c>
      <c r="B1816">
        <v>61</v>
      </c>
      <c r="C1816" t="s">
        <v>7</v>
      </c>
      <c r="D1816">
        <v>21</v>
      </c>
      <c r="E1816">
        <v>81</v>
      </c>
      <c r="F1816">
        <v>4.4880000000000003E-2</v>
      </c>
      <c r="G1816">
        <v>0</v>
      </c>
      <c r="H1816" t="str">
        <f t="shared" si="84"/>
        <v>80-89</v>
      </c>
      <c r="I1816" t="str">
        <f t="shared" si="85"/>
        <v>20-29</v>
      </c>
      <c r="J1816">
        <f t="shared" si="86"/>
        <v>4.4880000000000003E-2</v>
      </c>
    </row>
    <row r="1817" spans="1:10">
      <c r="A1817" t="s">
        <v>1899</v>
      </c>
      <c r="B1817">
        <v>62</v>
      </c>
      <c r="C1817" t="s">
        <v>7</v>
      </c>
      <c r="D1817">
        <v>23</v>
      </c>
      <c r="E1817">
        <v>84</v>
      </c>
      <c r="F1817">
        <v>6.4490000000000006E-2</v>
      </c>
      <c r="G1817">
        <v>0</v>
      </c>
      <c r="H1817" t="str">
        <f t="shared" si="84"/>
        <v>80-89</v>
      </c>
      <c r="I1817" t="str">
        <f t="shared" si="85"/>
        <v>20-29</v>
      </c>
      <c r="J1817">
        <f t="shared" si="86"/>
        <v>6.4490000000000006E-2</v>
      </c>
    </row>
    <row r="1818" spans="1:10">
      <c r="A1818" t="s">
        <v>1900</v>
      </c>
      <c r="B1818">
        <v>49</v>
      </c>
      <c r="C1818" t="s">
        <v>7</v>
      </c>
      <c r="D1818">
        <v>10</v>
      </c>
      <c r="E1818">
        <v>58</v>
      </c>
      <c r="F1818">
        <v>3.15E-3</v>
      </c>
      <c r="G1818">
        <v>0</v>
      </c>
      <c r="H1818" t="str">
        <f t="shared" si="84"/>
        <v>50-59</v>
      </c>
      <c r="I1818" t="str">
        <f t="shared" si="85"/>
        <v>10-19</v>
      </c>
      <c r="J1818">
        <f t="shared" si="86"/>
        <v>3.15E-3</v>
      </c>
    </row>
    <row r="1819" spans="1:10">
      <c r="A1819" t="s">
        <v>1901</v>
      </c>
      <c r="B1819">
        <v>39</v>
      </c>
      <c r="C1819" t="s">
        <v>7</v>
      </c>
      <c r="D1819">
        <v>6</v>
      </c>
      <c r="E1819">
        <v>44</v>
      </c>
      <c r="F1819">
        <v>7.9000000000000001E-4</v>
      </c>
      <c r="G1819">
        <v>0</v>
      </c>
      <c r="H1819" t="str">
        <f t="shared" si="84"/>
        <v>40-49</v>
      </c>
      <c r="I1819" t="str">
        <f t="shared" si="85"/>
        <v>0-9</v>
      </c>
      <c r="J1819">
        <f t="shared" si="86"/>
        <v>7.9000000000000001E-4</v>
      </c>
    </row>
    <row r="1820" spans="1:10">
      <c r="A1820" t="s">
        <v>1902</v>
      </c>
      <c r="B1820">
        <v>43</v>
      </c>
      <c r="C1820" t="s">
        <v>7</v>
      </c>
      <c r="D1820">
        <v>10</v>
      </c>
      <c r="E1820">
        <v>52</v>
      </c>
      <c r="F1820">
        <v>1.89E-3</v>
      </c>
      <c r="G1820">
        <v>0</v>
      </c>
      <c r="H1820" t="str">
        <f t="shared" si="84"/>
        <v>50-59</v>
      </c>
      <c r="I1820" t="str">
        <f t="shared" si="85"/>
        <v>10-19</v>
      </c>
      <c r="J1820">
        <f t="shared" si="86"/>
        <v>1.89E-3</v>
      </c>
    </row>
    <row r="1821" spans="1:10">
      <c r="A1821" t="s">
        <v>1903</v>
      </c>
      <c r="B1821">
        <v>42</v>
      </c>
      <c r="C1821" t="s">
        <v>9</v>
      </c>
      <c r="D1821">
        <v>10</v>
      </c>
      <c r="E1821">
        <v>51</v>
      </c>
      <c r="F1821">
        <v>2.2799999999999999E-3</v>
      </c>
      <c r="G1821">
        <v>0</v>
      </c>
      <c r="H1821" t="str">
        <f t="shared" si="84"/>
        <v>50-59</v>
      </c>
      <c r="I1821" t="str">
        <f t="shared" si="85"/>
        <v>10-19</v>
      </c>
      <c r="J1821">
        <f t="shared" si="86"/>
        <v>2.2799999999999999E-3</v>
      </c>
    </row>
    <row r="1822" spans="1:10">
      <c r="A1822" t="s">
        <v>1904</v>
      </c>
      <c r="B1822">
        <v>30</v>
      </c>
      <c r="C1822" t="s">
        <v>7</v>
      </c>
      <c r="D1822">
        <v>23</v>
      </c>
      <c r="E1822">
        <v>52</v>
      </c>
      <c r="F1822">
        <v>2.3800000000000002E-3</v>
      </c>
      <c r="G1822">
        <v>0</v>
      </c>
      <c r="H1822" t="str">
        <f t="shared" si="84"/>
        <v>50-59</v>
      </c>
      <c r="I1822" t="str">
        <f t="shared" si="85"/>
        <v>20-29</v>
      </c>
      <c r="J1822">
        <f t="shared" si="86"/>
        <v>2.3800000000000002E-3</v>
      </c>
    </row>
    <row r="1823" spans="1:10">
      <c r="A1823" t="s">
        <v>1905</v>
      </c>
      <c r="B1823">
        <v>31</v>
      </c>
      <c r="C1823" t="s">
        <v>7</v>
      </c>
      <c r="D1823">
        <v>27</v>
      </c>
      <c r="E1823">
        <v>57</v>
      </c>
      <c r="F1823">
        <v>3.3700000000000002E-3</v>
      </c>
      <c r="G1823">
        <v>0</v>
      </c>
      <c r="H1823" t="str">
        <f t="shared" si="84"/>
        <v>50-59</v>
      </c>
      <c r="I1823" t="str">
        <f t="shared" si="85"/>
        <v>20-29</v>
      </c>
      <c r="J1823">
        <f t="shared" si="86"/>
        <v>3.3700000000000002E-3</v>
      </c>
    </row>
    <row r="1824" spans="1:10">
      <c r="A1824" t="s">
        <v>1906</v>
      </c>
      <c r="B1824">
        <v>29</v>
      </c>
      <c r="C1824" t="s">
        <v>9</v>
      </c>
      <c r="D1824">
        <v>6</v>
      </c>
      <c r="E1824">
        <v>34</v>
      </c>
      <c r="F1824">
        <v>5.1000000000000004E-4</v>
      </c>
      <c r="G1824">
        <v>0</v>
      </c>
      <c r="H1824" t="str">
        <f t="shared" si="84"/>
        <v>30-39</v>
      </c>
      <c r="I1824" t="str">
        <f t="shared" si="85"/>
        <v>0-9</v>
      </c>
      <c r="J1824">
        <f t="shared" si="86"/>
        <v>5.1000000000000004E-4</v>
      </c>
    </row>
    <row r="1825" spans="1:10">
      <c r="A1825" t="s">
        <v>1907</v>
      </c>
      <c r="B1825">
        <v>40</v>
      </c>
      <c r="C1825" t="s">
        <v>9</v>
      </c>
      <c r="D1825">
        <v>19</v>
      </c>
      <c r="E1825">
        <v>58</v>
      </c>
      <c r="F1825">
        <v>5.2100000000000002E-3</v>
      </c>
      <c r="G1825">
        <v>0</v>
      </c>
      <c r="H1825" t="str">
        <f t="shared" si="84"/>
        <v>50-59</v>
      </c>
      <c r="I1825" t="str">
        <f t="shared" si="85"/>
        <v>10-19</v>
      </c>
      <c r="J1825">
        <f t="shared" si="86"/>
        <v>5.2100000000000002E-3</v>
      </c>
    </row>
    <row r="1826" spans="1:10">
      <c r="A1826" t="s">
        <v>1908</v>
      </c>
      <c r="B1826">
        <v>31</v>
      </c>
      <c r="C1826" t="s">
        <v>7</v>
      </c>
      <c r="D1826">
        <v>7</v>
      </c>
      <c r="E1826">
        <v>37</v>
      </c>
      <c r="F1826">
        <v>4.8000000000000001E-4</v>
      </c>
      <c r="G1826">
        <v>0</v>
      </c>
      <c r="H1826" t="str">
        <f t="shared" si="84"/>
        <v>30-39</v>
      </c>
      <c r="I1826" t="str">
        <f t="shared" si="85"/>
        <v>0-9</v>
      </c>
      <c r="J1826">
        <f t="shared" si="86"/>
        <v>4.8000000000000001E-4</v>
      </c>
    </row>
    <row r="1827" spans="1:10">
      <c r="A1827" t="s">
        <v>1909</v>
      </c>
      <c r="B1827">
        <v>40</v>
      </c>
      <c r="C1827" t="s">
        <v>9</v>
      </c>
      <c r="D1827">
        <v>12</v>
      </c>
      <c r="E1827">
        <v>51</v>
      </c>
      <c r="F1827">
        <v>2.3400000000000001E-3</v>
      </c>
      <c r="G1827">
        <v>0</v>
      </c>
      <c r="H1827" t="str">
        <f t="shared" si="84"/>
        <v>50-59</v>
      </c>
      <c r="I1827" t="str">
        <f t="shared" si="85"/>
        <v>10-19</v>
      </c>
      <c r="J1827">
        <f t="shared" si="86"/>
        <v>2.3400000000000001E-3</v>
      </c>
    </row>
    <row r="1828" spans="1:10">
      <c r="A1828" t="s">
        <v>1910</v>
      </c>
      <c r="B1828">
        <v>30</v>
      </c>
      <c r="C1828" t="s">
        <v>9</v>
      </c>
      <c r="D1828">
        <v>18</v>
      </c>
      <c r="E1828">
        <v>47</v>
      </c>
      <c r="F1828">
        <v>1.99E-3</v>
      </c>
      <c r="G1828">
        <v>0</v>
      </c>
      <c r="H1828" t="str">
        <f t="shared" si="84"/>
        <v>40-49</v>
      </c>
      <c r="I1828" t="str">
        <f t="shared" si="85"/>
        <v>10-19</v>
      </c>
      <c r="J1828">
        <f t="shared" si="86"/>
        <v>1.99E-3</v>
      </c>
    </row>
    <row r="1829" spans="1:10">
      <c r="A1829" t="s">
        <v>1911</v>
      </c>
      <c r="B1829">
        <v>45</v>
      </c>
      <c r="C1829" t="s">
        <v>9</v>
      </c>
      <c r="D1829">
        <v>30</v>
      </c>
      <c r="E1829">
        <v>74</v>
      </c>
      <c r="F1829">
        <v>1.7160000000000002E-2</v>
      </c>
      <c r="G1829">
        <v>0</v>
      </c>
      <c r="H1829" t="str">
        <f t="shared" si="84"/>
        <v>70-79</v>
      </c>
      <c r="I1829" t="str">
        <f t="shared" si="85"/>
        <v>30-39</v>
      </c>
      <c r="J1829">
        <f t="shared" si="86"/>
        <v>1.7160000000000002E-2</v>
      </c>
    </row>
    <row r="1830" spans="1:10">
      <c r="A1830" t="s">
        <v>1912</v>
      </c>
      <c r="B1830">
        <v>49</v>
      </c>
      <c r="C1830" t="s">
        <v>9</v>
      </c>
      <c r="D1830">
        <v>30</v>
      </c>
      <c r="E1830">
        <v>78</v>
      </c>
      <c r="F1830">
        <v>2.6859999999999998E-2</v>
      </c>
      <c r="G1830">
        <v>1</v>
      </c>
      <c r="H1830" t="str">
        <f t="shared" si="84"/>
        <v>70-79</v>
      </c>
      <c r="I1830" t="str">
        <f t="shared" si="85"/>
        <v>30-39</v>
      </c>
      <c r="J1830">
        <f t="shared" si="86"/>
        <v>2.6859999999999998E-2</v>
      </c>
    </row>
    <row r="1831" spans="1:10">
      <c r="A1831" t="s">
        <v>1913</v>
      </c>
      <c r="B1831">
        <v>54</v>
      </c>
      <c r="C1831" t="s">
        <v>9</v>
      </c>
      <c r="D1831">
        <v>17</v>
      </c>
      <c r="E1831">
        <v>70</v>
      </c>
      <c r="F1831">
        <v>1.6750000000000001E-2</v>
      </c>
      <c r="G1831">
        <v>0</v>
      </c>
      <c r="H1831" t="str">
        <f t="shared" si="84"/>
        <v>70-79</v>
      </c>
      <c r="I1831" t="str">
        <f t="shared" si="85"/>
        <v>10-19</v>
      </c>
      <c r="J1831">
        <f t="shared" si="86"/>
        <v>1.6750000000000001E-2</v>
      </c>
    </row>
    <row r="1832" spans="1:10">
      <c r="A1832" t="s">
        <v>1914</v>
      </c>
      <c r="B1832">
        <v>50</v>
      </c>
      <c r="C1832" t="s">
        <v>9</v>
      </c>
      <c r="D1832">
        <v>29</v>
      </c>
      <c r="E1832">
        <v>78</v>
      </c>
      <c r="F1832">
        <v>3.006E-2</v>
      </c>
      <c r="G1832">
        <v>0</v>
      </c>
      <c r="H1832" t="str">
        <f t="shared" si="84"/>
        <v>70-79</v>
      </c>
      <c r="I1832" t="str">
        <f t="shared" si="85"/>
        <v>20-29</v>
      </c>
      <c r="J1832">
        <f t="shared" si="86"/>
        <v>3.006E-2</v>
      </c>
    </row>
    <row r="1833" spans="1:10">
      <c r="A1833" t="s">
        <v>1915</v>
      </c>
      <c r="B1833">
        <v>56</v>
      </c>
      <c r="C1833" t="s">
        <v>9</v>
      </c>
      <c r="D1833">
        <v>22</v>
      </c>
      <c r="E1833">
        <v>77</v>
      </c>
      <c r="F1833">
        <v>3.7039999999999997E-2</v>
      </c>
      <c r="G1833">
        <v>0</v>
      </c>
      <c r="H1833" t="str">
        <f t="shared" si="84"/>
        <v>70-79</v>
      </c>
      <c r="I1833" t="str">
        <f t="shared" si="85"/>
        <v>20-29</v>
      </c>
      <c r="J1833">
        <f t="shared" si="86"/>
        <v>3.7039999999999997E-2</v>
      </c>
    </row>
    <row r="1834" spans="1:10">
      <c r="A1834" t="s">
        <v>1916</v>
      </c>
      <c r="B1834">
        <v>48</v>
      </c>
      <c r="C1834" t="s">
        <v>7</v>
      </c>
      <c r="D1834">
        <v>11</v>
      </c>
      <c r="E1834">
        <v>58</v>
      </c>
      <c r="F1834">
        <v>3.2799999999999999E-3</v>
      </c>
      <c r="G1834">
        <v>0</v>
      </c>
      <c r="H1834" t="str">
        <f t="shared" si="84"/>
        <v>50-59</v>
      </c>
      <c r="I1834" t="str">
        <f t="shared" si="85"/>
        <v>10-19</v>
      </c>
      <c r="J1834">
        <f t="shared" si="86"/>
        <v>3.2799999999999999E-3</v>
      </c>
    </row>
    <row r="1835" spans="1:10">
      <c r="A1835" t="s">
        <v>1917</v>
      </c>
      <c r="B1835">
        <v>22</v>
      </c>
      <c r="C1835" t="s">
        <v>7</v>
      </c>
      <c r="D1835">
        <v>5</v>
      </c>
      <c r="E1835">
        <v>26</v>
      </c>
      <c r="F1835">
        <v>2.7E-4</v>
      </c>
      <c r="G1835">
        <v>0</v>
      </c>
      <c r="H1835" t="str">
        <f t="shared" si="84"/>
        <v>20-29</v>
      </c>
      <c r="I1835" t="str">
        <f t="shared" si="85"/>
        <v>0-9</v>
      </c>
      <c r="J1835">
        <f t="shared" si="86"/>
        <v>2.7E-4</v>
      </c>
    </row>
    <row r="1836" spans="1:10">
      <c r="A1836" t="s">
        <v>1918</v>
      </c>
      <c r="B1836">
        <v>21</v>
      </c>
      <c r="C1836" t="s">
        <v>7</v>
      </c>
      <c r="D1836">
        <v>13</v>
      </c>
      <c r="E1836">
        <v>33</v>
      </c>
      <c r="F1836">
        <v>4.4999999999999999E-4</v>
      </c>
      <c r="G1836">
        <v>0</v>
      </c>
      <c r="H1836" t="str">
        <f t="shared" si="84"/>
        <v>30-39</v>
      </c>
      <c r="I1836" t="str">
        <f t="shared" si="85"/>
        <v>10-19</v>
      </c>
      <c r="J1836">
        <f t="shared" si="86"/>
        <v>4.4999999999999999E-4</v>
      </c>
    </row>
    <row r="1837" spans="1:10">
      <c r="A1837" t="s">
        <v>1919</v>
      </c>
      <c r="B1837">
        <v>42</v>
      </c>
      <c r="C1837" t="s">
        <v>9</v>
      </c>
      <c r="D1837">
        <v>3</v>
      </c>
      <c r="E1837">
        <v>44</v>
      </c>
      <c r="F1837">
        <v>8.7000000000000001E-4</v>
      </c>
      <c r="G1837">
        <v>0</v>
      </c>
      <c r="H1837" t="str">
        <f t="shared" si="84"/>
        <v>40-49</v>
      </c>
      <c r="I1837" t="str">
        <f t="shared" si="85"/>
        <v>0-9</v>
      </c>
      <c r="J1837">
        <f t="shared" si="86"/>
        <v>8.7000000000000001E-4</v>
      </c>
    </row>
    <row r="1838" spans="1:10">
      <c r="A1838" t="s">
        <v>1920</v>
      </c>
      <c r="B1838">
        <v>32</v>
      </c>
      <c r="C1838" t="s">
        <v>7</v>
      </c>
      <c r="D1838">
        <v>19</v>
      </c>
      <c r="E1838">
        <v>50</v>
      </c>
      <c r="F1838">
        <v>1.91E-3</v>
      </c>
      <c r="G1838">
        <v>0</v>
      </c>
      <c r="H1838" t="str">
        <f t="shared" si="84"/>
        <v>50-59</v>
      </c>
      <c r="I1838" t="str">
        <f t="shared" si="85"/>
        <v>10-19</v>
      </c>
      <c r="J1838">
        <f t="shared" si="86"/>
        <v>1.91E-3</v>
      </c>
    </row>
    <row r="1839" spans="1:10">
      <c r="A1839" t="s">
        <v>1921</v>
      </c>
      <c r="B1839">
        <v>37</v>
      </c>
      <c r="C1839" t="s">
        <v>9</v>
      </c>
      <c r="D1839">
        <v>7</v>
      </c>
      <c r="E1839">
        <v>43</v>
      </c>
      <c r="F1839">
        <v>1.0399999999999999E-3</v>
      </c>
      <c r="G1839">
        <v>0</v>
      </c>
      <c r="H1839" t="str">
        <f t="shared" si="84"/>
        <v>40-49</v>
      </c>
      <c r="I1839" t="str">
        <f t="shared" si="85"/>
        <v>0-9</v>
      </c>
      <c r="J1839">
        <f t="shared" si="86"/>
        <v>1.0399999999999999E-3</v>
      </c>
    </row>
    <row r="1840" spans="1:10">
      <c r="A1840" t="s">
        <v>1922</v>
      </c>
      <c r="B1840">
        <v>48</v>
      </c>
      <c r="C1840" t="s">
        <v>7</v>
      </c>
      <c r="D1840">
        <v>22</v>
      </c>
      <c r="E1840">
        <v>69</v>
      </c>
      <c r="F1840">
        <v>1.2659999999999999E-2</v>
      </c>
      <c r="G1840">
        <v>0</v>
      </c>
      <c r="H1840" t="str">
        <f t="shared" si="84"/>
        <v>60-69</v>
      </c>
      <c r="I1840" t="str">
        <f t="shared" si="85"/>
        <v>20-29</v>
      </c>
      <c r="J1840">
        <f t="shared" si="86"/>
        <v>1.2659999999999999E-2</v>
      </c>
    </row>
    <row r="1841" spans="1:10">
      <c r="A1841" t="s">
        <v>1923</v>
      </c>
      <c r="B1841">
        <v>52</v>
      </c>
      <c r="C1841" t="s">
        <v>9</v>
      </c>
      <c r="D1841">
        <v>13</v>
      </c>
      <c r="E1841">
        <v>64</v>
      </c>
      <c r="F1841">
        <v>8.8699999999999994E-3</v>
      </c>
      <c r="G1841">
        <v>0</v>
      </c>
      <c r="H1841" t="str">
        <f t="shared" si="84"/>
        <v>60-69</v>
      </c>
      <c r="I1841" t="str">
        <f t="shared" si="85"/>
        <v>10-19</v>
      </c>
      <c r="J1841">
        <f t="shared" si="86"/>
        <v>8.8699999999999994E-3</v>
      </c>
    </row>
    <row r="1842" spans="1:10">
      <c r="A1842" t="s">
        <v>1924</v>
      </c>
      <c r="B1842">
        <v>58</v>
      </c>
      <c r="C1842" t="s">
        <v>7</v>
      </c>
      <c r="D1842">
        <v>17</v>
      </c>
      <c r="E1842">
        <v>74</v>
      </c>
      <c r="F1842">
        <v>1.9210000000000001E-2</v>
      </c>
      <c r="G1842">
        <v>0</v>
      </c>
      <c r="H1842" t="str">
        <f t="shared" si="84"/>
        <v>70-79</v>
      </c>
      <c r="I1842" t="str">
        <f t="shared" si="85"/>
        <v>10-19</v>
      </c>
      <c r="J1842">
        <f t="shared" si="86"/>
        <v>1.9210000000000001E-2</v>
      </c>
    </row>
    <row r="1843" spans="1:10">
      <c r="A1843" t="s">
        <v>1925</v>
      </c>
      <c r="B1843">
        <v>43</v>
      </c>
      <c r="C1843" t="s">
        <v>9</v>
      </c>
      <c r="D1843">
        <v>13</v>
      </c>
      <c r="E1843">
        <v>55</v>
      </c>
      <c r="F1843">
        <v>3.5400000000000002E-3</v>
      </c>
      <c r="G1843">
        <v>0</v>
      </c>
      <c r="H1843" t="str">
        <f t="shared" si="84"/>
        <v>50-59</v>
      </c>
      <c r="I1843" t="str">
        <f t="shared" si="85"/>
        <v>10-19</v>
      </c>
      <c r="J1843">
        <f t="shared" si="86"/>
        <v>3.5400000000000002E-3</v>
      </c>
    </row>
    <row r="1844" spans="1:10">
      <c r="A1844" t="s">
        <v>1926</v>
      </c>
      <c r="B1844">
        <v>43</v>
      </c>
      <c r="C1844" t="s">
        <v>9</v>
      </c>
      <c r="D1844">
        <v>13</v>
      </c>
      <c r="E1844">
        <v>55</v>
      </c>
      <c r="F1844">
        <v>3.5400000000000002E-3</v>
      </c>
      <c r="G1844">
        <v>0</v>
      </c>
      <c r="H1844" t="str">
        <f t="shared" si="84"/>
        <v>50-59</v>
      </c>
      <c r="I1844" t="str">
        <f t="shared" si="85"/>
        <v>10-19</v>
      </c>
      <c r="J1844">
        <f t="shared" si="86"/>
        <v>3.5400000000000002E-3</v>
      </c>
    </row>
    <row r="1845" spans="1:10">
      <c r="A1845" t="s">
        <v>1927</v>
      </c>
      <c r="B1845">
        <v>42</v>
      </c>
      <c r="C1845" t="s">
        <v>7</v>
      </c>
      <c r="D1845">
        <v>10</v>
      </c>
      <c r="E1845">
        <v>51</v>
      </c>
      <c r="F1845">
        <v>1.73E-3</v>
      </c>
      <c r="G1845">
        <v>0</v>
      </c>
      <c r="H1845" t="str">
        <f t="shared" si="84"/>
        <v>50-59</v>
      </c>
      <c r="I1845" t="str">
        <f t="shared" si="85"/>
        <v>10-19</v>
      </c>
      <c r="J1845">
        <f t="shared" si="86"/>
        <v>1.73E-3</v>
      </c>
    </row>
    <row r="1846" spans="1:10">
      <c r="A1846" t="s">
        <v>1928</v>
      </c>
      <c r="B1846">
        <v>25</v>
      </c>
      <c r="C1846" t="s">
        <v>7</v>
      </c>
      <c r="D1846">
        <v>7</v>
      </c>
      <c r="E1846">
        <v>31</v>
      </c>
      <c r="F1846">
        <v>3.2000000000000003E-4</v>
      </c>
      <c r="G1846">
        <v>0</v>
      </c>
      <c r="H1846" t="str">
        <f t="shared" si="84"/>
        <v>30-39</v>
      </c>
      <c r="I1846" t="str">
        <f t="shared" si="85"/>
        <v>0-9</v>
      </c>
      <c r="J1846">
        <f t="shared" si="86"/>
        <v>3.2000000000000003E-4</v>
      </c>
    </row>
    <row r="1847" spans="1:10">
      <c r="A1847" t="s">
        <v>1929</v>
      </c>
      <c r="B1847">
        <v>46</v>
      </c>
      <c r="C1847" t="s">
        <v>9</v>
      </c>
      <c r="D1847">
        <v>26</v>
      </c>
      <c r="E1847">
        <v>71</v>
      </c>
      <c r="F1847">
        <v>1.9089999999999999E-2</v>
      </c>
      <c r="G1847">
        <v>0</v>
      </c>
      <c r="H1847" t="str">
        <f t="shared" si="84"/>
        <v>70-79</v>
      </c>
      <c r="I1847" t="str">
        <f t="shared" si="85"/>
        <v>20-29</v>
      </c>
      <c r="J1847">
        <f t="shared" si="86"/>
        <v>1.9089999999999999E-2</v>
      </c>
    </row>
    <row r="1848" spans="1:10">
      <c r="A1848" t="s">
        <v>1930</v>
      </c>
      <c r="B1848">
        <v>47</v>
      </c>
      <c r="C1848" t="s">
        <v>7</v>
      </c>
      <c r="D1848">
        <v>24</v>
      </c>
      <c r="E1848">
        <v>70</v>
      </c>
      <c r="F1848">
        <v>1.404E-2</v>
      </c>
      <c r="G1848">
        <v>0</v>
      </c>
      <c r="H1848" t="str">
        <f t="shared" si="84"/>
        <v>70-79</v>
      </c>
      <c r="I1848" t="str">
        <f t="shared" si="85"/>
        <v>20-29</v>
      </c>
      <c r="J1848">
        <f t="shared" si="86"/>
        <v>1.404E-2</v>
      </c>
    </row>
    <row r="1849" spans="1:10">
      <c r="A1849" t="s">
        <v>1931</v>
      </c>
      <c r="B1849">
        <v>57</v>
      </c>
      <c r="C1849" t="s">
        <v>9</v>
      </c>
      <c r="D1849">
        <v>20</v>
      </c>
      <c r="E1849">
        <v>76</v>
      </c>
      <c r="F1849">
        <v>3.32E-2</v>
      </c>
      <c r="G1849">
        <v>0</v>
      </c>
      <c r="H1849" t="str">
        <f t="shared" si="84"/>
        <v>70-79</v>
      </c>
      <c r="I1849" t="str">
        <f t="shared" si="85"/>
        <v>20-29</v>
      </c>
      <c r="J1849">
        <f t="shared" si="86"/>
        <v>3.32E-2</v>
      </c>
    </row>
    <row r="1850" spans="1:10">
      <c r="A1850" t="s">
        <v>1932</v>
      </c>
      <c r="B1850">
        <v>50</v>
      </c>
      <c r="C1850" t="s">
        <v>7</v>
      </c>
      <c r="D1850">
        <v>28</v>
      </c>
      <c r="E1850">
        <v>77</v>
      </c>
      <c r="F1850">
        <v>2.325E-2</v>
      </c>
      <c r="G1850">
        <v>0</v>
      </c>
      <c r="H1850" t="str">
        <f t="shared" si="84"/>
        <v>70-79</v>
      </c>
      <c r="I1850" t="str">
        <f t="shared" si="85"/>
        <v>20-29</v>
      </c>
      <c r="J1850">
        <f t="shared" si="86"/>
        <v>2.325E-2</v>
      </c>
    </row>
    <row r="1851" spans="1:10">
      <c r="A1851" t="s">
        <v>1933</v>
      </c>
      <c r="B1851">
        <v>57</v>
      </c>
      <c r="C1851" t="s">
        <v>9</v>
      </c>
      <c r="D1851">
        <v>25</v>
      </c>
      <c r="E1851">
        <v>81</v>
      </c>
      <c r="F1851">
        <v>5.6829999999999999E-2</v>
      </c>
      <c r="G1851">
        <v>1</v>
      </c>
      <c r="H1851" t="str">
        <f t="shared" si="84"/>
        <v>80-89</v>
      </c>
      <c r="I1851" t="str">
        <f t="shared" si="85"/>
        <v>20-29</v>
      </c>
      <c r="J1851">
        <f t="shared" si="86"/>
        <v>5.6829999999999999E-2</v>
      </c>
    </row>
    <row r="1852" spans="1:10">
      <c r="A1852" t="s">
        <v>1934</v>
      </c>
      <c r="B1852">
        <v>60</v>
      </c>
      <c r="C1852" t="s">
        <v>9</v>
      </c>
      <c r="D1852">
        <v>30</v>
      </c>
      <c r="E1852">
        <v>89</v>
      </c>
      <c r="F1852">
        <v>9.1270000000000004E-2</v>
      </c>
      <c r="G1852">
        <v>0</v>
      </c>
      <c r="H1852" t="str">
        <f t="shared" si="84"/>
        <v>80-89</v>
      </c>
      <c r="I1852" t="str">
        <f t="shared" si="85"/>
        <v>30-39</v>
      </c>
      <c r="J1852">
        <f t="shared" si="86"/>
        <v>9.1270000000000004E-2</v>
      </c>
    </row>
    <row r="1853" spans="1:10">
      <c r="A1853" t="s">
        <v>1935</v>
      </c>
      <c r="B1853">
        <v>49</v>
      </c>
      <c r="C1853" t="s">
        <v>7</v>
      </c>
      <c r="D1853">
        <v>23</v>
      </c>
      <c r="E1853">
        <v>71</v>
      </c>
      <c r="F1853">
        <v>1.553E-2</v>
      </c>
      <c r="G1853">
        <v>0</v>
      </c>
      <c r="H1853" t="str">
        <f t="shared" si="84"/>
        <v>70-79</v>
      </c>
      <c r="I1853" t="str">
        <f t="shared" si="85"/>
        <v>20-29</v>
      </c>
      <c r="J1853">
        <f t="shared" si="86"/>
        <v>1.553E-2</v>
      </c>
    </row>
    <row r="1854" spans="1:10">
      <c r="A1854" t="s">
        <v>1936</v>
      </c>
      <c r="B1854">
        <v>32</v>
      </c>
      <c r="C1854" t="s">
        <v>7</v>
      </c>
      <c r="D1854">
        <v>6</v>
      </c>
      <c r="E1854">
        <v>37</v>
      </c>
      <c r="F1854">
        <v>4.4999999999999999E-4</v>
      </c>
      <c r="G1854">
        <v>0</v>
      </c>
      <c r="H1854" t="str">
        <f t="shared" si="84"/>
        <v>30-39</v>
      </c>
      <c r="I1854" t="str">
        <f t="shared" si="85"/>
        <v>0-9</v>
      </c>
      <c r="J1854">
        <f t="shared" si="86"/>
        <v>4.4999999999999999E-4</v>
      </c>
    </row>
    <row r="1855" spans="1:10">
      <c r="A1855" t="s">
        <v>1937</v>
      </c>
      <c r="B1855">
        <v>51</v>
      </c>
      <c r="C1855" t="s">
        <v>7</v>
      </c>
      <c r="D1855">
        <v>2</v>
      </c>
      <c r="E1855">
        <v>52</v>
      </c>
      <c r="F1855">
        <v>8.8000000000000003E-4</v>
      </c>
      <c r="G1855">
        <v>0</v>
      </c>
      <c r="H1855" t="str">
        <f t="shared" si="84"/>
        <v>50-59</v>
      </c>
      <c r="I1855" t="str">
        <f t="shared" si="85"/>
        <v>0-9</v>
      </c>
      <c r="J1855">
        <f t="shared" si="86"/>
        <v>8.8000000000000003E-4</v>
      </c>
    </row>
    <row r="1856" spans="1:10">
      <c r="A1856" t="s">
        <v>1938</v>
      </c>
      <c r="B1856">
        <v>57</v>
      </c>
      <c r="C1856" t="s">
        <v>9</v>
      </c>
      <c r="D1856">
        <v>10</v>
      </c>
      <c r="E1856">
        <v>66</v>
      </c>
      <c r="F1856">
        <v>1.074E-2</v>
      </c>
      <c r="G1856">
        <v>0</v>
      </c>
      <c r="H1856" t="str">
        <f t="shared" si="84"/>
        <v>60-69</v>
      </c>
      <c r="I1856" t="str">
        <f t="shared" si="85"/>
        <v>10-19</v>
      </c>
      <c r="J1856">
        <f t="shared" si="86"/>
        <v>1.074E-2</v>
      </c>
    </row>
    <row r="1857" spans="1:10">
      <c r="A1857" t="s">
        <v>1939</v>
      </c>
      <c r="B1857">
        <v>34</v>
      </c>
      <c r="C1857" t="s">
        <v>7</v>
      </c>
      <c r="D1857">
        <v>1</v>
      </c>
      <c r="E1857">
        <v>34</v>
      </c>
      <c r="F1857">
        <v>1.3999999999999999E-4</v>
      </c>
      <c r="G1857">
        <v>0</v>
      </c>
      <c r="H1857" t="str">
        <f t="shared" si="84"/>
        <v>30-39</v>
      </c>
      <c r="I1857" t="str">
        <f t="shared" si="85"/>
        <v>0-9</v>
      </c>
      <c r="J1857">
        <f t="shared" si="86"/>
        <v>1.3999999999999999E-4</v>
      </c>
    </row>
    <row r="1858" spans="1:10">
      <c r="A1858" t="s">
        <v>1940</v>
      </c>
      <c r="B1858">
        <v>39</v>
      </c>
      <c r="C1858" t="s">
        <v>7</v>
      </c>
      <c r="D1858">
        <v>21</v>
      </c>
      <c r="E1858">
        <v>59</v>
      </c>
      <c r="F1858">
        <v>4.4600000000000004E-3</v>
      </c>
      <c r="G1858">
        <v>0</v>
      </c>
      <c r="H1858" t="str">
        <f t="shared" si="84"/>
        <v>50-59</v>
      </c>
      <c r="I1858" t="str">
        <f t="shared" si="85"/>
        <v>20-29</v>
      </c>
      <c r="J1858">
        <f t="shared" si="86"/>
        <v>4.4600000000000004E-3</v>
      </c>
    </row>
    <row r="1859" spans="1:10">
      <c r="A1859" t="s">
        <v>1941</v>
      </c>
      <c r="B1859">
        <v>61</v>
      </c>
      <c r="C1859" t="s">
        <v>7</v>
      </c>
      <c r="D1859">
        <v>22</v>
      </c>
      <c r="E1859">
        <v>82</v>
      </c>
      <c r="F1859">
        <v>5.0599999999999999E-2</v>
      </c>
      <c r="G1859">
        <v>0</v>
      </c>
      <c r="H1859" t="str">
        <f t="shared" ref="H1859:H1922" si="87">FLOOR(E1859,10) &amp; "-" &amp; FLOOR(E1859,10)+9</f>
        <v>80-89</v>
      </c>
      <c r="I1859" t="str">
        <f t="shared" ref="I1859:I1922" si="88">FLOOR(D1859, 10) &amp; "-"&amp;FLOOR(D1859, 10)+9</f>
        <v>20-29</v>
      </c>
      <c r="J1859">
        <f t="shared" ref="J1859:J1922" si="89">F1859</f>
        <v>5.0599999999999999E-2</v>
      </c>
    </row>
    <row r="1860" spans="1:10">
      <c r="A1860" t="s">
        <v>1942</v>
      </c>
      <c r="B1860">
        <v>51</v>
      </c>
      <c r="C1860" t="s">
        <v>7</v>
      </c>
      <c r="D1860">
        <v>30</v>
      </c>
      <c r="E1860">
        <v>80</v>
      </c>
      <c r="F1860">
        <v>2.58E-2</v>
      </c>
      <c r="G1860">
        <v>0</v>
      </c>
      <c r="H1860" t="str">
        <f t="shared" si="87"/>
        <v>80-89</v>
      </c>
      <c r="I1860" t="str">
        <f t="shared" si="88"/>
        <v>30-39</v>
      </c>
      <c r="J1860">
        <f t="shared" si="89"/>
        <v>2.58E-2</v>
      </c>
    </row>
    <row r="1861" spans="1:10">
      <c r="A1861" t="s">
        <v>1943</v>
      </c>
      <c r="B1861">
        <v>27</v>
      </c>
      <c r="C1861" t="s">
        <v>9</v>
      </c>
      <c r="D1861">
        <v>25</v>
      </c>
      <c r="E1861">
        <v>51</v>
      </c>
      <c r="F1861">
        <v>3.0000000000000001E-3</v>
      </c>
      <c r="G1861">
        <v>0</v>
      </c>
      <c r="H1861" t="str">
        <f t="shared" si="87"/>
        <v>50-59</v>
      </c>
      <c r="I1861" t="str">
        <f t="shared" si="88"/>
        <v>20-29</v>
      </c>
      <c r="J1861">
        <f t="shared" si="89"/>
        <v>3.0000000000000001E-3</v>
      </c>
    </row>
    <row r="1862" spans="1:10">
      <c r="A1862" t="s">
        <v>1944</v>
      </c>
      <c r="B1862">
        <v>24</v>
      </c>
      <c r="C1862" t="s">
        <v>7</v>
      </c>
      <c r="D1862">
        <v>20</v>
      </c>
      <c r="E1862">
        <v>43</v>
      </c>
      <c r="F1862">
        <v>1.2600000000000001E-3</v>
      </c>
      <c r="G1862">
        <v>0</v>
      </c>
      <c r="H1862" t="str">
        <f t="shared" si="87"/>
        <v>40-49</v>
      </c>
      <c r="I1862" t="str">
        <f t="shared" si="88"/>
        <v>20-29</v>
      </c>
      <c r="J1862">
        <f t="shared" si="89"/>
        <v>1.2600000000000001E-3</v>
      </c>
    </row>
    <row r="1863" spans="1:10">
      <c r="A1863" t="s">
        <v>1945</v>
      </c>
      <c r="B1863">
        <v>56</v>
      </c>
      <c r="C1863" t="s">
        <v>7</v>
      </c>
      <c r="D1863">
        <v>14</v>
      </c>
      <c r="E1863">
        <v>69</v>
      </c>
      <c r="F1863">
        <v>1.055E-2</v>
      </c>
      <c r="G1863">
        <v>0</v>
      </c>
      <c r="H1863" t="str">
        <f t="shared" si="87"/>
        <v>60-69</v>
      </c>
      <c r="I1863" t="str">
        <f t="shared" si="88"/>
        <v>10-19</v>
      </c>
      <c r="J1863">
        <f t="shared" si="89"/>
        <v>1.055E-2</v>
      </c>
    </row>
    <row r="1864" spans="1:10">
      <c r="A1864" t="s">
        <v>1946</v>
      </c>
      <c r="B1864">
        <v>50</v>
      </c>
      <c r="C1864" t="s">
        <v>7</v>
      </c>
      <c r="D1864">
        <v>23</v>
      </c>
      <c r="E1864">
        <v>72</v>
      </c>
      <c r="F1864">
        <v>1.7170000000000001E-2</v>
      </c>
      <c r="G1864">
        <v>0</v>
      </c>
      <c r="H1864" t="str">
        <f t="shared" si="87"/>
        <v>70-79</v>
      </c>
      <c r="I1864" t="str">
        <f t="shared" si="88"/>
        <v>20-29</v>
      </c>
      <c r="J1864">
        <f t="shared" si="89"/>
        <v>1.7170000000000001E-2</v>
      </c>
    </row>
    <row r="1865" spans="1:10">
      <c r="A1865" t="s">
        <v>1947</v>
      </c>
      <c r="B1865">
        <v>56</v>
      </c>
      <c r="C1865" t="s">
        <v>7</v>
      </c>
      <c r="D1865">
        <v>1</v>
      </c>
      <c r="E1865">
        <v>56</v>
      </c>
      <c r="F1865">
        <v>5.5999999999999995E-4</v>
      </c>
      <c r="G1865">
        <v>0</v>
      </c>
      <c r="H1865" t="str">
        <f t="shared" si="87"/>
        <v>50-59</v>
      </c>
      <c r="I1865" t="str">
        <f t="shared" si="88"/>
        <v>0-9</v>
      </c>
      <c r="J1865">
        <f t="shared" si="89"/>
        <v>5.5999999999999995E-4</v>
      </c>
    </row>
    <row r="1866" spans="1:10">
      <c r="A1866" t="s">
        <v>1948</v>
      </c>
      <c r="B1866">
        <v>23</v>
      </c>
      <c r="C1866" t="s">
        <v>9</v>
      </c>
      <c r="D1866">
        <v>5</v>
      </c>
      <c r="E1866">
        <v>27</v>
      </c>
      <c r="F1866">
        <v>5.1999999999999995E-4</v>
      </c>
      <c r="G1866">
        <v>0</v>
      </c>
      <c r="H1866" t="str">
        <f t="shared" si="87"/>
        <v>20-29</v>
      </c>
      <c r="I1866" t="str">
        <f t="shared" si="88"/>
        <v>0-9</v>
      </c>
      <c r="J1866">
        <f t="shared" si="89"/>
        <v>5.1999999999999995E-4</v>
      </c>
    </row>
    <row r="1867" spans="1:10">
      <c r="A1867" t="s">
        <v>1949</v>
      </c>
      <c r="B1867">
        <v>28</v>
      </c>
      <c r="C1867" t="s">
        <v>9</v>
      </c>
      <c r="D1867">
        <v>12</v>
      </c>
      <c r="E1867">
        <v>39</v>
      </c>
      <c r="F1867">
        <v>9.7999999999999997E-4</v>
      </c>
      <c r="G1867">
        <v>0</v>
      </c>
      <c r="H1867" t="str">
        <f t="shared" si="87"/>
        <v>30-39</v>
      </c>
      <c r="I1867" t="str">
        <f t="shared" si="88"/>
        <v>10-19</v>
      </c>
      <c r="J1867">
        <f t="shared" si="89"/>
        <v>9.7999999999999997E-4</v>
      </c>
    </row>
    <row r="1868" spans="1:10">
      <c r="A1868" t="s">
        <v>1950</v>
      </c>
      <c r="B1868">
        <v>46</v>
      </c>
      <c r="C1868" t="s">
        <v>7</v>
      </c>
      <c r="D1868">
        <v>21</v>
      </c>
      <c r="E1868">
        <v>66</v>
      </c>
      <c r="F1868">
        <v>9.2399999999999999E-3</v>
      </c>
      <c r="G1868">
        <v>0</v>
      </c>
      <c r="H1868" t="str">
        <f t="shared" si="87"/>
        <v>60-69</v>
      </c>
      <c r="I1868" t="str">
        <f t="shared" si="88"/>
        <v>20-29</v>
      </c>
      <c r="J1868">
        <f t="shared" si="89"/>
        <v>9.2399999999999999E-3</v>
      </c>
    </row>
    <row r="1869" spans="1:10">
      <c r="A1869" t="s">
        <v>1951</v>
      </c>
      <c r="B1869">
        <v>38</v>
      </c>
      <c r="C1869" t="s">
        <v>7</v>
      </c>
      <c r="D1869">
        <v>10</v>
      </c>
      <c r="E1869">
        <v>47</v>
      </c>
      <c r="F1869">
        <v>1.16E-3</v>
      </c>
      <c r="G1869">
        <v>0</v>
      </c>
      <c r="H1869" t="str">
        <f t="shared" si="87"/>
        <v>40-49</v>
      </c>
      <c r="I1869" t="str">
        <f t="shared" si="88"/>
        <v>10-19</v>
      </c>
      <c r="J1869">
        <f t="shared" si="89"/>
        <v>1.16E-3</v>
      </c>
    </row>
    <row r="1870" spans="1:10">
      <c r="A1870" t="s">
        <v>1952</v>
      </c>
      <c r="B1870">
        <v>52</v>
      </c>
      <c r="C1870" t="s">
        <v>7</v>
      </c>
      <c r="D1870">
        <v>7</v>
      </c>
      <c r="E1870">
        <v>58</v>
      </c>
      <c r="F1870">
        <v>2.8400000000000001E-3</v>
      </c>
      <c r="G1870">
        <v>0</v>
      </c>
      <c r="H1870" t="str">
        <f t="shared" si="87"/>
        <v>50-59</v>
      </c>
      <c r="I1870" t="str">
        <f t="shared" si="88"/>
        <v>0-9</v>
      </c>
      <c r="J1870">
        <f t="shared" si="89"/>
        <v>2.8400000000000001E-3</v>
      </c>
    </row>
    <row r="1871" spans="1:10">
      <c r="A1871" t="s">
        <v>1953</v>
      </c>
      <c r="B1871">
        <v>26</v>
      </c>
      <c r="C1871" t="s">
        <v>7</v>
      </c>
      <c r="D1871">
        <v>20</v>
      </c>
      <c r="E1871">
        <v>45</v>
      </c>
      <c r="F1871">
        <v>1.3699999999999999E-3</v>
      </c>
      <c r="G1871">
        <v>0</v>
      </c>
      <c r="H1871" t="str">
        <f t="shared" si="87"/>
        <v>40-49</v>
      </c>
      <c r="I1871" t="str">
        <f t="shared" si="88"/>
        <v>20-29</v>
      </c>
      <c r="J1871">
        <f t="shared" si="89"/>
        <v>1.3699999999999999E-3</v>
      </c>
    </row>
    <row r="1872" spans="1:10">
      <c r="A1872" t="s">
        <v>1954</v>
      </c>
      <c r="B1872">
        <v>40</v>
      </c>
      <c r="C1872" t="s">
        <v>7</v>
      </c>
      <c r="D1872">
        <v>27</v>
      </c>
      <c r="E1872">
        <v>66</v>
      </c>
      <c r="F1872">
        <v>8.3099999999999997E-3</v>
      </c>
      <c r="G1872">
        <v>0</v>
      </c>
      <c r="H1872" t="str">
        <f t="shared" si="87"/>
        <v>60-69</v>
      </c>
      <c r="I1872" t="str">
        <f t="shared" si="88"/>
        <v>20-29</v>
      </c>
      <c r="J1872">
        <f t="shared" si="89"/>
        <v>8.3099999999999997E-3</v>
      </c>
    </row>
    <row r="1873" spans="1:10">
      <c r="A1873" t="s">
        <v>1955</v>
      </c>
      <c r="B1873">
        <v>37</v>
      </c>
      <c r="C1873" t="s">
        <v>7</v>
      </c>
      <c r="D1873">
        <v>22</v>
      </c>
      <c r="E1873">
        <v>58</v>
      </c>
      <c r="F1873">
        <v>4.0499999999999998E-3</v>
      </c>
      <c r="G1873">
        <v>0</v>
      </c>
      <c r="H1873" t="str">
        <f t="shared" si="87"/>
        <v>50-59</v>
      </c>
      <c r="I1873" t="str">
        <f t="shared" si="88"/>
        <v>20-29</v>
      </c>
      <c r="J1873">
        <f t="shared" si="89"/>
        <v>4.0499999999999998E-3</v>
      </c>
    </row>
    <row r="1874" spans="1:10">
      <c r="A1874" t="s">
        <v>1956</v>
      </c>
      <c r="B1874">
        <v>54</v>
      </c>
      <c r="C1874" t="s">
        <v>9</v>
      </c>
      <c r="D1874">
        <v>19</v>
      </c>
      <c r="E1874">
        <v>72</v>
      </c>
      <c r="F1874">
        <v>2.1139999999999999E-2</v>
      </c>
      <c r="G1874">
        <v>0</v>
      </c>
      <c r="H1874" t="str">
        <f t="shared" si="87"/>
        <v>70-79</v>
      </c>
      <c r="I1874" t="str">
        <f t="shared" si="88"/>
        <v>10-19</v>
      </c>
      <c r="J1874">
        <f t="shared" si="89"/>
        <v>2.1139999999999999E-2</v>
      </c>
    </row>
    <row r="1875" spans="1:10">
      <c r="A1875" t="s">
        <v>1957</v>
      </c>
      <c r="B1875">
        <v>28</v>
      </c>
      <c r="C1875" t="s">
        <v>9</v>
      </c>
      <c r="D1875">
        <v>17</v>
      </c>
      <c r="E1875">
        <v>44</v>
      </c>
      <c r="F1875">
        <v>1.6900000000000001E-3</v>
      </c>
      <c r="G1875">
        <v>0</v>
      </c>
      <c r="H1875" t="str">
        <f t="shared" si="87"/>
        <v>40-49</v>
      </c>
      <c r="I1875" t="str">
        <f t="shared" si="88"/>
        <v>10-19</v>
      </c>
      <c r="J1875">
        <f t="shared" si="89"/>
        <v>1.6900000000000001E-3</v>
      </c>
    </row>
    <row r="1876" spans="1:10">
      <c r="A1876" t="s">
        <v>1958</v>
      </c>
      <c r="B1876">
        <v>46</v>
      </c>
      <c r="C1876" t="s">
        <v>7</v>
      </c>
      <c r="D1876">
        <v>11</v>
      </c>
      <c r="E1876">
        <v>56</v>
      </c>
      <c r="F1876">
        <v>2.7100000000000002E-3</v>
      </c>
      <c r="G1876">
        <v>0</v>
      </c>
      <c r="H1876" t="str">
        <f t="shared" si="87"/>
        <v>50-59</v>
      </c>
      <c r="I1876" t="str">
        <f t="shared" si="88"/>
        <v>10-19</v>
      </c>
      <c r="J1876">
        <f t="shared" si="89"/>
        <v>2.7100000000000002E-3</v>
      </c>
    </row>
    <row r="1877" spans="1:10">
      <c r="A1877" t="s">
        <v>1959</v>
      </c>
      <c r="B1877">
        <v>33</v>
      </c>
      <c r="C1877" t="s">
        <v>7</v>
      </c>
      <c r="D1877">
        <v>5</v>
      </c>
      <c r="E1877">
        <v>37</v>
      </c>
      <c r="F1877">
        <v>4.2000000000000002E-4</v>
      </c>
      <c r="G1877">
        <v>0</v>
      </c>
      <c r="H1877" t="str">
        <f t="shared" si="87"/>
        <v>30-39</v>
      </c>
      <c r="I1877" t="str">
        <f t="shared" si="88"/>
        <v>0-9</v>
      </c>
      <c r="J1877">
        <f t="shared" si="89"/>
        <v>4.2000000000000002E-4</v>
      </c>
    </row>
    <row r="1878" spans="1:10">
      <c r="A1878" t="s">
        <v>1960</v>
      </c>
      <c r="B1878">
        <v>55</v>
      </c>
      <c r="C1878" t="s">
        <v>7</v>
      </c>
      <c r="D1878">
        <v>20</v>
      </c>
      <c r="E1878">
        <v>74</v>
      </c>
      <c r="F1878">
        <v>2.0740000000000001E-2</v>
      </c>
      <c r="G1878">
        <v>0</v>
      </c>
      <c r="H1878" t="str">
        <f t="shared" si="87"/>
        <v>70-79</v>
      </c>
      <c r="I1878" t="str">
        <f t="shared" si="88"/>
        <v>20-29</v>
      </c>
      <c r="J1878">
        <f t="shared" si="89"/>
        <v>2.0740000000000001E-2</v>
      </c>
    </row>
    <row r="1879" spans="1:10">
      <c r="A1879" t="s">
        <v>1961</v>
      </c>
      <c r="B1879">
        <v>54</v>
      </c>
      <c r="C1879" t="s">
        <v>7</v>
      </c>
      <c r="D1879">
        <v>23</v>
      </c>
      <c r="E1879">
        <v>76</v>
      </c>
      <c r="F1879">
        <v>2.58E-2</v>
      </c>
      <c r="G1879">
        <v>0</v>
      </c>
      <c r="H1879" t="str">
        <f t="shared" si="87"/>
        <v>70-79</v>
      </c>
      <c r="I1879" t="str">
        <f t="shared" si="88"/>
        <v>20-29</v>
      </c>
      <c r="J1879">
        <f t="shared" si="89"/>
        <v>2.58E-2</v>
      </c>
    </row>
    <row r="1880" spans="1:10">
      <c r="A1880" t="s">
        <v>1962</v>
      </c>
      <c r="B1880">
        <v>27</v>
      </c>
      <c r="C1880" t="s">
        <v>9</v>
      </c>
      <c r="D1880">
        <v>14</v>
      </c>
      <c r="E1880">
        <v>40</v>
      </c>
      <c r="F1880">
        <v>1.1800000000000001E-3</v>
      </c>
      <c r="G1880">
        <v>0</v>
      </c>
      <c r="H1880" t="str">
        <f t="shared" si="87"/>
        <v>40-49</v>
      </c>
      <c r="I1880" t="str">
        <f t="shared" si="88"/>
        <v>10-19</v>
      </c>
      <c r="J1880">
        <f t="shared" si="89"/>
        <v>1.1800000000000001E-3</v>
      </c>
    </row>
    <row r="1881" spans="1:10">
      <c r="A1881" t="s">
        <v>1963</v>
      </c>
      <c r="B1881">
        <v>28</v>
      </c>
      <c r="C1881" t="s">
        <v>9</v>
      </c>
      <c r="D1881">
        <v>30</v>
      </c>
      <c r="E1881">
        <v>57</v>
      </c>
      <c r="F1881">
        <v>3.5000000000000001E-3</v>
      </c>
      <c r="G1881">
        <v>0</v>
      </c>
      <c r="H1881" t="str">
        <f t="shared" si="87"/>
        <v>50-59</v>
      </c>
      <c r="I1881" t="str">
        <f t="shared" si="88"/>
        <v>30-39</v>
      </c>
      <c r="J1881">
        <f t="shared" si="89"/>
        <v>3.5000000000000001E-3</v>
      </c>
    </row>
    <row r="1882" spans="1:10">
      <c r="A1882" t="s">
        <v>1964</v>
      </c>
      <c r="B1882">
        <v>64</v>
      </c>
      <c r="C1882" t="s">
        <v>9</v>
      </c>
      <c r="D1882">
        <v>12</v>
      </c>
      <c r="E1882">
        <v>75</v>
      </c>
      <c r="F1882">
        <v>2.35E-2</v>
      </c>
      <c r="G1882">
        <v>0</v>
      </c>
      <c r="H1882" t="str">
        <f t="shared" si="87"/>
        <v>70-79</v>
      </c>
      <c r="I1882" t="str">
        <f t="shared" si="88"/>
        <v>10-19</v>
      </c>
      <c r="J1882">
        <f t="shared" si="89"/>
        <v>2.35E-2</v>
      </c>
    </row>
    <row r="1883" spans="1:10">
      <c r="A1883" t="s">
        <v>1965</v>
      </c>
      <c r="B1883">
        <v>58</v>
      </c>
      <c r="C1883" t="s">
        <v>7</v>
      </c>
      <c r="D1883">
        <v>17</v>
      </c>
      <c r="E1883">
        <v>74</v>
      </c>
      <c r="F1883">
        <v>1.9210000000000001E-2</v>
      </c>
      <c r="G1883">
        <v>0</v>
      </c>
      <c r="H1883" t="str">
        <f t="shared" si="87"/>
        <v>70-79</v>
      </c>
      <c r="I1883" t="str">
        <f t="shared" si="88"/>
        <v>10-19</v>
      </c>
      <c r="J1883">
        <f t="shared" si="89"/>
        <v>1.9210000000000001E-2</v>
      </c>
    </row>
    <row r="1884" spans="1:10">
      <c r="A1884" t="s">
        <v>1966</v>
      </c>
      <c r="B1884">
        <v>65</v>
      </c>
      <c r="C1884" t="s">
        <v>9</v>
      </c>
      <c r="D1884">
        <v>10</v>
      </c>
      <c r="E1884">
        <v>74</v>
      </c>
      <c r="F1884">
        <v>1.9689999999999999E-2</v>
      </c>
      <c r="G1884">
        <v>0</v>
      </c>
      <c r="H1884" t="str">
        <f t="shared" si="87"/>
        <v>70-79</v>
      </c>
      <c r="I1884" t="str">
        <f t="shared" si="88"/>
        <v>10-19</v>
      </c>
      <c r="J1884">
        <f t="shared" si="89"/>
        <v>1.9689999999999999E-2</v>
      </c>
    </row>
    <row r="1885" spans="1:10">
      <c r="A1885" t="s">
        <v>1967</v>
      </c>
      <c r="B1885">
        <v>34</v>
      </c>
      <c r="C1885" t="s">
        <v>7</v>
      </c>
      <c r="D1885">
        <v>5</v>
      </c>
      <c r="E1885">
        <v>38</v>
      </c>
      <c r="F1885">
        <v>4.6999999999999999E-4</v>
      </c>
      <c r="G1885">
        <v>0</v>
      </c>
      <c r="H1885" t="str">
        <f t="shared" si="87"/>
        <v>30-39</v>
      </c>
      <c r="I1885" t="str">
        <f t="shared" si="88"/>
        <v>0-9</v>
      </c>
      <c r="J1885">
        <f t="shared" si="89"/>
        <v>4.6999999999999999E-4</v>
      </c>
    </row>
    <row r="1886" spans="1:10">
      <c r="A1886" t="s">
        <v>1968</v>
      </c>
      <c r="B1886">
        <v>34</v>
      </c>
      <c r="C1886" t="s">
        <v>9</v>
      </c>
      <c r="D1886">
        <v>10</v>
      </c>
      <c r="E1886">
        <v>43</v>
      </c>
      <c r="F1886">
        <v>1.2199999999999999E-3</v>
      </c>
      <c r="G1886">
        <v>0</v>
      </c>
      <c r="H1886" t="str">
        <f t="shared" si="87"/>
        <v>40-49</v>
      </c>
      <c r="I1886" t="str">
        <f t="shared" si="88"/>
        <v>10-19</v>
      </c>
      <c r="J1886">
        <f t="shared" si="89"/>
        <v>1.2199999999999999E-3</v>
      </c>
    </row>
    <row r="1887" spans="1:10">
      <c r="A1887" t="s">
        <v>1969</v>
      </c>
      <c r="B1887">
        <v>25</v>
      </c>
      <c r="C1887" t="s">
        <v>7</v>
      </c>
      <c r="D1887">
        <v>14</v>
      </c>
      <c r="E1887">
        <v>38</v>
      </c>
      <c r="F1887">
        <v>7.9000000000000001E-4</v>
      </c>
      <c r="G1887">
        <v>0</v>
      </c>
      <c r="H1887" t="str">
        <f t="shared" si="87"/>
        <v>30-39</v>
      </c>
      <c r="I1887" t="str">
        <f t="shared" si="88"/>
        <v>10-19</v>
      </c>
      <c r="J1887">
        <f t="shared" si="89"/>
        <v>7.9000000000000001E-4</v>
      </c>
    </row>
    <row r="1888" spans="1:10">
      <c r="A1888" t="s">
        <v>1970</v>
      </c>
      <c r="B1888">
        <v>24</v>
      </c>
      <c r="C1888" t="s">
        <v>7</v>
      </c>
      <c r="D1888">
        <v>1</v>
      </c>
      <c r="E1888">
        <v>24</v>
      </c>
      <c r="F1888">
        <v>1.8000000000000001E-4</v>
      </c>
      <c r="G1888">
        <v>0</v>
      </c>
      <c r="H1888" t="str">
        <f t="shared" si="87"/>
        <v>20-29</v>
      </c>
      <c r="I1888" t="str">
        <f t="shared" si="88"/>
        <v>0-9</v>
      </c>
      <c r="J1888">
        <f t="shared" si="89"/>
        <v>1.8000000000000001E-4</v>
      </c>
    </row>
    <row r="1889" spans="1:10">
      <c r="A1889" t="s">
        <v>1971</v>
      </c>
      <c r="B1889">
        <v>22</v>
      </c>
      <c r="C1889" t="s">
        <v>9</v>
      </c>
      <c r="D1889">
        <v>7</v>
      </c>
      <c r="E1889">
        <v>28</v>
      </c>
      <c r="F1889">
        <v>5.9999999999999995E-4</v>
      </c>
      <c r="G1889">
        <v>0</v>
      </c>
      <c r="H1889" t="str">
        <f t="shared" si="87"/>
        <v>20-29</v>
      </c>
      <c r="I1889" t="str">
        <f t="shared" si="88"/>
        <v>0-9</v>
      </c>
      <c r="J1889">
        <f t="shared" si="89"/>
        <v>5.9999999999999995E-4</v>
      </c>
    </row>
    <row r="1890" spans="1:10">
      <c r="A1890" t="s">
        <v>1972</v>
      </c>
      <c r="B1890">
        <v>52</v>
      </c>
      <c r="C1890" t="s">
        <v>9</v>
      </c>
      <c r="D1890">
        <v>19</v>
      </c>
      <c r="E1890">
        <v>70</v>
      </c>
      <c r="F1890">
        <v>1.6750000000000001E-2</v>
      </c>
      <c r="G1890">
        <v>0</v>
      </c>
      <c r="H1890" t="str">
        <f t="shared" si="87"/>
        <v>70-79</v>
      </c>
      <c r="I1890" t="str">
        <f t="shared" si="88"/>
        <v>10-19</v>
      </c>
      <c r="J1890">
        <f t="shared" si="89"/>
        <v>1.6750000000000001E-2</v>
      </c>
    </row>
    <row r="1891" spans="1:10">
      <c r="A1891" t="s">
        <v>1973</v>
      </c>
      <c r="B1891">
        <v>36</v>
      </c>
      <c r="C1891" t="s">
        <v>9</v>
      </c>
      <c r="D1891">
        <v>2</v>
      </c>
      <c r="E1891">
        <v>37</v>
      </c>
      <c r="F1891">
        <v>3.6000000000000002E-4</v>
      </c>
      <c r="G1891">
        <v>0</v>
      </c>
      <c r="H1891" t="str">
        <f t="shared" si="87"/>
        <v>30-39</v>
      </c>
      <c r="I1891" t="str">
        <f t="shared" si="88"/>
        <v>0-9</v>
      </c>
      <c r="J1891">
        <f t="shared" si="89"/>
        <v>3.6000000000000002E-4</v>
      </c>
    </row>
    <row r="1892" spans="1:10">
      <c r="A1892" t="s">
        <v>1974</v>
      </c>
      <c r="B1892">
        <v>26</v>
      </c>
      <c r="C1892" t="s">
        <v>9</v>
      </c>
      <c r="D1892">
        <v>26</v>
      </c>
      <c r="E1892">
        <v>51</v>
      </c>
      <c r="F1892">
        <v>3.0899999999999999E-3</v>
      </c>
      <c r="G1892">
        <v>0</v>
      </c>
      <c r="H1892" t="str">
        <f t="shared" si="87"/>
        <v>50-59</v>
      </c>
      <c r="I1892" t="str">
        <f t="shared" si="88"/>
        <v>20-29</v>
      </c>
      <c r="J1892">
        <f t="shared" si="89"/>
        <v>3.0899999999999999E-3</v>
      </c>
    </row>
    <row r="1893" spans="1:10">
      <c r="A1893" t="s">
        <v>1975</v>
      </c>
      <c r="B1893">
        <v>57</v>
      </c>
      <c r="C1893" t="s">
        <v>9</v>
      </c>
      <c r="D1893">
        <v>29</v>
      </c>
      <c r="E1893">
        <v>85</v>
      </c>
      <c r="F1893">
        <v>6.3329999999999997E-2</v>
      </c>
      <c r="G1893">
        <v>0</v>
      </c>
      <c r="H1893" t="str">
        <f t="shared" si="87"/>
        <v>80-89</v>
      </c>
      <c r="I1893" t="str">
        <f t="shared" si="88"/>
        <v>20-29</v>
      </c>
      <c r="J1893">
        <f t="shared" si="89"/>
        <v>6.3329999999999997E-2</v>
      </c>
    </row>
    <row r="1894" spans="1:10">
      <c r="A1894" t="s">
        <v>1976</v>
      </c>
      <c r="B1894">
        <v>21</v>
      </c>
      <c r="C1894" t="s">
        <v>9</v>
      </c>
      <c r="D1894">
        <v>3</v>
      </c>
      <c r="E1894">
        <v>23</v>
      </c>
      <c r="F1894">
        <v>6.7000000000000002E-4</v>
      </c>
      <c r="G1894">
        <v>0</v>
      </c>
      <c r="H1894" t="str">
        <f t="shared" si="87"/>
        <v>20-29</v>
      </c>
      <c r="I1894" t="str">
        <f t="shared" si="88"/>
        <v>0-9</v>
      </c>
      <c r="J1894">
        <f t="shared" si="89"/>
        <v>6.7000000000000002E-4</v>
      </c>
    </row>
    <row r="1895" spans="1:10">
      <c r="A1895" t="s">
        <v>1977</v>
      </c>
      <c r="B1895">
        <v>37</v>
      </c>
      <c r="C1895" t="s">
        <v>9</v>
      </c>
      <c r="D1895">
        <v>19</v>
      </c>
      <c r="E1895">
        <v>55</v>
      </c>
      <c r="F1895">
        <v>3.82E-3</v>
      </c>
      <c r="G1895">
        <v>0</v>
      </c>
      <c r="H1895" t="str">
        <f t="shared" si="87"/>
        <v>50-59</v>
      </c>
      <c r="I1895" t="str">
        <f t="shared" si="88"/>
        <v>10-19</v>
      </c>
      <c r="J1895">
        <f t="shared" si="89"/>
        <v>3.82E-3</v>
      </c>
    </row>
    <row r="1896" spans="1:10">
      <c r="A1896" t="s">
        <v>1978</v>
      </c>
      <c r="B1896">
        <v>52</v>
      </c>
      <c r="C1896" t="s">
        <v>7</v>
      </c>
      <c r="D1896">
        <v>25</v>
      </c>
      <c r="E1896">
        <v>76</v>
      </c>
      <c r="F1896">
        <v>2.58E-2</v>
      </c>
      <c r="G1896">
        <v>0</v>
      </c>
      <c r="H1896" t="str">
        <f t="shared" si="87"/>
        <v>70-79</v>
      </c>
      <c r="I1896" t="str">
        <f t="shared" si="88"/>
        <v>20-29</v>
      </c>
      <c r="J1896">
        <f t="shared" si="89"/>
        <v>2.58E-2</v>
      </c>
    </row>
    <row r="1897" spans="1:10">
      <c r="A1897" t="s">
        <v>1979</v>
      </c>
      <c r="B1897">
        <v>56</v>
      </c>
      <c r="C1897" t="s">
        <v>9</v>
      </c>
      <c r="D1897">
        <v>3</v>
      </c>
      <c r="E1897">
        <v>58</v>
      </c>
      <c r="F1897">
        <v>3.4099999999999998E-3</v>
      </c>
      <c r="G1897">
        <v>0</v>
      </c>
      <c r="H1897" t="str">
        <f t="shared" si="87"/>
        <v>50-59</v>
      </c>
      <c r="I1897" t="str">
        <f t="shared" si="88"/>
        <v>0-9</v>
      </c>
      <c r="J1897">
        <f t="shared" si="89"/>
        <v>3.4099999999999998E-3</v>
      </c>
    </row>
    <row r="1898" spans="1:10">
      <c r="A1898" t="s">
        <v>1980</v>
      </c>
      <c r="B1898">
        <v>20</v>
      </c>
      <c r="C1898" t="s">
        <v>9</v>
      </c>
      <c r="D1898">
        <v>17</v>
      </c>
      <c r="E1898">
        <v>36</v>
      </c>
      <c r="F1898">
        <v>1.09E-3</v>
      </c>
      <c r="G1898">
        <v>0</v>
      </c>
      <c r="H1898" t="str">
        <f t="shared" si="87"/>
        <v>30-39</v>
      </c>
      <c r="I1898" t="str">
        <f t="shared" si="88"/>
        <v>10-19</v>
      </c>
      <c r="J1898">
        <f t="shared" si="89"/>
        <v>1.09E-3</v>
      </c>
    </row>
    <row r="1899" spans="1:10">
      <c r="A1899" t="s">
        <v>1981</v>
      </c>
      <c r="B1899">
        <v>38</v>
      </c>
      <c r="C1899" t="s">
        <v>7</v>
      </c>
      <c r="D1899">
        <v>6</v>
      </c>
      <c r="E1899">
        <v>43</v>
      </c>
      <c r="F1899">
        <v>7.5000000000000002E-4</v>
      </c>
      <c r="G1899">
        <v>0</v>
      </c>
      <c r="H1899" t="str">
        <f t="shared" si="87"/>
        <v>40-49</v>
      </c>
      <c r="I1899" t="str">
        <f t="shared" si="88"/>
        <v>0-9</v>
      </c>
      <c r="J1899">
        <f t="shared" si="89"/>
        <v>7.5000000000000002E-4</v>
      </c>
    </row>
    <row r="1900" spans="1:10">
      <c r="A1900" t="s">
        <v>1982</v>
      </c>
      <c r="B1900">
        <v>26</v>
      </c>
      <c r="C1900" t="s">
        <v>9</v>
      </c>
      <c r="D1900">
        <v>30</v>
      </c>
      <c r="E1900">
        <v>55</v>
      </c>
      <c r="F1900">
        <v>3.0899999999999999E-3</v>
      </c>
      <c r="G1900">
        <v>0</v>
      </c>
      <c r="H1900" t="str">
        <f t="shared" si="87"/>
        <v>50-59</v>
      </c>
      <c r="I1900" t="str">
        <f t="shared" si="88"/>
        <v>30-39</v>
      </c>
      <c r="J1900">
        <f t="shared" si="89"/>
        <v>3.0899999999999999E-3</v>
      </c>
    </row>
    <row r="1901" spans="1:10">
      <c r="A1901" t="s">
        <v>1983</v>
      </c>
      <c r="B1901">
        <v>65</v>
      </c>
      <c r="C1901" t="s">
        <v>9</v>
      </c>
      <c r="D1901">
        <v>16</v>
      </c>
      <c r="E1901">
        <v>80</v>
      </c>
      <c r="F1901">
        <v>4.65E-2</v>
      </c>
      <c r="G1901">
        <v>0</v>
      </c>
      <c r="H1901" t="str">
        <f t="shared" si="87"/>
        <v>80-89</v>
      </c>
      <c r="I1901" t="str">
        <f t="shared" si="88"/>
        <v>10-19</v>
      </c>
      <c r="J1901">
        <f t="shared" si="89"/>
        <v>4.65E-2</v>
      </c>
    </row>
    <row r="1902" spans="1:10">
      <c r="A1902" t="s">
        <v>1984</v>
      </c>
      <c r="B1902">
        <v>48</v>
      </c>
      <c r="C1902" t="s">
        <v>7</v>
      </c>
      <c r="D1902">
        <v>22</v>
      </c>
      <c r="E1902">
        <v>69</v>
      </c>
      <c r="F1902">
        <v>1.2659999999999999E-2</v>
      </c>
      <c r="G1902">
        <v>0</v>
      </c>
      <c r="H1902" t="str">
        <f t="shared" si="87"/>
        <v>60-69</v>
      </c>
      <c r="I1902" t="str">
        <f t="shared" si="88"/>
        <v>20-29</v>
      </c>
      <c r="J1902">
        <f t="shared" si="89"/>
        <v>1.2659999999999999E-2</v>
      </c>
    </row>
    <row r="1903" spans="1:10">
      <c r="A1903" t="s">
        <v>1985</v>
      </c>
      <c r="B1903">
        <v>42</v>
      </c>
      <c r="C1903" t="s">
        <v>9</v>
      </c>
      <c r="D1903">
        <v>13</v>
      </c>
      <c r="E1903">
        <v>54</v>
      </c>
      <c r="F1903">
        <v>3.2100000000000002E-3</v>
      </c>
      <c r="G1903">
        <v>0</v>
      </c>
      <c r="H1903" t="str">
        <f t="shared" si="87"/>
        <v>50-59</v>
      </c>
      <c r="I1903" t="str">
        <f t="shared" si="88"/>
        <v>10-19</v>
      </c>
      <c r="J1903">
        <f t="shared" si="89"/>
        <v>3.2100000000000002E-3</v>
      </c>
    </row>
    <row r="1904" spans="1:10">
      <c r="A1904" t="s">
        <v>1986</v>
      </c>
      <c r="B1904">
        <v>46</v>
      </c>
      <c r="C1904" t="s">
        <v>7</v>
      </c>
      <c r="D1904">
        <v>4</v>
      </c>
      <c r="E1904">
        <v>49</v>
      </c>
      <c r="F1904">
        <v>1.0499999999999999E-3</v>
      </c>
      <c r="G1904">
        <v>0</v>
      </c>
      <c r="H1904" t="str">
        <f t="shared" si="87"/>
        <v>40-49</v>
      </c>
      <c r="I1904" t="str">
        <f t="shared" si="88"/>
        <v>0-9</v>
      </c>
      <c r="J1904">
        <f t="shared" si="89"/>
        <v>1.0499999999999999E-3</v>
      </c>
    </row>
    <row r="1905" spans="1:10">
      <c r="A1905" t="s">
        <v>1987</v>
      </c>
      <c r="B1905">
        <v>49</v>
      </c>
      <c r="C1905" t="s">
        <v>7</v>
      </c>
      <c r="D1905">
        <v>4</v>
      </c>
      <c r="E1905">
        <v>52</v>
      </c>
      <c r="F1905">
        <v>1.4E-3</v>
      </c>
      <c r="G1905">
        <v>0</v>
      </c>
      <c r="H1905" t="str">
        <f t="shared" si="87"/>
        <v>50-59</v>
      </c>
      <c r="I1905" t="str">
        <f t="shared" si="88"/>
        <v>0-9</v>
      </c>
      <c r="J1905">
        <f t="shared" si="89"/>
        <v>1.4E-3</v>
      </c>
    </row>
    <row r="1906" spans="1:10">
      <c r="A1906" t="s">
        <v>1988</v>
      </c>
      <c r="B1906">
        <v>43</v>
      </c>
      <c r="C1906" t="s">
        <v>9</v>
      </c>
      <c r="D1906">
        <v>23</v>
      </c>
      <c r="E1906">
        <v>65</v>
      </c>
      <c r="F1906">
        <v>1.0359999999999999E-2</v>
      </c>
      <c r="G1906">
        <v>0</v>
      </c>
      <c r="H1906" t="str">
        <f t="shared" si="87"/>
        <v>60-69</v>
      </c>
      <c r="I1906" t="str">
        <f t="shared" si="88"/>
        <v>20-29</v>
      </c>
      <c r="J1906">
        <f t="shared" si="89"/>
        <v>1.0359999999999999E-2</v>
      </c>
    </row>
    <row r="1907" spans="1:10">
      <c r="A1907" t="s">
        <v>1989</v>
      </c>
      <c r="B1907">
        <v>25</v>
      </c>
      <c r="C1907" t="s">
        <v>9</v>
      </c>
      <c r="D1907">
        <v>11</v>
      </c>
      <c r="E1907">
        <v>35</v>
      </c>
      <c r="F1907">
        <v>7.2999999999999996E-4</v>
      </c>
      <c r="G1907">
        <v>0</v>
      </c>
      <c r="H1907" t="str">
        <f t="shared" si="87"/>
        <v>30-39</v>
      </c>
      <c r="I1907" t="str">
        <f t="shared" si="88"/>
        <v>10-19</v>
      </c>
      <c r="J1907">
        <f t="shared" si="89"/>
        <v>7.2999999999999996E-4</v>
      </c>
    </row>
    <row r="1908" spans="1:10">
      <c r="A1908" t="s">
        <v>1990</v>
      </c>
      <c r="B1908">
        <v>49</v>
      </c>
      <c r="C1908" t="s">
        <v>7</v>
      </c>
      <c r="D1908">
        <v>20</v>
      </c>
      <c r="E1908">
        <v>68</v>
      </c>
      <c r="F1908">
        <v>1.125E-2</v>
      </c>
      <c r="G1908">
        <v>0</v>
      </c>
      <c r="H1908" t="str">
        <f t="shared" si="87"/>
        <v>60-69</v>
      </c>
      <c r="I1908" t="str">
        <f t="shared" si="88"/>
        <v>20-29</v>
      </c>
      <c r="J1908">
        <f t="shared" si="89"/>
        <v>1.125E-2</v>
      </c>
    </row>
    <row r="1909" spans="1:10">
      <c r="A1909" t="s">
        <v>1991</v>
      </c>
      <c r="B1909">
        <v>48</v>
      </c>
      <c r="C1909" t="s">
        <v>7</v>
      </c>
      <c r="D1909">
        <v>8</v>
      </c>
      <c r="E1909">
        <v>55</v>
      </c>
      <c r="F1909">
        <v>2.2300000000000002E-3</v>
      </c>
      <c r="G1909">
        <v>0</v>
      </c>
      <c r="H1909" t="str">
        <f t="shared" si="87"/>
        <v>50-59</v>
      </c>
      <c r="I1909" t="str">
        <f t="shared" si="88"/>
        <v>0-9</v>
      </c>
      <c r="J1909">
        <f t="shared" si="89"/>
        <v>2.2300000000000002E-3</v>
      </c>
    </row>
    <row r="1910" spans="1:10">
      <c r="A1910" t="s">
        <v>1992</v>
      </c>
      <c r="B1910">
        <v>47</v>
      </c>
      <c r="C1910" t="s">
        <v>7</v>
      </c>
      <c r="D1910">
        <v>7</v>
      </c>
      <c r="E1910">
        <v>53</v>
      </c>
      <c r="F1910">
        <v>1.75E-3</v>
      </c>
      <c r="G1910">
        <v>0</v>
      </c>
      <c r="H1910" t="str">
        <f t="shared" si="87"/>
        <v>50-59</v>
      </c>
      <c r="I1910" t="str">
        <f t="shared" si="88"/>
        <v>0-9</v>
      </c>
      <c r="J1910">
        <f t="shared" si="89"/>
        <v>1.75E-3</v>
      </c>
    </row>
    <row r="1911" spans="1:10">
      <c r="A1911" t="s">
        <v>1993</v>
      </c>
      <c r="B1911">
        <v>50</v>
      </c>
      <c r="C1911" t="s">
        <v>9</v>
      </c>
      <c r="D1911">
        <v>22</v>
      </c>
      <c r="E1911">
        <v>71</v>
      </c>
      <c r="F1911">
        <v>1.9089999999999999E-2</v>
      </c>
      <c r="G1911">
        <v>1</v>
      </c>
      <c r="H1911" t="str">
        <f t="shared" si="87"/>
        <v>70-79</v>
      </c>
      <c r="I1911" t="str">
        <f t="shared" si="88"/>
        <v>20-29</v>
      </c>
      <c r="J1911">
        <f t="shared" si="89"/>
        <v>1.9089999999999999E-2</v>
      </c>
    </row>
    <row r="1912" spans="1:10">
      <c r="A1912" t="s">
        <v>1994</v>
      </c>
      <c r="B1912">
        <v>63</v>
      </c>
      <c r="C1912" t="s">
        <v>7</v>
      </c>
      <c r="D1912">
        <v>16</v>
      </c>
      <c r="E1912">
        <v>78</v>
      </c>
      <c r="F1912">
        <v>2.8119999999999999E-2</v>
      </c>
      <c r="G1912">
        <v>0</v>
      </c>
      <c r="H1912" t="str">
        <f t="shared" si="87"/>
        <v>70-79</v>
      </c>
      <c r="I1912" t="str">
        <f t="shared" si="88"/>
        <v>10-19</v>
      </c>
      <c r="J1912">
        <f t="shared" si="89"/>
        <v>2.8119999999999999E-2</v>
      </c>
    </row>
    <row r="1913" spans="1:10">
      <c r="A1913" t="s">
        <v>1995</v>
      </c>
      <c r="B1913">
        <v>53</v>
      </c>
      <c r="C1913" t="s">
        <v>7</v>
      </c>
      <c r="D1913">
        <v>22</v>
      </c>
      <c r="E1913">
        <v>74</v>
      </c>
      <c r="F1913">
        <v>2.0979999999999999E-2</v>
      </c>
      <c r="G1913">
        <v>0</v>
      </c>
      <c r="H1913" t="str">
        <f t="shared" si="87"/>
        <v>70-79</v>
      </c>
      <c r="I1913" t="str">
        <f t="shared" si="88"/>
        <v>20-29</v>
      </c>
      <c r="J1913">
        <f t="shared" si="89"/>
        <v>2.0979999999999999E-2</v>
      </c>
    </row>
    <row r="1914" spans="1:10">
      <c r="A1914" t="s">
        <v>1996</v>
      </c>
      <c r="B1914">
        <v>45</v>
      </c>
      <c r="C1914" t="s">
        <v>7</v>
      </c>
      <c r="D1914">
        <v>13</v>
      </c>
      <c r="E1914">
        <v>57</v>
      </c>
      <c r="F1914">
        <v>3.2399999999999998E-3</v>
      </c>
      <c r="G1914">
        <v>0</v>
      </c>
      <c r="H1914" t="str">
        <f t="shared" si="87"/>
        <v>50-59</v>
      </c>
      <c r="I1914" t="str">
        <f t="shared" si="88"/>
        <v>10-19</v>
      </c>
      <c r="J1914">
        <f t="shared" si="89"/>
        <v>3.2399999999999998E-3</v>
      </c>
    </row>
    <row r="1915" spans="1:10">
      <c r="A1915" t="s">
        <v>1997</v>
      </c>
      <c r="B1915">
        <v>30</v>
      </c>
      <c r="C1915" t="s">
        <v>9</v>
      </c>
      <c r="D1915">
        <v>3</v>
      </c>
      <c r="E1915">
        <v>32</v>
      </c>
      <c r="F1915">
        <v>3.6999999999999999E-4</v>
      </c>
      <c r="G1915">
        <v>0</v>
      </c>
      <c r="H1915" t="str">
        <f t="shared" si="87"/>
        <v>30-39</v>
      </c>
      <c r="I1915" t="str">
        <f t="shared" si="88"/>
        <v>0-9</v>
      </c>
      <c r="J1915">
        <f t="shared" si="89"/>
        <v>3.6999999999999999E-4</v>
      </c>
    </row>
    <row r="1916" spans="1:10">
      <c r="A1916" t="s">
        <v>1998</v>
      </c>
      <c r="B1916">
        <v>32</v>
      </c>
      <c r="C1916" t="s">
        <v>7</v>
      </c>
      <c r="D1916">
        <v>20</v>
      </c>
      <c r="E1916">
        <v>51</v>
      </c>
      <c r="F1916">
        <v>2.1199999999999999E-3</v>
      </c>
      <c r="G1916">
        <v>0</v>
      </c>
      <c r="H1916" t="str">
        <f t="shared" si="87"/>
        <v>50-59</v>
      </c>
      <c r="I1916" t="str">
        <f t="shared" si="88"/>
        <v>20-29</v>
      </c>
      <c r="J1916">
        <f t="shared" si="89"/>
        <v>2.1199999999999999E-3</v>
      </c>
    </row>
    <row r="1917" spans="1:10">
      <c r="A1917" t="s">
        <v>1999</v>
      </c>
      <c r="B1917">
        <v>34</v>
      </c>
      <c r="C1917" t="s">
        <v>9</v>
      </c>
      <c r="D1917">
        <v>27</v>
      </c>
      <c r="E1917">
        <v>60</v>
      </c>
      <c r="F1917">
        <v>5.7400000000000003E-3</v>
      </c>
      <c r="G1917">
        <v>0</v>
      </c>
      <c r="H1917" t="str">
        <f t="shared" si="87"/>
        <v>60-69</v>
      </c>
      <c r="I1917" t="str">
        <f t="shared" si="88"/>
        <v>20-29</v>
      </c>
      <c r="J1917">
        <f t="shared" si="89"/>
        <v>5.7400000000000003E-3</v>
      </c>
    </row>
    <row r="1918" spans="1:10">
      <c r="A1918" t="s">
        <v>2000</v>
      </c>
      <c r="B1918">
        <v>65</v>
      </c>
      <c r="C1918" t="s">
        <v>7</v>
      </c>
      <c r="D1918">
        <v>25</v>
      </c>
      <c r="E1918">
        <v>89</v>
      </c>
      <c r="F1918">
        <v>0.11754000000000001</v>
      </c>
      <c r="G1918">
        <v>0</v>
      </c>
      <c r="H1918" t="str">
        <f t="shared" si="87"/>
        <v>80-89</v>
      </c>
      <c r="I1918" t="str">
        <f t="shared" si="88"/>
        <v>20-29</v>
      </c>
      <c r="J1918">
        <f t="shared" si="89"/>
        <v>0.11754000000000001</v>
      </c>
    </row>
    <row r="1919" spans="1:10">
      <c r="A1919" t="s">
        <v>2001</v>
      </c>
      <c r="B1919">
        <v>61</v>
      </c>
      <c r="C1919" t="s">
        <v>9</v>
      </c>
      <c r="D1919">
        <v>13</v>
      </c>
      <c r="E1919">
        <v>73</v>
      </c>
      <c r="F1919">
        <v>2.2499999999999999E-2</v>
      </c>
      <c r="G1919">
        <v>0</v>
      </c>
      <c r="H1919" t="str">
        <f t="shared" si="87"/>
        <v>70-79</v>
      </c>
      <c r="I1919" t="str">
        <f t="shared" si="88"/>
        <v>10-19</v>
      </c>
      <c r="J1919">
        <f t="shared" si="89"/>
        <v>2.2499999999999999E-2</v>
      </c>
    </row>
    <row r="1920" spans="1:10">
      <c r="A1920" t="s">
        <v>2002</v>
      </c>
      <c r="B1920">
        <v>45</v>
      </c>
      <c r="C1920" t="s">
        <v>7</v>
      </c>
      <c r="D1920">
        <v>16</v>
      </c>
      <c r="E1920">
        <v>60</v>
      </c>
      <c r="F1920">
        <v>4.62E-3</v>
      </c>
      <c r="G1920">
        <v>0</v>
      </c>
      <c r="H1920" t="str">
        <f t="shared" si="87"/>
        <v>60-69</v>
      </c>
      <c r="I1920" t="str">
        <f t="shared" si="88"/>
        <v>10-19</v>
      </c>
      <c r="J1920">
        <f t="shared" si="89"/>
        <v>4.62E-3</v>
      </c>
    </row>
    <row r="1921" spans="1:10">
      <c r="A1921" t="s">
        <v>2003</v>
      </c>
      <c r="B1921">
        <v>49</v>
      </c>
      <c r="C1921" t="s">
        <v>9</v>
      </c>
      <c r="D1921">
        <v>4</v>
      </c>
      <c r="E1921">
        <v>52</v>
      </c>
      <c r="F1921">
        <v>1.9400000000000001E-3</v>
      </c>
      <c r="G1921">
        <v>0</v>
      </c>
      <c r="H1921" t="str">
        <f t="shared" si="87"/>
        <v>50-59</v>
      </c>
      <c r="I1921" t="str">
        <f t="shared" si="88"/>
        <v>0-9</v>
      </c>
      <c r="J1921">
        <f t="shared" si="89"/>
        <v>1.9400000000000001E-3</v>
      </c>
    </row>
    <row r="1922" spans="1:10">
      <c r="A1922" t="s">
        <v>2004</v>
      </c>
      <c r="B1922">
        <v>34</v>
      </c>
      <c r="C1922" t="s">
        <v>7</v>
      </c>
      <c r="D1922">
        <v>21</v>
      </c>
      <c r="E1922">
        <v>54</v>
      </c>
      <c r="F1922">
        <v>2.82E-3</v>
      </c>
      <c r="G1922">
        <v>0</v>
      </c>
      <c r="H1922" t="str">
        <f t="shared" si="87"/>
        <v>50-59</v>
      </c>
      <c r="I1922" t="str">
        <f t="shared" si="88"/>
        <v>20-29</v>
      </c>
      <c r="J1922">
        <f t="shared" si="89"/>
        <v>2.82E-3</v>
      </c>
    </row>
    <row r="1923" spans="1:10">
      <c r="A1923" t="s">
        <v>2005</v>
      </c>
      <c r="B1923">
        <v>23</v>
      </c>
      <c r="C1923" t="s">
        <v>9</v>
      </c>
      <c r="D1923">
        <v>27</v>
      </c>
      <c r="E1923">
        <v>49</v>
      </c>
      <c r="F1923">
        <v>2.7399999999999998E-3</v>
      </c>
      <c r="G1923">
        <v>0</v>
      </c>
      <c r="H1923" t="str">
        <f t="shared" ref="H1923:H1986" si="90">FLOOR(E1923,10) &amp; "-" &amp; FLOOR(E1923,10)+9</f>
        <v>40-49</v>
      </c>
      <c r="I1923" t="str">
        <f t="shared" ref="I1923:I1986" si="91">FLOOR(D1923, 10) &amp; "-"&amp;FLOOR(D1923, 10)+9</f>
        <v>20-29</v>
      </c>
      <c r="J1923">
        <f t="shared" ref="J1923:J1986" si="92">F1923</f>
        <v>2.7399999999999998E-3</v>
      </c>
    </row>
    <row r="1924" spans="1:10">
      <c r="A1924" t="s">
        <v>2006</v>
      </c>
      <c r="B1924">
        <v>31</v>
      </c>
      <c r="C1924" t="s">
        <v>7</v>
      </c>
      <c r="D1924">
        <v>13</v>
      </c>
      <c r="E1924">
        <v>43</v>
      </c>
      <c r="F1924">
        <v>1.01E-3</v>
      </c>
      <c r="G1924">
        <v>0</v>
      </c>
      <c r="H1924" t="str">
        <f t="shared" si="90"/>
        <v>40-49</v>
      </c>
      <c r="I1924" t="str">
        <f t="shared" si="91"/>
        <v>10-19</v>
      </c>
      <c r="J1924">
        <f t="shared" si="92"/>
        <v>1.01E-3</v>
      </c>
    </row>
    <row r="1925" spans="1:10">
      <c r="A1925" t="s">
        <v>2007</v>
      </c>
      <c r="B1925">
        <v>39</v>
      </c>
      <c r="C1925" t="s">
        <v>7</v>
      </c>
      <c r="D1925">
        <v>20</v>
      </c>
      <c r="E1925">
        <v>58</v>
      </c>
      <c r="F1925">
        <v>4.0200000000000001E-3</v>
      </c>
      <c r="G1925">
        <v>0</v>
      </c>
      <c r="H1925" t="str">
        <f t="shared" si="90"/>
        <v>50-59</v>
      </c>
      <c r="I1925" t="str">
        <f t="shared" si="91"/>
        <v>20-29</v>
      </c>
      <c r="J1925">
        <f t="shared" si="92"/>
        <v>4.0200000000000001E-3</v>
      </c>
    </row>
    <row r="1926" spans="1:10">
      <c r="A1926" t="s">
        <v>2008</v>
      </c>
      <c r="B1926">
        <v>62</v>
      </c>
      <c r="C1926" t="s">
        <v>7</v>
      </c>
      <c r="D1926">
        <v>25</v>
      </c>
      <c r="E1926">
        <v>86</v>
      </c>
      <c r="F1926">
        <v>8.2710000000000006E-2</v>
      </c>
      <c r="G1926">
        <v>0</v>
      </c>
      <c r="H1926" t="str">
        <f t="shared" si="90"/>
        <v>80-89</v>
      </c>
      <c r="I1926" t="str">
        <f t="shared" si="91"/>
        <v>20-29</v>
      </c>
      <c r="J1926">
        <f t="shared" si="92"/>
        <v>8.2710000000000006E-2</v>
      </c>
    </row>
    <row r="1927" spans="1:10">
      <c r="A1927" t="s">
        <v>2009</v>
      </c>
      <c r="B1927">
        <v>49</v>
      </c>
      <c r="C1927" t="s">
        <v>9</v>
      </c>
      <c r="D1927">
        <v>7</v>
      </c>
      <c r="E1927">
        <v>55</v>
      </c>
      <c r="F1927">
        <v>3.0500000000000002E-3</v>
      </c>
      <c r="G1927">
        <v>0</v>
      </c>
      <c r="H1927" t="str">
        <f t="shared" si="90"/>
        <v>50-59</v>
      </c>
      <c r="I1927" t="str">
        <f t="shared" si="91"/>
        <v>0-9</v>
      </c>
      <c r="J1927">
        <f t="shared" si="92"/>
        <v>3.0500000000000002E-3</v>
      </c>
    </row>
    <row r="1928" spans="1:10">
      <c r="A1928" t="s">
        <v>2010</v>
      </c>
      <c r="B1928">
        <v>52</v>
      </c>
      <c r="C1928" t="s">
        <v>7</v>
      </c>
      <c r="D1928">
        <v>9</v>
      </c>
      <c r="E1928">
        <v>60</v>
      </c>
      <c r="F1928">
        <v>3.6900000000000001E-3</v>
      </c>
      <c r="G1928">
        <v>0</v>
      </c>
      <c r="H1928" t="str">
        <f t="shared" si="90"/>
        <v>60-69</v>
      </c>
      <c r="I1928" t="str">
        <f t="shared" si="91"/>
        <v>0-9</v>
      </c>
      <c r="J1928">
        <f t="shared" si="92"/>
        <v>3.6900000000000001E-3</v>
      </c>
    </row>
    <row r="1929" spans="1:10">
      <c r="A1929" t="s">
        <v>2011</v>
      </c>
      <c r="B1929">
        <v>54</v>
      </c>
      <c r="C1929" t="s">
        <v>9</v>
      </c>
      <c r="D1929">
        <v>18</v>
      </c>
      <c r="E1929">
        <v>71</v>
      </c>
      <c r="F1929">
        <v>1.8769999999999998E-2</v>
      </c>
      <c r="G1929">
        <v>0</v>
      </c>
      <c r="H1929" t="str">
        <f t="shared" si="90"/>
        <v>70-79</v>
      </c>
      <c r="I1929" t="str">
        <f t="shared" si="91"/>
        <v>10-19</v>
      </c>
      <c r="J1929">
        <f t="shared" si="92"/>
        <v>1.8769999999999998E-2</v>
      </c>
    </row>
    <row r="1930" spans="1:10">
      <c r="A1930" t="s">
        <v>2012</v>
      </c>
      <c r="B1930">
        <v>47</v>
      </c>
      <c r="C1930" t="s">
        <v>7</v>
      </c>
      <c r="D1930">
        <v>29</v>
      </c>
      <c r="E1930">
        <v>75</v>
      </c>
      <c r="F1930">
        <v>1.7170000000000001E-2</v>
      </c>
      <c r="G1930">
        <v>0</v>
      </c>
      <c r="H1930" t="str">
        <f t="shared" si="90"/>
        <v>70-79</v>
      </c>
      <c r="I1930" t="str">
        <f t="shared" si="91"/>
        <v>20-29</v>
      </c>
      <c r="J1930">
        <f t="shared" si="92"/>
        <v>1.7170000000000001E-2</v>
      </c>
    </row>
    <row r="1931" spans="1:10">
      <c r="A1931" t="s">
        <v>2013</v>
      </c>
      <c r="B1931">
        <v>40</v>
      </c>
      <c r="C1931" t="s">
        <v>9</v>
      </c>
      <c r="D1931">
        <v>28</v>
      </c>
      <c r="E1931">
        <v>67</v>
      </c>
      <c r="F1931">
        <v>1.064E-2</v>
      </c>
      <c r="G1931">
        <v>0</v>
      </c>
      <c r="H1931" t="str">
        <f t="shared" si="90"/>
        <v>60-69</v>
      </c>
      <c r="I1931" t="str">
        <f t="shared" si="91"/>
        <v>20-29</v>
      </c>
      <c r="J1931">
        <f t="shared" si="92"/>
        <v>1.064E-2</v>
      </c>
    </row>
    <row r="1932" spans="1:10">
      <c r="A1932" t="s">
        <v>2014</v>
      </c>
      <c r="B1932">
        <v>22</v>
      </c>
      <c r="C1932" t="s">
        <v>7</v>
      </c>
      <c r="D1932">
        <v>6</v>
      </c>
      <c r="E1932">
        <v>27</v>
      </c>
      <c r="F1932">
        <v>2.7E-4</v>
      </c>
      <c r="G1932">
        <v>0</v>
      </c>
      <c r="H1932" t="str">
        <f t="shared" si="90"/>
        <v>20-29</v>
      </c>
      <c r="I1932" t="str">
        <f t="shared" si="91"/>
        <v>0-9</v>
      </c>
      <c r="J1932">
        <f t="shared" si="92"/>
        <v>2.7E-4</v>
      </c>
    </row>
    <row r="1933" spans="1:10">
      <c r="A1933" t="s">
        <v>2015</v>
      </c>
      <c r="B1933">
        <v>39</v>
      </c>
      <c r="C1933" t="s">
        <v>7</v>
      </c>
      <c r="D1933">
        <v>29</v>
      </c>
      <c r="E1933">
        <v>67</v>
      </c>
      <c r="F1933">
        <v>7.4700000000000001E-3</v>
      </c>
      <c r="G1933">
        <v>0</v>
      </c>
      <c r="H1933" t="str">
        <f t="shared" si="90"/>
        <v>60-69</v>
      </c>
      <c r="I1933" t="str">
        <f t="shared" si="91"/>
        <v>20-29</v>
      </c>
      <c r="J1933">
        <f t="shared" si="92"/>
        <v>7.4700000000000001E-3</v>
      </c>
    </row>
    <row r="1934" spans="1:10">
      <c r="A1934" t="s">
        <v>2016</v>
      </c>
      <c r="B1934">
        <v>28</v>
      </c>
      <c r="C1934" t="s">
        <v>7</v>
      </c>
      <c r="D1934">
        <v>10</v>
      </c>
      <c r="E1934">
        <v>37</v>
      </c>
      <c r="F1934">
        <v>5.9000000000000003E-4</v>
      </c>
      <c r="G1934">
        <v>0</v>
      </c>
      <c r="H1934" t="str">
        <f t="shared" si="90"/>
        <v>30-39</v>
      </c>
      <c r="I1934" t="str">
        <f t="shared" si="91"/>
        <v>10-19</v>
      </c>
      <c r="J1934">
        <f t="shared" si="92"/>
        <v>5.9000000000000003E-4</v>
      </c>
    </row>
    <row r="1935" spans="1:10">
      <c r="A1935" t="s">
        <v>2017</v>
      </c>
      <c r="B1935">
        <v>27</v>
      </c>
      <c r="C1935" t="s">
        <v>7</v>
      </c>
      <c r="D1935">
        <v>19</v>
      </c>
      <c r="E1935">
        <v>45</v>
      </c>
      <c r="F1935">
        <v>1.34E-3</v>
      </c>
      <c r="G1935">
        <v>0</v>
      </c>
      <c r="H1935" t="str">
        <f t="shared" si="90"/>
        <v>40-49</v>
      </c>
      <c r="I1935" t="str">
        <f t="shared" si="91"/>
        <v>10-19</v>
      </c>
      <c r="J1935">
        <f t="shared" si="92"/>
        <v>1.34E-3</v>
      </c>
    </row>
    <row r="1936" spans="1:10">
      <c r="A1936" t="s">
        <v>2018</v>
      </c>
      <c r="B1936">
        <v>63</v>
      </c>
      <c r="C1936" t="s">
        <v>7</v>
      </c>
      <c r="D1936">
        <v>18</v>
      </c>
      <c r="E1936">
        <v>80</v>
      </c>
      <c r="F1936">
        <v>3.7789999999999997E-2</v>
      </c>
      <c r="G1936">
        <v>0</v>
      </c>
      <c r="H1936" t="str">
        <f t="shared" si="90"/>
        <v>80-89</v>
      </c>
      <c r="I1936" t="str">
        <f t="shared" si="91"/>
        <v>10-19</v>
      </c>
      <c r="J1936">
        <f t="shared" si="92"/>
        <v>3.7789999999999997E-2</v>
      </c>
    </row>
    <row r="1937" spans="1:10">
      <c r="A1937" t="s">
        <v>2019</v>
      </c>
      <c r="B1937">
        <v>30</v>
      </c>
      <c r="C1937" t="s">
        <v>9</v>
      </c>
      <c r="D1937">
        <v>17</v>
      </c>
      <c r="E1937">
        <v>46</v>
      </c>
      <c r="F1937">
        <v>1.8500000000000001E-3</v>
      </c>
      <c r="G1937">
        <v>0</v>
      </c>
      <c r="H1937" t="str">
        <f t="shared" si="90"/>
        <v>40-49</v>
      </c>
      <c r="I1937" t="str">
        <f t="shared" si="91"/>
        <v>10-19</v>
      </c>
      <c r="J1937">
        <f t="shared" si="92"/>
        <v>1.8500000000000001E-3</v>
      </c>
    </row>
    <row r="1938" spans="1:10">
      <c r="A1938" t="s">
        <v>2020</v>
      </c>
      <c r="B1938">
        <v>57</v>
      </c>
      <c r="C1938" t="s">
        <v>7</v>
      </c>
      <c r="D1938">
        <v>13</v>
      </c>
      <c r="E1938">
        <v>69</v>
      </c>
      <c r="F1938">
        <v>9.9299999999999996E-3</v>
      </c>
      <c r="G1938">
        <v>0</v>
      </c>
      <c r="H1938" t="str">
        <f t="shared" si="90"/>
        <v>60-69</v>
      </c>
      <c r="I1938" t="str">
        <f t="shared" si="91"/>
        <v>10-19</v>
      </c>
      <c r="J1938">
        <f t="shared" si="92"/>
        <v>9.9299999999999996E-3</v>
      </c>
    </row>
    <row r="1939" spans="1:10">
      <c r="A1939" t="s">
        <v>2021</v>
      </c>
      <c r="B1939">
        <v>38</v>
      </c>
      <c r="C1939" t="s">
        <v>9</v>
      </c>
      <c r="D1939">
        <v>11</v>
      </c>
      <c r="E1939">
        <v>48</v>
      </c>
      <c r="F1939">
        <v>1.74E-3</v>
      </c>
      <c r="G1939">
        <v>0</v>
      </c>
      <c r="H1939" t="str">
        <f t="shared" si="90"/>
        <v>40-49</v>
      </c>
      <c r="I1939" t="str">
        <f t="shared" si="91"/>
        <v>10-19</v>
      </c>
      <c r="J1939">
        <f t="shared" si="92"/>
        <v>1.74E-3</v>
      </c>
    </row>
    <row r="1940" spans="1:10">
      <c r="A1940" t="s">
        <v>2022</v>
      </c>
      <c r="B1940">
        <v>28</v>
      </c>
      <c r="C1940" t="s">
        <v>9</v>
      </c>
      <c r="D1940">
        <v>27</v>
      </c>
      <c r="E1940">
        <v>54</v>
      </c>
      <c r="F1940">
        <v>3.5000000000000001E-3</v>
      </c>
      <c r="G1940">
        <v>0</v>
      </c>
      <c r="H1940" t="str">
        <f t="shared" si="90"/>
        <v>50-59</v>
      </c>
      <c r="I1940" t="str">
        <f t="shared" si="91"/>
        <v>20-29</v>
      </c>
      <c r="J1940">
        <f t="shared" si="92"/>
        <v>3.5000000000000001E-3</v>
      </c>
    </row>
    <row r="1941" spans="1:10">
      <c r="A1941" t="s">
        <v>2023</v>
      </c>
      <c r="B1941">
        <v>57</v>
      </c>
      <c r="C1941" t="s">
        <v>7</v>
      </c>
      <c r="D1941">
        <v>1</v>
      </c>
      <c r="E1941">
        <v>57</v>
      </c>
      <c r="F1941">
        <v>5.9000000000000003E-4</v>
      </c>
      <c r="G1941">
        <v>0</v>
      </c>
      <c r="H1941" t="str">
        <f t="shared" si="90"/>
        <v>50-59</v>
      </c>
      <c r="I1941" t="str">
        <f t="shared" si="91"/>
        <v>0-9</v>
      </c>
      <c r="J1941">
        <f t="shared" si="92"/>
        <v>5.9000000000000003E-4</v>
      </c>
    </row>
    <row r="1942" spans="1:10">
      <c r="A1942" t="s">
        <v>2024</v>
      </c>
      <c r="B1942">
        <v>44</v>
      </c>
      <c r="C1942" t="s">
        <v>9</v>
      </c>
      <c r="D1942">
        <v>4</v>
      </c>
      <c r="E1942">
        <v>47</v>
      </c>
      <c r="F1942">
        <v>1.1999999999999999E-3</v>
      </c>
      <c r="G1942">
        <v>0</v>
      </c>
      <c r="H1942" t="str">
        <f t="shared" si="90"/>
        <v>40-49</v>
      </c>
      <c r="I1942" t="str">
        <f t="shared" si="91"/>
        <v>0-9</v>
      </c>
      <c r="J1942">
        <f t="shared" si="92"/>
        <v>1.1999999999999999E-3</v>
      </c>
    </row>
    <row r="1943" spans="1:10">
      <c r="A1943" t="s">
        <v>2025</v>
      </c>
      <c r="B1943">
        <v>46</v>
      </c>
      <c r="C1943" t="s">
        <v>9</v>
      </c>
      <c r="D1943">
        <v>12</v>
      </c>
      <c r="E1943">
        <v>57</v>
      </c>
      <c r="F1943">
        <v>4.2700000000000004E-3</v>
      </c>
      <c r="G1943">
        <v>0</v>
      </c>
      <c r="H1943" t="str">
        <f t="shared" si="90"/>
        <v>50-59</v>
      </c>
      <c r="I1943" t="str">
        <f t="shared" si="91"/>
        <v>10-19</v>
      </c>
      <c r="J1943">
        <f t="shared" si="92"/>
        <v>4.2700000000000004E-3</v>
      </c>
    </row>
    <row r="1944" spans="1:10">
      <c r="A1944" t="s">
        <v>2026</v>
      </c>
      <c r="B1944">
        <v>35</v>
      </c>
      <c r="C1944" t="s">
        <v>9</v>
      </c>
      <c r="D1944">
        <v>21</v>
      </c>
      <c r="E1944">
        <v>55</v>
      </c>
      <c r="F1944">
        <v>3.9699999999999996E-3</v>
      </c>
      <c r="G1944">
        <v>0</v>
      </c>
      <c r="H1944" t="str">
        <f t="shared" si="90"/>
        <v>50-59</v>
      </c>
      <c r="I1944" t="str">
        <f t="shared" si="91"/>
        <v>20-29</v>
      </c>
      <c r="J1944">
        <f t="shared" si="92"/>
        <v>3.9699999999999996E-3</v>
      </c>
    </row>
    <row r="1945" spans="1:10">
      <c r="A1945" t="s">
        <v>2027</v>
      </c>
      <c r="B1945">
        <v>64</v>
      </c>
      <c r="C1945" t="s">
        <v>7</v>
      </c>
      <c r="D1945">
        <v>3</v>
      </c>
      <c r="E1945">
        <v>66</v>
      </c>
      <c r="F1945">
        <v>4.2300000000000003E-3</v>
      </c>
      <c r="G1945">
        <v>0</v>
      </c>
      <c r="H1945" t="str">
        <f t="shared" si="90"/>
        <v>60-69</v>
      </c>
      <c r="I1945" t="str">
        <f t="shared" si="91"/>
        <v>0-9</v>
      </c>
      <c r="J1945">
        <f t="shared" si="92"/>
        <v>4.2300000000000003E-3</v>
      </c>
    </row>
    <row r="1946" spans="1:10">
      <c r="A1946" t="s">
        <v>2028</v>
      </c>
      <c r="B1946">
        <v>30</v>
      </c>
      <c r="C1946" t="s">
        <v>7</v>
      </c>
      <c r="D1946">
        <v>1</v>
      </c>
      <c r="E1946">
        <v>30</v>
      </c>
      <c r="F1946">
        <v>1.2E-4</v>
      </c>
      <c r="G1946">
        <v>0</v>
      </c>
      <c r="H1946" t="str">
        <f t="shared" si="90"/>
        <v>30-39</v>
      </c>
      <c r="I1946" t="str">
        <f t="shared" si="91"/>
        <v>0-9</v>
      </c>
      <c r="J1946">
        <f t="shared" si="92"/>
        <v>1.2E-4</v>
      </c>
    </row>
    <row r="1947" spans="1:10">
      <c r="A1947" t="s">
        <v>2029</v>
      </c>
      <c r="B1947">
        <v>62</v>
      </c>
      <c r="C1947" t="s">
        <v>9</v>
      </c>
      <c r="D1947">
        <v>28</v>
      </c>
      <c r="E1947">
        <v>89</v>
      </c>
      <c r="F1947">
        <v>0.11724</v>
      </c>
      <c r="G1947">
        <v>0</v>
      </c>
      <c r="H1947" t="str">
        <f t="shared" si="90"/>
        <v>80-89</v>
      </c>
      <c r="I1947" t="str">
        <f t="shared" si="91"/>
        <v>20-29</v>
      </c>
      <c r="J1947">
        <f t="shared" si="92"/>
        <v>0.11724</v>
      </c>
    </row>
    <row r="1948" spans="1:10">
      <c r="A1948" t="s">
        <v>2030</v>
      </c>
      <c r="B1948">
        <v>46</v>
      </c>
      <c r="C1948" t="s">
        <v>9</v>
      </c>
      <c r="D1948">
        <v>9</v>
      </c>
      <c r="E1948">
        <v>54</v>
      </c>
      <c r="F1948">
        <v>2.8900000000000002E-3</v>
      </c>
      <c r="G1948">
        <v>0</v>
      </c>
      <c r="H1948" t="str">
        <f t="shared" si="90"/>
        <v>50-59</v>
      </c>
      <c r="I1948" t="str">
        <f t="shared" si="91"/>
        <v>0-9</v>
      </c>
      <c r="J1948">
        <f t="shared" si="92"/>
        <v>2.8900000000000002E-3</v>
      </c>
    </row>
    <row r="1949" spans="1:10">
      <c r="A1949" t="s">
        <v>2031</v>
      </c>
      <c r="B1949">
        <v>21</v>
      </c>
      <c r="C1949" t="s">
        <v>9</v>
      </c>
      <c r="D1949">
        <v>11</v>
      </c>
      <c r="E1949">
        <v>31</v>
      </c>
      <c r="F1949">
        <v>6.8000000000000005E-4</v>
      </c>
      <c r="G1949">
        <v>0</v>
      </c>
      <c r="H1949" t="str">
        <f t="shared" si="90"/>
        <v>30-39</v>
      </c>
      <c r="I1949" t="str">
        <f t="shared" si="91"/>
        <v>10-19</v>
      </c>
      <c r="J1949">
        <f t="shared" si="92"/>
        <v>6.8000000000000005E-4</v>
      </c>
    </row>
    <row r="1950" spans="1:10">
      <c r="A1950" t="s">
        <v>2032</v>
      </c>
      <c r="B1950">
        <v>56</v>
      </c>
      <c r="C1950" t="s">
        <v>7</v>
      </c>
      <c r="D1950">
        <v>4</v>
      </c>
      <c r="E1950">
        <v>59</v>
      </c>
      <c r="F1950">
        <v>2.5100000000000001E-3</v>
      </c>
      <c r="G1950">
        <v>0</v>
      </c>
      <c r="H1950" t="str">
        <f t="shared" si="90"/>
        <v>50-59</v>
      </c>
      <c r="I1950" t="str">
        <f t="shared" si="91"/>
        <v>0-9</v>
      </c>
      <c r="J1950">
        <f t="shared" si="92"/>
        <v>2.5100000000000001E-3</v>
      </c>
    </row>
    <row r="1951" spans="1:10">
      <c r="A1951" t="s">
        <v>2033</v>
      </c>
      <c r="B1951">
        <v>63</v>
      </c>
      <c r="C1951" t="s">
        <v>9</v>
      </c>
      <c r="D1951">
        <v>7</v>
      </c>
      <c r="E1951">
        <v>69</v>
      </c>
      <c r="F1951">
        <v>1.0999999999999999E-2</v>
      </c>
      <c r="G1951">
        <v>0</v>
      </c>
      <c r="H1951" t="str">
        <f t="shared" si="90"/>
        <v>60-69</v>
      </c>
      <c r="I1951" t="str">
        <f t="shared" si="91"/>
        <v>0-9</v>
      </c>
      <c r="J1951">
        <f t="shared" si="92"/>
        <v>1.0999999999999999E-2</v>
      </c>
    </row>
    <row r="1952" spans="1:10">
      <c r="A1952" t="s">
        <v>2034</v>
      </c>
      <c r="B1952">
        <v>62</v>
      </c>
      <c r="C1952" t="s">
        <v>9</v>
      </c>
      <c r="D1952">
        <v>11</v>
      </c>
      <c r="E1952">
        <v>72</v>
      </c>
      <c r="F1952">
        <v>1.847E-2</v>
      </c>
      <c r="G1952">
        <v>0</v>
      </c>
      <c r="H1952" t="str">
        <f t="shared" si="90"/>
        <v>70-79</v>
      </c>
      <c r="I1952" t="str">
        <f t="shared" si="91"/>
        <v>10-19</v>
      </c>
      <c r="J1952">
        <f t="shared" si="92"/>
        <v>1.847E-2</v>
      </c>
    </row>
    <row r="1953" spans="1:10">
      <c r="A1953" t="s">
        <v>2035</v>
      </c>
      <c r="B1953">
        <v>47</v>
      </c>
      <c r="C1953" t="s">
        <v>9</v>
      </c>
      <c r="D1953">
        <v>7</v>
      </c>
      <c r="E1953">
        <v>53</v>
      </c>
      <c r="F1953">
        <v>2.5000000000000001E-3</v>
      </c>
      <c r="G1953">
        <v>0</v>
      </c>
      <c r="H1953" t="str">
        <f t="shared" si="90"/>
        <v>50-59</v>
      </c>
      <c r="I1953" t="str">
        <f t="shared" si="91"/>
        <v>0-9</v>
      </c>
      <c r="J1953">
        <f t="shared" si="92"/>
        <v>2.5000000000000001E-3</v>
      </c>
    </row>
    <row r="1954" spans="1:10">
      <c r="A1954" t="s">
        <v>2036</v>
      </c>
      <c r="B1954">
        <v>24</v>
      </c>
      <c r="C1954" t="s">
        <v>7</v>
      </c>
      <c r="D1954">
        <v>27</v>
      </c>
      <c r="E1954">
        <v>50</v>
      </c>
      <c r="F1954">
        <v>1.8699999999999999E-3</v>
      </c>
      <c r="G1954">
        <v>0</v>
      </c>
      <c r="H1954" t="str">
        <f t="shared" si="90"/>
        <v>50-59</v>
      </c>
      <c r="I1954" t="str">
        <f t="shared" si="91"/>
        <v>20-29</v>
      </c>
      <c r="J1954">
        <f t="shared" si="92"/>
        <v>1.8699999999999999E-3</v>
      </c>
    </row>
    <row r="1955" spans="1:10">
      <c r="A1955" t="s">
        <v>2037</v>
      </c>
      <c r="B1955">
        <v>36</v>
      </c>
      <c r="C1955" t="s">
        <v>9</v>
      </c>
      <c r="D1955">
        <v>2</v>
      </c>
      <c r="E1955">
        <v>37</v>
      </c>
      <c r="F1955">
        <v>3.6000000000000002E-4</v>
      </c>
      <c r="G1955">
        <v>0</v>
      </c>
      <c r="H1955" t="str">
        <f t="shared" si="90"/>
        <v>30-39</v>
      </c>
      <c r="I1955" t="str">
        <f t="shared" si="91"/>
        <v>0-9</v>
      </c>
      <c r="J1955">
        <f t="shared" si="92"/>
        <v>3.6000000000000002E-4</v>
      </c>
    </row>
    <row r="1956" spans="1:10">
      <c r="A1956" t="s">
        <v>2038</v>
      </c>
      <c r="B1956">
        <v>34</v>
      </c>
      <c r="C1956" t="s">
        <v>7</v>
      </c>
      <c r="D1956">
        <v>20</v>
      </c>
      <c r="E1956">
        <v>53</v>
      </c>
      <c r="F1956">
        <v>2.5000000000000001E-3</v>
      </c>
      <c r="G1956">
        <v>0</v>
      </c>
      <c r="H1956" t="str">
        <f t="shared" si="90"/>
        <v>50-59</v>
      </c>
      <c r="I1956" t="str">
        <f t="shared" si="91"/>
        <v>20-29</v>
      </c>
      <c r="J1956">
        <f t="shared" si="92"/>
        <v>2.5000000000000001E-3</v>
      </c>
    </row>
    <row r="1957" spans="1:10">
      <c r="A1957" t="s">
        <v>2039</v>
      </c>
      <c r="B1957">
        <v>57</v>
      </c>
      <c r="C1957" t="s">
        <v>7</v>
      </c>
      <c r="D1957">
        <v>4</v>
      </c>
      <c r="E1957">
        <v>60</v>
      </c>
      <c r="F1957">
        <v>2.7399999999999998E-3</v>
      </c>
      <c r="G1957">
        <v>0</v>
      </c>
      <c r="H1957" t="str">
        <f t="shared" si="90"/>
        <v>60-69</v>
      </c>
      <c r="I1957" t="str">
        <f t="shared" si="91"/>
        <v>0-9</v>
      </c>
      <c r="J1957">
        <f t="shared" si="92"/>
        <v>2.7399999999999998E-3</v>
      </c>
    </row>
    <row r="1958" spans="1:10">
      <c r="A1958" t="s">
        <v>2040</v>
      </c>
      <c r="B1958">
        <v>56</v>
      </c>
      <c r="C1958" t="s">
        <v>7</v>
      </c>
      <c r="D1958">
        <v>26</v>
      </c>
      <c r="E1958">
        <v>81</v>
      </c>
      <c r="F1958">
        <v>4.4880000000000003E-2</v>
      </c>
      <c r="G1958">
        <v>0</v>
      </c>
      <c r="H1958" t="str">
        <f t="shared" si="90"/>
        <v>80-89</v>
      </c>
      <c r="I1958" t="str">
        <f t="shared" si="91"/>
        <v>20-29</v>
      </c>
      <c r="J1958">
        <f t="shared" si="92"/>
        <v>4.4880000000000003E-2</v>
      </c>
    </row>
    <row r="1959" spans="1:10">
      <c r="A1959" t="s">
        <v>2041</v>
      </c>
      <c r="B1959">
        <v>42</v>
      </c>
      <c r="C1959" t="s">
        <v>9</v>
      </c>
      <c r="D1959">
        <v>26</v>
      </c>
      <c r="E1959">
        <v>67</v>
      </c>
      <c r="F1959">
        <v>1.2880000000000001E-2</v>
      </c>
      <c r="G1959">
        <v>0</v>
      </c>
      <c r="H1959" t="str">
        <f t="shared" si="90"/>
        <v>60-69</v>
      </c>
      <c r="I1959" t="str">
        <f t="shared" si="91"/>
        <v>20-29</v>
      </c>
      <c r="J1959">
        <f t="shared" si="92"/>
        <v>1.2880000000000001E-2</v>
      </c>
    </row>
    <row r="1960" spans="1:10">
      <c r="A1960" t="s">
        <v>2042</v>
      </c>
      <c r="B1960">
        <v>52</v>
      </c>
      <c r="C1960" t="s">
        <v>9</v>
      </c>
      <c r="D1960">
        <v>26</v>
      </c>
      <c r="E1960">
        <v>77</v>
      </c>
      <c r="F1960">
        <v>3.7220000000000003E-2</v>
      </c>
      <c r="G1960">
        <v>0</v>
      </c>
      <c r="H1960" t="str">
        <f t="shared" si="90"/>
        <v>70-79</v>
      </c>
      <c r="I1960" t="str">
        <f t="shared" si="91"/>
        <v>20-29</v>
      </c>
      <c r="J1960">
        <f t="shared" si="92"/>
        <v>3.7220000000000003E-2</v>
      </c>
    </row>
    <row r="1961" spans="1:10">
      <c r="A1961" t="s">
        <v>2043</v>
      </c>
      <c r="B1961">
        <v>40</v>
      </c>
      <c r="C1961" t="s">
        <v>9</v>
      </c>
      <c r="D1961">
        <v>7</v>
      </c>
      <c r="E1961">
        <v>46</v>
      </c>
      <c r="F1961">
        <v>1.2700000000000001E-3</v>
      </c>
      <c r="G1961">
        <v>0</v>
      </c>
      <c r="H1961" t="str">
        <f t="shared" si="90"/>
        <v>40-49</v>
      </c>
      <c r="I1961" t="str">
        <f t="shared" si="91"/>
        <v>0-9</v>
      </c>
      <c r="J1961">
        <f t="shared" si="92"/>
        <v>1.2700000000000001E-3</v>
      </c>
    </row>
    <row r="1962" spans="1:10">
      <c r="A1962" t="s">
        <v>2044</v>
      </c>
      <c r="B1962">
        <v>52</v>
      </c>
      <c r="C1962" t="s">
        <v>7</v>
      </c>
      <c r="D1962">
        <v>15</v>
      </c>
      <c r="E1962">
        <v>66</v>
      </c>
      <c r="F1962">
        <v>8.2400000000000008E-3</v>
      </c>
      <c r="G1962">
        <v>0</v>
      </c>
      <c r="H1962" t="str">
        <f t="shared" si="90"/>
        <v>60-69</v>
      </c>
      <c r="I1962" t="str">
        <f t="shared" si="91"/>
        <v>10-19</v>
      </c>
      <c r="J1962">
        <f t="shared" si="92"/>
        <v>8.2400000000000008E-3</v>
      </c>
    </row>
    <row r="1963" spans="1:10">
      <c r="A1963" t="s">
        <v>2045</v>
      </c>
      <c r="B1963">
        <v>21</v>
      </c>
      <c r="C1963" t="s">
        <v>7</v>
      </c>
      <c r="D1963">
        <v>21</v>
      </c>
      <c r="E1963">
        <v>41</v>
      </c>
      <c r="F1963">
        <v>1.1999999999999999E-3</v>
      </c>
      <c r="G1963">
        <v>0</v>
      </c>
      <c r="H1963" t="str">
        <f t="shared" si="90"/>
        <v>40-49</v>
      </c>
      <c r="I1963" t="str">
        <f t="shared" si="91"/>
        <v>20-29</v>
      </c>
      <c r="J1963">
        <f t="shared" si="92"/>
        <v>1.1999999999999999E-3</v>
      </c>
    </row>
    <row r="1964" spans="1:10">
      <c r="A1964" t="s">
        <v>2046</v>
      </c>
      <c r="B1964">
        <v>56</v>
      </c>
      <c r="C1964" t="s">
        <v>9</v>
      </c>
      <c r="D1964">
        <v>16</v>
      </c>
      <c r="E1964">
        <v>71</v>
      </c>
      <c r="F1964">
        <v>1.8769999999999998E-2</v>
      </c>
      <c r="G1964">
        <v>0</v>
      </c>
      <c r="H1964" t="str">
        <f t="shared" si="90"/>
        <v>70-79</v>
      </c>
      <c r="I1964" t="str">
        <f t="shared" si="91"/>
        <v>10-19</v>
      </c>
      <c r="J1964">
        <f t="shared" si="92"/>
        <v>1.8769999999999998E-2</v>
      </c>
    </row>
    <row r="1965" spans="1:10">
      <c r="A1965" t="s">
        <v>2047</v>
      </c>
      <c r="B1965">
        <v>49</v>
      </c>
      <c r="C1965" t="s">
        <v>7</v>
      </c>
      <c r="D1965">
        <v>9</v>
      </c>
      <c r="E1965">
        <v>57</v>
      </c>
      <c r="F1965">
        <v>2.7499999999999998E-3</v>
      </c>
      <c r="G1965">
        <v>0</v>
      </c>
      <c r="H1965" t="str">
        <f t="shared" si="90"/>
        <v>50-59</v>
      </c>
      <c r="I1965" t="str">
        <f t="shared" si="91"/>
        <v>0-9</v>
      </c>
      <c r="J1965">
        <f t="shared" si="92"/>
        <v>2.7499999999999998E-3</v>
      </c>
    </row>
    <row r="1966" spans="1:10">
      <c r="A1966" t="s">
        <v>2048</v>
      </c>
      <c r="B1966">
        <v>59</v>
      </c>
      <c r="C1966" t="s">
        <v>7</v>
      </c>
      <c r="D1966">
        <v>28</v>
      </c>
      <c r="E1966">
        <v>86</v>
      </c>
      <c r="F1966">
        <v>6.4490000000000006E-2</v>
      </c>
      <c r="G1966">
        <v>0</v>
      </c>
      <c r="H1966" t="str">
        <f t="shared" si="90"/>
        <v>80-89</v>
      </c>
      <c r="I1966" t="str">
        <f t="shared" si="91"/>
        <v>20-29</v>
      </c>
      <c r="J1966">
        <f t="shared" si="92"/>
        <v>6.4490000000000006E-2</v>
      </c>
    </row>
    <row r="1967" spans="1:10">
      <c r="A1967" t="s">
        <v>2049</v>
      </c>
      <c r="B1967">
        <v>56</v>
      </c>
      <c r="C1967" t="s">
        <v>7</v>
      </c>
      <c r="D1967">
        <v>24</v>
      </c>
      <c r="E1967">
        <v>79</v>
      </c>
      <c r="F1967">
        <v>3.569E-2</v>
      </c>
      <c r="G1967">
        <v>0</v>
      </c>
      <c r="H1967" t="str">
        <f t="shared" si="90"/>
        <v>70-79</v>
      </c>
      <c r="I1967" t="str">
        <f t="shared" si="91"/>
        <v>20-29</v>
      </c>
      <c r="J1967">
        <f t="shared" si="92"/>
        <v>3.569E-2</v>
      </c>
    </row>
    <row r="1968" spans="1:10">
      <c r="A1968" t="s">
        <v>2050</v>
      </c>
      <c r="B1968">
        <v>43</v>
      </c>
      <c r="C1968" t="s">
        <v>9</v>
      </c>
      <c r="D1968">
        <v>15</v>
      </c>
      <c r="E1968">
        <v>57</v>
      </c>
      <c r="F1968">
        <v>4.4299999999999999E-3</v>
      </c>
      <c r="G1968">
        <v>0</v>
      </c>
      <c r="H1968" t="str">
        <f t="shared" si="90"/>
        <v>50-59</v>
      </c>
      <c r="I1968" t="str">
        <f t="shared" si="91"/>
        <v>10-19</v>
      </c>
      <c r="J1968">
        <f t="shared" si="92"/>
        <v>4.4299999999999999E-3</v>
      </c>
    </row>
    <row r="1969" spans="1:10">
      <c r="A1969" t="s">
        <v>2051</v>
      </c>
      <c r="B1969">
        <v>63</v>
      </c>
      <c r="C1969" t="s">
        <v>9</v>
      </c>
      <c r="D1969">
        <v>25</v>
      </c>
      <c r="E1969">
        <v>87</v>
      </c>
      <c r="F1969">
        <v>0.11724</v>
      </c>
      <c r="G1969">
        <v>0</v>
      </c>
      <c r="H1969" t="str">
        <f t="shared" si="90"/>
        <v>80-89</v>
      </c>
      <c r="I1969" t="str">
        <f t="shared" si="91"/>
        <v>20-29</v>
      </c>
      <c r="J1969">
        <f t="shared" si="92"/>
        <v>0.11724</v>
      </c>
    </row>
    <row r="1970" spans="1:10">
      <c r="A1970" t="s">
        <v>2052</v>
      </c>
      <c r="B1970">
        <v>40</v>
      </c>
      <c r="C1970" t="s">
        <v>7</v>
      </c>
      <c r="D1970">
        <v>28</v>
      </c>
      <c r="E1970">
        <v>67</v>
      </c>
      <c r="F1970">
        <v>8.3099999999999997E-3</v>
      </c>
      <c r="G1970">
        <v>0</v>
      </c>
      <c r="H1970" t="str">
        <f t="shared" si="90"/>
        <v>60-69</v>
      </c>
      <c r="I1970" t="str">
        <f t="shared" si="91"/>
        <v>20-29</v>
      </c>
      <c r="J1970">
        <f t="shared" si="92"/>
        <v>8.3099999999999997E-3</v>
      </c>
    </row>
    <row r="1971" spans="1:10">
      <c r="A1971" t="s">
        <v>2053</v>
      </c>
      <c r="B1971">
        <v>33</v>
      </c>
      <c r="C1971" t="s">
        <v>9</v>
      </c>
      <c r="D1971">
        <v>28</v>
      </c>
      <c r="E1971">
        <v>60</v>
      </c>
      <c r="F1971">
        <v>5.2199999999999998E-3</v>
      </c>
      <c r="G1971">
        <v>0</v>
      </c>
      <c r="H1971" t="str">
        <f t="shared" si="90"/>
        <v>60-69</v>
      </c>
      <c r="I1971" t="str">
        <f t="shared" si="91"/>
        <v>20-29</v>
      </c>
      <c r="J1971">
        <f t="shared" si="92"/>
        <v>5.2199999999999998E-3</v>
      </c>
    </row>
    <row r="1972" spans="1:10">
      <c r="A1972" t="s">
        <v>2054</v>
      </c>
      <c r="B1972">
        <v>61</v>
      </c>
      <c r="C1972" t="s">
        <v>9</v>
      </c>
      <c r="D1972">
        <v>6</v>
      </c>
      <c r="E1972">
        <v>66</v>
      </c>
      <c r="F1972">
        <v>8.7799999999999996E-3</v>
      </c>
      <c r="G1972">
        <v>0</v>
      </c>
      <c r="H1972" t="str">
        <f t="shared" si="90"/>
        <v>60-69</v>
      </c>
      <c r="I1972" t="str">
        <f t="shared" si="91"/>
        <v>0-9</v>
      </c>
      <c r="J1972">
        <f t="shared" si="92"/>
        <v>8.7799999999999996E-3</v>
      </c>
    </row>
    <row r="1973" spans="1:10">
      <c r="A1973" t="s">
        <v>2055</v>
      </c>
      <c r="B1973">
        <v>45</v>
      </c>
      <c r="C1973" t="s">
        <v>9</v>
      </c>
      <c r="D1973">
        <v>8</v>
      </c>
      <c r="E1973">
        <v>52</v>
      </c>
      <c r="F1973">
        <v>2.32E-3</v>
      </c>
      <c r="G1973">
        <v>0</v>
      </c>
      <c r="H1973" t="str">
        <f t="shared" si="90"/>
        <v>50-59</v>
      </c>
      <c r="I1973" t="str">
        <f t="shared" si="91"/>
        <v>0-9</v>
      </c>
      <c r="J1973">
        <f t="shared" si="92"/>
        <v>2.32E-3</v>
      </c>
    </row>
    <row r="1974" spans="1:10">
      <c r="A1974" t="s">
        <v>2056</v>
      </c>
      <c r="B1974">
        <v>35</v>
      </c>
      <c r="C1974" t="s">
        <v>7</v>
      </c>
      <c r="D1974">
        <v>26</v>
      </c>
      <c r="E1974">
        <v>60</v>
      </c>
      <c r="F1974">
        <v>4.9300000000000004E-3</v>
      </c>
      <c r="G1974">
        <v>0</v>
      </c>
      <c r="H1974" t="str">
        <f t="shared" si="90"/>
        <v>60-69</v>
      </c>
      <c r="I1974" t="str">
        <f t="shared" si="91"/>
        <v>20-29</v>
      </c>
      <c r="J1974">
        <f t="shared" si="92"/>
        <v>4.9300000000000004E-3</v>
      </c>
    </row>
    <row r="1975" spans="1:10">
      <c r="A1975" t="s">
        <v>2057</v>
      </c>
      <c r="B1975">
        <v>55</v>
      </c>
      <c r="C1975" t="s">
        <v>9</v>
      </c>
      <c r="D1975">
        <v>14</v>
      </c>
      <c r="E1975">
        <v>68</v>
      </c>
      <c r="F1975">
        <v>1.3690000000000001E-2</v>
      </c>
      <c r="G1975">
        <v>0</v>
      </c>
      <c r="H1975" t="str">
        <f t="shared" si="90"/>
        <v>60-69</v>
      </c>
      <c r="I1975" t="str">
        <f t="shared" si="91"/>
        <v>10-19</v>
      </c>
      <c r="J1975">
        <f t="shared" si="92"/>
        <v>1.3690000000000001E-2</v>
      </c>
    </row>
    <row r="1976" spans="1:10">
      <c r="A1976" t="s">
        <v>2058</v>
      </c>
      <c r="B1976">
        <v>32</v>
      </c>
      <c r="C1976" t="s">
        <v>9</v>
      </c>
      <c r="D1976">
        <v>6</v>
      </c>
      <c r="E1976">
        <v>37</v>
      </c>
      <c r="F1976">
        <v>5.9000000000000003E-4</v>
      </c>
      <c r="G1976">
        <v>0</v>
      </c>
      <c r="H1976" t="str">
        <f t="shared" si="90"/>
        <v>30-39</v>
      </c>
      <c r="I1976" t="str">
        <f t="shared" si="91"/>
        <v>0-9</v>
      </c>
      <c r="J1976">
        <f t="shared" si="92"/>
        <v>5.9000000000000003E-4</v>
      </c>
    </row>
    <row r="1977" spans="1:10">
      <c r="A1977" t="s">
        <v>2059</v>
      </c>
      <c r="B1977">
        <v>37</v>
      </c>
      <c r="C1977" t="s">
        <v>7</v>
      </c>
      <c r="D1977">
        <v>22</v>
      </c>
      <c r="E1977">
        <v>58</v>
      </c>
      <c r="F1977">
        <v>4.0499999999999998E-3</v>
      </c>
      <c r="G1977">
        <v>0</v>
      </c>
      <c r="H1977" t="str">
        <f t="shared" si="90"/>
        <v>50-59</v>
      </c>
      <c r="I1977" t="str">
        <f t="shared" si="91"/>
        <v>20-29</v>
      </c>
      <c r="J1977">
        <f t="shared" si="92"/>
        <v>4.0499999999999998E-3</v>
      </c>
    </row>
    <row r="1978" spans="1:10">
      <c r="A1978" t="s">
        <v>2060</v>
      </c>
      <c r="B1978">
        <v>22</v>
      </c>
      <c r="C1978" t="s">
        <v>9</v>
      </c>
      <c r="D1978">
        <v>24</v>
      </c>
      <c r="E1978">
        <v>45</v>
      </c>
      <c r="F1978">
        <v>2.31E-3</v>
      </c>
      <c r="G1978">
        <v>0</v>
      </c>
      <c r="H1978" t="str">
        <f t="shared" si="90"/>
        <v>40-49</v>
      </c>
      <c r="I1978" t="str">
        <f t="shared" si="91"/>
        <v>20-29</v>
      </c>
      <c r="J1978">
        <f t="shared" si="92"/>
        <v>2.31E-3</v>
      </c>
    </row>
    <row r="1979" spans="1:10">
      <c r="A1979" t="s">
        <v>2061</v>
      </c>
      <c r="B1979">
        <v>25</v>
      </c>
      <c r="C1979" t="s">
        <v>7</v>
      </c>
      <c r="D1979">
        <v>11</v>
      </c>
      <c r="E1979">
        <v>35</v>
      </c>
      <c r="F1979">
        <v>5.1999999999999995E-4</v>
      </c>
      <c r="G1979">
        <v>0</v>
      </c>
      <c r="H1979" t="str">
        <f t="shared" si="90"/>
        <v>30-39</v>
      </c>
      <c r="I1979" t="str">
        <f t="shared" si="91"/>
        <v>10-19</v>
      </c>
      <c r="J1979">
        <f t="shared" si="92"/>
        <v>5.1999999999999995E-4</v>
      </c>
    </row>
    <row r="1980" spans="1:10">
      <c r="A1980" t="s">
        <v>2062</v>
      </c>
      <c r="B1980">
        <v>46</v>
      </c>
      <c r="C1980" t="s">
        <v>9</v>
      </c>
      <c r="D1980">
        <v>29</v>
      </c>
      <c r="E1980">
        <v>74</v>
      </c>
      <c r="F1980">
        <v>1.9089999999999999E-2</v>
      </c>
      <c r="G1980">
        <v>0</v>
      </c>
      <c r="H1980" t="str">
        <f t="shared" si="90"/>
        <v>70-79</v>
      </c>
      <c r="I1980" t="str">
        <f t="shared" si="91"/>
        <v>20-29</v>
      </c>
      <c r="J1980">
        <f t="shared" si="92"/>
        <v>1.9089999999999999E-2</v>
      </c>
    </row>
    <row r="1981" spans="1:10">
      <c r="A1981" t="s">
        <v>2063</v>
      </c>
      <c r="B1981">
        <v>25</v>
      </c>
      <c r="C1981" t="s">
        <v>7</v>
      </c>
      <c r="D1981">
        <v>13</v>
      </c>
      <c r="E1981">
        <v>37</v>
      </c>
      <c r="F1981">
        <v>6.8999999999999997E-4</v>
      </c>
      <c r="G1981">
        <v>0</v>
      </c>
      <c r="H1981" t="str">
        <f t="shared" si="90"/>
        <v>30-39</v>
      </c>
      <c r="I1981" t="str">
        <f t="shared" si="91"/>
        <v>10-19</v>
      </c>
      <c r="J1981">
        <f t="shared" si="92"/>
        <v>6.8999999999999997E-4</v>
      </c>
    </row>
    <row r="1982" spans="1:10">
      <c r="A1982" t="s">
        <v>2064</v>
      </c>
      <c r="B1982">
        <v>28</v>
      </c>
      <c r="C1982" t="s">
        <v>9</v>
      </c>
      <c r="D1982">
        <v>8</v>
      </c>
      <c r="E1982">
        <v>35</v>
      </c>
      <c r="F1982">
        <v>5.9000000000000003E-4</v>
      </c>
      <c r="G1982">
        <v>0</v>
      </c>
      <c r="H1982" t="str">
        <f t="shared" si="90"/>
        <v>30-39</v>
      </c>
      <c r="I1982" t="str">
        <f t="shared" si="91"/>
        <v>0-9</v>
      </c>
      <c r="J1982">
        <f t="shared" si="92"/>
        <v>5.9000000000000003E-4</v>
      </c>
    </row>
    <row r="1983" spans="1:10">
      <c r="A1983" t="s">
        <v>2065</v>
      </c>
      <c r="B1983">
        <v>27</v>
      </c>
      <c r="C1983" t="s">
        <v>7</v>
      </c>
      <c r="D1983">
        <v>17</v>
      </c>
      <c r="E1983">
        <v>43</v>
      </c>
      <c r="F1983">
        <v>1.1299999999999999E-3</v>
      </c>
      <c r="G1983">
        <v>0</v>
      </c>
      <c r="H1983" t="str">
        <f t="shared" si="90"/>
        <v>40-49</v>
      </c>
      <c r="I1983" t="str">
        <f t="shared" si="91"/>
        <v>10-19</v>
      </c>
      <c r="J1983">
        <f t="shared" si="92"/>
        <v>1.1299999999999999E-3</v>
      </c>
    </row>
    <row r="1984" spans="1:10">
      <c r="A1984" t="s">
        <v>2066</v>
      </c>
      <c r="B1984">
        <v>53</v>
      </c>
      <c r="C1984" t="s">
        <v>9</v>
      </c>
      <c r="D1984">
        <v>9</v>
      </c>
      <c r="E1984">
        <v>61</v>
      </c>
      <c r="F1984">
        <v>6.4200000000000004E-3</v>
      </c>
      <c r="G1984">
        <v>0</v>
      </c>
      <c r="H1984" t="str">
        <f t="shared" si="90"/>
        <v>60-69</v>
      </c>
      <c r="I1984" t="str">
        <f t="shared" si="91"/>
        <v>0-9</v>
      </c>
      <c r="J1984">
        <f t="shared" si="92"/>
        <v>6.4200000000000004E-3</v>
      </c>
    </row>
    <row r="1985" spans="1:10">
      <c r="A1985" t="s">
        <v>2067</v>
      </c>
      <c r="B1985">
        <v>58</v>
      </c>
      <c r="C1985" t="s">
        <v>7</v>
      </c>
      <c r="D1985">
        <v>4</v>
      </c>
      <c r="E1985">
        <v>61</v>
      </c>
      <c r="F1985">
        <v>3.0599999999999998E-3</v>
      </c>
      <c r="G1985">
        <v>0</v>
      </c>
      <c r="H1985" t="str">
        <f t="shared" si="90"/>
        <v>60-69</v>
      </c>
      <c r="I1985" t="str">
        <f t="shared" si="91"/>
        <v>0-9</v>
      </c>
      <c r="J1985">
        <f t="shared" si="92"/>
        <v>3.0599999999999998E-3</v>
      </c>
    </row>
    <row r="1986" spans="1:10">
      <c r="A1986" t="s">
        <v>2068</v>
      </c>
      <c r="B1986">
        <v>57</v>
      </c>
      <c r="C1986" t="s">
        <v>9</v>
      </c>
      <c r="D1986">
        <v>24</v>
      </c>
      <c r="E1986">
        <v>80</v>
      </c>
      <c r="F1986">
        <v>5.0909999999999997E-2</v>
      </c>
      <c r="G1986">
        <v>0</v>
      </c>
      <c r="H1986" t="str">
        <f t="shared" si="90"/>
        <v>80-89</v>
      </c>
      <c r="I1986" t="str">
        <f t="shared" si="91"/>
        <v>20-29</v>
      </c>
      <c r="J1986">
        <f t="shared" si="92"/>
        <v>5.0909999999999997E-2</v>
      </c>
    </row>
    <row r="1987" spans="1:10">
      <c r="A1987" t="s">
        <v>2069</v>
      </c>
      <c r="B1987">
        <v>35</v>
      </c>
      <c r="C1987" t="s">
        <v>9</v>
      </c>
      <c r="D1987">
        <v>30</v>
      </c>
      <c r="E1987">
        <v>64</v>
      </c>
      <c r="F1987">
        <v>6.3299999999999997E-3</v>
      </c>
      <c r="G1987">
        <v>0</v>
      </c>
      <c r="H1987" t="str">
        <f t="shared" ref="H1987:H2050" si="93">FLOOR(E1987,10) &amp; "-" &amp; FLOOR(E1987,10)+9</f>
        <v>60-69</v>
      </c>
      <c r="I1987" t="str">
        <f t="shared" ref="I1987:I2050" si="94">FLOOR(D1987, 10) &amp; "-"&amp;FLOOR(D1987, 10)+9</f>
        <v>30-39</v>
      </c>
      <c r="J1987">
        <f t="shared" ref="J1987:J2050" si="95">F1987</f>
        <v>6.3299999999999997E-3</v>
      </c>
    </row>
    <row r="1988" spans="1:10">
      <c r="A1988" t="s">
        <v>2070</v>
      </c>
      <c r="B1988">
        <v>31</v>
      </c>
      <c r="C1988" t="s">
        <v>7</v>
      </c>
      <c r="D1988">
        <v>7</v>
      </c>
      <c r="E1988">
        <v>37</v>
      </c>
      <c r="F1988">
        <v>4.8000000000000001E-4</v>
      </c>
      <c r="G1988">
        <v>0</v>
      </c>
      <c r="H1988" t="str">
        <f t="shared" si="93"/>
        <v>30-39</v>
      </c>
      <c r="I1988" t="str">
        <f t="shared" si="94"/>
        <v>0-9</v>
      </c>
      <c r="J1988">
        <f t="shared" si="95"/>
        <v>4.8000000000000001E-4</v>
      </c>
    </row>
    <row r="1989" spans="1:10">
      <c r="A1989" t="s">
        <v>2071</v>
      </c>
      <c r="B1989">
        <v>36</v>
      </c>
      <c r="C1989" t="s">
        <v>7</v>
      </c>
      <c r="D1989">
        <v>28</v>
      </c>
      <c r="E1989">
        <v>63</v>
      </c>
      <c r="F1989">
        <v>5.4599999999999996E-3</v>
      </c>
      <c r="G1989">
        <v>0</v>
      </c>
      <c r="H1989" t="str">
        <f t="shared" si="93"/>
        <v>60-69</v>
      </c>
      <c r="I1989" t="str">
        <f t="shared" si="94"/>
        <v>20-29</v>
      </c>
      <c r="J1989">
        <f t="shared" si="95"/>
        <v>5.4599999999999996E-3</v>
      </c>
    </row>
    <row r="1990" spans="1:10">
      <c r="A1990" t="s">
        <v>2072</v>
      </c>
      <c r="B1990">
        <v>43</v>
      </c>
      <c r="C1990" t="s">
        <v>7</v>
      </c>
      <c r="D1990">
        <v>23</v>
      </c>
      <c r="E1990">
        <v>65</v>
      </c>
      <c r="F1990">
        <v>8.3099999999999997E-3</v>
      </c>
      <c r="G1990">
        <v>0</v>
      </c>
      <c r="H1990" t="str">
        <f t="shared" si="93"/>
        <v>60-69</v>
      </c>
      <c r="I1990" t="str">
        <f t="shared" si="94"/>
        <v>20-29</v>
      </c>
      <c r="J1990">
        <f t="shared" si="95"/>
        <v>8.3099999999999997E-3</v>
      </c>
    </row>
    <row r="1991" spans="1:10">
      <c r="A1991" t="s">
        <v>2073</v>
      </c>
      <c r="B1991">
        <v>47</v>
      </c>
      <c r="C1991" t="s">
        <v>7</v>
      </c>
      <c r="D1991">
        <v>16</v>
      </c>
      <c r="E1991">
        <v>62</v>
      </c>
      <c r="F1991">
        <v>5.7299999999999999E-3</v>
      </c>
      <c r="G1991">
        <v>0</v>
      </c>
      <c r="H1991" t="str">
        <f t="shared" si="93"/>
        <v>60-69</v>
      </c>
      <c r="I1991" t="str">
        <f t="shared" si="94"/>
        <v>10-19</v>
      </c>
      <c r="J1991">
        <f t="shared" si="95"/>
        <v>5.7299999999999999E-3</v>
      </c>
    </row>
    <row r="1992" spans="1:10">
      <c r="A1992" t="s">
        <v>2074</v>
      </c>
      <c r="B1992">
        <v>29</v>
      </c>
      <c r="C1992" t="s">
        <v>9</v>
      </c>
      <c r="D1992">
        <v>12</v>
      </c>
      <c r="E1992">
        <v>40</v>
      </c>
      <c r="F1992">
        <v>1.06E-3</v>
      </c>
      <c r="G1992">
        <v>0</v>
      </c>
      <c r="H1992" t="str">
        <f t="shared" si="93"/>
        <v>40-49</v>
      </c>
      <c r="I1992" t="str">
        <f t="shared" si="94"/>
        <v>10-19</v>
      </c>
      <c r="J1992">
        <f t="shared" si="95"/>
        <v>1.06E-3</v>
      </c>
    </row>
    <row r="1993" spans="1:10">
      <c r="A1993" t="s">
        <v>2075</v>
      </c>
      <c r="B1993">
        <v>39</v>
      </c>
      <c r="C1993" t="s">
        <v>7</v>
      </c>
      <c r="D1993">
        <v>1</v>
      </c>
      <c r="E1993">
        <v>39</v>
      </c>
      <c r="F1993">
        <v>2.2000000000000001E-4</v>
      </c>
      <c r="G1993">
        <v>0</v>
      </c>
      <c r="H1993" t="str">
        <f t="shared" si="93"/>
        <v>30-39</v>
      </c>
      <c r="I1993" t="str">
        <f t="shared" si="94"/>
        <v>0-9</v>
      </c>
      <c r="J1993">
        <f t="shared" si="95"/>
        <v>2.2000000000000001E-4</v>
      </c>
    </row>
    <row r="1994" spans="1:10">
      <c r="A1994" t="s">
        <v>2076</v>
      </c>
      <c r="B1994">
        <v>22</v>
      </c>
      <c r="C1994" t="s">
        <v>7</v>
      </c>
      <c r="D1994">
        <v>27</v>
      </c>
      <c r="E1994">
        <v>48</v>
      </c>
      <c r="F1994">
        <v>1.6000000000000001E-3</v>
      </c>
      <c r="G1994">
        <v>0</v>
      </c>
      <c r="H1994" t="str">
        <f t="shared" si="93"/>
        <v>40-49</v>
      </c>
      <c r="I1994" t="str">
        <f t="shared" si="94"/>
        <v>20-29</v>
      </c>
      <c r="J1994">
        <f t="shared" si="95"/>
        <v>1.6000000000000001E-3</v>
      </c>
    </row>
    <row r="1995" spans="1:10">
      <c r="A1995" t="s">
        <v>2077</v>
      </c>
      <c r="B1995">
        <v>23</v>
      </c>
      <c r="C1995" t="s">
        <v>7</v>
      </c>
      <c r="D1995">
        <v>23</v>
      </c>
      <c r="E1995">
        <v>45</v>
      </c>
      <c r="F1995">
        <v>1.3799999999999999E-3</v>
      </c>
      <c r="G1995">
        <v>0</v>
      </c>
      <c r="H1995" t="str">
        <f t="shared" si="93"/>
        <v>40-49</v>
      </c>
      <c r="I1995" t="str">
        <f t="shared" si="94"/>
        <v>20-29</v>
      </c>
      <c r="J1995">
        <f t="shared" si="95"/>
        <v>1.3799999999999999E-3</v>
      </c>
    </row>
    <row r="1996" spans="1:10">
      <c r="A1996" t="s">
        <v>2078</v>
      </c>
      <c r="B1996">
        <v>36</v>
      </c>
      <c r="C1996" t="s">
        <v>9</v>
      </c>
      <c r="D1996">
        <v>18</v>
      </c>
      <c r="E1996">
        <v>53</v>
      </c>
      <c r="F1996">
        <v>3.16E-3</v>
      </c>
      <c r="G1996">
        <v>0</v>
      </c>
      <c r="H1996" t="str">
        <f t="shared" si="93"/>
        <v>50-59</v>
      </c>
      <c r="I1996" t="str">
        <f t="shared" si="94"/>
        <v>10-19</v>
      </c>
      <c r="J1996">
        <f t="shared" si="95"/>
        <v>3.16E-3</v>
      </c>
    </row>
    <row r="1997" spans="1:10">
      <c r="A1997" t="s">
        <v>2079</v>
      </c>
      <c r="B1997">
        <v>64</v>
      </c>
      <c r="C1997" t="s">
        <v>7</v>
      </c>
      <c r="D1997">
        <v>12</v>
      </c>
      <c r="E1997">
        <v>75</v>
      </c>
      <c r="F1997">
        <v>1.7270000000000001E-2</v>
      </c>
      <c r="G1997">
        <v>0</v>
      </c>
      <c r="H1997" t="str">
        <f t="shared" si="93"/>
        <v>70-79</v>
      </c>
      <c r="I1997" t="str">
        <f t="shared" si="94"/>
        <v>10-19</v>
      </c>
      <c r="J1997">
        <f t="shared" si="95"/>
        <v>1.7270000000000001E-2</v>
      </c>
    </row>
    <row r="1998" spans="1:10">
      <c r="A1998" t="s">
        <v>2080</v>
      </c>
      <c r="B1998">
        <v>54</v>
      </c>
      <c r="C1998" t="s">
        <v>9</v>
      </c>
      <c r="D1998">
        <v>28</v>
      </c>
      <c r="E1998">
        <v>81</v>
      </c>
      <c r="F1998">
        <v>4.5769999999999998E-2</v>
      </c>
      <c r="G1998">
        <v>0</v>
      </c>
      <c r="H1998" t="str">
        <f t="shared" si="93"/>
        <v>80-89</v>
      </c>
      <c r="I1998" t="str">
        <f t="shared" si="94"/>
        <v>20-29</v>
      </c>
      <c r="J1998">
        <f t="shared" si="95"/>
        <v>4.5769999999999998E-2</v>
      </c>
    </row>
    <row r="1999" spans="1:10">
      <c r="A1999" t="s">
        <v>2081</v>
      </c>
      <c r="B1999">
        <v>20</v>
      </c>
      <c r="C1999" t="s">
        <v>7</v>
      </c>
      <c r="D1999">
        <v>30</v>
      </c>
      <c r="E1999">
        <v>49</v>
      </c>
      <c r="F1999">
        <v>1.3799999999999999E-3</v>
      </c>
      <c r="G1999">
        <v>0</v>
      </c>
      <c r="H1999" t="str">
        <f t="shared" si="93"/>
        <v>40-49</v>
      </c>
      <c r="I1999" t="str">
        <f t="shared" si="94"/>
        <v>30-39</v>
      </c>
      <c r="J1999">
        <f t="shared" si="95"/>
        <v>1.3799999999999999E-3</v>
      </c>
    </row>
    <row r="2000" spans="1:10">
      <c r="A2000" t="s">
        <v>2082</v>
      </c>
      <c r="B2000">
        <v>36</v>
      </c>
      <c r="C2000" t="s">
        <v>9</v>
      </c>
      <c r="D2000">
        <v>10</v>
      </c>
      <c r="E2000">
        <v>45</v>
      </c>
      <c r="F2000">
        <v>1.2999999999999999E-3</v>
      </c>
      <c r="G2000">
        <v>0</v>
      </c>
      <c r="H2000" t="str">
        <f t="shared" si="93"/>
        <v>40-49</v>
      </c>
      <c r="I2000" t="str">
        <f t="shared" si="94"/>
        <v>10-19</v>
      </c>
      <c r="J2000">
        <f t="shared" si="95"/>
        <v>1.2999999999999999E-3</v>
      </c>
    </row>
    <row r="2001" spans="1:10">
      <c r="A2001" t="s">
        <v>2083</v>
      </c>
      <c r="B2001">
        <v>35</v>
      </c>
      <c r="C2001" t="s">
        <v>9</v>
      </c>
      <c r="D2001">
        <v>10</v>
      </c>
      <c r="E2001">
        <v>44</v>
      </c>
      <c r="F2001">
        <v>1.2600000000000001E-3</v>
      </c>
      <c r="G2001">
        <v>0</v>
      </c>
      <c r="H2001" t="str">
        <f t="shared" si="93"/>
        <v>40-49</v>
      </c>
      <c r="I2001" t="str">
        <f t="shared" si="94"/>
        <v>10-19</v>
      </c>
      <c r="J2001">
        <f t="shared" si="95"/>
        <v>1.2600000000000001E-3</v>
      </c>
    </row>
    <row r="2002" spans="1:10">
      <c r="A2002" t="s">
        <v>2084</v>
      </c>
      <c r="B2002">
        <v>48</v>
      </c>
      <c r="C2002" t="s">
        <v>9</v>
      </c>
      <c r="D2002">
        <v>21</v>
      </c>
      <c r="E2002">
        <v>68</v>
      </c>
      <c r="F2002">
        <v>1.3950000000000001E-2</v>
      </c>
      <c r="G2002">
        <v>0</v>
      </c>
      <c r="H2002" t="str">
        <f t="shared" si="93"/>
        <v>60-69</v>
      </c>
      <c r="I2002" t="str">
        <f t="shared" si="94"/>
        <v>20-29</v>
      </c>
      <c r="J2002">
        <f t="shared" si="95"/>
        <v>1.3950000000000001E-2</v>
      </c>
    </row>
    <row r="2003" spans="1:10">
      <c r="A2003" t="s">
        <v>2085</v>
      </c>
      <c r="B2003">
        <v>61</v>
      </c>
      <c r="C2003" t="s">
        <v>7</v>
      </c>
      <c r="D2003">
        <v>14</v>
      </c>
      <c r="E2003">
        <v>74</v>
      </c>
      <c r="F2003">
        <v>1.704E-2</v>
      </c>
      <c r="G2003">
        <v>0</v>
      </c>
      <c r="H2003" t="str">
        <f t="shared" si="93"/>
        <v>70-79</v>
      </c>
      <c r="I2003" t="str">
        <f t="shared" si="94"/>
        <v>10-19</v>
      </c>
      <c r="J2003">
        <f t="shared" si="95"/>
        <v>1.704E-2</v>
      </c>
    </row>
    <row r="2004" spans="1:10">
      <c r="A2004" t="s">
        <v>2086</v>
      </c>
      <c r="B2004">
        <v>25</v>
      </c>
      <c r="C2004" t="s">
        <v>7</v>
      </c>
      <c r="D2004">
        <v>27</v>
      </c>
      <c r="E2004">
        <v>51</v>
      </c>
      <c r="F2004">
        <v>2.0200000000000001E-3</v>
      </c>
      <c r="G2004">
        <v>0</v>
      </c>
      <c r="H2004" t="str">
        <f t="shared" si="93"/>
        <v>50-59</v>
      </c>
      <c r="I2004" t="str">
        <f t="shared" si="94"/>
        <v>20-29</v>
      </c>
      <c r="J2004">
        <f t="shared" si="95"/>
        <v>2.0200000000000001E-3</v>
      </c>
    </row>
    <row r="2005" spans="1:10">
      <c r="A2005" t="s">
        <v>2087</v>
      </c>
      <c r="B2005">
        <v>46</v>
      </c>
      <c r="C2005" t="s">
        <v>7</v>
      </c>
      <c r="D2005">
        <v>30</v>
      </c>
      <c r="E2005">
        <v>75</v>
      </c>
      <c r="F2005">
        <v>1.553E-2</v>
      </c>
      <c r="G2005">
        <v>0</v>
      </c>
      <c r="H2005" t="str">
        <f t="shared" si="93"/>
        <v>70-79</v>
      </c>
      <c r="I2005" t="str">
        <f t="shared" si="94"/>
        <v>30-39</v>
      </c>
      <c r="J2005">
        <f t="shared" si="95"/>
        <v>1.553E-2</v>
      </c>
    </row>
    <row r="2006" spans="1:10">
      <c r="A2006" t="s">
        <v>2088</v>
      </c>
      <c r="B2006">
        <v>26</v>
      </c>
      <c r="C2006" t="s">
        <v>9</v>
      </c>
      <c r="D2006">
        <v>27</v>
      </c>
      <c r="E2006">
        <v>52</v>
      </c>
      <c r="F2006">
        <v>3.0899999999999999E-3</v>
      </c>
      <c r="G2006">
        <v>0</v>
      </c>
      <c r="H2006" t="str">
        <f t="shared" si="93"/>
        <v>50-59</v>
      </c>
      <c r="I2006" t="str">
        <f t="shared" si="94"/>
        <v>20-29</v>
      </c>
      <c r="J2006">
        <f t="shared" si="95"/>
        <v>3.0899999999999999E-3</v>
      </c>
    </row>
    <row r="2007" spans="1:10">
      <c r="A2007" t="s">
        <v>2089</v>
      </c>
      <c r="B2007">
        <v>24</v>
      </c>
      <c r="C2007" t="s">
        <v>9</v>
      </c>
      <c r="D2007">
        <v>12</v>
      </c>
      <c r="E2007">
        <v>35</v>
      </c>
      <c r="F2007">
        <v>7.6999999999999996E-4</v>
      </c>
      <c r="G2007">
        <v>0</v>
      </c>
      <c r="H2007" t="str">
        <f t="shared" si="93"/>
        <v>30-39</v>
      </c>
      <c r="I2007" t="str">
        <f t="shared" si="94"/>
        <v>10-19</v>
      </c>
      <c r="J2007">
        <f t="shared" si="95"/>
        <v>7.6999999999999996E-4</v>
      </c>
    </row>
    <row r="2008" spans="1:10">
      <c r="A2008" t="s">
        <v>2090</v>
      </c>
      <c r="B2008">
        <v>55</v>
      </c>
      <c r="C2008" t="s">
        <v>9</v>
      </c>
      <c r="D2008">
        <v>24</v>
      </c>
      <c r="E2008">
        <v>78</v>
      </c>
      <c r="F2008">
        <v>4.1189999999999997E-2</v>
      </c>
      <c r="G2008">
        <v>0</v>
      </c>
      <c r="H2008" t="str">
        <f t="shared" si="93"/>
        <v>70-79</v>
      </c>
      <c r="I2008" t="str">
        <f t="shared" si="94"/>
        <v>20-29</v>
      </c>
      <c r="J2008">
        <f t="shared" si="95"/>
        <v>4.1189999999999997E-2</v>
      </c>
    </row>
    <row r="2009" spans="1:10">
      <c r="A2009" t="s">
        <v>2091</v>
      </c>
      <c r="B2009">
        <v>23</v>
      </c>
      <c r="C2009" t="s">
        <v>7</v>
      </c>
      <c r="D2009">
        <v>21</v>
      </c>
      <c r="E2009">
        <v>43</v>
      </c>
      <c r="F2009">
        <v>1.2800000000000001E-3</v>
      </c>
      <c r="G2009">
        <v>0</v>
      </c>
      <c r="H2009" t="str">
        <f t="shared" si="93"/>
        <v>40-49</v>
      </c>
      <c r="I2009" t="str">
        <f t="shared" si="94"/>
        <v>20-29</v>
      </c>
      <c r="J2009">
        <f t="shared" si="95"/>
        <v>1.2800000000000001E-3</v>
      </c>
    </row>
    <row r="2010" spans="1:10">
      <c r="A2010" t="s">
        <v>2092</v>
      </c>
      <c r="B2010">
        <v>61</v>
      </c>
      <c r="C2010" t="s">
        <v>9</v>
      </c>
      <c r="D2010">
        <v>5</v>
      </c>
      <c r="E2010">
        <v>65</v>
      </c>
      <c r="F2010">
        <v>7.3899999999999999E-3</v>
      </c>
      <c r="G2010">
        <v>0</v>
      </c>
      <c r="H2010" t="str">
        <f t="shared" si="93"/>
        <v>60-69</v>
      </c>
      <c r="I2010" t="str">
        <f t="shared" si="94"/>
        <v>0-9</v>
      </c>
      <c r="J2010">
        <f t="shared" si="95"/>
        <v>7.3899999999999999E-3</v>
      </c>
    </row>
    <row r="2011" spans="1:10">
      <c r="A2011" t="s">
        <v>2093</v>
      </c>
      <c r="B2011">
        <v>39</v>
      </c>
      <c r="C2011" t="s">
        <v>7</v>
      </c>
      <c r="D2011">
        <v>11</v>
      </c>
      <c r="E2011">
        <v>49</v>
      </c>
      <c r="F2011">
        <v>1.49E-3</v>
      </c>
      <c r="G2011">
        <v>0</v>
      </c>
      <c r="H2011" t="str">
        <f t="shared" si="93"/>
        <v>40-49</v>
      </c>
      <c r="I2011" t="str">
        <f t="shared" si="94"/>
        <v>10-19</v>
      </c>
      <c r="J2011">
        <f t="shared" si="95"/>
        <v>1.49E-3</v>
      </c>
    </row>
    <row r="2012" spans="1:10">
      <c r="A2012" t="s">
        <v>2094</v>
      </c>
      <c r="B2012">
        <v>35</v>
      </c>
      <c r="C2012" t="s">
        <v>7</v>
      </c>
      <c r="D2012">
        <v>17</v>
      </c>
      <c r="E2012">
        <v>51</v>
      </c>
      <c r="F2012">
        <v>1.9599999999999999E-3</v>
      </c>
      <c r="G2012">
        <v>0</v>
      </c>
      <c r="H2012" t="str">
        <f t="shared" si="93"/>
        <v>50-59</v>
      </c>
      <c r="I2012" t="str">
        <f t="shared" si="94"/>
        <v>10-19</v>
      </c>
      <c r="J2012">
        <f t="shared" si="95"/>
        <v>1.9599999999999999E-3</v>
      </c>
    </row>
    <row r="2013" spans="1:10">
      <c r="A2013" t="s">
        <v>2095</v>
      </c>
      <c r="B2013">
        <v>61</v>
      </c>
      <c r="C2013" t="s">
        <v>9</v>
      </c>
      <c r="D2013">
        <v>25</v>
      </c>
      <c r="E2013">
        <v>85</v>
      </c>
      <c r="F2013">
        <v>9.1270000000000004E-2</v>
      </c>
      <c r="G2013">
        <v>0</v>
      </c>
      <c r="H2013" t="str">
        <f t="shared" si="93"/>
        <v>80-89</v>
      </c>
      <c r="I2013" t="str">
        <f t="shared" si="94"/>
        <v>20-29</v>
      </c>
      <c r="J2013">
        <f t="shared" si="95"/>
        <v>9.1270000000000004E-2</v>
      </c>
    </row>
    <row r="2014" spans="1:10">
      <c r="A2014" t="s">
        <v>2096</v>
      </c>
      <c r="B2014">
        <v>46</v>
      </c>
      <c r="C2014" t="s">
        <v>7</v>
      </c>
      <c r="D2014">
        <v>26</v>
      </c>
      <c r="E2014">
        <v>71</v>
      </c>
      <c r="F2014">
        <v>1.553E-2</v>
      </c>
      <c r="G2014">
        <v>0</v>
      </c>
      <c r="H2014" t="str">
        <f t="shared" si="93"/>
        <v>70-79</v>
      </c>
      <c r="I2014" t="str">
        <f t="shared" si="94"/>
        <v>20-29</v>
      </c>
      <c r="J2014">
        <f t="shared" si="95"/>
        <v>1.553E-2</v>
      </c>
    </row>
    <row r="2015" spans="1:10">
      <c r="A2015" t="s">
        <v>2097</v>
      </c>
      <c r="B2015">
        <v>28</v>
      </c>
      <c r="C2015" t="s">
        <v>9</v>
      </c>
      <c r="D2015">
        <v>9</v>
      </c>
      <c r="E2015">
        <v>36</v>
      </c>
      <c r="F2015">
        <v>6.4999999999999997E-4</v>
      </c>
      <c r="G2015">
        <v>0</v>
      </c>
      <c r="H2015" t="str">
        <f t="shared" si="93"/>
        <v>30-39</v>
      </c>
      <c r="I2015" t="str">
        <f t="shared" si="94"/>
        <v>0-9</v>
      </c>
      <c r="J2015">
        <f t="shared" si="95"/>
        <v>6.4999999999999997E-4</v>
      </c>
    </row>
    <row r="2016" spans="1:10">
      <c r="A2016" t="s">
        <v>2098</v>
      </c>
      <c r="B2016">
        <v>40</v>
      </c>
      <c r="C2016" t="s">
        <v>9</v>
      </c>
      <c r="D2016">
        <v>26</v>
      </c>
      <c r="E2016">
        <v>65</v>
      </c>
      <c r="F2016">
        <v>1.064E-2</v>
      </c>
      <c r="G2016">
        <v>0</v>
      </c>
      <c r="H2016" t="str">
        <f t="shared" si="93"/>
        <v>60-69</v>
      </c>
      <c r="I2016" t="str">
        <f t="shared" si="94"/>
        <v>20-29</v>
      </c>
      <c r="J2016">
        <f t="shared" si="95"/>
        <v>1.064E-2</v>
      </c>
    </row>
    <row r="2017" spans="1:10">
      <c r="A2017" t="s">
        <v>2099</v>
      </c>
      <c r="B2017">
        <v>43</v>
      </c>
      <c r="C2017" t="s">
        <v>9</v>
      </c>
      <c r="D2017">
        <v>6</v>
      </c>
      <c r="E2017">
        <v>48</v>
      </c>
      <c r="F2017">
        <v>1.4499999999999999E-3</v>
      </c>
      <c r="G2017">
        <v>0</v>
      </c>
      <c r="H2017" t="str">
        <f t="shared" si="93"/>
        <v>40-49</v>
      </c>
      <c r="I2017" t="str">
        <f t="shared" si="94"/>
        <v>0-9</v>
      </c>
      <c r="J2017">
        <f t="shared" si="95"/>
        <v>1.4499999999999999E-3</v>
      </c>
    </row>
    <row r="2018" spans="1:10">
      <c r="A2018" t="s">
        <v>2100</v>
      </c>
      <c r="B2018">
        <v>56</v>
      </c>
      <c r="C2018" t="s">
        <v>9</v>
      </c>
      <c r="D2018">
        <v>8</v>
      </c>
      <c r="E2018">
        <v>63</v>
      </c>
      <c r="F2018">
        <v>7.6899999999999998E-3</v>
      </c>
      <c r="G2018">
        <v>0</v>
      </c>
      <c r="H2018" t="str">
        <f t="shared" si="93"/>
        <v>60-69</v>
      </c>
      <c r="I2018" t="str">
        <f t="shared" si="94"/>
        <v>0-9</v>
      </c>
      <c r="J2018">
        <f t="shared" si="95"/>
        <v>7.6899999999999998E-3</v>
      </c>
    </row>
    <row r="2019" spans="1:10">
      <c r="A2019" t="s">
        <v>2101</v>
      </c>
      <c r="B2019">
        <v>55</v>
      </c>
      <c r="C2019" t="s">
        <v>7</v>
      </c>
      <c r="D2019">
        <v>21</v>
      </c>
      <c r="E2019">
        <v>75</v>
      </c>
      <c r="F2019">
        <v>2.325E-2</v>
      </c>
      <c r="G2019">
        <v>0</v>
      </c>
      <c r="H2019" t="str">
        <f t="shared" si="93"/>
        <v>70-79</v>
      </c>
      <c r="I2019" t="str">
        <f t="shared" si="94"/>
        <v>20-29</v>
      </c>
      <c r="J2019">
        <f t="shared" si="95"/>
        <v>2.325E-2</v>
      </c>
    </row>
    <row r="2020" spans="1:10">
      <c r="A2020" t="s">
        <v>2102</v>
      </c>
      <c r="B2020">
        <v>25</v>
      </c>
      <c r="C2020" t="s">
        <v>9</v>
      </c>
      <c r="D2020">
        <v>15</v>
      </c>
      <c r="E2020">
        <v>39</v>
      </c>
      <c r="F2020">
        <v>1.15E-3</v>
      </c>
      <c r="G2020">
        <v>0</v>
      </c>
      <c r="H2020" t="str">
        <f t="shared" si="93"/>
        <v>30-39</v>
      </c>
      <c r="I2020" t="str">
        <f t="shared" si="94"/>
        <v>10-19</v>
      </c>
      <c r="J2020">
        <f t="shared" si="95"/>
        <v>1.15E-3</v>
      </c>
    </row>
    <row r="2021" spans="1:10">
      <c r="A2021" t="s">
        <v>2103</v>
      </c>
      <c r="B2021">
        <v>30</v>
      </c>
      <c r="C2021" t="s">
        <v>9</v>
      </c>
      <c r="D2021">
        <v>2</v>
      </c>
      <c r="E2021">
        <v>31</v>
      </c>
      <c r="F2021">
        <v>2.9E-4</v>
      </c>
      <c r="G2021">
        <v>0</v>
      </c>
      <c r="H2021" t="str">
        <f t="shared" si="93"/>
        <v>30-39</v>
      </c>
      <c r="I2021" t="str">
        <f t="shared" si="94"/>
        <v>0-9</v>
      </c>
      <c r="J2021">
        <f t="shared" si="95"/>
        <v>2.9E-4</v>
      </c>
    </row>
    <row r="2022" spans="1:10">
      <c r="A2022" t="s">
        <v>2104</v>
      </c>
      <c r="B2022">
        <v>36</v>
      </c>
      <c r="C2022" t="s">
        <v>9</v>
      </c>
      <c r="D2022">
        <v>5</v>
      </c>
      <c r="E2022">
        <v>40</v>
      </c>
      <c r="F2022">
        <v>7.2000000000000005E-4</v>
      </c>
      <c r="G2022">
        <v>0</v>
      </c>
      <c r="H2022" t="str">
        <f t="shared" si="93"/>
        <v>40-49</v>
      </c>
      <c r="I2022" t="str">
        <f t="shared" si="94"/>
        <v>0-9</v>
      </c>
      <c r="J2022">
        <f t="shared" si="95"/>
        <v>7.2000000000000005E-4</v>
      </c>
    </row>
    <row r="2023" spans="1:10">
      <c r="A2023" t="s">
        <v>2105</v>
      </c>
      <c r="B2023">
        <v>56</v>
      </c>
      <c r="C2023" t="s">
        <v>9</v>
      </c>
      <c r="D2023">
        <v>4</v>
      </c>
      <c r="E2023">
        <v>59</v>
      </c>
      <c r="F2023">
        <v>4.2900000000000004E-3</v>
      </c>
      <c r="G2023">
        <v>0</v>
      </c>
      <c r="H2023" t="str">
        <f t="shared" si="93"/>
        <v>50-59</v>
      </c>
      <c r="I2023" t="str">
        <f t="shared" si="94"/>
        <v>0-9</v>
      </c>
      <c r="J2023">
        <f t="shared" si="95"/>
        <v>4.2900000000000004E-3</v>
      </c>
    </row>
    <row r="2024" spans="1:10">
      <c r="A2024" t="s">
        <v>2106</v>
      </c>
      <c r="B2024">
        <v>49</v>
      </c>
      <c r="C2024" t="s">
        <v>7</v>
      </c>
      <c r="D2024">
        <v>27</v>
      </c>
      <c r="E2024">
        <v>75</v>
      </c>
      <c r="F2024">
        <v>2.0979999999999999E-2</v>
      </c>
      <c r="G2024">
        <v>0</v>
      </c>
      <c r="H2024" t="str">
        <f t="shared" si="93"/>
        <v>70-79</v>
      </c>
      <c r="I2024" t="str">
        <f t="shared" si="94"/>
        <v>20-29</v>
      </c>
      <c r="J2024">
        <f t="shared" si="95"/>
        <v>2.0979999999999999E-2</v>
      </c>
    </row>
    <row r="2025" spans="1:10">
      <c r="A2025" t="s">
        <v>2107</v>
      </c>
      <c r="B2025">
        <v>65</v>
      </c>
      <c r="C2025" t="s">
        <v>9</v>
      </c>
      <c r="D2025">
        <v>7</v>
      </c>
      <c r="E2025">
        <v>71</v>
      </c>
      <c r="F2025">
        <v>1.257E-2</v>
      </c>
      <c r="G2025">
        <v>0</v>
      </c>
      <c r="H2025" t="str">
        <f t="shared" si="93"/>
        <v>70-79</v>
      </c>
      <c r="I2025" t="str">
        <f t="shared" si="94"/>
        <v>0-9</v>
      </c>
      <c r="J2025">
        <f t="shared" si="95"/>
        <v>1.257E-2</v>
      </c>
    </row>
    <row r="2026" spans="1:10">
      <c r="A2026" t="s">
        <v>2108</v>
      </c>
      <c r="B2026">
        <v>37</v>
      </c>
      <c r="C2026" t="s">
        <v>7</v>
      </c>
      <c r="D2026">
        <v>10</v>
      </c>
      <c r="E2026">
        <v>46</v>
      </c>
      <c r="F2026">
        <v>1.0499999999999999E-3</v>
      </c>
      <c r="G2026">
        <v>0</v>
      </c>
      <c r="H2026" t="str">
        <f t="shared" si="93"/>
        <v>40-49</v>
      </c>
      <c r="I2026" t="str">
        <f t="shared" si="94"/>
        <v>10-19</v>
      </c>
      <c r="J2026">
        <f t="shared" si="95"/>
        <v>1.0499999999999999E-3</v>
      </c>
    </row>
    <row r="2027" spans="1:10">
      <c r="A2027" t="s">
        <v>2109</v>
      </c>
      <c r="B2027">
        <v>47</v>
      </c>
      <c r="C2027" t="s">
        <v>9</v>
      </c>
      <c r="D2027">
        <v>28</v>
      </c>
      <c r="E2027">
        <v>74</v>
      </c>
      <c r="F2027">
        <v>2.1340000000000001E-2</v>
      </c>
      <c r="G2027">
        <v>0</v>
      </c>
      <c r="H2027" t="str">
        <f t="shared" si="93"/>
        <v>70-79</v>
      </c>
      <c r="I2027" t="str">
        <f t="shared" si="94"/>
        <v>20-29</v>
      </c>
      <c r="J2027">
        <f t="shared" si="95"/>
        <v>2.1340000000000001E-2</v>
      </c>
    </row>
    <row r="2028" spans="1:10">
      <c r="A2028" t="s">
        <v>2110</v>
      </c>
      <c r="B2028">
        <v>38</v>
      </c>
      <c r="C2028" t="s">
        <v>7</v>
      </c>
      <c r="D2028">
        <v>24</v>
      </c>
      <c r="E2028">
        <v>61</v>
      </c>
      <c r="F2028">
        <v>5.4599999999999996E-3</v>
      </c>
      <c r="G2028">
        <v>0</v>
      </c>
      <c r="H2028" t="str">
        <f t="shared" si="93"/>
        <v>60-69</v>
      </c>
      <c r="I2028" t="str">
        <f t="shared" si="94"/>
        <v>20-29</v>
      </c>
      <c r="J2028">
        <f t="shared" si="95"/>
        <v>5.4599999999999996E-3</v>
      </c>
    </row>
    <row r="2029" spans="1:10">
      <c r="A2029" t="s">
        <v>2111</v>
      </c>
      <c r="B2029">
        <v>46</v>
      </c>
      <c r="C2029" t="s">
        <v>9</v>
      </c>
      <c r="D2029">
        <v>26</v>
      </c>
      <c r="E2029">
        <v>71</v>
      </c>
      <c r="F2029">
        <v>1.9089999999999999E-2</v>
      </c>
      <c r="G2029">
        <v>0</v>
      </c>
      <c r="H2029" t="str">
        <f t="shared" si="93"/>
        <v>70-79</v>
      </c>
      <c r="I2029" t="str">
        <f t="shared" si="94"/>
        <v>20-29</v>
      </c>
      <c r="J2029">
        <f t="shared" si="95"/>
        <v>1.9089999999999999E-2</v>
      </c>
    </row>
    <row r="2030" spans="1:10">
      <c r="A2030" t="s">
        <v>2112</v>
      </c>
      <c r="B2030">
        <v>36</v>
      </c>
      <c r="C2030" t="s">
        <v>7</v>
      </c>
      <c r="D2030">
        <v>8</v>
      </c>
      <c r="E2030">
        <v>43</v>
      </c>
      <c r="F2030">
        <v>7.7999999999999999E-4</v>
      </c>
      <c r="G2030">
        <v>0</v>
      </c>
      <c r="H2030" t="str">
        <f t="shared" si="93"/>
        <v>40-49</v>
      </c>
      <c r="I2030" t="str">
        <f t="shared" si="94"/>
        <v>0-9</v>
      </c>
      <c r="J2030">
        <f t="shared" si="95"/>
        <v>7.7999999999999999E-4</v>
      </c>
    </row>
    <row r="2031" spans="1:10">
      <c r="A2031" t="s">
        <v>2113</v>
      </c>
      <c r="B2031">
        <v>43</v>
      </c>
      <c r="C2031" t="s">
        <v>7</v>
      </c>
      <c r="D2031">
        <v>19</v>
      </c>
      <c r="E2031">
        <v>61</v>
      </c>
      <c r="F2031">
        <v>5.3099999999999996E-3</v>
      </c>
      <c r="G2031">
        <v>0</v>
      </c>
      <c r="H2031" t="str">
        <f t="shared" si="93"/>
        <v>60-69</v>
      </c>
      <c r="I2031" t="str">
        <f t="shared" si="94"/>
        <v>10-19</v>
      </c>
      <c r="J2031">
        <f t="shared" si="95"/>
        <v>5.3099999999999996E-3</v>
      </c>
    </row>
    <row r="2032" spans="1:10">
      <c r="A2032" t="s">
        <v>2114</v>
      </c>
      <c r="B2032">
        <v>20</v>
      </c>
      <c r="C2032" t="s">
        <v>9</v>
      </c>
      <c r="D2032">
        <v>16</v>
      </c>
      <c r="E2032">
        <v>35</v>
      </c>
      <c r="F2032">
        <v>9.7999999999999997E-4</v>
      </c>
      <c r="G2032">
        <v>0</v>
      </c>
      <c r="H2032" t="str">
        <f t="shared" si="93"/>
        <v>30-39</v>
      </c>
      <c r="I2032" t="str">
        <f t="shared" si="94"/>
        <v>10-19</v>
      </c>
      <c r="J2032">
        <f t="shared" si="95"/>
        <v>9.7999999999999997E-4</v>
      </c>
    </row>
    <row r="2033" spans="1:10">
      <c r="A2033" t="s">
        <v>2115</v>
      </c>
      <c r="B2033">
        <v>64</v>
      </c>
      <c r="C2033" t="s">
        <v>7</v>
      </c>
      <c r="D2033">
        <v>13</v>
      </c>
      <c r="E2033">
        <v>76</v>
      </c>
      <c r="F2033">
        <v>2.018E-2</v>
      </c>
      <c r="G2033">
        <v>0</v>
      </c>
      <c r="H2033" t="str">
        <f t="shared" si="93"/>
        <v>70-79</v>
      </c>
      <c r="I2033" t="str">
        <f t="shared" si="94"/>
        <v>10-19</v>
      </c>
      <c r="J2033">
        <f t="shared" si="95"/>
        <v>2.018E-2</v>
      </c>
    </row>
    <row r="2034" spans="1:10">
      <c r="A2034" t="s">
        <v>2116</v>
      </c>
      <c r="B2034">
        <v>65</v>
      </c>
      <c r="C2034" t="s">
        <v>7</v>
      </c>
      <c r="D2034">
        <v>14</v>
      </c>
      <c r="E2034">
        <v>78</v>
      </c>
      <c r="F2034">
        <v>2.564E-2</v>
      </c>
      <c r="G2034">
        <v>0</v>
      </c>
      <c r="H2034" t="str">
        <f t="shared" si="93"/>
        <v>70-79</v>
      </c>
      <c r="I2034" t="str">
        <f t="shared" si="94"/>
        <v>10-19</v>
      </c>
      <c r="J2034">
        <f t="shared" si="95"/>
        <v>2.564E-2</v>
      </c>
    </row>
    <row r="2035" spans="1:10">
      <c r="A2035" t="s">
        <v>2117</v>
      </c>
      <c r="B2035">
        <v>26</v>
      </c>
      <c r="C2035" t="s">
        <v>9</v>
      </c>
      <c r="D2035">
        <v>18</v>
      </c>
      <c r="E2035">
        <v>43</v>
      </c>
      <c r="F2035">
        <v>1.7099999999999999E-3</v>
      </c>
      <c r="G2035">
        <v>0</v>
      </c>
      <c r="H2035" t="str">
        <f t="shared" si="93"/>
        <v>40-49</v>
      </c>
      <c r="I2035" t="str">
        <f t="shared" si="94"/>
        <v>10-19</v>
      </c>
      <c r="J2035">
        <f t="shared" si="95"/>
        <v>1.7099999999999999E-3</v>
      </c>
    </row>
    <row r="2036" spans="1:10">
      <c r="A2036" t="s">
        <v>2118</v>
      </c>
      <c r="B2036">
        <v>35</v>
      </c>
      <c r="C2036" t="s">
        <v>7</v>
      </c>
      <c r="D2036">
        <v>16</v>
      </c>
      <c r="E2036">
        <v>50</v>
      </c>
      <c r="F2036">
        <v>1.7799999999999999E-3</v>
      </c>
      <c r="G2036">
        <v>0</v>
      </c>
      <c r="H2036" t="str">
        <f t="shared" si="93"/>
        <v>50-59</v>
      </c>
      <c r="I2036" t="str">
        <f t="shared" si="94"/>
        <v>10-19</v>
      </c>
      <c r="J2036">
        <f t="shared" si="95"/>
        <v>1.7799999999999999E-3</v>
      </c>
    </row>
    <row r="2037" spans="1:10">
      <c r="A2037" t="s">
        <v>2119</v>
      </c>
      <c r="B2037">
        <v>62</v>
      </c>
      <c r="C2037" t="s">
        <v>7</v>
      </c>
      <c r="D2037">
        <v>26</v>
      </c>
      <c r="E2037">
        <v>87</v>
      </c>
      <c r="F2037">
        <v>9.3240000000000003E-2</v>
      </c>
      <c r="G2037">
        <v>0</v>
      </c>
      <c r="H2037" t="str">
        <f t="shared" si="93"/>
        <v>80-89</v>
      </c>
      <c r="I2037" t="str">
        <f t="shared" si="94"/>
        <v>20-29</v>
      </c>
      <c r="J2037">
        <f t="shared" si="95"/>
        <v>9.3240000000000003E-2</v>
      </c>
    </row>
    <row r="2038" spans="1:10">
      <c r="A2038" t="s">
        <v>2120</v>
      </c>
      <c r="B2038">
        <v>22</v>
      </c>
      <c r="C2038" t="s">
        <v>9</v>
      </c>
      <c r="D2038">
        <v>1</v>
      </c>
      <c r="E2038">
        <v>22</v>
      </c>
      <c r="F2038">
        <v>5.8E-4</v>
      </c>
      <c r="G2038">
        <v>0</v>
      </c>
      <c r="H2038" t="str">
        <f t="shared" si="93"/>
        <v>20-29</v>
      </c>
      <c r="I2038" t="str">
        <f t="shared" si="94"/>
        <v>0-9</v>
      </c>
      <c r="J2038">
        <f t="shared" si="95"/>
        <v>5.8E-4</v>
      </c>
    </row>
    <row r="2039" spans="1:10">
      <c r="A2039" t="s">
        <v>2121</v>
      </c>
      <c r="B2039">
        <v>39</v>
      </c>
      <c r="C2039" t="s">
        <v>7</v>
      </c>
      <c r="D2039">
        <v>13</v>
      </c>
      <c r="E2039">
        <v>51</v>
      </c>
      <c r="F2039">
        <v>1.9E-3</v>
      </c>
      <c r="G2039">
        <v>0</v>
      </c>
      <c r="H2039" t="str">
        <f t="shared" si="93"/>
        <v>50-59</v>
      </c>
      <c r="I2039" t="str">
        <f t="shared" si="94"/>
        <v>10-19</v>
      </c>
      <c r="J2039">
        <f t="shared" si="95"/>
        <v>1.9E-3</v>
      </c>
    </row>
    <row r="2040" spans="1:10">
      <c r="A2040" t="s">
        <v>2122</v>
      </c>
      <c r="B2040">
        <v>55</v>
      </c>
      <c r="C2040" t="s">
        <v>7</v>
      </c>
      <c r="D2040">
        <v>2</v>
      </c>
      <c r="E2040">
        <v>56</v>
      </c>
      <c r="F2040">
        <v>1.2600000000000001E-3</v>
      </c>
      <c r="G2040">
        <v>0</v>
      </c>
      <c r="H2040" t="str">
        <f t="shared" si="93"/>
        <v>50-59</v>
      </c>
      <c r="I2040" t="str">
        <f t="shared" si="94"/>
        <v>0-9</v>
      </c>
      <c r="J2040">
        <f t="shared" si="95"/>
        <v>1.2600000000000001E-3</v>
      </c>
    </row>
    <row r="2041" spans="1:10">
      <c r="A2041" t="s">
        <v>2123</v>
      </c>
      <c r="B2041">
        <v>52</v>
      </c>
      <c r="C2041" t="s">
        <v>7</v>
      </c>
      <c r="D2041">
        <v>16</v>
      </c>
      <c r="E2041">
        <v>67</v>
      </c>
      <c r="F2041">
        <v>9.4000000000000004E-3</v>
      </c>
      <c r="G2041">
        <v>0</v>
      </c>
      <c r="H2041" t="str">
        <f t="shared" si="93"/>
        <v>60-69</v>
      </c>
      <c r="I2041" t="str">
        <f t="shared" si="94"/>
        <v>10-19</v>
      </c>
      <c r="J2041">
        <f t="shared" si="95"/>
        <v>9.4000000000000004E-3</v>
      </c>
    </row>
    <row r="2042" spans="1:10">
      <c r="A2042" t="s">
        <v>2124</v>
      </c>
      <c r="B2042">
        <v>28</v>
      </c>
      <c r="C2042" t="s">
        <v>9</v>
      </c>
      <c r="D2042">
        <v>3</v>
      </c>
      <c r="E2042">
        <v>30</v>
      </c>
      <c r="F2042">
        <v>3.4000000000000002E-4</v>
      </c>
      <c r="G2042">
        <v>0</v>
      </c>
      <c r="H2042" t="str">
        <f t="shared" si="93"/>
        <v>30-39</v>
      </c>
      <c r="I2042" t="str">
        <f t="shared" si="94"/>
        <v>0-9</v>
      </c>
      <c r="J2042">
        <f t="shared" si="95"/>
        <v>3.4000000000000002E-4</v>
      </c>
    </row>
    <row r="2043" spans="1:10">
      <c r="A2043" t="s">
        <v>2125</v>
      </c>
      <c r="B2043">
        <v>29</v>
      </c>
      <c r="C2043" t="s">
        <v>9</v>
      </c>
      <c r="D2043">
        <v>9</v>
      </c>
      <c r="E2043">
        <v>37</v>
      </c>
      <c r="F2043">
        <v>6.9999999999999999E-4</v>
      </c>
      <c r="G2043">
        <v>0</v>
      </c>
      <c r="H2043" t="str">
        <f t="shared" si="93"/>
        <v>30-39</v>
      </c>
      <c r="I2043" t="str">
        <f t="shared" si="94"/>
        <v>0-9</v>
      </c>
      <c r="J2043">
        <f t="shared" si="95"/>
        <v>6.9999999999999999E-4</v>
      </c>
    </row>
    <row r="2044" spans="1:10">
      <c r="A2044" t="s">
        <v>2126</v>
      </c>
      <c r="B2044">
        <v>28</v>
      </c>
      <c r="C2044" t="s">
        <v>7</v>
      </c>
      <c r="D2044">
        <v>16</v>
      </c>
      <c r="E2044">
        <v>43</v>
      </c>
      <c r="F2044">
        <v>1.09E-3</v>
      </c>
      <c r="G2044">
        <v>0</v>
      </c>
      <c r="H2044" t="str">
        <f t="shared" si="93"/>
        <v>40-49</v>
      </c>
      <c r="I2044" t="str">
        <f t="shared" si="94"/>
        <v>10-19</v>
      </c>
      <c r="J2044">
        <f t="shared" si="95"/>
        <v>1.09E-3</v>
      </c>
    </row>
    <row r="2045" spans="1:10">
      <c r="A2045" t="s">
        <v>2127</v>
      </c>
      <c r="B2045">
        <v>43</v>
      </c>
      <c r="C2045" t="s">
        <v>9</v>
      </c>
      <c r="D2045">
        <v>30</v>
      </c>
      <c r="E2045">
        <v>72</v>
      </c>
      <c r="F2045">
        <v>1.413E-2</v>
      </c>
      <c r="G2045">
        <v>0</v>
      </c>
      <c r="H2045" t="str">
        <f t="shared" si="93"/>
        <v>70-79</v>
      </c>
      <c r="I2045" t="str">
        <f t="shared" si="94"/>
        <v>30-39</v>
      </c>
      <c r="J2045">
        <f t="shared" si="95"/>
        <v>1.413E-2</v>
      </c>
    </row>
    <row r="2046" spans="1:10">
      <c r="A2046" t="s">
        <v>2128</v>
      </c>
      <c r="B2046">
        <v>36</v>
      </c>
      <c r="C2046" t="s">
        <v>7</v>
      </c>
      <c r="D2046">
        <v>20</v>
      </c>
      <c r="E2046">
        <v>55</v>
      </c>
      <c r="F2046">
        <v>3.0200000000000001E-3</v>
      </c>
      <c r="G2046">
        <v>0</v>
      </c>
      <c r="H2046" t="str">
        <f t="shared" si="93"/>
        <v>50-59</v>
      </c>
      <c r="I2046" t="str">
        <f t="shared" si="94"/>
        <v>20-29</v>
      </c>
      <c r="J2046">
        <f t="shared" si="95"/>
        <v>3.0200000000000001E-3</v>
      </c>
    </row>
    <row r="2047" spans="1:10">
      <c r="A2047" t="s">
        <v>2129</v>
      </c>
      <c r="B2047">
        <v>53</v>
      </c>
      <c r="C2047" t="s">
        <v>9</v>
      </c>
      <c r="D2047">
        <v>11</v>
      </c>
      <c r="E2047">
        <v>63</v>
      </c>
      <c r="F2047">
        <v>8.0300000000000007E-3</v>
      </c>
      <c r="G2047">
        <v>0</v>
      </c>
      <c r="H2047" t="str">
        <f t="shared" si="93"/>
        <v>60-69</v>
      </c>
      <c r="I2047" t="str">
        <f t="shared" si="94"/>
        <v>10-19</v>
      </c>
      <c r="J2047">
        <f t="shared" si="95"/>
        <v>8.0300000000000007E-3</v>
      </c>
    </row>
    <row r="2048" spans="1:10">
      <c r="A2048" t="s">
        <v>2130</v>
      </c>
      <c r="B2048">
        <v>51</v>
      </c>
      <c r="C2048" t="s">
        <v>7</v>
      </c>
      <c r="D2048">
        <v>25</v>
      </c>
      <c r="E2048">
        <v>75</v>
      </c>
      <c r="F2048">
        <v>2.325E-2</v>
      </c>
      <c r="G2048">
        <v>0</v>
      </c>
      <c r="H2048" t="str">
        <f t="shared" si="93"/>
        <v>70-79</v>
      </c>
      <c r="I2048" t="str">
        <f t="shared" si="94"/>
        <v>20-29</v>
      </c>
      <c r="J2048">
        <f t="shared" si="95"/>
        <v>2.325E-2</v>
      </c>
    </row>
    <row r="2049" spans="1:10">
      <c r="A2049" t="s">
        <v>2131</v>
      </c>
      <c r="B2049">
        <v>62</v>
      </c>
      <c r="C2049" t="s">
        <v>7</v>
      </c>
      <c r="D2049">
        <v>21</v>
      </c>
      <c r="E2049">
        <v>82</v>
      </c>
      <c r="F2049">
        <v>5.0599999999999999E-2</v>
      </c>
      <c r="G2049">
        <v>0</v>
      </c>
      <c r="H2049" t="str">
        <f t="shared" si="93"/>
        <v>80-89</v>
      </c>
      <c r="I2049" t="str">
        <f t="shared" si="94"/>
        <v>20-29</v>
      </c>
      <c r="J2049">
        <f t="shared" si="95"/>
        <v>5.0599999999999999E-2</v>
      </c>
    </row>
    <row r="2050" spans="1:10">
      <c r="A2050" t="s">
        <v>2132</v>
      </c>
      <c r="B2050">
        <v>29</v>
      </c>
      <c r="C2050" t="s">
        <v>9</v>
      </c>
      <c r="D2050">
        <v>2</v>
      </c>
      <c r="E2050">
        <v>30</v>
      </c>
      <c r="F2050">
        <v>3.1E-4</v>
      </c>
      <c r="G2050">
        <v>0</v>
      </c>
      <c r="H2050" t="str">
        <f t="shared" si="93"/>
        <v>30-39</v>
      </c>
      <c r="I2050" t="str">
        <f t="shared" si="94"/>
        <v>0-9</v>
      </c>
      <c r="J2050">
        <f t="shared" si="95"/>
        <v>3.1E-4</v>
      </c>
    </row>
    <row r="2051" spans="1:10">
      <c r="A2051" t="s">
        <v>2133</v>
      </c>
      <c r="B2051">
        <v>36</v>
      </c>
      <c r="C2051" t="s">
        <v>7</v>
      </c>
      <c r="D2051">
        <v>6</v>
      </c>
      <c r="E2051">
        <v>41</v>
      </c>
      <c r="F2051">
        <v>6.4999999999999997E-4</v>
      </c>
      <c r="G2051">
        <v>0</v>
      </c>
      <c r="H2051" t="str">
        <f t="shared" ref="H2051:H2114" si="96">FLOOR(E2051,10) &amp; "-" &amp; FLOOR(E2051,10)+9</f>
        <v>40-49</v>
      </c>
      <c r="I2051" t="str">
        <f t="shared" ref="I2051:I2114" si="97">FLOOR(D2051, 10) &amp; "-"&amp;FLOOR(D2051, 10)+9</f>
        <v>0-9</v>
      </c>
      <c r="J2051">
        <f t="shared" ref="J2051:J2114" si="98">F2051</f>
        <v>6.4999999999999997E-4</v>
      </c>
    </row>
    <row r="2052" spans="1:10">
      <c r="A2052" t="s">
        <v>2134</v>
      </c>
      <c r="B2052">
        <v>51</v>
      </c>
      <c r="C2052" t="s">
        <v>9</v>
      </c>
      <c r="D2052">
        <v>2</v>
      </c>
      <c r="E2052">
        <v>52</v>
      </c>
      <c r="F2052">
        <v>1.34E-3</v>
      </c>
      <c r="G2052">
        <v>0</v>
      </c>
      <c r="H2052" t="str">
        <f t="shared" si="96"/>
        <v>50-59</v>
      </c>
      <c r="I2052" t="str">
        <f t="shared" si="97"/>
        <v>0-9</v>
      </c>
      <c r="J2052">
        <f t="shared" si="98"/>
        <v>1.34E-3</v>
      </c>
    </row>
    <row r="2053" spans="1:10">
      <c r="A2053" t="s">
        <v>2135</v>
      </c>
      <c r="B2053">
        <v>55</v>
      </c>
      <c r="C2053" t="s">
        <v>9</v>
      </c>
      <c r="D2053">
        <v>16</v>
      </c>
      <c r="E2053">
        <v>70</v>
      </c>
      <c r="F2053">
        <v>1.6750000000000001E-2</v>
      </c>
      <c r="G2053">
        <v>0</v>
      </c>
      <c r="H2053" t="str">
        <f t="shared" si="96"/>
        <v>70-79</v>
      </c>
      <c r="I2053" t="str">
        <f t="shared" si="97"/>
        <v>10-19</v>
      </c>
      <c r="J2053">
        <f t="shared" si="98"/>
        <v>1.6750000000000001E-2</v>
      </c>
    </row>
    <row r="2054" spans="1:10">
      <c r="A2054" t="s">
        <v>2136</v>
      </c>
      <c r="B2054">
        <v>29</v>
      </c>
      <c r="C2054" t="s">
        <v>9</v>
      </c>
      <c r="D2054">
        <v>4</v>
      </c>
      <c r="E2054">
        <v>32</v>
      </c>
      <c r="F2054">
        <v>4.0999999999999999E-4</v>
      </c>
      <c r="G2054">
        <v>0</v>
      </c>
      <c r="H2054" t="str">
        <f t="shared" si="96"/>
        <v>30-39</v>
      </c>
      <c r="I2054" t="str">
        <f t="shared" si="97"/>
        <v>0-9</v>
      </c>
      <c r="J2054">
        <f t="shared" si="98"/>
        <v>4.0999999999999999E-4</v>
      </c>
    </row>
    <row r="2055" spans="1:10">
      <c r="A2055" t="s">
        <v>2137</v>
      </c>
      <c r="B2055">
        <v>38</v>
      </c>
      <c r="C2055" t="s">
        <v>7</v>
      </c>
      <c r="D2055">
        <v>6</v>
      </c>
      <c r="E2055">
        <v>43</v>
      </c>
      <c r="F2055">
        <v>7.5000000000000002E-4</v>
      </c>
      <c r="G2055">
        <v>0</v>
      </c>
      <c r="H2055" t="str">
        <f t="shared" si="96"/>
        <v>40-49</v>
      </c>
      <c r="I2055" t="str">
        <f t="shared" si="97"/>
        <v>0-9</v>
      </c>
      <c r="J2055">
        <f t="shared" si="98"/>
        <v>7.5000000000000002E-4</v>
      </c>
    </row>
    <row r="2056" spans="1:10">
      <c r="A2056" t="s">
        <v>2138</v>
      </c>
      <c r="B2056">
        <v>37</v>
      </c>
      <c r="C2056" t="s">
        <v>7</v>
      </c>
      <c r="D2056">
        <v>19</v>
      </c>
      <c r="E2056">
        <v>55</v>
      </c>
      <c r="F2056">
        <v>2.9499999999999999E-3</v>
      </c>
      <c r="G2056">
        <v>0</v>
      </c>
      <c r="H2056" t="str">
        <f t="shared" si="96"/>
        <v>50-59</v>
      </c>
      <c r="I2056" t="str">
        <f t="shared" si="97"/>
        <v>10-19</v>
      </c>
      <c r="J2056">
        <f t="shared" si="98"/>
        <v>2.9499999999999999E-3</v>
      </c>
    </row>
    <row r="2057" spans="1:10">
      <c r="A2057" t="s">
        <v>2139</v>
      </c>
      <c r="B2057">
        <v>57</v>
      </c>
      <c r="C2057" t="s">
        <v>7</v>
      </c>
      <c r="D2057">
        <v>1</v>
      </c>
      <c r="E2057">
        <v>57</v>
      </c>
      <c r="F2057">
        <v>5.9000000000000003E-4</v>
      </c>
      <c r="G2057">
        <v>0</v>
      </c>
      <c r="H2057" t="str">
        <f t="shared" si="96"/>
        <v>50-59</v>
      </c>
      <c r="I2057" t="str">
        <f t="shared" si="97"/>
        <v>0-9</v>
      </c>
      <c r="J2057">
        <f t="shared" si="98"/>
        <v>5.9000000000000003E-4</v>
      </c>
    </row>
    <row r="2058" spans="1:10">
      <c r="A2058" t="s">
        <v>2140</v>
      </c>
      <c r="B2058">
        <v>46</v>
      </c>
      <c r="C2058" t="s">
        <v>9</v>
      </c>
      <c r="D2058">
        <v>30</v>
      </c>
      <c r="E2058">
        <v>75</v>
      </c>
      <c r="F2058">
        <v>1.9089999999999999E-2</v>
      </c>
      <c r="G2058">
        <v>0</v>
      </c>
      <c r="H2058" t="str">
        <f t="shared" si="96"/>
        <v>70-79</v>
      </c>
      <c r="I2058" t="str">
        <f t="shared" si="97"/>
        <v>30-39</v>
      </c>
      <c r="J2058">
        <f t="shared" si="98"/>
        <v>1.9089999999999999E-2</v>
      </c>
    </row>
    <row r="2059" spans="1:10">
      <c r="A2059" t="s">
        <v>2141</v>
      </c>
      <c r="B2059">
        <v>63</v>
      </c>
      <c r="C2059" t="s">
        <v>7</v>
      </c>
      <c r="D2059">
        <v>4</v>
      </c>
      <c r="E2059">
        <v>66</v>
      </c>
      <c r="F2059">
        <v>5.0800000000000003E-3</v>
      </c>
      <c r="G2059">
        <v>0</v>
      </c>
      <c r="H2059" t="str">
        <f t="shared" si="96"/>
        <v>60-69</v>
      </c>
      <c r="I2059" t="str">
        <f t="shared" si="97"/>
        <v>0-9</v>
      </c>
      <c r="J2059">
        <f t="shared" si="98"/>
        <v>5.0800000000000003E-3</v>
      </c>
    </row>
    <row r="2060" spans="1:10">
      <c r="A2060" t="s">
        <v>2142</v>
      </c>
      <c r="B2060">
        <v>63</v>
      </c>
      <c r="C2060" t="s">
        <v>9</v>
      </c>
      <c r="D2060">
        <v>22</v>
      </c>
      <c r="E2060">
        <v>84</v>
      </c>
      <c r="F2060">
        <v>8.0629999999999993E-2</v>
      </c>
      <c r="G2060">
        <v>0</v>
      </c>
      <c r="H2060" t="str">
        <f t="shared" si="96"/>
        <v>80-89</v>
      </c>
      <c r="I2060" t="str">
        <f t="shared" si="97"/>
        <v>20-29</v>
      </c>
      <c r="J2060">
        <f t="shared" si="98"/>
        <v>8.0629999999999993E-2</v>
      </c>
    </row>
    <row r="2061" spans="1:10">
      <c r="A2061" t="s">
        <v>2143</v>
      </c>
      <c r="B2061">
        <v>26</v>
      </c>
      <c r="C2061" t="s">
        <v>9</v>
      </c>
      <c r="D2061">
        <v>27</v>
      </c>
      <c r="E2061">
        <v>52</v>
      </c>
      <c r="F2061">
        <v>3.0899999999999999E-3</v>
      </c>
      <c r="G2061">
        <v>0</v>
      </c>
      <c r="H2061" t="str">
        <f t="shared" si="96"/>
        <v>50-59</v>
      </c>
      <c r="I2061" t="str">
        <f t="shared" si="97"/>
        <v>20-29</v>
      </c>
      <c r="J2061">
        <f t="shared" si="98"/>
        <v>3.0899999999999999E-3</v>
      </c>
    </row>
    <row r="2062" spans="1:10">
      <c r="A2062" t="s">
        <v>2144</v>
      </c>
      <c r="B2062">
        <v>49</v>
      </c>
      <c r="C2062" t="s">
        <v>7</v>
      </c>
      <c r="D2062">
        <v>27</v>
      </c>
      <c r="E2062">
        <v>75</v>
      </c>
      <c r="F2062">
        <v>2.0979999999999999E-2</v>
      </c>
      <c r="G2062">
        <v>0</v>
      </c>
      <c r="H2062" t="str">
        <f t="shared" si="96"/>
        <v>70-79</v>
      </c>
      <c r="I2062" t="str">
        <f t="shared" si="97"/>
        <v>20-29</v>
      </c>
      <c r="J2062">
        <f t="shared" si="98"/>
        <v>2.0979999999999999E-2</v>
      </c>
    </row>
    <row r="2063" spans="1:10">
      <c r="A2063" t="s">
        <v>2145</v>
      </c>
      <c r="B2063">
        <v>60</v>
      </c>
      <c r="C2063" t="s">
        <v>7</v>
      </c>
      <c r="D2063">
        <v>9</v>
      </c>
      <c r="E2063">
        <v>68</v>
      </c>
      <c r="F2063">
        <v>7.4900000000000001E-3</v>
      </c>
      <c r="G2063">
        <v>1</v>
      </c>
      <c r="H2063" t="str">
        <f t="shared" si="96"/>
        <v>60-69</v>
      </c>
      <c r="I2063" t="str">
        <f t="shared" si="97"/>
        <v>0-9</v>
      </c>
      <c r="J2063">
        <f t="shared" si="98"/>
        <v>7.4900000000000001E-3</v>
      </c>
    </row>
    <row r="2064" spans="1:10">
      <c r="A2064" t="s">
        <v>2146</v>
      </c>
      <c r="B2064">
        <v>22</v>
      </c>
      <c r="C2064" t="s">
        <v>7</v>
      </c>
      <c r="D2064">
        <v>21</v>
      </c>
      <c r="E2064">
        <v>42</v>
      </c>
      <c r="F2064">
        <v>1.24E-3</v>
      </c>
      <c r="G2064">
        <v>0</v>
      </c>
      <c r="H2064" t="str">
        <f t="shared" si="96"/>
        <v>40-49</v>
      </c>
      <c r="I2064" t="str">
        <f t="shared" si="97"/>
        <v>20-29</v>
      </c>
      <c r="J2064">
        <f t="shared" si="98"/>
        <v>1.24E-3</v>
      </c>
    </row>
    <row r="2065" spans="1:10">
      <c r="A2065" t="s">
        <v>2147</v>
      </c>
      <c r="B2065">
        <v>56</v>
      </c>
      <c r="C2065" t="s">
        <v>9</v>
      </c>
      <c r="D2065">
        <v>5</v>
      </c>
      <c r="E2065">
        <v>60</v>
      </c>
      <c r="F2065">
        <v>4.8900000000000002E-3</v>
      </c>
      <c r="G2065">
        <v>0</v>
      </c>
      <c r="H2065" t="str">
        <f t="shared" si="96"/>
        <v>60-69</v>
      </c>
      <c r="I2065" t="str">
        <f t="shared" si="97"/>
        <v>0-9</v>
      </c>
      <c r="J2065">
        <f t="shared" si="98"/>
        <v>4.8900000000000002E-3</v>
      </c>
    </row>
    <row r="2066" spans="1:10">
      <c r="A2066" t="s">
        <v>2148</v>
      </c>
      <c r="B2066">
        <v>61</v>
      </c>
      <c r="C2066" t="s">
        <v>9</v>
      </c>
      <c r="D2066">
        <v>10</v>
      </c>
      <c r="E2066">
        <v>70</v>
      </c>
      <c r="F2066">
        <v>1.4999999999999999E-2</v>
      </c>
      <c r="G2066">
        <v>0</v>
      </c>
      <c r="H2066" t="str">
        <f t="shared" si="96"/>
        <v>70-79</v>
      </c>
      <c r="I2066" t="str">
        <f t="shared" si="97"/>
        <v>10-19</v>
      </c>
      <c r="J2066">
        <f t="shared" si="98"/>
        <v>1.4999999999999999E-2</v>
      </c>
    </row>
    <row r="2067" spans="1:10">
      <c r="A2067" t="s">
        <v>2149</v>
      </c>
      <c r="B2067">
        <v>24</v>
      </c>
      <c r="C2067" t="s">
        <v>7</v>
      </c>
      <c r="D2067">
        <v>18</v>
      </c>
      <c r="E2067">
        <v>41</v>
      </c>
      <c r="F2067">
        <v>1.08E-3</v>
      </c>
      <c r="G2067">
        <v>0</v>
      </c>
      <c r="H2067" t="str">
        <f t="shared" si="96"/>
        <v>40-49</v>
      </c>
      <c r="I2067" t="str">
        <f t="shared" si="97"/>
        <v>10-19</v>
      </c>
      <c r="J2067">
        <f t="shared" si="98"/>
        <v>1.08E-3</v>
      </c>
    </row>
    <row r="2068" spans="1:10">
      <c r="A2068" t="s">
        <v>2150</v>
      </c>
      <c r="B2068">
        <v>45</v>
      </c>
      <c r="C2068" t="s">
        <v>9</v>
      </c>
      <c r="D2068">
        <v>9</v>
      </c>
      <c r="E2068">
        <v>53</v>
      </c>
      <c r="F2068">
        <v>2.63E-3</v>
      </c>
      <c r="G2068">
        <v>0</v>
      </c>
      <c r="H2068" t="str">
        <f t="shared" si="96"/>
        <v>50-59</v>
      </c>
      <c r="I2068" t="str">
        <f t="shared" si="97"/>
        <v>0-9</v>
      </c>
      <c r="J2068">
        <f t="shared" si="98"/>
        <v>2.63E-3</v>
      </c>
    </row>
    <row r="2069" spans="1:10">
      <c r="A2069" t="s">
        <v>2151</v>
      </c>
      <c r="B2069">
        <v>45</v>
      </c>
      <c r="C2069" t="s">
        <v>9</v>
      </c>
      <c r="D2069">
        <v>3</v>
      </c>
      <c r="E2069">
        <v>47</v>
      </c>
      <c r="F2069">
        <v>1.08E-3</v>
      </c>
      <c r="G2069">
        <v>0</v>
      </c>
      <c r="H2069" t="str">
        <f t="shared" si="96"/>
        <v>40-49</v>
      </c>
      <c r="I2069" t="str">
        <f t="shared" si="97"/>
        <v>0-9</v>
      </c>
      <c r="J2069">
        <f t="shared" si="98"/>
        <v>1.08E-3</v>
      </c>
    </row>
    <row r="2070" spans="1:10">
      <c r="A2070" t="s">
        <v>2152</v>
      </c>
      <c r="B2070">
        <v>44</v>
      </c>
      <c r="C2070" t="s">
        <v>9</v>
      </c>
      <c r="D2070">
        <v>25</v>
      </c>
      <c r="E2070">
        <v>68</v>
      </c>
      <c r="F2070">
        <v>1.405E-2</v>
      </c>
      <c r="G2070">
        <v>0</v>
      </c>
      <c r="H2070" t="str">
        <f t="shared" si="96"/>
        <v>60-69</v>
      </c>
      <c r="I2070" t="str">
        <f t="shared" si="97"/>
        <v>20-29</v>
      </c>
      <c r="J2070">
        <f t="shared" si="98"/>
        <v>1.405E-2</v>
      </c>
    </row>
    <row r="2071" spans="1:10">
      <c r="A2071" t="s">
        <v>2153</v>
      </c>
      <c r="B2071">
        <v>61</v>
      </c>
      <c r="C2071" t="s">
        <v>9</v>
      </c>
      <c r="D2071">
        <v>5</v>
      </c>
      <c r="E2071">
        <v>65</v>
      </c>
      <c r="F2071">
        <v>7.3899999999999999E-3</v>
      </c>
      <c r="G2071">
        <v>0</v>
      </c>
      <c r="H2071" t="str">
        <f t="shared" si="96"/>
        <v>60-69</v>
      </c>
      <c r="I2071" t="str">
        <f t="shared" si="97"/>
        <v>0-9</v>
      </c>
      <c r="J2071">
        <f t="shared" si="98"/>
        <v>7.3899999999999999E-3</v>
      </c>
    </row>
    <row r="2072" spans="1:10">
      <c r="A2072" t="s">
        <v>2154</v>
      </c>
      <c r="B2072">
        <v>47</v>
      </c>
      <c r="C2072" t="s">
        <v>7</v>
      </c>
      <c r="D2072">
        <v>24</v>
      </c>
      <c r="E2072">
        <v>70</v>
      </c>
      <c r="F2072">
        <v>1.404E-2</v>
      </c>
      <c r="G2072">
        <v>0</v>
      </c>
      <c r="H2072" t="str">
        <f t="shared" si="96"/>
        <v>70-79</v>
      </c>
      <c r="I2072" t="str">
        <f t="shared" si="97"/>
        <v>20-29</v>
      </c>
      <c r="J2072">
        <f t="shared" si="98"/>
        <v>1.404E-2</v>
      </c>
    </row>
    <row r="2073" spans="1:10">
      <c r="A2073" t="s">
        <v>2155</v>
      </c>
      <c r="B2073">
        <v>63</v>
      </c>
      <c r="C2073" t="s">
        <v>9</v>
      </c>
      <c r="D2073">
        <v>20</v>
      </c>
      <c r="E2073">
        <v>82</v>
      </c>
      <c r="F2073">
        <v>6.3060000000000005E-2</v>
      </c>
      <c r="G2073">
        <v>0</v>
      </c>
      <c r="H2073" t="str">
        <f t="shared" si="96"/>
        <v>80-89</v>
      </c>
      <c r="I2073" t="str">
        <f t="shared" si="97"/>
        <v>20-29</v>
      </c>
      <c r="J2073">
        <f t="shared" si="98"/>
        <v>6.3060000000000005E-2</v>
      </c>
    </row>
    <row r="2074" spans="1:10">
      <c r="A2074" t="s">
        <v>2156</v>
      </c>
      <c r="B2074">
        <v>43</v>
      </c>
      <c r="C2074" t="s">
        <v>9</v>
      </c>
      <c r="D2074">
        <v>17</v>
      </c>
      <c r="E2074">
        <v>59</v>
      </c>
      <c r="F2074">
        <v>5.7000000000000002E-3</v>
      </c>
      <c r="G2074">
        <v>0</v>
      </c>
      <c r="H2074" t="str">
        <f t="shared" si="96"/>
        <v>50-59</v>
      </c>
      <c r="I2074" t="str">
        <f t="shared" si="97"/>
        <v>10-19</v>
      </c>
      <c r="J2074">
        <f t="shared" si="98"/>
        <v>5.7000000000000002E-3</v>
      </c>
    </row>
    <row r="2075" spans="1:10">
      <c r="A2075" t="s">
        <v>2157</v>
      </c>
      <c r="B2075">
        <v>44</v>
      </c>
      <c r="C2075" t="s">
        <v>9</v>
      </c>
      <c r="D2075">
        <v>16</v>
      </c>
      <c r="E2075">
        <v>59</v>
      </c>
      <c r="F2075">
        <v>5.6100000000000004E-3</v>
      </c>
      <c r="G2075">
        <v>0</v>
      </c>
      <c r="H2075" t="str">
        <f t="shared" si="96"/>
        <v>50-59</v>
      </c>
      <c r="I2075" t="str">
        <f t="shared" si="97"/>
        <v>10-19</v>
      </c>
      <c r="J2075">
        <f t="shared" si="98"/>
        <v>5.6100000000000004E-3</v>
      </c>
    </row>
    <row r="2076" spans="1:10">
      <c r="A2076" t="s">
        <v>2158</v>
      </c>
      <c r="B2076">
        <v>25</v>
      </c>
      <c r="C2076" t="s">
        <v>9</v>
      </c>
      <c r="D2076">
        <v>25</v>
      </c>
      <c r="E2076">
        <v>49</v>
      </c>
      <c r="F2076">
        <v>2.7000000000000001E-3</v>
      </c>
      <c r="G2076">
        <v>0</v>
      </c>
      <c r="H2076" t="str">
        <f t="shared" si="96"/>
        <v>40-49</v>
      </c>
      <c r="I2076" t="str">
        <f t="shared" si="97"/>
        <v>20-29</v>
      </c>
      <c r="J2076">
        <f t="shared" si="98"/>
        <v>2.7000000000000001E-3</v>
      </c>
    </row>
    <row r="2077" spans="1:10">
      <c r="A2077" t="s">
        <v>2159</v>
      </c>
      <c r="B2077">
        <v>31</v>
      </c>
      <c r="C2077" t="s">
        <v>7</v>
      </c>
      <c r="D2077">
        <v>14</v>
      </c>
      <c r="E2077">
        <v>44</v>
      </c>
      <c r="F2077">
        <v>1.09E-3</v>
      </c>
      <c r="G2077">
        <v>0</v>
      </c>
      <c r="H2077" t="str">
        <f t="shared" si="96"/>
        <v>40-49</v>
      </c>
      <c r="I2077" t="str">
        <f t="shared" si="97"/>
        <v>10-19</v>
      </c>
      <c r="J2077">
        <f t="shared" si="98"/>
        <v>1.09E-3</v>
      </c>
    </row>
    <row r="2078" spans="1:10">
      <c r="A2078" t="s">
        <v>2160</v>
      </c>
      <c r="B2078">
        <v>52</v>
      </c>
      <c r="C2078" t="s">
        <v>7</v>
      </c>
      <c r="D2078">
        <v>11</v>
      </c>
      <c r="E2078">
        <v>62</v>
      </c>
      <c r="F2078">
        <v>4.8399999999999997E-3</v>
      </c>
      <c r="G2078">
        <v>0</v>
      </c>
      <c r="H2078" t="str">
        <f t="shared" si="96"/>
        <v>60-69</v>
      </c>
      <c r="I2078" t="str">
        <f t="shared" si="97"/>
        <v>10-19</v>
      </c>
      <c r="J2078">
        <f t="shared" si="98"/>
        <v>4.8399999999999997E-3</v>
      </c>
    </row>
    <row r="2079" spans="1:10">
      <c r="A2079" t="s">
        <v>2161</v>
      </c>
      <c r="B2079">
        <v>61</v>
      </c>
      <c r="C2079" t="s">
        <v>7</v>
      </c>
      <c r="D2079">
        <v>22</v>
      </c>
      <c r="E2079">
        <v>82</v>
      </c>
      <c r="F2079">
        <v>5.0599999999999999E-2</v>
      </c>
      <c r="G2079">
        <v>0</v>
      </c>
      <c r="H2079" t="str">
        <f t="shared" si="96"/>
        <v>80-89</v>
      </c>
      <c r="I2079" t="str">
        <f t="shared" si="97"/>
        <v>20-29</v>
      </c>
      <c r="J2079">
        <f t="shared" si="98"/>
        <v>5.0599999999999999E-2</v>
      </c>
    </row>
    <row r="2080" spans="1:10">
      <c r="A2080" t="s">
        <v>2162</v>
      </c>
      <c r="B2080">
        <v>53</v>
      </c>
      <c r="C2080" t="s">
        <v>7</v>
      </c>
      <c r="D2080">
        <v>21</v>
      </c>
      <c r="E2080">
        <v>73</v>
      </c>
      <c r="F2080">
        <v>1.8970000000000001E-2</v>
      </c>
      <c r="G2080">
        <v>0</v>
      </c>
      <c r="H2080" t="str">
        <f t="shared" si="96"/>
        <v>70-79</v>
      </c>
      <c r="I2080" t="str">
        <f t="shared" si="97"/>
        <v>20-29</v>
      </c>
      <c r="J2080">
        <f t="shared" si="98"/>
        <v>1.8970000000000001E-2</v>
      </c>
    </row>
    <row r="2081" spans="1:10">
      <c r="A2081" t="s">
        <v>2163</v>
      </c>
      <c r="B2081">
        <v>49</v>
      </c>
      <c r="C2081" t="s">
        <v>9</v>
      </c>
      <c r="D2081">
        <v>14</v>
      </c>
      <c r="E2081">
        <v>62</v>
      </c>
      <c r="F2081">
        <v>7.3699999999999998E-3</v>
      </c>
      <c r="G2081">
        <v>0</v>
      </c>
      <c r="H2081" t="str">
        <f t="shared" si="96"/>
        <v>60-69</v>
      </c>
      <c r="I2081" t="str">
        <f t="shared" si="97"/>
        <v>10-19</v>
      </c>
      <c r="J2081">
        <f t="shared" si="98"/>
        <v>7.3699999999999998E-3</v>
      </c>
    </row>
    <row r="2082" spans="1:10">
      <c r="A2082" t="s">
        <v>2164</v>
      </c>
      <c r="B2082">
        <v>39</v>
      </c>
      <c r="C2082" t="s">
        <v>7</v>
      </c>
      <c r="D2082">
        <v>5</v>
      </c>
      <c r="E2082">
        <v>43</v>
      </c>
      <c r="F2082">
        <v>7.2000000000000005E-4</v>
      </c>
      <c r="G2082">
        <v>0</v>
      </c>
      <c r="H2082" t="str">
        <f t="shared" si="96"/>
        <v>40-49</v>
      </c>
      <c r="I2082" t="str">
        <f t="shared" si="97"/>
        <v>0-9</v>
      </c>
      <c r="J2082">
        <f t="shared" si="98"/>
        <v>7.2000000000000005E-4</v>
      </c>
    </row>
    <row r="2083" spans="1:10">
      <c r="A2083" t="s">
        <v>2165</v>
      </c>
      <c r="B2083">
        <v>39</v>
      </c>
      <c r="C2083" t="s">
        <v>9</v>
      </c>
      <c r="D2083">
        <v>27</v>
      </c>
      <c r="E2083">
        <v>65</v>
      </c>
      <c r="F2083">
        <v>9.6200000000000001E-3</v>
      </c>
      <c r="G2083">
        <v>0</v>
      </c>
      <c r="H2083" t="str">
        <f t="shared" si="96"/>
        <v>60-69</v>
      </c>
      <c r="I2083" t="str">
        <f t="shared" si="97"/>
        <v>20-29</v>
      </c>
      <c r="J2083">
        <f t="shared" si="98"/>
        <v>9.6200000000000001E-3</v>
      </c>
    </row>
    <row r="2084" spans="1:10">
      <c r="A2084" t="s">
        <v>2166</v>
      </c>
      <c r="B2084">
        <v>56</v>
      </c>
      <c r="C2084" t="s">
        <v>7</v>
      </c>
      <c r="D2084">
        <v>2</v>
      </c>
      <c r="E2084">
        <v>57</v>
      </c>
      <c r="F2084">
        <v>1.31E-3</v>
      </c>
      <c r="G2084">
        <v>0</v>
      </c>
      <c r="H2084" t="str">
        <f t="shared" si="96"/>
        <v>50-59</v>
      </c>
      <c r="I2084" t="str">
        <f t="shared" si="97"/>
        <v>0-9</v>
      </c>
      <c r="J2084">
        <f t="shared" si="98"/>
        <v>1.31E-3</v>
      </c>
    </row>
    <row r="2085" spans="1:10">
      <c r="A2085" t="s">
        <v>2167</v>
      </c>
      <c r="B2085">
        <v>52</v>
      </c>
      <c r="C2085" t="s">
        <v>7</v>
      </c>
      <c r="D2085">
        <v>4</v>
      </c>
      <c r="E2085">
        <v>55</v>
      </c>
      <c r="F2085">
        <v>1.8699999999999999E-3</v>
      </c>
      <c r="G2085">
        <v>0</v>
      </c>
      <c r="H2085" t="str">
        <f t="shared" si="96"/>
        <v>50-59</v>
      </c>
      <c r="I2085" t="str">
        <f t="shared" si="97"/>
        <v>0-9</v>
      </c>
      <c r="J2085">
        <f t="shared" si="98"/>
        <v>1.8699999999999999E-3</v>
      </c>
    </row>
    <row r="2086" spans="1:10">
      <c r="A2086" t="s">
        <v>2168</v>
      </c>
      <c r="B2086">
        <v>49</v>
      </c>
      <c r="C2086" t="s">
        <v>7</v>
      </c>
      <c r="D2086">
        <v>22</v>
      </c>
      <c r="E2086">
        <v>70</v>
      </c>
      <c r="F2086">
        <v>1.404E-2</v>
      </c>
      <c r="G2086">
        <v>0</v>
      </c>
      <c r="H2086" t="str">
        <f t="shared" si="96"/>
        <v>70-79</v>
      </c>
      <c r="I2086" t="str">
        <f t="shared" si="97"/>
        <v>20-29</v>
      </c>
      <c r="J2086">
        <f t="shared" si="98"/>
        <v>1.404E-2</v>
      </c>
    </row>
    <row r="2087" spans="1:10">
      <c r="A2087" t="s">
        <v>2169</v>
      </c>
      <c r="B2087">
        <v>42</v>
      </c>
      <c r="C2087" t="s">
        <v>7</v>
      </c>
      <c r="D2087">
        <v>9</v>
      </c>
      <c r="E2087">
        <v>50</v>
      </c>
      <c r="F2087">
        <v>1.49E-3</v>
      </c>
      <c r="G2087">
        <v>0</v>
      </c>
      <c r="H2087" t="str">
        <f t="shared" si="96"/>
        <v>50-59</v>
      </c>
      <c r="I2087" t="str">
        <f t="shared" si="97"/>
        <v>0-9</v>
      </c>
      <c r="J2087">
        <f t="shared" si="98"/>
        <v>1.49E-3</v>
      </c>
    </row>
    <row r="2088" spans="1:10">
      <c r="A2088" t="s">
        <v>2170</v>
      </c>
      <c r="B2088">
        <v>21</v>
      </c>
      <c r="C2088" t="s">
        <v>7</v>
      </c>
      <c r="D2088">
        <v>4</v>
      </c>
      <c r="E2088">
        <v>24</v>
      </c>
      <c r="F2088">
        <v>2.9E-4</v>
      </c>
      <c r="G2088">
        <v>0</v>
      </c>
      <c r="H2088" t="str">
        <f t="shared" si="96"/>
        <v>20-29</v>
      </c>
      <c r="I2088" t="str">
        <f t="shared" si="97"/>
        <v>0-9</v>
      </c>
      <c r="J2088">
        <f t="shared" si="98"/>
        <v>2.9E-4</v>
      </c>
    </row>
    <row r="2089" spans="1:10">
      <c r="A2089" t="s">
        <v>2171</v>
      </c>
      <c r="B2089">
        <v>31</v>
      </c>
      <c r="C2089" t="s">
        <v>9</v>
      </c>
      <c r="D2089">
        <v>27</v>
      </c>
      <c r="E2089">
        <v>57</v>
      </c>
      <c r="F2089">
        <v>4.3899999999999998E-3</v>
      </c>
      <c r="G2089">
        <v>0</v>
      </c>
      <c r="H2089" t="str">
        <f t="shared" si="96"/>
        <v>50-59</v>
      </c>
      <c r="I2089" t="str">
        <f t="shared" si="97"/>
        <v>20-29</v>
      </c>
      <c r="J2089">
        <f t="shared" si="98"/>
        <v>4.3899999999999998E-3</v>
      </c>
    </row>
    <row r="2090" spans="1:10">
      <c r="A2090" t="s">
        <v>2172</v>
      </c>
      <c r="B2090">
        <v>65</v>
      </c>
      <c r="C2090" t="s">
        <v>9</v>
      </c>
      <c r="D2090">
        <v>10</v>
      </c>
      <c r="E2090">
        <v>74</v>
      </c>
      <c r="F2090">
        <v>1.9689999999999999E-2</v>
      </c>
      <c r="G2090">
        <v>0</v>
      </c>
      <c r="H2090" t="str">
        <f t="shared" si="96"/>
        <v>70-79</v>
      </c>
      <c r="I2090" t="str">
        <f t="shared" si="97"/>
        <v>10-19</v>
      </c>
      <c r="J2090">
        <f t="shared" si="98"/>
        <v>1.9689999999999999E-2</v>
      </c>
    </row>
    <row r="2091" spans="1:10">
      <c r="A2091" t="s">
        <v>2173</v>
      </c>
      <c r="B2091">
        <v>62</v>
      </c>
      <c r="C2091" t="s">
        <v>7</v>
      </c>
      <c r="D2091">
        <v>15</v>
      </c>
      <c r="E2091">
        <v>76</v>
      </c>
      <c r="F2091">
        <v>2.1930000000000002E-2</v>
      </c>
      <c r="G2091">
        <v>0</v>
      </c>
      <c r="H2091" t="str">
        <f t="shared" si="96"/>
        <v>70-79</v>
      </c>
      <c r="I2091" t="str">
        <f t="shared" si="97"/>
        <v>10-19</v>
      </c>
      <c r="J2091">
        <f t="shared" si="98"/>
        <v>2.1930000000000002E-2</v>
      </c>
    </row>
    <row r="2092" spans="1:10">
      <c r="A2092" t="s">
        <v>2174</v>
      </c>
      <c r="B2092">
        <v>31</v>
      </c>
      <c r="C2092" t="s">
        <v>9</v>
      </c>
      <c r="D2092">
        <v>7</v>
      </c>
      <c r="E2092">
        <v>37</v>
      </c>
      <c r="F2092">
        <v>6.0999999999999997E-4</v>
      </c>
      <c r="G2092">
        <v>0</v>
      </c>
      <c r="H2092" t="str">
        <f t="shared" si="96"/>
        <v>30-39</v>
      </c>
      <c r="I2092" t="str">
        <f t="shared" si="97"/>
        <v>0-9</v>
      </c>
      <c r="J2092">
        <f t="shared" si="98"/>
        <v>6.0999999999999997E-4</v>
      </c>
    </row>
    <row r="2093" spans="1:10">
      <c r="A2093" t="s">
        <v>2175</v>
      </c>
      <c r="B2093">
        <v>58</v>
      </c>
      <c r="C2093" t="s">
        <v>7</v>
      </c>
      <c r="D2093">
        <v>9</v>
      </c>
      <c r="E2093">
        <v>66</v>
      </c>
      <c r="F2093">
        <v>6.5799999999999999E-3</v>
      </c>
      <c r="G2093">
        <v>0</v>
      </c>
      <c r="H2093" t="str">
        <f t="shared" si="96"/>
        <v>60-69</v>
      </c>
      <c r="I2093" t="str">
        <f t="shared" si="97"/>
        <v>0-9</v>
      </c>
      <c r="J2093">
        <f t="shared" si="98"/>
        <v>6.5799999999999999E-3</v>
      </c>
    </row>
    <row r="2094" spans="1:10">
      <c r="A2094" t="s">
        <v>2176</v>
      </c>
      <c r="B2094">
        <v>54</v>
      </c>
      <c r="C2094" t="s">
        <v>9</v>
      </c>
      <c r="D2094">
        <v>1</v>
      </c>
      <c r="E2094">
        <v>54</v>
      </c>
      <c r="F2094">
        <v>1.01E-3</v>
      </c>
      <c r="G2094">
        <v>0</v>
      </c>
      <c r="H2094" t="str">
        <f t="shared" si="96"/>
        <v>50-59</v>
      </c>
      <c r="I2094" t="str">
        <f t="shared" si="97"/>
        <v>0-9</v>
      </c>
      <c r="J2094">
        <f t="shared" si="98"/>
        <v>1.01E-3</v>
      </c>
    </row>
    <row r="2095" spans="1:10">
      <c r="A2095" t="s">
        <v>2177</v>
      </c>
      <c r="B2095">
        <v>30</v>
      </c>
      <c r="C2095" t="s">
        <v>9</v>
      </c>
      <c r="D2095">
        <v>21</v>
      </c>
      <c r="E2095">
        <v>50</v>
      </c>
      <c r="F2095">
        <v>2.5200000000000001E-3</v>
      </c>
      <c r="G2095">
        <v>0</v>
      </c>
      <c r="H2095" t="str">
        <f t="shared" si="96"/>
        <v>50-59</v>
      </c>
      <c r="I2095" t="str">
        <f t="shared" si="97"/>
        <v>20-29</v>
      </c>
      <c r="J2095">
        <f t="shared" si="98"/>
        <v>2.5200000000000001E-3</v>
      </c>
    </row>
    <row r="2096" spans="1:10">
      <c r="A2096" t="s">
        <v>2178</v>
      </c>
      <c r="B2096">
        <v>62</v>
      </c>
      <c r="C2096" t="s">
        <v>7</v>
      </c>
      <c r="D2096">
        <v>24</v>
      </c>
      <c r="E2096">
        <v>85</v>
      </c>
      <c r="F2096">
        <v>7.2980000000000003E-2</v>
      </c>
      <c r="G2096">
        <v>0</v>
      </c>
      <c r="H2096" t="str">
        <f t="shared" si="96"/>
        <v>80-89</v>
      </c>
      <c r="I2096" t="str">
        <f t="shared" si="97"/>
        <v>20-29</v>
      </c>
      <c r="J2096">
        <f t="shared" si="98"/>
        <v>7.2980000000000003E-2</v>
      </c>
    </row>
    <row r="2097" spans="1:10">
      <c r="A2097" t="s">
        <v>2179</v>
      </c>
      <c r="B2097">
        <v>59</v>
      </c>
      <c r="C2097" t="s">
        <v>7</v>
      </c>
      <c r="D2097">
        <v>27</v>
      </c>
      <c r="E2097">
        <v>85</v>
      </c>
      <c r="F2097">
        <v>6.4490000000000006E-2</v>
      </c>
      <c r="G2097">
        <v>0</v>
      </c>
      <c r="H2097" t="str">
        <f t="shared" si="96"/>
        <v>80-89</v>
      </c>
      <c r="I2097" t="str">
        <f t="shared" si="97"/>
        <v>20-29</v>
      </c>
      <c r="J2097">
        <f t="shared" si="98"/>
        <v>6.4490000000000006E-2</v>
      </c>
    </row>
    <row r="2098" spans="1:10">
      <c r="A2098" t="s">
        <v>2180</v>
      </c>
      <c r="B2098">
        <v>63</v>
      </c>
      <c r="C2098" t="s">
        <v>7</v>
      </c>
      <c r="D2098">
        <v>23</v>
      </c>
      <c r="E2098">
        <v>85</v>
      </c>
      <c r="F2098">
        <v>7.2980000000000003E-2</v>
      </c>
      <c r="G2098">
        <v>0</v>
      </c>
      <c r="H2098" t="str">
        <f t="shared" si="96"/>
        <v>80-89</v>
      </c>
      <c r="I2098" t="str">
        <f t="shared" si="97"/>
        <v>20-29</v>
      </c>
      <c r="J2098">
        <f t="shared" si="98"/>
        <v>7.2980000000000003E-2</v>
      </c>
    </row>
    <row r="2099" spans="1:10">
      <c r="A2099" t="s">
        <v>2181</v>
      </c>
      <c r="B2099">
        <v>25</v>
      </c>
      <c r="C2099" t="s">
        <v>9</v>
      </c>
      <c r="D2099">
        <v>5</v>
      </c>
      <c r="E2099">
        <v>29</v>
      </c>
      <c r="F2099">
        <v>4.2999999999999999E-4</v>
      </c>
      <c r="G2099">
        <v>0</v>
      </c>
      <c r="H2099" t="str">
        <f t="shared" si="96"/>
        <v>20-29</v>
      </c>
      <c r="I2099" t="str">
        <f t="shared" si="97"/>
        <v>0-9</v>
      </c>
      <c r="J2099">
        <f t="shared" si="98"/>
        <v>4.2999999999999999E-4</v>
      </c>
    </row>
    <row r="2100" spans="1:10">
      <c r="A2100" t="s">
        <v>2182</v>
      </c>
      <c r="B2100">
        <v>21</v>
      </c>
      <c r="C2100" t="s">
        <v>7</v>
      </c>
      <c r="D2100">
        <v>23</v>
      </c>
      <c r="E2100">
        <v>43</v>
      </c>
      <c r="F2100">
        <v>1.2800000000000001E-3</v>
      </c>
      <c r="G2100">
        <v>0</v>
      </c>
      <c r="H2100" t="str">
        <f t="shared" si="96"/>
        <v>40-49</v>
      </c>
      <c r="I2100" t="str">
        <f t="shared" si="97"/>
        <v>20-29</v>
      </c>
      <c r="J2100">
        <f t="shared" si="98"/>
        <v>1.2800000000000001E-3</v>
      </c>
    </row>
    <row r="2101" spans="1:10">
      <c r="A2101" t="s">
        <v>2183</v>
      </c>
      <c r="B2101">
        <v>33</v>
      </c>
      <c r="C2101" t="s">
        <v>7</v>
      </c>
      <c r="D2101">
        <v>16</v>
      </c>
      <c r="E2101">
        <v>48</v>
      </c>
      <c r="F2101">
        <v>1.5100000000000001E-3</v>
      </c>
      <c r="G2101">
        <v>0</v>
      </c>
      <c r="H2101" t="str">
        <f t="shared" si="96"/>
        <v>40-49</v>
      </c>
      <c r="I2101" t="str">
        <f t="shared" si="97"/>
        <v>10-19</v>
      </c>
      <c r="J2101">
        <f t="shared" si="98"/>
        <v>1.5100000000000001E-3</v>
      </c>
    </row>
    <row r="2102" spans="1:10">
      <c r="A2102" t="s">
        <v>2184</v>
      </c>
      <c r="B2102">
        <v>47</v>
      </c>
      <c r="C2102" t="s">
        <v>7</v>
      </c>
      <c r="D2102">
        <v>27</v>
      </c>
      <c r="E2102">
        <v>73</v>
      </c>
      <c r="F2102">
        <v>1.7170000000000001E-2</v>
      </c>
      <c r="G2102">
        <v>0</v>
      </c>
      <c r="H2102" t="str">
        <f t="shared" si="96"/>
        <v>70-79</v>
      </c>
      <c r="I2102" t="str">
        <f t="shared" si="97"/>
        <v>20-29</v>
      </c>
      <c r="J2102">
        <f t="shared" si="98"/>
        <v>1.7170000000000001E-2</v>
      </c>
    </row>
    <row r="2103" spans="1:10">
      <c r="A2103" t="s">
        <v>2185</v>
      </c>
      <c r="B2103">
        <v>32</v>
      </c>
      <c r="C2103" t="s">
        <v>9</v>
      </c>
      <c r="D2103">
        <v>3</v>
      </c>
      <c r="E2103">
        <v>34</v>
      </c>
      <c r="F2103">
        <v>4.0999999999999999E-4</v>
      </c>
      <c r="G2103">
        <v>0</v>
      </c>
      <c r="H2103" t="str">
        <f t="shared" si="96"/>
        <v>30-39</v>
      </c>
      <c r="I2103" t="str">
        <f t="shared" si="97"/>
        <v>0-9</v>
      </c>
      <c r="J2103">
        <f t="shared" si="98"/>
        <v>4.0999999999999999E-4</v>
      </c>
    </row>
    <row r="2104" spans="1:10">
      <c r="A2104" t="s">
        <v>2186</v>
      </c>
      <c r="B2104">
        <v>50</v>
      </c>
      <c r="C2104" t="s">
        <v>9</v>
      </c>
      <c r="D2104">
        <v>14</v>
      </c>
      <c r="E2104">
        <v>63</v>
      </c>
      <c r="F2104">
        <v>8.1300000000000001E-3</v>
      </c>
      <c r="G2104">
        <v>0</v>
      </c>
      <c r="H2104" t="str">
        <f t="shared" si="96"/>
        <v>60-69</v>
      </c>
      <c r="I2104" t="str">
        <f t="shared" si="97"/>
        <v>10-19</v>
      </c>
      <c r="J2104">
        <f t="shared" si="98"/>
        <v>8.1300000000000001E-3</v>
      </c>
    </row>
    <row r="2105" spans="1:10">
      <c r="A2105" t="s">
        <v>2187</v>
      </c>
      <c r="B2105">
        <v>29</v>
      </c>
      <c r="C2105" t="s">
        <v>7</v>
      </c>
      <c r="D2105">
        <v>24</v>
      </c>
      <c r="E2105">
        <v>52</v>
      </c>
      <c r="F2105">
        <v>2.3800000000000002E-3</v>
      </c>
      <c r="G2105">
        <v>0</v>
      </c>
      <c r="H2105" t="str">
        <f t="shared" si="96"/>
        <v>50-59</v>
      </c>
      <c r="I2105" t="str">
        <f t="shared" si="97"/>
        <v>20-29</v>
      </c>
      <c r="J2105">
        <f t="shared" si="98"/>
        <v>2.3800000000000002E-3</v>
      </c>
    </row>
    <row r="2106" spans="1:10">
      <c r="A2106" t="s">
        <v>2188</v>
      </c>
      <c r="B2106">
        <v>50</v>
      </c>
      <c r="C2106" t="s">
        <v>7</v>
      </c>
      <c r="D2106">
        <v>1</v>
      </c>
      <c r="E2106">
        <v>50</v>
      </c>
      <c r="F2106">
        <v>4.2000000000000002E-4</v>
      </c>
      <c r="G2106">
        <v>0</v>
      </c>
      <c r="H2106" t="str">
        <f t="shared" si="96"/>
        <v>50-59</v>
      </c>
      <c r="I2106" t="str">
        <f t="shared" si="97"/>
        <v>0-9</v>
      </c>
      <c r="J2106">
        <f t="shared" si="98"/>
        <v>4.2000000000000002E-4</v>
      </c>
    </row>
    <row r="2107" spans="1:10">
      <c r="A2107" t="s">
        <v>2189</v>
      </c>
      <c r="B2107">
        <v>32</v>
      </c>
      <c r="C2107" t="s">
        <v>7</v>
      </c>
      <c r="D2107">
        <v>10</v>
      </c>
      <c r="E2107">
        <v>41</v>
      </c>
      <c r="F2107">
        <v>7.7999999999999999E-4</v>
      </c>
      <c r="G2107">
        <v>0</v>
      </c>
      <c r="H2107" t="str">
        <f t="shared" si="96"/>
        <v>40-49</v>
      </c>
      <c r="I2107" t="str">
        <f t="shared" si="97"/>
        <v>10-19</v>
      </c>
      <c r="J2107">
        <f t="shared" si="98"/>
        <v>7.7999999999999999E-4</v>
      </c>
    </row>
    <row r="2108" spans="1:10">
      <c r="A2108" t="s">
        <v>2190</v>
      </c>
      <c r="B2108">
        <v>23</v>
      </c>
      <c r="C2108" t="s">
        <v>9</v>
      </c>
      <c r="D2108">
        <v>11</v>
      </c>
      <c r="E2108">
        <v>33</v>
      </c>
      <c r="F2108">
        <v>6.8999999999999997E-4</v>
      </c>
      <c r="G2108">
        <v>0</v>
      </c>
      <c r="H2108" t="str">
        <f t="shared" si="96"/>
        <v>30-39</v>
      </c>
      <c r="I2108" t="str">
        <f t="shared" si="97"/>
        <v>10-19</v>
      </c>
      <c r="J2108">
        <f t="shared" si="98"/>
        <v>6.8999999999999997E-4</v>
      </c>
    </row>
    <row r="2109" spans="1:10">
      <c r="A2109" t="s">
        <v>2191</v>
      </c>
      <c r="B2109">
        <v>65</v>
      </c>
      <c r="C2109" t="s">
        <v>7</v>
      </c>
      <c r="D2109">
        <v>14</v>
      </c>
      <c r="E2109">
        <v>78</v>
      </c>
      <c r="F2109">
        <v>2.564E-2</v>
      </c>
      <c r="G2109">
        <v>0</v>
      </c>
      <c r="H2109" t="str">
        <f t="shared" si="96"/>
        <v>70-79</v>
      </c>
      <c r="I2109" t="str">
        <f t="shared" si="97"/>
        <v>10-19</v>
      </c>
      <c r="J2109">
        <f t="shared" si="98"/>
        <v>2.564E-2</v>
      </c>
    </row>
    <row r="2110" spans="1:10">
      <c r="A2110" t="s">
        <v>2192</v>
      </c>
      <c r="B2110">
        <v>57</v>
      </c>
      <c r="C2110" t="s">
        <v>7</v>
      </c>
      <c r="D2110">
        <v>20</v>
      </c>
      <c r="E2110">
        <v>76</v>
      </c>
      <c r="F2110">
        <v>2.5510000000000001E-2</v>
      </c>
      <c r="G2110">
        <v>0</v>
      </c>
      <c r="H2110" t="str">
        <f t="shared" si="96"/>
        <v>70-79</v>
      </c>
      <c r="I2110" t="str">
        <f t="shared" si="97"/>
        <v>20-29</v>
      </c>
      <c r="J2110">
        <f t="shared" si="98"/>
        <v>2.5510000000000001E-2</v>
      </c>
    </row>
    <row r="2111" spans="1:10">
      <c r="A2111" t="s">
        <v>2193</v>
      </c>
      <c r="B2111">
        <v>22</v>
      </c>
      <c r="C2111" t="s">
        <v>9</v>
      </c>
      <c r="D2111">
        <v>16</v>
      </c>
      <c r="E2111">
        <v>37</v>
      </c>
      <c r="F2111">
        <v>1.0399999999999999E-3</v>
      </c>
      <c r="G2111">
        <v>0</v>
      </c>
      <c r="H2111" t="str">
        <f t="shared" si="96"/>
        <v>30-39</v>
      </c>
      <c r="I2111" t="str">
        <f t="shared" si="97"/>
        <v>10-19</v>
      </c>
      <c r="J2111">
        <f t="shared" si="98"/>
        <v>1.0399999999999999E-3</v>
      </c>
    </row>
    <row r="2112" spans="1:10">
      <c r="A2112" t="s">
        <v>2194</v>
      </c>
      <c r="B2112">
        <v>59</v>
      </c>
      <c r="C2112" t="s">
        <v>7</v>
      </c>
      <c r="D2112">
        <v>30</v>
      </c>
      <c r="E2112">
        <v>88</v>
      </c>
      <c r="F2112">
        <v>6.4490000000000006E-2</v>
      </c>
      <c r="G2112">
        <v>0</v>
      </c>
      <c r="H2112" t="str">
        <f t="shared" si="96"/>
        <v>80-89</v>
      </c>
      <c r="I2112" t="str">
        <f t="shared" si="97"/>
        <v>30-39</v>
      </c>
      <c r="J2112">
        <f t="shared" si="98"/>
        <v>6.4490000000000006E-2</v>
      </c>
    </row>
    <row r="2113" spans="1:10">
      <c r="A2113" t="s">
        <v>2195</v>
      </c>
      <c r="B2113">
        <v>51</v>
      </c>
      <c r="C2113" t="s">
        <v>7</v>
      </c>
      <c r="D2113">
        <v>8</v>
      </c>
      <c r="E2113">
        <v>58</v>
      </c>
      <c r="F2113">
        <v>2.9199999999999999E-3</v>
      </c>
      <c r="G2113">
        <v>0</v>
      </c>
      <c r="H2113" t="str">
        <f t="shared" si="96"/>
        <v>50-59</v>
      </c>
      <c r="I2113" t="str">
        <f t="shared" si="97"/>
        <v>0-9</v>
      </c>
      <c r="J2113">
        <f t="shared" si="98"/>
        <v>2.9199999999999999E-3</v>
      </c>
    </row>
    <row r="2114" spans="1:10">
      <c r="A2114" t="s">
        <v>2196</v>
      </c>
      <c r="B2114">
        <v>47</v>
      </c>
      <c r="C2114" t="s">
        <v>9</v>
      </c>
      <c r="D2114">
        <v>19</v>
      </c>
      <c r="E2114">
        <v>65</v>
      </c>
      <c r="F2114">
        <v>1.022E-2</v>
      </c>
      <c r="G2114">
        <v>0</v>
      </c>
      <c r="H2114" t="str">
        <f t="shared" si="96"/>
        <v>60-69</v>
      </c>
      <c r="I2114" t="str">
        <f t="shared" si="97"/>
        <v>10-19</v>
      </c>
      <c r="J2114">
        <f t="shared" si="98"/>
        <v>1.022E-2</v>
      </c>
    </row>
    <row r="2115" spans="1:10">
      <c r="A2115" t="s">
        <v>2197</v>
      </c>
      <c r="B2115">
        <v>61</v>
      </c>
      <c r="C2115" t="s">
        <v>7</v>
      </c>
      <c r="D2115">
        <v>14</v>
      </c>
      <c r="E2115">
        <v>74</v>
      </c>
      <c r="F2115">
        <v>1.704E-2</v>
      </c>
      <c r="G2115">
        <v>0</v>
      </c>
      <c r="H2115" t="str">
        <f t="shared" ref="H2115:H2178" si="99">FLOOR(E2115,10) &amp; "-" &amp; FLOOR(E2115,10)+9</f>
        <v>70-79</v>
      </c>
      <c r="I2115" t="str">
        <f t="shared" ref="I2115:I2178" si="100">FLOOR(D2115, 10) &amp; "-"&amp;FLOOR(D2115, 10)+9</f>
        <v>10-19</v>
      </c>
      <c r="J2115">
        <f t="shared" ref="J2115:J2178" si="101">F2115</f>
        <v>1.704E-2</v>
      </c>
    </row>
    <row r="2116" spans="1:10">
      <c r="A2116" t="s">
        <v>2198</v>
      </c>
      <c r="B2116">
        <v>59</v>
      </c>
      <c r="C2116" t="s">
        <v>9</v>
      </c>
      <c r="D2116">
        <v>21</v>
      </c>
      <c r="E2116">
        <v>79</v>
      </c>
      <c r="F2116">
        <v>4.5769999999999998E-2</v>
      </c>
      <c r="G2116">
        <v>0</v>
      </c>
      <c r="H2116" t="str">
        <f t="shared" si="99"/>
        <v>70-79</v>
      </c>
      <c r="I2116" t="str">
        <f t="shared" si="100"/>
        <v>20-29</v>
      </c>
      <c r="J2116">
        <f t="shared" si="101"/>
        <v>4.5769999999999998E-2</v>
      </c>
    </row>
    <row r="2117" spans="1:10">
      <c r="A2117" t="s">
        <v>2199</v>
      </c>
      <c r="B2117">
        <v>21</v>
      </c>
      <c r="C2117" t="s">
        <v>9</v>
      </c>
      <c r="D2117">
        <v>6</v>
      </c>
      <c r="E2117">
        <v>26</v>
      </c>
      <c r="F2117">
        <v>6.8000000000000005E-4</v>
      </c>
      <c r="G2117">
        <v>0</v>
      </c>
      <c r="H2117" t="str">
        <f t="shared" si="99"/>
        <v>20-29</v>
      </c>
      <c r="I2117" t="str">
        <f t="shared" si="100"/>
        <v>0-9</v>
      </c>
      <c r="J2117">
        <f t="shared" si="101"/>
        <v>6.8000000000000005E-4</v>
      </c>
    </row>
    <row r="2118" spans="1:10">
      <c r="A2118" t="s">
        <v>2200</v>
      </c>
      <c r="B2118">
        <v>42</v>
      </c>
      <c r="C2118" t="s">
        <v>9</v>
      </c>
      <c r="D2118">
        <v>15</v>
      </c>
      <c r="E2118">
        <v>56</v>
      </c>
      <c r="F2118">
        <v>3.9899999999999996E-3</v>
      </c>
      <c r="G2118">
        <v>0</v>
      </c>
      <c r="H2118" t="str">
        <f t="shared" si="99"/>
        <v>50-59</v>
      </c>
      <c r="I2118" t="str">
        <f t="shared" si="100"/>
        <v>10-19</v>
      </c>
      <c r="J2118">
        <f t="shared" si="101"/>
        <v>3.9899999999999996E-3</v>
      </c>
    </row>
    <row r="2119" spans="1:10">
      <c r="A2119" t="s">
        <v>2201</v>
      </c>
      <c r="B2119">
        <v>63</v>
      </c>
      <c r="C2119" t="s">
        <v>7</v>
      </c>
      <c r="D2119">
        <v>11</v>
      </c>
      <c r="E2119">
        <v>73</v>
      </c>
      <c r="F2119">
        <v>1.282E-2</v>
      </c>
      <c r="G2119">
        <v>0</v>
      </c>
      <c r="H2119" t="str">
        <f t="shared" si="99"/>
        <v>70-79</v>
      </c>
      <c r="I2119" t="str">
        <f t="shared" si="100"/>
        <v>10-19</v>
      </c>
      <c r="J2119">
        <f t="shared" si="101"/>
        <v>1.282E-2</v>
      </c>
    </row>
    <row r="2120" spans="1:10">
      <c r="A2120" t="s">
        <v>2202</v>
      </c>
      <c r="B2120">
        <v>65</v>
      </c>
      <c r="C2120" t="s">
        <v>9</v>
      </c>
      <c r="D2120">
        <v>22</v>
      </c>
      <c r="E2120">
        <v>86</v>
      </c>
      <c r="F2120">
        <v>0.10324</v>
      </c>
      <c r="G2120">
        <v>0</v>
      </c>
      <c r="H2120" t="str">
        <f t="shared" si="99"/>
        <v>80-89</v>
      </c>
      <c r="I2120" t="str">
        <f t="shared" si="100"/>
        <v>20-29</v>
      </c>
      <c r="J2120">
        <f t="shared" si="101"/>
        <v>0.10324</v>
      </c>
    </row>
    <row r="2121" spans="1:10">
      <c r="A2121" t="s">
        <v>2203</v>
      </c>
      <c r="B2121">
        <v>65</v>
      </c>
      <c r="C2121" t="s">
        <v>7</v>
      </c>
      <c r="D2121">
        <v>13</v>
      </c>
      <c r="E2121">
        <v>77</v>
      </c>
      <c r="F2121">
        <v>2.2210000000000001E-2</v>
      </c>
      <c r="G2121">
        <v>0</v>
      </c>
      <c r="H2121" t="str">
        <f t="shared" si="99"/>
        <v>70-79</v>
      </c>
      <c r="I2121" t="str">
        <f t="shared" si="100"/>
        <v>10-19</v>
      </c>
      <c r="J2121">
        <f t="shared" si="101"/>
        <v>2.2210000000000001E-2</v>
      </c>
    </row>
    <row r="2122" spans="1:10">
      <c r="A2122" t="s">
        <v>2204</v>
      </c>
      <c r="B2122">
        <v>63</v>
      </c>
      <c r="C2122" t="s">
        <v>7</v>
      </c>
      <c r="D2122">
        <v>21</v>
      </c>
      <c r="E2122">
        <v>83</v>
      </c>
      <c r="F2122">
        <v>5.704E-2</v>
      </c>
      <c r="G2122">
        <v>0</v>
      </c>
      <c r="H2122" t="str">
        <f t="shared" si="99"/>
        <v>80-89</v>
      </c>
      <c r="I2122" t="str">
        <f t="shared" si="100"/>
        <v>20-29</v>
      </c>
      <c r="J2122">
        <f t="shared" si="101"/>
        <v>5.704E-2</v>
      </c>
    </row>
    <row r="2123" spans="1:10">
      <c r="A2123" t="s">
        <v>2205</v>
      </c>
      <c r="B2123">
        <v>30</v>
      </c>
      <c r="C2123" t="s">
        <v>9</v>
      </c>
      <c r="D2123">
        <v>20</v>
      </c>
      <c r="E2123">
        <v>49</v>
      </c>
      <c r="F2123">
        <v>2.3E-3</v>
      </c>
      <c r="G2123">
        <v>0</v>
      </c>
      <c r="H2123" t="str">
        <f t="shared" si="99"/>
        <v>40-49</v>
      </c>
      <c r="I2123" t="str">
        <f t="shared" si="100"/>
        <v>20-29</v>
      </c>
      <c r="J2123">
        <f t="shared" si="101"/>
        <v>2.3E-3</v>
      </c>
    </row>
    <row r="2124" spans="1:10">
      <c r="A2124" t="s">
        <v>2206</v>
      </c>
      <c r="B2124">
        <v>25</v>
      </c>
      <c r="C2124" t="s">
        <v>9</v>
      </c>
      <c r="D2124">
        <v>22</v>
      </c>
      <c r="E2124">
        <v>46</v>
      </c>
      <c r="F2124">
        <v>2.0799999999999998E-3</v>
      </c>
      <c r="G2124">
        <v>0</v>
      </c>
      <c r="H2124" t="str">
        <f t="shared" si="99"/>
        <v>40-49</v>
      </c>
      <c r="I2124" t="str">
        <f t="shared" si="100"/>
        <v>20-29</v>
      </c>
      <c r="J2124">
        <f t="shared" si="101"/>
        <v>2.0799999999999998E-3</v>
      </c>
    </row>
    <row r="2125" spans="1:10">
      <c r="A2125" t="s">
        <v>2207</v>
      </c>
      <c r="B2125">
        <v>30</v>
      </c>
      <c r="C2125" t="s">
        <v>9</v>
      </c>
      <c r="D2125">
        <v>20</v>
      </c>
      <c r="E2125">
        <v>49</v>
      </c>
      <c r="F2125">
        <v>2.3E-3</v>
      </c>
      <c r="G2125">
        <v>0</v>
      </c>
      <c r="H2125" t="str">
        <f t="shared" si="99"/>
        <v>40-49</v>
      </c>
      <c r="I2125" t="str">
        <f t="shared" si="100"/>
        <v>20-29</v>
      </c>
      <c r="J2125">
        <f t="shared" si="101"/>
        <v>2.3E-3</v>
      </c>
    </row>
    <row r="2126" spans="1:10">
      <c r="A2126" t="s">
        <v>2208</v>
      </c>
      <c r="B2126">
        <v>51</v>
      </c>
      <c r="C2126" t="s">
        <v>9</v>
      </c>
      <c r="D2126">
        <v>10</v>
      </c>
      <c r="E2126">
        <v>60</v>
      </c>
      <c r="F2126">
        <v>5.8999999999999999E-3</v>
      </c>
      <c r="G2126">
        <v>0</v>
      </c>
      <c r="H2126" t="str">
        <f t="shared" si="99"/>
        <v>60-69</v>
      </c>
      <c r="I2126" t="str">
        <f t="shared" si="100"/>
        <v>10-19</v>
      </c>
      <c r="J2126">
        <f t="shared" si="101"/>
        <v>5.8999999999999999E-3</v>
      </c>
    </row>
    <row r="2127" spans="1:10">
      <c r="A2127" t="s">
        <v>2209</v>
      </c>
      <c r="B2127">
        <v>21</v>
      </c>
      <c r="C2127" t="s">
        <v>7</v>
      </c>
      <c r="D2127">
        <v>12</v>
      </c>
      <c r="E2127">
        <v>32</v>
      </c>
      <c r="F2127">
        <v>4.2999999999999999E-4</v>
      </c>
      <c r="G2127">
        <v>0</v>
      </c>
      <c r="H2127" t="str">
        <f t="shared" si="99"/>
        <v>30-39</v>
      </c>
      <c r="I2127" t="str">
        <f t="shared" si="100"/>
        <v>10-19</v>
      </c>
      <c r="J2127">
        <f t="shared" si="101"/>
        <v>4.2999999999999999E-4</v>
      </c>
    </row>
    <row r="2128" spans="1:10">
      <c r="A2128" t="s">
        <v>2210</v>
      </c>
      <c r="B2128">
        <v>30</v>
      </c>
      <c r="C2128" t="s">
        <v>7</v>
      </c>
      <c r="D2128">
        <v>6</v>
      </c>
      <c r="E2128">
        <v>35</v>
      </c>
      <c r="F2128">
        <v>3.5E-4</v>
      </c>
      <c r="G2128">
        <v>0</v>
      </c>
      <c r="H2128" t="str">
        <f t="shared" si="99"/>
        <v>30-39</v>
      </c>
      <c r="I2128" t="str">
        <f t="shared" si="100"/>
        <v>0-9</v>
      </c>
      <c r="J2128">
        <f t="shared" si="101"/>
        <v>3.5E-4</v>
      </c>
    </row>
    <row r="2129" spans="1:10">
      <c r="A2129" t="s">
        <v>2211</v>
      </c>
      <c r="B2129">
        <v>22</v>
      </c>
      <c r="C2129" t="s">
        <v>9</v>
      </c>
      <c r="D2129">
        <v>26</v>
      </c>
      <c r="E2129">
        <v>47</v>
      </c>
      <c r="F2129">
        <v>2.6700000000000001E-3</v>
      </c>
      <c r="G2129">
        <v>0</v>
      </c>
      <c r="H2129" t="str">
        <f t="shared" si="99"/>
        <v>40-49</v>
      </c>
      <c r="I2129" t="str">
        <f t="shared" si="100"/>
        <v>20-29</v>
      </c>
      <c r="J2129">
        <f t="shared" si="101"/>
        <v>2.6700000000000001E-3</v>
      </c>
    </row>
    <row r="2130" spans="1:10">
      <c r="A2130" t="s">
        <v>2212</v>
      </c>
      <c r="B2130">
        <v>59</v>
      </c>
      <c r="C2130" t="s">
        <v>9</v>
      </c>
      <c r="D2130">
        <v>8</v>
      </c>
      <c r="E2130">
        <v>66</v>
      </c>
      <c r="F2130">
        <v>0.01</v>
      </c>
      <c r="G2130">
        <v>0</v>
      </c>
      <c r="H2130" t="str">
        <f t="shared" si="99"/>
        <v>60-69</v>
      </c>
      <c r="I2130" t="str">
        <f t="shared" si="100"/>
        <v>0-9</v>
      </c>
      <c r="J2130">
        <f t="shared" si="101"/>
        <v>0.01</v>
      </c>
    </row>
    <row r="2131" spans="1:10">
      <c r="A2131" t="s">
        <v>2213</v>
      </c>
      <c r="B2131">
        <v>36</v>
      </c>
      <c r="C2131" t="s">
        <v>7</v>
      </c>
      <c r="D2131">
        <v>11</v>
      </c>
      <c r="E2131">
        <v>46</v>
      </c>
      <c r="F2131">
        <v>1.1000000000000001E-3</v>
      </c>
      <c r="G2131">
        <v>0</v>
      </c>
      <c r="H2131" t="str">
        <f t="shared" si="99"/>
        <v>40-49</v>
      </c>
      <c r="I2131" t="str">
        <f t="shared" si="100"/>
        <v>10-19</v>
      </c>
      <c r="J2131">
        <f t="shared" si="101"/>
        <v>1.1000000000000001E-3</v>
      </c>
    </row>
    <row r="2132" spans="1:10">
      <c r="A2132" t="s">
        <v>2214</v>
      </c>
      <c r="B2132">
        <v>55</v>
      </c>
      <c r="C2132" t="s">
        <v>7</v>
      </c>
      <c r="D2132">
        <v>9</v>
      </c>
      <c r="E2132">
        <v>63</v>
      </c>
      <c r="F2132">
        <v>5.11E-3</v>
      </c>
      <c r="G2132">
        <v>0</v>
      </c>
      <c r="H2132" t="str">
        <f t="shared" si="99"/>
        <v>60-69</v>
      </c>
      <c r="I2132" t="str">
        <f t="shared" si="100"/>
        <v>0-9</v>
      </c>
      <c r="J2132">
        <f t="shared" si="101"/>
        <v>5.11E-3</v>
      </c>
    </row>
    <row r="2133" spans="1:10">
      <c r="A2133" t="s">
        <v>2215</v>
      </c>
      <c r="B2133">
        <v>52</v>
      </c>
      <c r="C2133" t="s">
        <v>7</v>
      </c>
      <c r="D2133">
        <v>20</v>
      </c>
      <c r="E2133">
        <v>71</v>
      </c>
      <c r="F2133">
        <v>1.506E-2</v>
      </c>
      <c r="G2133">
        <v>0</v>
      </c>
      <c r="H2133" t="str">
        <f t="shared" si="99"/>
        <v>70-79</v>
      </c>
      <c r="I2133" t="str">
        <f t="shared" si="100"/>
        <v>20-29</v>
      </c>
      <c r="J2133">
        <f t="shared" si="101"/>
        <v>1.506E-2</v>
      </c>
    </row>
    <row r="2134" spans="1:10">
      <c r="A2134" t="s">
        <v>2216</v>
      </c>
      <c r="B2134">
        <v>48</v>
      </c>
      <c r="C2134" t="s">
        <v>9</v>
      </c>
      <c r="D2134">
        <v>26</v>
      </c>
      <c r="E2134">
        <v>73</v>
      </c>
      <c r="F2134">
        <v>2.3939999999999999E-2</v>
      </c>
      <c r="G2134">
        <v>0</v>
      </c>
      <c r="H2134" t="str">
        <f t="shared" si="99"/>
        <v>70-79</v>
      </c>
      <c r="I2134" t="str">
        <f t="shared" si="100"/>
        <v>20-29</v>
      </c>
      <c r="J2134">
        <f t="shared" si="101"/>
        <v>2.3939999999999999E-2</v>
      </c>
    </row>
    <row r="2135" spans="1:10">
      <c r="A2135" t="s">
        <v>2217</v>
      </c>
      <c r="B2135">
        <v>27</v>
      </c>
      <c r="C2135" t="s">
        <v>7</v>
      </c>
      <c r="D2135">
        <v>4</v>
      </c>
      <c r="E2135">
        <v>30</v>
      </c>
      <c r="F2135">
        <v>2.2000000000000001E-4</v>
      </c>
      <c r="G2135">
        <v>0</v>
      </c>
      <c r="H2135" t="str">
        <f t="shared" si="99"/>
        <v>30-39</v>
      </c>
      <c r="I2135" t="str">
        <f t="shared" si="100"/>
        <v>0-9</v>
      </c>
      <c r="J2135">
        <f t="shared" si="101"/>
        <v>2.2000000000000001E-4</v>
      </c>
    </row>
    <row r="2136" spans="1:10">
      <c r="A2136" t="s">
        <v>2218</v>
      </c>
      <c r="B2136">
        <v>26</v>
      </c>
      <c r="C2136" t="s">
        <v>7</v>
      </c>
      <c r="D2136">
        <v>27</v>
      </c>
      <c r="E2136">
        <v>52</v>
      </c>
      <c r="F2136">
        <v>2.1900000000000001E-3</v>
      </c>
      <c r="G2136">
        <v>0</v>
      </c>
      <c r="H2136" t="str">
        <f t="shared" si="99"/>
        <v>50-59</v>
      </c>
      <c r="I2136" t="str">
        <f t="shared" si="100"/>
        <v>20-29</v>
      </c>
      <c r="J2136">
        <f t="shared" si="101"/>
        <v>2.1900000000000001E-3</v>
      </c>
    </row>
    <row r="2137" spans="1:10">
      <c r="A2137" t="s">
        <v>2219</v>
      </c>
      <c r="B2137">
        <v>30</v>
      </c>
      <c r="C2137" t="s">
        <v>9</v>
      </c>
      <c r="D2137">
        <v>21</v>
      </c>
      <c r="E2137">
        <v>50</v>
      </c>
      <c r="F2137">
        <v>2.5200000000000001E-3</v>
      </c>
      <c r="G2137">
        <v>0</v>
      </c>
      <c r="H2137" t="str">
        <f t="shared" si="99"/>
        <v>50-59</v>
      </c>
      <c r="I2137" t="str">
        <f t="shared" si="100"/>
        <v>20-29</v>
      </c>
      <c r="J2137">
        <f t="shared" si="101"/>
        <v>2.5200000000000001E-3</v>
      </c>
    </row>
    <row r="2138" spans="1:10">
      <c r="A2138" t="s">
        <v>2220</v>
      </c>
      <c r="B2138">
        <v>43</v>
      </c>
      <c r="C2138" t="s">
        <v>7</v>
      </c>
      <c r="D2138">
        <v>6</v>
      </c>
      <c r="E2138">
        <v>48</v>
      </c>
      <c r="F2138">
        <v>1.1000000000000001E-3</v>
      </c>
      <c r="G2138">
        <v>0</v>
      </c>
      <c r="H2138" t="str">
        <f t="shared" si="99"/>
        <v>40-49</v>
      </c>
      <c r="I2138" t="str">
        <f t="shared" si="100"/>
        <v>0-9</v>
      </c>
      <c r="J2138">
        <f t="shared" si="101"/>
        <v>1.1000000000000001E-3</v>
      </c>
    </row>
    <row r="2139" spans="1:10">
      <c r="A2139" t="s">
        <v>2221</v>
      </c>
      <c r="B2139">
        <v>52</v>
      </c>
      <c r="C2139" t="s">
        <v>7</v>
      </c>
      <c r="D2139">
        <v>16</v>
      </c>
      <c r="E2139">
        <v>67</v>
      </c>
      <c r="F2139">
        <v>9.4000000000000004E-3</v>
      </c>
      <c r="G2139">
        <v>0</v>
      </c>
      <c r="H2139" t="str">
        <f t="shared" si="99"/>
        <v>60-69</v>
      </c>
      <c r="I2139" t="str">
        <f t="shared" si="100"/>
        <v>10-19</v>
      </c>
      <c r="J2139">
        <f t="shared" si="101"/>
        <v>9.4000000000000004E-3</v>
      </c>
    </row>
    <row r="2140" spans="1:10">
      <c r="A2140" t="s">
        <v>2222</v>
      </c>
      <c r="B2140">
        <v>61</v>
      </c>
      <c r="C2140" t="s">
        <v>9</v>
      </c>
      <c r="D2140">
        <v>12</v>
      </c>
      <c r="E2140">
        <v>72</v>
      </c>
      <c r="F2140">
        <v>1.9769999999999999E-2</v>
      </c>
      <c r="G2140">
        <v>0</v>
      </c>
      <c r="H2140" t="str">
        <f t="shared" si="99"/>
        <v>70-79</v>
      </c>
      <c r="I2140" t="str">
        <f t="shared" si="100"/>
        <v>10-19</v>
      </c>
      <c r="J2140">
        <f t="shared" si="101"/>
        <v>1.9769999999999999E-2</v>
      </c>
    </row>
    <row r="2141" spans="1:10">
      <c r="A2141" t="s">
        <v>2223</v>
      </c>
      <c r="B2141">
        <v>32</v>
      </c>
      <c r="C2141" t="s">
        <v>7</v>
      </c>
      <c r="D2141">
        <v>15</v>
      </c>
      <c r="E2141">
        <v>46</v>
      </c>
      <c r="F2141">
        <v>1.2600000000000001E-3</v>
      </c>
      <c r="G2141">
        <v>0</v>
      </c>
      <c r="H2141" t="str">
        <f t="shared" si="99"/>
        <v>40-49</v>
      </c>
      <c r="I2141" t="str">
        <f t="shared" si="100"/>
        <v>10-19</v>
      </c>
      <c r="J2141">
        <f t="shared" si="101"/>
        <v>1.2600000000000001E-3</v>
      </c>
    </row>
    <row r="2142" spans="1:10">
      <c r="A2142" t="s">
        <v>2224</v>
      </c>
      <c r="B2142">
        <v>20</v>
      </c>
      <c r="C2142" t="s">
        <v>7</v>
      </c>
      <c r="D2142">
        <v>8</v>
      </c>
      <c r="E2142">
        <v>27</v>
      </c>
      <c r="F2142">
        <v>3.2000000000000003E-4</v>
      </c>
      <c r="G2142">
        <v>0</v>
      </c>
      <c r="H2142" t="str">
        <f t="shared" si="99"/>
        <v>20-29</v>
      </c>
      <c r="I2142" t="str">
        <f t="shared" si="100"/>
        <v>0-9</v>
      </c>
      <c r="J2142">
        <f t="shared" si="101"/>
        <v>3.2000000000000003E-4</v>
      </c>
    </row>
    <row r="2143" spans="1:10">
      <c r="A2143" t="s">
        <v>2225</v>
      </c>
      <c r="B2143">
        <v>38</v>
      </c>
      <c r="C2143" t="s">
        <v>9</v>
      </c>
      <c r="D2143">
        <v>17</v>
      </c>
      <c r="E2143">
        <v>54</v>
      </c>
      <c r="F2143">
        <v>3.3700000000000002E-3</v>
      </c>
      <c r="G2143">
        <v>0</v>
      </c>
      <c r="H2143" t="str">
        <f t="shared" si="99"/>
        <v>50-59</v>
      </c>
      <c r="I2143" t="str">
        <f t="shared" si="100"/>
        <v>10-19</v>
      </c>
      <c r="J2143">
        <f t="shared" si="101"/>
        <v>3.3700000000000002E-3</v>
      </c>
    </row>
    <row r="2144" spans="1:10">
      <c r="A2144" t="s">
        <v>2226</v>
      </c>
      <c r="B2144">
        <v>65</v>
      </c>
      <c r="C2144" t="s">
        <v>9</v>
      </c>
      <c r="D2144">
        <v>25</v>
      </c>
      <c r="E2144">
        <v>89</v>
      </c>
      <c r="F2144">
        <v>0.14881</v>
      </c>
      <c r="G2144">
        <v>0</v>
      </c>
      <c r="H2144" t="str">
        <f t="shared" si="99"/>
        <v>80-89</v>
      </c>
      <c r="I2144" t="str">
        <f t="shared" si="100"/>
        <v>20-29</v>
      </c>
      <c r="J2144">
        <f t="shared" si="101"/>
        <v>0.14881</v>
      </c>
    </row>
    <row r="2145" spans="1:10">
      <c r="A2145" t="s">
        <v>2227</v>
      </c>
      <c r="B2145">
        <v>35</v>
      </c>
      <c r="C2145" t="s">
        <v>7</v>
      </c>
      <c r="D2145">
        <v>5</v>
      </c>
      <c r="E2145">
        <v>39</v>
      </c>
      <c r="F2145">
        <v>5.1999999999999995E-4</v>
      </c>
      <c r="G2145">
        <v>0</v>
      </c>
      <c r="H2145" t="str">
        <f t="shared" si="99"/>
        <v>30-39</v>
      </c>
      <c r="I2145" t="str">
        <f t="shared" si="100"/>
        <v>0-9</v>
      </c>
      <c r="J2145">
        <f t="shared" si="101"/>
        <v>5.1999999999999995E-4</v>
      </c>
    </row>
    <row r="2146" spans="1:10">
      <c r="A2146" t="s">
        <v>2228</v>
      </c>
      <c r="B2146">
        <v>34</v>
      </c>
      <c r="C2146" t="s">
        <v>7</v>
      </c>
      <c r="D2146">
        <v>5</v>
      </c>
      <c r="E2146">
        <v>38</v>
      </c>
      <c r="F2146">
        <v>4.6999999999999999E-4</v>
      </c>
      <c r="G2146">
        <v>0</v>
      </c>
      <c r="H2146" t="str">
        <f t="shared" si="99"/>
        <v>30-39</v>
      </c>
      <c r="I2146" t="str">
        <f t="shared" si="100"/>
        <v>0-9</v>
      </c>
      <c r="J2146">
        <f t="shared" si="101"/>
        <v>4.6999999999999999E-4</v>
      </c>
    </row>
    <row r="2147" spans="1:10">
      <c r="A2147" t="s">
        <v>2229</v>
      </c>
      <c r="B2147">
        <v>46</v>
      </c>
      <c r="C2147" t="s">
        <v>9</v>
      </c>
      <c r="D2147">
        <v>29</v>
      </c>
      <c r="E2147">
        <v>74</v>
      </c>
      <c r="F2147">
        <v>1.9089999999999999E-2</v>
      </c>
      <c r="G2147">
        <v>0</v>
      </c>
      <c r="H2147" t="str">
        <f t="shared" si="99"/>
        <v>70-79</v>
      </c>
      <c r="I2147" t="str">
        <f t="shared" si="100"/>
        <v>20-29</v>
      </c>
      <c r="J2147">
        <f t="shared" si="101"/>
        <v>1.9089999999999999E-2</v>
      </c>
    </row>
    <row r="2148" spans="1:10">
      <c r="A2148" t="s">
        <v>2230</v>
      </c>
      <c r="B2148">
        <v>63</v>
      </c>
      <c r="C2148" t="s">
        <v>7</v>
      </c>
      <c r="D2148">
        <v>12</v>
      </c>
      <c r="E2148">
        <v>74</v>
      </c>
      <c r="F2148">
        <v>1.541E-2</v>
      </c>
      <c r="G2148">
        <v>0</v>
      </c>
      <c r="H2148" t="str">
        <f t="shared" si="99"/>
        <v>70-79</v>
      </c>
      <c r="I2148" t="str">
        <f t="shared" si="100"/>
        <v>10-19</v>
      </c>
      <c r="J2148">
        <f t="shared" si="101"/>
        <v>1.541E-2</v>
      </c>
    </row>
    <row r="2149" spans="1:10">
      <c r="A2149" t="s">
        <v>2231</v>
      </c>
      <c r="B2149">
        <v>20</v>
      </c>
      <c r="C2149" t="s">
        <v>7</v>
      </c>
      <c r="D2149">
        <v>23</v>
      </c>
      <c r="E2149">
        <v>42</v>
      </c>
      <c r="F2149">
        <v>1.24E-3</v>
      </c>
      <c r="G2149">
        <v>0</v>
      </c>
      <c r="H2149" t="str">
        <f t="shared" si="99"/>
        <v>40-49</v>
      </c>
      <c r="I2149" t="str">
        <f t="shared" si="100"/>
        <v>20-29</v>
      </c>
      <c r="J2149">
        <f t="shared" si="101"/>
        <v>1.24E-3</v>
      </c>
    </row>
    <row r="2150" spans="1:10">
      <c r="A2150" t="s">
        <v>2232</v>
      </c>
      <c r="B2150">
        <v>25</v>
      </c>
      <c r="C2150" t="s">
        <v>9</v>
      </c>
      <c r="D2150">
        <v>11</v>
      </c>
      <c r="E2150">
        <v>35</v>
      </c>
      <c r="F2150">
        <v>7.2999999999999996E-4</v>
      </c>
      <c r="G2150">
        <v>0</v>
      </c>
      <c r="H2150" t="str">
        <f t="shared" si="99"/>
        <v>30-39</v>
      </c>
      <c r="I2150" t="str">
        <f t="shared" si="100"/>
        <v>10-19</v>
      </c>
      <c r="J2150">
        <f t="shared" si="101"/>
        <v>7.2999999999999996E-4</v>
      </c>
    </row>
    <row r="2151" spans="1:10">
      <c r="A2151" t="s">
        <v>2233</v>
      </c>
      <c r="B2151">
        <v>30</v>
      </c>
      <c r="C2151" t="s">
        <v>9</v>
      </c>
      <c r="D2151">
        <v>14</v>
      </c>
      <c r="E2151">
        <v>43</v>
      </c>
      <c r="F2151">
        <v>1.4E-3</v>
      </c>
      <c r="G2151">
        <v>0</v>
      </c>
      <c r="H2151" t="str">
        <f t="shared" si="99"/>
        <v>40-49</v>
      </c>
      <c r="I2151" t="str">
        <f t="shared" si="100"/>
        <v>10-19</v>
      </c>
      <c r="J2151">
        <f t="shared" si="101"/>
        <v>1.4E-3</v>
      </c>
    </row>
    <row r="2152" spans="1:10">
      <c r="A2152" t="s">
        <v>2234</v>
      </c>
      <c r="B2152">
        <v>62</v>
      </c>
      <c r="C2152" t="s">
        <v>7</v>
      </c>
      <c r="D2152">
        <v>30</v>
      </c>
      <c r="E2152">
        <v>91</v>
      </c>
      <c r="F2152">
        <v>9.3240000000000003E-2</v>
      </c>
      <c r="G2152">
        <v>0</v>
      </c>
      <c r="H2152" t="str">
        <f t="shared" si="99"/>
        <v>90-99</v>
      </c>
      <c r="I2152" t="str">
        <f t="shared" si="100"/>
        <v>30-39</v>
      </c>
      <c r="J2152">
        <f t="shared" si="101"/>
        <v>9.3240000000000003E-2</v>
      </c>
    </row>
    <row r="2153" spans="1:10">
      <c r="A2153" t="s">
        <v>2235</v>
      </c>
      <c r="B2153">
        <v>23</v>
      </c>
      <c r="C2153" t="s">
        <v>7</v>
      </c>
      <c r="D2153">
        <v>21</v>
      </c>
      <c r="E2153">
        <v>43</v>
      </c>
      <c r="F2153">
        <v>1.2800000000000001E-3</v>
      </c>
      <c r="G2153">
        <v>0</v>
      </c>
      <c r="H2153" t="str">
        <f t="shared" si="99"/>
        <v>40-49</v>
      </c>
      <c r="I2153" t="str">
        <f t="shared" si="100"/>
        <v>20-29</v>
      </c>
      <c r="J2153">
        <f t="shared" si="101"/>
        <v>1.2800000000000001E-3</v>
      </c>
    </row>
    <row r="2154" spans="1:10">
      <c r="A2154" t="s">
        <v>2236</v>
      </c>
      <c r="B2154">
        <v>53</v>
      </c>
      <c r="C2154" t="s">
        <v>9</v>
      </c>
      <c r="D2154">
        <v>10</v>
      </c>
      <c r="E2154">
        <v>62</v>
      </c>
      <c r="F2154">
        <v>7.2700000000000004E-3</v>
      </c>
      <c r="G2154">
        <v>0</v>
      </c>
      <c r="H2154" t="str">
        <f t="shared" si="99"/>
        <v>60-69</v>
      </c>
      <c r="I2154" t="str">
        <f t="shared" si="100"/>
        <v>10-19</v>
      </c>
      <c r="J2154">
        <f t="shared" si="101"/>
        <v>7.2700000000000004E-3</v>
      </c>
    </row>
    <row r="2155" spans="1:10">
      <c r="A2155" t="s">
        <v>2237</v>
      </c>
      <c r="B2155">
        <v>64</v>
      </c>
      <c r="C2155" t="s">
        <v>7</v>
      </c>
      <c r="D2155">
        <v>18</v>
      </c>
      <c r="E2155">
        <v>81</v>
      </c>
      <c r="F2155">
        <v>4.3799999999999999E-2</v>
      </c>
      <c r="G2155">
        <v>0</v>
      </c>
      <c r="H2155" t="str">
        <f t="shared" si="99"/>
        <v>80-89</v>
      </c>
      <c r="I2155" t="str">
        <f t="shared" si="100"/>
        <v>10-19</v>
      </c>
      <c r="J2155">
        <f t="shared" si="101"/>
        <v>4.3799999999999999E-2</v>
      </c>
    </row>
    <row r="2156" spans="1:10">
      <c r="A2156" t="s">
        <v>2238</v>
      </c>
      <c r="B2156">
        <v>40</v>
      </c>
      <c r="C2156" t="s">
        <v>9</v>
      </c>
      <c r="D2156">
        <v>30</v>
      </c>
      <c r="E2156">
        <v>69</v>
      </c>
      <c r="F2156">
        <v>1.064E-2</v>
      </c>
      <c r="G2156">
        <v>0</v>
      </c>
      <c r="H2156" t="str">
        <f t="shared" si="99"/>
        <v>60-69</v>
      </c>
      <c r="I2156" t="str">
        <f t="shared" si="100"/>
        <v>30-39</v>
      </c>
      <c r="J2156">
        <f t="shared" si="101"/>
        <v>1.064E-2</v>
      </c>
    </row>
    <row r="2157" spans="1:10">
      <c r="A2157" t="s">
        <v>2239</v>
      </c>
      <c r="B2157">
        <v>53</v>
      </c>
      <c r="C2157" t="s">
        <v>7</v>
      </c>
      <c r="D2157">
        <v>20</v>
      </c>
      <c r="E2157">
        <v>72</v>
      </c>
      <c r="F2157">
        <v>1.66E-2</v>
      </c>
      <c r="G2157">
        <v>0</v>
      </c>
      <c r="H2157" t="str">
        <f t="shared" si="99"/>
        <v>70-79</v>
      </c>
      <c r="I2157" t="str">
        <f t="shared" si="100"/>
        <v>20-29</v>
      </c>
      <c r="J2157">
        <f t="shared" si="101"/>
        <v>1.66E-2</v>
      </c>
    </row>
    <row r="2158" spans="1:10">
      <c r="A2158" t="s">
        <v>2240</v>
      </c>
      <c r="B2158">
        <v>48</v>
      </c>
      <c r="C2158" t="s">
        <v>9</v>
      </c>
      <c r="D2158">
        <v>21</v>
      </c>
      <c r="E2158">
        <v>68</v>
      </c>
      <c r="F2158">
        <v>1.3950000000000001E-2</v>
      </c>
      <c r="G2158">
        <v>0</v>
      </c>
      <c r="H2158" t="str">
        <f t="shared" si="99"/>
        <v>60-69</v>
      </c>
      <c r="I2158" t="str">
        <f t="shared" si="100"/>
        <v>20-29</v>
      </c>
      <c r="J2158">
        <f t="shared" si="101"/>
        <v>1.3950000000000001E-2</v>
      </c>
    </row>
    <row r="2159" spans="1:10">
      <c r="A2159" t="s">
        <v>2241</v>
      </c>
      <c r="B2159">
        <v>59</v>
      </c>
      <c r="C2159" t="s">
        <v>9</v>
      </c>
      <c r="D2159">
        <v>21</v>
      </c>
      <c r="E2159">
        <v>79</v>
      </c>
      <c r="F2159">
        <v>4.5769999999999998E-2</v>
      </c>
      <c r="G2159">
        <v>0</v>
      </c>
      <c r="H2159" t="str">
        <f t="shared" si="99"/>
        <v>70-79</v>
      </c>
      <c r="I2159" t="str">
        <f t="shared" si="100"/>
        <v>20-29</v>
      </c>
      <c r="J2159">
        <f t="shared" si="101"/>
        <v>4.5769999999999998E-2</v>
      </c>
    </row>
    <row r="2160" spans="1:10">
      <c r="A2160" t="s">
        <v>2242</v>
      </c>
      <c r="B2160">
        <v>61</v>
      </c>
      <c r="C2160" t="s">
        <v>7</v>
      </c>
      <c r="D2160">
        <v>13</v>
      </c>
      <c r="E2160">
        <v>73</v>
      </c>
      <c r="F2160">
        <v>1.453E-2</v>
      </c>
      <c r="G2160">
        <v>0</v>
      </c>
      <c r="H2160" t="str">
        <f t="shared" si="99"/>
        <v>70-79</v>
      </c>
      <c r="I2160" t="str">
        <f t="shared" si="100"/>
        <v>10-19</v>
      </c>
      <c r="J2160">
        <f t="shared" si="101"/>
        <v>1.453E-2</v>
      </c>
    </row>
    <row r="2161" spans="1:10">
      <c r="A2161" t="s">
        <v>2243</v>
      </c>
      <c r="B2161">
        <v>25</v>
      </c>
      <c r="C2161" t="s">
        <v>7</v>
      </c>
      <c r="D2161">
        <v>2</v>
      </c>
      <c r="E2161">
        <v>26</v>
      </c>
      <c r="F2161">
        <v>1.9000000000000001E-4</v>
      </c>
      <c r="G2161">
        <v>0</v>
      </c>
      <c r="H2161" t="str">
        <f t="shared" si="99"/>
        <v>20-29</v>
      </c>
      <c r="I2161" t="str">
        <f t="shared" si="100"/>
        <v>0-9</v>
      </c>
      <c r="J2161">
        <f t="shared" si="101"/>
        <v>1.9000000000000001E-4</v>
      </c>
    </row>
    <row r="2162" spans="1:10">
      <c r="A2162" t="s">
        <v>2244</v>
      </c>
      <c r="B2162">
        <v>28</v>
      </c>
      <c r="C2162" t="s">
        <v>7</v>
      </c>
      <c r="D2162">
        <v>17</v>
      </c>
      <c r="E2162">
        <v>44</v>
      </c>
      <c r="F2162">
        <v>1.1800000000000001E-3</v>
      </c>
      <c r="G2162">
        <v>0</v>
      </c>
      <c r="H2162" t="str">
        <f t="shared" si="99"/>
        <v>40-49</v>
      </c>
      <c r="I2162" t="str">
        <f t="shared" si="100"/>
        <v>10-19</v>
      </c>
      <c r="J2162">
        <f t="shared" si="101"/>
        <v>1.1800000000000001E-3</v>
      </c>
    </row>
    <row r="2163" spans="1:10">
      <c r="A2163" t="s">
        <v>2245</v>
      </c>
      <c r="B2163">
        <v>25</v>
      </c>
      <c r="C2163" t="s">
        <v>7</v>
      </c>
      <c r="D2163">
        <v>17</v>
      </c>
      <c r="E2163">
        <v>41</v>
      </c>
      <c r="F2163">
        <v>1.0399999999999999E-3</v>
      </c>
      <c r="G2163">
        <v>0</v>
      </c>
      <c r="H2163" t="str">
        <f t="shared" si="99"/>
        <v>40-49</v>
      </c>
      <c r="I2163" t="str">
        <f t="shared" si="100"/>
        <v>10-19</v>
      </c>
      <c r="J2163">
        <f t="shared" si="101"/>
        <v>1.0399999999999999E-3</v>
      </c>
    </row>
    <row r="2164" spans="1:10">
      <c r="A2164" t="s">
        <v>2246</v>
      </c>
      <c r="B2164">
        <v>60</v>
      </c>
      <c r="C2164" t="s">
        <v>9</v>
      </c>
      <c r="D2164">
        <v>6</v>
      </c>
      <c r="E2164">
        <v>65</v>
      </c>
      <c r="F2164">
        <v>8.1399999999999997E-3</v>
      </c>
      <c r="G2164">
        <v>0</v>
      </c>
      <c r="H2164" t="str">
        <f t="shared" si="99"/>
        <v>60-69</v>
      </c>
      <c r="I2164" t="str">
        <f t="shared" si="100"/>
        <v>0-9</v>
      </c>
      <c r="J2164">
        <f t="shared" si="101"/>
        <v>8.1399999999999997E-3</v>
      </c>
    </row>
    <row r="2165" spans="1:10">
      <c r="A2165" t="s">
        <v>2247</v>
      </c>
      <c r="B2165">
        <v>54</v>
      </c>
      <c r="C2165" t="s">
        <v>9</v>
      </c>
      <c r="D2165">
        <v>19</v>
      </c>
      <c r="E2165">
        <v>72</v>
      </c>
      <c r="F2165">
        <v>2.1139999999999999E-2</v>
      </c>
      <c r="G2165">
        <v>0</v>
      </c>
      <c r="H2165" t="str">
        <f t="shared" si="99"/>
        <v>70-79</v>
      </c>
      <c r="I2165" t="str">
        <f t="shared" si="100"/>
        <v>10-19</v>
      </c>
      <c r="J2165">
        <f t="shared" si="101"/>
        <v>2.1139999999999999E-2</v>
      </c>
    </row>
    <row r="2166" spans="1:10">
      <c r="A2166" t="s">
        <v>2248</v>
      </c>
      <c r="B2166">
        <v>39</v>
      </c>
      <c r="C2166" t="s">
        <v>9</v>
      </c>
      <c r="D2166">
        <v>24</v>
      </c>
      <c r="E2166">
        <v>62</v>
      </c>
      <c r="F2166">
        <v>7.7600000000000004E-3</v>
      </c>
      <c r="G2166">
        <v>0</v>
      </c>
      <c r="H2166" t="str">
        <f t="shared" si="99"/>
        <v>60-69</v>
      </c>
      <c r="I2166" t="str">
        <f t="shared" si="100"/>
        <v>20-29</v>
      </c>
      <c r="J2166">
        <f t="shared" si="101"/>
        <v>7.7600000000000004E-3</v>
      </c>
    </row>
    <row r="2167" spans="1:10">
      <c r="A2167" t="s">
        <v>2249</v>
      </c>
      <c r="B2167">
        <v>23</v>
      </c>
      <c r="C2167" t="s">
        <v>9</v>
      </c>
      <c r="D2167">
        <v>27</v>
      </c>
      <c r="E2167">
        <v>49</v>
      </c>
      <c r="F2167">
        <v>2.7399999999999998E-3</v>
      </c>
      <c r="G2167">
        <v>0</v>
      </c>
      <c r="H2167" t="str">
        <f t="shared" si="99"/>
        <v>40-49</v>
      </c>
      <c r="I2167" t="str">
        <f t="shared" si="100"/>
        <v>20-29</v>
      </c>
      <c r="J2167">
        <f t="shared" si="101"/>
        <v>2.7399999999999998E-3</v>
      </c>
    </row>
    <row r="2168" spans="1:10">
      <c r="A2168" t="s">
        <v>2250</v>
      </c>
      <c r="B2168">
        <v>42</v>
      </c>
      <c r="C2168" t="s">
        <v>9</v>
      </c>
      <c r="D2168">
        <v>4</v>
      </c>
      <c r="E2168">
        <v>45</v>
      </c>
      <c r="F2168">
        <v>1.01E-3</v>
      </c>
      <c r="G2168">
        <v>0</v>
      </c>
      <c r="H2168" t="str">
        <f t="shared" si="99"/>
        <v>40-49</v>
      </c>
      <c r="I2168" t="str">
        <f t="shared" si="100"/>
        <v>0-9</v>
      </c>
      <c r="J2168">
        <f t="shared" si="101"/>
        <v>1.01E-3</v>
      </c>
    </row>
    <row r="2169" spans="1:10">
      <c r="A2169" t="s">
        <v>2251</v>
      </c>
      <c r="B2169">
        <v>27</v>
      </c>
      <c r="C2169" t="s">
        <v>9</v>
      </c>
      <c r="D2169">
        <v>15</v>
      </c>
      <c r="E2169">
        <v>41</v>
      </c>
      <c r="F2169">
        <v>1.32E-3</v>
      </c>
      <c r="G2169">
        <v>0</v>
      </c>
      <c r="H2169" t="str">
        <f t="shared" si="99"/>
        <v>40-49</v>
      </c>
      <c r="I2169" t="str">
        <f t="shared" si="100"/>
        <v>10-19</v>
      </c>
      <c r="J2169">
        <f t="shared" si="101"/>
        <v>1.32E-3</v>
      </c>
    </row>
    <row r="2170" spans="1:10">
      <c r="A2170" t="s">
        <v>2252</v>
      </c>
      <c r="B2170">
        <v>49</v>
      </c>
      <c r="C2170" t="s">
        <v>7</v>
      </c>
      <c r="D2170">
        <v>11</v>
      </c>
      <c r="E2170">
        <v>59</v>
      </c>
      <c r="F2170">
        <v>3.6099999999999999E-3</v>
      </c>
      <c r="G2170">
        <v>0</v>
      </c>
      <c r="H2170" t="str">
        <f t="shared" si="99"/>
        <v>50-59</v>
      </c>
      <c r="I2170" t="str">
        <f t="shared" si="100"/>
        <v>10-19</v>
      </c>
      <c r="J2170">
        <f t="shared" si="101"/>
        <v>3.6099999999999999E-3</v>
      </c>
    </row>
    <row r="2171" spans="1:10">
      <c r="A2171" t="s">
        <v>2253</v>
      </c>
      <c r="B2171">
        <v>57</v>
      </c>
      <c r="C2171" t="s">
        <v>7</v>
      </c>
      <c r="D2171">
        <v>19</v>
      </c>
      <c r="E2171">
        <v>75</v>
      </c>
      <c r="F2171">
        <v>2.2349999999999998E-2</v>
      </c>
      <c r="G2171">
        <v>0</v>
      </c>
      <c r="H2171" t="str">
        <f t="shared" si="99"/>
        <v>70-79</v>
      </c>
      <c r="I2171" t="str">
        <f t="shared" si="100"/>
        <v>10-19</v>
      </c>
      <c r="J2171">
        <f t="shared" si="101"/>
        <v>2.2349999999999998E-2</v>
      </c>
    </row>
    <row r="2172" spans="1:10">
      <c r="A2172" t="s">
        <v>2254</v>
      </c>
      <c r="B2172">
        <v>62</v>
      </c>
      <c r="C2172" t="s">
        <v>7</v>
      </c>
      <c r="D2172">
        <v>18</v>
      </c>
      <c r="E2172">
        <v>79</v>
      </c>
      <c r="F2172">
        <v>3.3279999999999997E-2</v>
      </c>
      <c r="G2172">
        <v>0</v>
      </c>
      <c r="H2172" t="str">
        <f t="shared" si="99"/>
        <v>70-79</v>
      </c>
      <c r="I2172" t="str">
        <f t="shared" si="100"/>
        <v>10-19</v>
      </c>
      <c r="J2172">
        <f t="shared" si="101"/>
        <v>3.3279999999999997E-2</v>
      </c>
    </row>
    <row r="2173" spans="1:10">
      <c r="A2173" t="s">
        <v>2255</v>
      </c>
      <c r="B2173">
        <v>39</v>
      </c>
      <c r="C2173" t="s">
        <v>7</v>
      </c>
      <c r="D2173">
        <v>10</v>
      </c>
      <c r="E2173">
        <v>48</v>
      </c>
      <c r="F2173">
        <v>1.2899999999999999E-3</v>
      </c>
      <c r="G2173">
        <v>0</v>
      </c>
      <c r="H2173" t="str">
        <f t="shared" si="99"/>
        <v>40-49</v>
      </c>
      <c r="I2173" t="str">
        <f t="shared" si="100"/>
        <v>10-19</v>
      </c>
      <c r="J2173">
        <f t="shared" si="101"/>
        <v>1.2899999999999999E-3</v>
      </c>
    </row>
    <row r="2174" spans="1:10">
      <c r="A2174" t="s">
        <v>2256</v>
      </c>
      <c r="B2174">
        <v>56</v>
      </c>
      <c r="C2174" t="s">
        <v>9</v>
      </c>
      <c r="D2174">
        <v>22</v>
      </c>
      <c r="E2174">
        <v>77</v>
      </c>
      <c r="F2174">
        <v>3.7039999999999997E-2</v>
      </c>
      <c r="G2174">
        <v>0</v>
      </c>
      <c r="H2174" t="str">
        <f t="shared" si="99"/>
        <v>70-79</v>
      </c>
      <c r="I2174" t="str">
        <f t="shared" si="100"/>
        <v>20-29</v>
      </c>
      <c r="J2174">
        <f t="shared" si="101"/>
        <v>3.7039999999999997E-2</v>
      </c>
    </row>
    <row r="2175" spans="1:10">
      <c r="A2175" t="s">
        <v>2257</v>
      </c>
      <c r="B2175">
        <v>35</v>
      </c>
      <c r="C2175" t="s">
        <v>9</v>
      </c>
      <c r="D2175">
        <v>4</v>
      </c>
      <c r="E2175">
        <v>38</v>
      </c>
      <c r="F2175">
        <v>5.8E-4</v>
      </c>
      <c r="G2175">
        <v>0</v>
      </c>
      <c r="H2175" t="str">
        <f t="shared" si="99"/>
        <v>30-39</v>
      </c>
      <c r="I2175" t="str">
        <f t="shared" si="100"/>
        <v>0-9</v>
      </c>
      <c r="J2175">
        <f t="shared" si="101"/>
        <v>5.8E-4</v>
      </c>
    </row>
    <row r="2176" spans="1:10">
      <c r="A2176" t="s">
        <v>2258</v>
      </c>
      <c r="B2176">
        <v>43</v>
      </c>
      <c r="C2176" t="s">
        <v>9</v>
      </c>
      <c r="D2176">
        <v>15</v>
      </c>
      <c r="E2176">
        <v>57</v>
      </c>
      <c r="F2176">
        <v>4.4299999999999999E-3</v>
      </c>
      <c r="G2176">
        <v>0</v>
      </c>
      <c r="H2176" t="str">
        <f t="shared" si="99"/>
        <v>50-59</v>
      </c>
      <c r="I2176" t="str">
        <f t="shared" si="100"/>
        <v>10-19</v>
      </c>
      <c r="J2176">
        <f t="shared" si="101"/>
        <v>4.4299999999999999E-3</v>
      </c>
    </row>
    <row r="2177" spans="1:10">
      <c r="A2177" t="s">
        <v>2259</v>
      </c>
      <c r="B2177">
        <v>46</v>
      </c>
      <c r="C2177" t="s">
        <v>9</v>
      </c>
      <c r="D2177">
        <v>3</v>
      </c>
      <c r="E2177">
        <v>48</v>
      </c>
      <c r="F2177">
        <v>1.17E-3</v>
      </c>
      <c r="G2177">
        <v>0</v>
      </c>
      <c r="H2177" t="str">
        <f t="shared" si="99"/>
        <v>40-49</v>
      </c>
      <c r="I2177" t="str">
        <f t="shared" si="100"/>
        <v>0-9</v>
      </c>
      <c r="J2177">
        <f t="shared" si="101"/>
        <v>1.17E-3</v>
      </c>
    </row>
    <row r="2178" spans="1:10">
      <c r="A2178" t="s">
        <v>2260</v>
      </c>
      <c r="B2178">
        <v>28</v>
      </c>
      <c r="C2178" t="s">
        <v>9</v>
      </c>
      <c r="D2178">
        <v>16</v>
      </c>
      <c r="E2178">
        <v>43</v>
      </c>
      <c r="F2178">
        <v>1.5399999999999999E-3</v>
      </c>
      <c r="G2178">
        <v>0</v>
      </c>
      <c r="H2178" t="str">
        <f t="shared" si="99"/>
        <v>40-49</v>
      </c>
      <c r="I2178" t="str">
        <f t="shared" si="100"/>
        <v>10-19</v>
      </c>
      <c r="J2178">
        <f t="shared" si="101"/>
        <v>1.5399999999999999E-3</v>
      </c>
    </row>
    <row r="2179" spans="1:10">
      <c r="A2179" t="s">
        <v>2261</v>
      </c>
      <c r="B2179">
        <v>63</v>
      </c>
      <c r="C2179" t="s">
        <v>9</v>
      </c>
      <c r="D2179">
        <v>17</v>
      </c>
      <c r="E2179">
        <v>79</v>
      </c>
      <c r="F2179">
        <v>4.3999999999999997E-2</v>
      </c>
      <c r="G2179">
        <v>0</v>
      </c>
      <c r="H2179" t="str">
        <f t="shared" ref="H2179:H2242" si="102">FLOOR(E2179,10) &amp; "-" &amp; FLOOR(E2179,10)+9</f>
        <v>70-79</v>
      </c>
      <c r="I2179" t="str">
        <f t="shared" ref="I2179:I2242" si="103">FLOOR(D2179, 10) &amp; "-"&amp;FLOOR(D2179, 10)+9</f>
        <v>10-19</v>
      </c>
      <c r="J2179">
        <f t="shared" ref="J2179:J2242" si="104">F2179</f>
        <v>4.3999999999999997E-2</v>
      </c>
    </row>
    <row r="2180" spans="1:10">
      <c r="A2180" t="s">
        <v>2262</v>
      </c>
      <c r="B2180">
        <v>45</v>
      </c>
      <c r="C2180" t="s">
        <v>9</v>
      </c>
      <c r="D2180">
        <v>28</v>
      </c>
      <c r="E2180">
        <v>72</v>
      </c>
      <c r="F2180">
        <v>1.7160000000000002E-2</v>
      </c>
      <c r="G2180">
        <v>0</v>
      </c>
      <c r="H2180" t="str">
        <f t="shared" si="102"/>
        <v>70-79</v>
      </c>
      <c r="I2180" t="str">
        <f t="shared" si="103"/>
        <v>20-29</v>
      </c>
      <c r="J2180">
        <f t="shared" si="104"/>
        <v>1.7160000000000002E-2</v>
      </c>
    </row>
    <row r="2181" spans="1:10">
      <c r="A2181" t="s">
        <v>2263</v>
      </c>
      <c r="B2181">
        <v>47</v>
      </c>
      <c r="C2181" t="s">
        <v>7</v>
      </c>
      <c r="D2181">
        <v>15</v>
      </c>
      <c r="E2181">
        <v>61</v>
      </c>
      <c r="F2181">
        <v>5.0800000000000003E-3</v>
      </c>
      <c r="G2181">
        <v>0</v>
      </c>
      <c r="H2181" t="str">
        <f t="shared" si="102"/>
        <v>60-69</v>
      </c>
      <c r="I2181" t="str">
        <f t="shared" si="103"/>
        <v>10-19</v>
      </c>
      <c r="J2181">
        <f t="shared" si="104"/>
        <v>5.0800000000000003E-3</v>
      </c>
    </row>
    <row r="2182" spans="1:10">
      <c r="A2182" t="s">
        <v>2264</v>
      </c>
      <c r="B2182">
        <v>46</v>
      </c>
      <c r="C2182" t="s">
        <v>9</v>
      </c>
      <c r="D2182">
        <v>27</v>
      </c>
      <c r="E2182">
        <v>72</v>
      </c>
      <c r="F2182">
        <v>1.9089999999999999E-2</v>
      </c>
      <c r="G2182">
        <v>0</v>
      </c>
      <c r="H2182" t="str">
        <f t="shared" si="102"/>
        <v>70-79</v>
      </c>
      <c r="I2182" t="str">
        <f t="shared" si="103"/>
        <v>20-29</v>
      </c>
      <c r="J2182">
        <f t="shared" si="104"/>
        <v>1.9089999999999999E-2</v>
      </c>
    </row>
    <row r="2183" spans="1:10">
      <c r="A2183" t="s">
        <v>2265</v>
      </c>
      <c r="B2183">
        <v>51</v>
      </c>
      <c r="C2183" t="s">
        <v>9</v>
      </c>
      <c r="D2183">
        <v>23</v>
      </c>
      <c r="E2183">
        <v>73</v>
      </c>
      <c r="F2183">
        <v>2.3939999999999999E-2</v>
      </c>
      <c r="G2183">
        <v>0</v>
      </c>
      <c r="H2183" t="str">
        <f t="shared" si="102"/>
        <v>70-79</v>
      </c>
      <c r="I2183" t="str">
        <f t="shared" si="103"/>
        <v>20-29</v>
      </c>
      <c r="J2183">
        <f t="shared" si="104"/>
        <v>2.3939999999999999E-2</v>
      </c>
    </row>
    <row r="2184" spans="1:10">
      <c r="A2184" t="s">
        <v>2266</v>
      </c>
      <c r="B2184">
        <v>52</v>
      </c>
      <c r="C2184" t="s">
        <v>7</v>
      </c>
      <c r="D2184">
        <v>28</v>
      </c>
      <c r="E2184">
        <v>79</v>
      </c>
      <c r="F2184">
        <v>2.8719999999999999E-2</v>
      </c>
      <c r="G2184">
        <v>0</v>
      </c>
      <c r="H2184" t="str">
        <f t="shared" si="102"/>
        <v>70-79</v>
      </c>
      <c r="I2184" t="str">
        <f t="shared" si="103"/>
        <v>20-29</v>
      </c>
      <c r="J2184">
        <f t="shared" si="104"/>
        <v>2.8719999999999999E-2</v>
      </c>
    </row>
    <row r="2185" spans="1:10">
      <c r="A2185" t="s">
        <v>2267</v>
      </c>
      <c r="B2185">
        <v>49</v>
      </c>
      <c r="C2185" t="s">
        <v>9</v>
      </c>
      <c r="D2185">
        <v>16</v>
      </c>
      <c r="E2185">
        <v>64</v>
      </c>
      <c r="F2185">
        <v>9.2800000000000001E-3</v>
      </c>
      <c r="G2185">
        <v>0</v>
      </c>
      <c r="H2185" t="str">
        <f t="shared" si="102"/>
        <v>60-69</v>
      </c>
      <c r="I2185" t="str">
        <f t="shared" si="103"/>
        <v>10-19</v>
      </c>
      <c r="J2185">
        <f t="shared" si="104"/>
        <v>9.2800000000000001E-3</v>
      </c>
    </row>
    <row r="2186" spans="1:10">
      <c r="A2186" t="s">
        <v>2268</v>
      </c>
      <c r="B2186">
        <v>55</v>
      </c>
      <c r="C2186" t="s">
        <v>7</v>
      </c>
      <c r="D2186">
        <v>12</v>
      </c>
      <c r="E2186">
        <v>66</v>
      </c>
      <c r="F2186">
        <v>7.2700000000000004E-3</v>
      </c>
      <c r="G2186">
        <v>0</v>
      </c>
      <c r="H2186" t="str">
        <f t="shared" si="102"/>
        <v>60-69</v>
      </c>
      <c r="I2186" t="str">
        <f t="shared" si="103"/>
        <v>10-19</v>
      </c>
      <c r="J2186">
        <f t="shared" si="104"/>
        <v>7.2700000000000004E-3</v>
      </c>
    </row>
    <row r="2187" spans="1:10">
      <c r="A2187" t="s">
        <v>2269</v>
      </c>
      <c r="B2187">
        <v>46</v>
      </c>
      <c r="C2187" t="s">
        <v>9</v>
      </c>
      <c r="D2187">
        <v>4</v>
      </c>
      <c r="E2187">
        <v>49</v>
      </c>
      <c r="F2187">
        <v>1.4400000000000001E-3</v>
      </c>
      <c r="G2187">
        <v>0</v>
      </c>
      <c r="H2187" t="str">
        <f t="shared" si="102"/>
        <v>40-49</v>
      </c>
      <c r="I2187" t="str">
        <f t="shared" si="103"/>
        <v>0-9</v>
      </c>
      <c r="J2187">
        <f t="shared" si="104"/>
        <v>1.4400000000000001E-3</v>
      </c>
    </row>
    <row r="2188" spans="1:10">
      <c r="A2188" t="s">
        <v>2270</v>
      </c>
      <c r="B2188">
        <v>22</v>
      </c>
      <c r="C2188" t="s">
        <v>9</v>
      </c>
      <c r="D2188">
        <v>17</v>
      </c>
      <c r="E2188">
        <v>38</v>
      </c>
      <c r="F2188">
        <v>1.2099999999999999E-3</v>
      </c>
      <c r="G2188">
        <v>0</v>
      </c>
      <c r="H2188" t="str">
        <f t="shared" si="102"/>
        <v>30-39</v>
      </c>
      <c r="I2188" t="str">
        <f t="shared" si="103"/>
        <v>10-19</v>
      </c>
      <c r="J2188">
        <f t="shared" si="104"/>
        <v>1.2099999999999999E-3</v>
      </c>
    </row>
    <row r="2189" spans="1:10">
      <c r="A2189" t="s">
        <v>2271</v>
      </c>
      <c r="B2189">
        <v>43</v>
      </c>
      <c r="C2189" t="s">
        <v>9</v>
      </c>
      <c r="D2189">
        <v>10</v>
      </c>
      <c r="E2189">
        <v>52</v>
      </c>
      <c r="F2189">
        <v>2.49E-3</v>
      </c>
      <c r="G2189">
        <v>0</v>
      </c>
      <c r="H2189" t="str">
        <f t="shared" si="102"/>
        <v>50-59</v>
      </c>
      <c r="I2189" t="str">
        <f t="shared" si="103"/>
        <v>10-19</v>
      </c>
      <c r="J2189">
        <f t="shared" si="104"/>
        <v>2.49E-3</v>
      </c>
    </row>
    <row r="2190" spans="1:10">
      <c r="A2190" t="s">
        <v>2272</v>
      </c>
      <c r="B2190">
        <v>29</v>
      </c>
      <c r="C2190" t="s">
        <v>7</v>
      </c>
      <c r="D2190">
        <v>5</v>
      </c>
      <c r="E2190">
        <v>33</v>
      </c>
      <c r="F2190">
        <v>2.7E-4</v>
      </c>
      <c r="G2190">
        <v>0</v>
      </c>
      <c r="H2190" t="str">
        <f t="shared" si="102"/>
        <v>30-39</v>
      </c>
      <c r="I2190" t="str">
        <f t="shared" si="103"/>
        <v>0-9</v>
      </c>
      <c r="J2190">
        <f t="shared" si="104"/>
        <v>2.7E-4</v>
      </c>
    </row>
    <row r="2191" spans="1:10">
      <c r="A2191" t="s">
        <v>2273</v>
      </c>
      <c r="B2191">
        <v>39</v>
      </c>
      <c r="C2191" t="s">
        <v>9</v>
      </c>
      <c r="D2191">
        <v>29</v>
      </c>
      <c r="E2191">
        <v>67</v>
      </c>
      <c r="F2191">
        <v>9.6200000000000001E-3</v>
      </c>
      <c r="G2191">
        <v>0</v>
      </c>
      <c r="H2191" t="str">
        <f t="shared" si="102"/>
        <v>60-69</v>
      </c>
      <c r="I2191" t="str">
        <f t="shared" si="103"/>
        <v>20-29</v>
      </c>
      <c r="J2191">
        <f t="shared" si="104"/>
        <v>9.6200000000000001E-3</v>
      </c>
    </row>
    <row r="2192" spans="1:10">
      <c r="A2192" t="s">
        <v>2274</v>
      </c>
      <c r="B2192">
        <v>51</v>
      </c>
      <c r="C2192" t="s">
        <v>9</v>
      </c>
      <c r="D2192">
        <v>1</v>
      </c>
      <c r="E2192">
        <v>51</v>
      </c>
      <c r="F2192">
        <v>8.5999999999999998E-4</v>
      </c>
      <c r="G2192">
        <v>0</v>
      </c>
      <c r="H2192" t="str">
        <f t="shared" si="102"/>
        <v>50-59</v>
      </c>
      <c r="I2192" t="str">
        <f t="shared" si="103"/>
        <v>0-9</v>
      </c>
      <c r="J2192">
        <f t="shared" si="104"/>
        <v>8.5999999999999998E-4</v>
      </c>
    </row>
    <row r="2193" spans="1:10">
      <c r="A2193" t="s">
        <v>2275</v>
      </c>
      <c r="B2193">
        <v>22</v>
      </c>
      <c r="C2193" t="s">
        <v>9</v>
      </c>
      <c r="D2193">
        <v>14</v>
      </c>
      <c r="E2193">
        <v>35</v>
      </c>
      <c r="F2193">
        <v>8.7000000000000001E-4</v>
      </c>
      <c r="G2193">
        <v>0</v>
      </c>
      <c r="H2193" t="str">
        <f t="shared" si="102"/>
        <v>30-39</v>
      </c>
      <c r="I2193" t="str">
        <f t="shared" si="103"/>
        <v>10-19</v>
      </c>
      <c r="J2193">
        <f t="shared" si="104"/>
        <v>8.7000000000000001E-4</v>
      </c>
    </row>
    <row r="2194" spans="1:10">
      <c r="A2194" t="s">
        <v>2276</v>
      </c>
      <c r="B2194">
        <v>48</v>
      </c>
      <c r="C2194" t="s">
        <v>9</v>
      </c>
      <c r="D2194">
        <v>29</v>
      </c>
      <c r="E2194">
        <v>76</v>
      </c>
      <c r="F2194">
        <v>2.3939999999999999E-2</v>
      </c>
      <c r="G2194">
        <v>0</v>
      </c>
      <c r="H2194" t="str">
        <f t="shared" si="102"/>
        <v>70-79</v>
      </c>
      <c r="I2194" t="str">
        <f t="shared" si="103"/>
        <v>20-29</v>
      </c>
      <c r="J2194">
        <f t="shared" si="104"/>
        <v>2.3939999999999999E-2</v>
      </c>
    </row>
    <row r="2195" spans="1:10">
      <c r="A2195" t="s">
        <v>2277</v>
      </c>
      <c r="B2195">
        <v>58</v>
      </c>
      <c r="C2195" t="s">
        <v>7</v>
      </c>
      <c r="D2195">
        <v>5</v>
      </c>
      <c r="E2195">
        <v>62</v>
      </c>
      <c r="F2195">
        <v>4.0299999999999997E-3</v>
      </c>
      <c r="G2195">
        <v>0</v>
      </c>
      <c r="H2195" t="str">
        <f t="shared" si="102"/>
        <v>60-69</v>
      </c>
      <c r="I2195" t="str">
        <f t="shared" si="103"/>
        <v>0-9</v>
      </c>
      <c r="J2195">
        <f t="shared" si="104"/>
        <v>4.0299999999999997E-3</v>
      </c>
    </row>
    <row r="2196" spans="1:10">
      <c r="A2196" t="s">
        <v>2278</v>
      </c>
      <c r="B2196">
        <v>49</v>
      </c>
      <c r="C2196" t="s">
        <v>9</v>
      </c>
      <c r="D2196">
        <v>25</v>
      </c>
      <c r="E2196">
        <v>73</v>
      </c>
      <c r="F2196">
        <v>2.3939999999999999E-2</v>
      </c>
      <c r="G2196">
        <v>0</v>
      </c>
      <c r="H2196" t="str">
        <f t="shared" si="102"/>
        <v>70-79</v>
      </c>
      <c r="I2196" t="str">
        <f t="shared" si="103"/>
        <v>20-29</v>
      </c>
      <c r="J2196">
        <f t="shared" si="104"/>
        <v>2.3939999999999999E-2</v>
      </c>
    </row>
    <row r="2197" spans="1:10">
      <c r="A2197" t="s">
        <v>2279</v>
      </c>
      <c r="B2197">
        <v>40</v>
      </c>
      <c r="C2197" t="s">
        <v>7</v>
      </c>
      <c r="D2197">
        <v>3</v>
      </c>
      <c r="E2197">
        <v>42</v>
      </c>
      <c r="F2197">
        <v>5.0000000000000001E-4</v>
      </c>
      <c r="G2197">
        <v>0</v>
      </c>
      <c r="H2197" t="str">
        <f t="shared" si="102"/>
        <v>40-49</v>
      </c>
      <c r="I2197" t="str">
        <f t="shared" si="103"/>
        <v>0-9</v>
      </c>
      <c r="J2197">
        <f t="shared" si="104"/>
        <v>5.0000000000000001E-4</v>
      </c>
    </row>
    <row r="2198" spans="1:10">
      <c r="A2198" t="s">
        <v>2280</v>
      </c>
      <c r="B2198">
        <v>46</v>
      </c>
      <c r="C2198" t="s">
        <v>9</v>
      </c>
      <c r="D2198">
        <v>13</v>
      </c>
      <c r="E2198">
        <v>58</v>
      </c>
      <c r="F2198">
        <v>4.8399999999999997E-3</v>
      </c>
      <c r="G2198">
        <v>0</v>
      </c>
      <c r="H2198" t="str">
        <f t="shared" si="102"/>
        <v>50-59</v>
      </c>
      <c r="I2198" t="str">
        <f t="shared" si="103"/>
        <v>10-19</v>
      </c>
      <c r="J2198">
        <f t="shared" si="104"/>
        <v>4.8399999999999997E-3</v>
      </c>
    </row>
    <row r="2199" spans="1:10">
      <c r="A2199" t="s">
        <v>2281</v>
      </c>
      <c r="B2199">
        <v>54</v>
      </c>
      <c r="C2199" t="s">
        <v>7</v>
      </c>
      <c r="D2199">
        <v>2</v>
      </c>
      <c r="E2199">
        <v>55</v>
      </c>
      <c r="F2199">
        <v>1.2199999999999999E-3</v>
      </c>
      <c r="G2199">
        <v>0</v>
      </c>
      <c r="H2199" t="str">
        <f t="shared" si="102"/>
        <v>50-59</v>
      </c>
      <c r="I2199" t="str">
        <f t="shared" si="103"/>
        <v>0-9</v>
      </c>
      <c r="J2199">
        <f t="shared" si="104"/>
        <v>1.2199999999999999E-3</v>
      </c>
    </row>
    <row r="2200" spans="1:10">
      <c r="A2200" t="s">
        <v>2282</v>
      </c>
      <c r="B2200">
        <v>37</v>
      </c>
      <c r="C2200" t="s">
        <v>9</v>
      </c>
      <c r="D2200">
        <v>21</v>
      </c>
      <c r="E2200">
        <v>57</v>
      </c>
      <c r="F2200">
        <v>4.7800000000000004E-3</v>
      </c>
      <c r="G2200">
        <v>0</v>
      </c>
      <c r="H2200" t="str">
        <f t="shared" si="102"/>
        <v>50-59</v>
      </c>
      <c r="I2200" t="str">
        <f t="shared" si="103"/>
        <v>20-29</v>
      </c>
      <c r="J2200">
        <f t="shared" si="104"/>
        <v>4.7800000000000004E-3</v>
      </c>
    </row>
    <row r="2201" spans="1:10">
      <c r="A2201" t="s">
        <v>2283</v>
      </c>
      <c r="B2201">
        <v>21</v>
      </c>
      <c r="C2201" t="s">
        <v>7</v>
      </c>
      <c r="D2201">
        <v>19</v>
      </c>
      <c r="E2201">
        <v>39</v>
      </c>
      <c r="F2201">
        <v>1.06E-3</v>
      </c>
      <c r="G2201">
        <v>0</v>
      </c>
      <c r="H2201" t="str">
        <f t="shared" si="102"/>
        <v>30-39</v>
      </c>
      <c r="I2201" t="str">
        <f t="shared" si="103"/>
        <v>10-19</v>
      </c>
      <c r="J2201">
        <f t="shared" si="104"/>
        <v>1.06E-3</v>
      </c>
    </row>
    <row r="2202" spans="1:10">
      <c r="A2202" t="s">
        <v>2284</v>
      </c>
      <c r="B2202">
        <v>39</v>
      </c>
      <c r="C2202" t="s">
        <v>7</v>
      </c>
      <c r="D2202">
        <v>18</v>
      </c>
      <c r="E2202">
        <v>56</v>
      </c>
      <c r="F2202">
        <v>3.1800000000000001E-3</v>
      </c>
      <c r="G2202">
        <v>0</v>
      </c>
      <c r="H2202" t="str">
        <f t="shared" si="102"/>
        <v>50-59</v>
      </c>
      <c r="I2202" t="str">
        <f t="shared" si="103"/>
        <v>10-19</v>
      </c>
      <c r="J2202">
        <f t="shared" si="104"/>
        <v>3.1800000000000001E-3</v>
      </c>
    </row>
    <row r="2203" spans="1:10">
      <c r="A2203" t="s">
        <v>2285</v>
      </c>
      <c r="B2203">
        <v>25</v>
      </c>
      <c r="C2203" t="s">
        <v>7</v>
      </c>
      <c r="D2203">
        <v>7</v>
      </c>
      <c r="E2203">
        <v>31</v>
      </c>
      <c r="F2203">
        <v>3.2000000000000003E-4</v>
      </c>
      <c r="G2203">
        <v>0</v>
      </c>
      <c r="H2203" t="str">
        <f t="shared" si="102"/>
        <v>30-39</v>
      </c>
      <c r="I2203" t="str">
        <f t="shared" si="103"/>
        <v>0-9</v>
      </c>
      <c r="J2203">
        <f t="shared" si="104"/>
        <v>3.2000000000000003E-4</v>
      </c>
    </row>
    <row r="2204" spans="1:10">
      <c r="A2204" t="s">
        <v>2286</v>
      </c>
      <c r="B2204">
        <v>23</v>
      </c>
      <c r="C2204" t="s">
        <v>7</v>
      </c>
      <c r="D2204">
        <v>19</v>
      </c>
      <c r="E2204">
        <v>41</v>
      </c>
      <c r="F2204">
        <v>1.14E-3</v>
      </c>
      <c r="G2204">
        <v>0</v>
      </c>
      <c r="H2204" t="str">
        <f t="shared" si="102"/>
        <v>40-49</v>
      </c>
      <c r="I2204" t="str">
        <f t="shared" si="103"/>
        <v>10-19</v>
      </c>
      <c r="J2204">
        <f t="shared" si="104"/>
        <v>1.14E-3</v>
      </c>
    </row>
    <row r="2205" spans="1:10">
      <c r="A2205" t="s">
        <v>2287</v>
      </c>
      <c r="B2205">
        <v>52</v>
      </c>
      <c r="C2205" t="s">
        <v>9</v>
      </c>
      <c r="D2205">
        <v>29</v>
      </c>
      <c r="E2205">
        <v>80</v>
      </c>
      <c r="F2205">
        <v>3.7220000000000003E-2</v>
      </c>
      <c r="G2205">
        <v>0</v>
      </c>
      <c r="H2205" t="str">
        <f t="shared" si="102"/>
        <v>80-89</v>
      </c>
      <c r="I2205" t="str">
        <f t="shared" si="103"/>
        <v>20-29</v>
      </c>
      <c r="J2205">
        <f t="shared" si="104"/>
        <v>3.7220000000000003E-2</v>
      </c>
    </row>
    <row r="2206" spans="1:10">
      <c r="A2206" t="s">
        <v>2288</v>
      </c>
      <c r="B2206">
        <v>54</v>
      </c>
      <c r="C2206" t="s">
        <v>7</v>
      </c>
      <c r="D2206">
        <v>6</v>
      </c>
      <c r="E2206">
        <v>59</v>
      </c>
      <c r="F2206">
        <v>3.0400000000000002E-3</v>
      </c>
      <c r="G2206">
        <v>0</v>
      </c>
      <c r="H2206" t="str">
        <f t="shared" si="102"/>
        <v>50-59</v>
      </c>
      <c r="I2206" t="str">
        <f t="shared" si="103"/>
        <v>0-9</v>
      </c>
      <c r="J2206">
        <f t="shared" si="104"/>
        <v>3.0400000000000002E-3</v>
      </c>
    </row>
    <row r="2207" spans="1:10">
      <c r="A2207" t="s">
        <v>2289</v>
      </c>
      <c r="B2207">
        <v>33</v>
      </c>
      <c r="C2207" t="s">
        <v>7</v>
      </c>
      <c r="D2207">
        <v>8</v>
      </c>
      <c r="E2207">
        <v>40</v>
      </c>
      <c r="F2207">
        <v>6.6E-4</v>
      </c>
      <c r="G2207">
        <v>0</v>
      </c>
      <c r="H2207" t="str">
        <f t="shared" si="102"/>
        <v>40-49</v>
      </c>
      <c r="I2207" t="str">
        <f t="shared" si="103"/>
        <v>0-9</v>
      </c>
      <c r="J2207">
        <f t="shared" si="104"/>
        <v>6.6E-4</v>
      </c>
    </row>
    <row r="2208" spans="1:10">
      <c r="A2208" t="s">
        <v>2290</v>
      </c>
      <c r="B2208">
        <v>57</v>
      </c>
      <c r="C2208" t="s">
        <v>9</v>
      </c>
      <c r="D2208">
        <v>15</v>
      </c>
      <c r="E2208">
        <v>71</v>
      </c>
      <c r="F2208">
        <v>1.8769999999999998E-2</v>
      </c>
      <c r="G2208">
        <v>0</v>
      </c>
      <c r="H2208" t="str">
        <f t="shared" si="102"/>
        <v>70-79</v>
      </c>
      <c r="I2208" t="str">
        <f t="shared" si="103"/>
        <v>10-19</v>
      </c>
      <c r="J2208">
        <f t="shared" si="104"/>
        <v>1.8769999999999998E-2</v>
      </c>
    </row>
    <row r="2209" spans="1:10">
      <c r="A2209" t="s">
        <v>2291</v>
      </c>
      <c r="B2209">
        <v>40</v>
      </c>
      <c r="C2209" t="s">
        <v>7</v>
      </c>
      <c r="D2209">
        <v>13</v>
      </c>
      <c r="E2209">
        <v>52</v>
      </c>
      <c r="F2209">
        <v>2.0699999999999998E-3</v>
      </c>
      <c r="G2209">
        <v>0</v>
      </c>
      <c r="H2209" t="str">
        <f t="shared" si="102"/>
        <v>50-59</v>
      </c>
      <c r="I2209" t="str">
        <f t="shared" si="103"/>
        <v>10-19</v>
      </c>
      <c r="J2209">
        <f t="shared" si="104"/>
        <v>2.0699999999999998E-3</v>
      </c>
    </row>
    <row r="2210" spans="1:10">
      <c r="A2210" t="s">
        <v>2292</v>
      </c>
      <c r="B2210">
        <v>21</v>
      </c>
      <c r="C2210" t="s">
        <v>9</v>
      </c>
      <c r="D2210">
        <v>11</v>
      </c>
      <c r="E2210">
        <v>31</v>
      </c>
      <c r="F2210">
        <v>6.8000000000000005E-4</v>
      </c>
      <c r="G2210">
        <v>0</v>
      </c>
      <c r="H2210" t="str">
        <f t="shared" si="102"/>
        <v>30-39</v>
      </c>
      <c r="I2210" t="str">
        <f t="shared" si="103"/>
        <v>10-19</v>
      </c>
      <c r="J2210">
        <f t="shared" si="104"/>
        <v>6.8000000000000005E-4</v>
      </c>
    </row>
    <row r="2211" spans="1:10">
      <c r="A2211" t="s">
        <v>2293</v>
      </c>
      <c r="B2211">
        <v>53</v>
      </c>
      <c r="C2211" t="s">
        <v>9</v>
      </c>
      <c r="D2211">
        <v>11</v>
      </c>
      <c r="E2211">
        <v>63</v>
      </c>
      <c r="F2211">
        <v>8.0300000000000007E-3</v>
      </c>
      <c r="G2211">
        <v>0</v>
      </c>
      <c r="H2211" t="str">
        <f t="shared" si="102"/>
        <v>60-69</v>
      </c>
      <c r="I2211" t="str">
        <f t="shared" si="103"/>
        <v>10-19</v>
      </c>
      <c r="J2211">
        <f t="shared" si="104"/>
        <v>8.0300000000000007E-3</v>
      </c>
    </row>
    <row r="2212" spans="1:10">
      <c r="A2212" t="s">
        <v>2294</v>
      </c>
      <c r="B2212">
        <v>26</v>
      </c>
      <c r="C2212" t="s">
        <v>9</v>
      </c>
      <c r="D2212">
        <v>18</v>
      </c>
      <c r="E2212">
        <v>43</v>
      </c>
      <c r="F2212">
        <v>1.7099999999999999E-3</v>
      </c>
      <c r="G2212">
        <v>0</v>
      </c>
      <c r="H2212" t="str">
        <f t="shared" si="102"/>
        <v>40-49</v>
      </c>
      <c r="I2212" t="str">
        <f t="shared" si="103"/>
        <v>10-19</v>
      </c>
      <c r="J2212">
        <f t="shared" si="104"/>
        <v>1.7099999999999999E-3</v>
      </c>
    </row>
    <row r="2213" spans="1:10">
      <c r="A2213" t="s">
        <v>2295</v>
      </c>
      <c r="B2213">
        <v>36</v>
      </c>
      <c r="C2213" t="s">
        <v>9</v>
      </c>
      <c r="D2213">
        <v>25</v>
      </c>
      <c r="E2213">
        <v>60</v>
      </c>
      <c r="F2213">
        <v>6.3299999999999997E-3</v>
      </c>
      <c r="G2213">
        <v>0</v>
      </c>
      <c r="H2213" t="str">
        <f t="shared" si="102"/>
        <v>60-69</v>
      </c>
      <c r="I2213" t="str">
        <f t="shared" si="103"/>
        <v>20-29</v>
      </c>
      <c r="J2213">
        <f t="shared" si="104"/>
        <v>6.3299999999999997E-3</v>
      </c>
    </row>
    <row r="2214" spans="1:10">
      <c r="A2214" t="s">
        <v>2296</v>
      </c>
      <c r="B2214">
        <v>46</v>
      </c>
      <c r="C2214" t="s">
        <v>9</v>
      </c>
      <c r="D2214">
        <v>22</v>
      </c>
      <c r="E2214">
        <v>67</v>
      </c>
      <c r="F2214">
        <v>1.2710000000000001E-2</v>
      </c>
      <c r="G2214">
        <v>0</v>
      </c>
      <c r="H2214" t="str">
        <f t="shared" si="102"/>
        <v>60-69</v>
      </c>
      <c r="I2214" t="str">
        <f t="shared" si="103"/>
        <v>20-29</v>
      </c>
      <c r="J2214">
        <f t="shared" si="104"/>
        <v>1.2710000000000001E-2</v>
      </c>
    </row>
    <row r="2215" spans="1:10">
      <c r="A2215" t="s">
        <v>2297</v>
      </c>
      <c r="B2215">
        <v>40</v>
      </c>
      <c r="C2215" t="s">
        <v>9</v>
      </c>
      <c r="D2215">
        <v>6</v>
      </c>
      <c r="E2215">
        <v>45</v>
      </c>
      <c r="F2215">
        <v>1.1199999999999999E-3</v>
      </c>
      <c r="G2215">
        <v>0</v>
      </c>
      <c r="H2215" t="str">
        <f t="shared" si="102"/>
        <v>40-49</v>
      </c>
      <c r="I2215" t="str">
        <f t="shared" si="103"/>
        <v>0-9</v>
      </c>
      <c r="J2215">
        <f t="shared" si="104"/>
        <v>1.1199999999999999E-3</v>
      </c>
    </row>
    <row r="2216" spans="1:10">
      <c r="A2216" t="s">
        <v>2298</v>
      </c>
      <c r="B2216">
        <v>44</v>
      </c>
      <c r="C2216" t="s">
        <v>9</v>
      </c>
      <c r="D2216">
        <v>4</v>
      </c>
      <c r="E2216">
        <v>47</v>
      </c>
      <c r="F2216">
        <v>1.1999999999999999E-3</v>
      </c>
      <c r="G2216">
        <v>0</v>
      </c>
      <c r="H2216" t="str">
        <f t="shared" si="102"/>
        <v>40-49</v>
      </c>
      <c r="I2216" t="str">
        <f t="shared" si="103"/>
        <v>0-9</v>
      </c>
      <c r="J2216">
        <f t="shared" si="104"/>
        <v>1.1999999999999999E-3</v>
      </c>
    </row>
    <row r="2217" spans="1:10">
      <c r="A2217" t="s">
        <v>2299</v>
      </c>
      <c r="B2217">
        <v>40</v>
      </c>
      <c r="C2217" t="s">
        <v>9</v>
      </c>
      <c r="D2217">
        <v>9</v>
      </c>
      <c r="E2217">
        <v>48</v>
      </c>
      <c r="F2217">
        <v>1.65E-3</v>
      </c>
      <c r="G2217">
        <v>0</v>
      </c>
      <c r="H2217" t="str">
        <f t="shared" si="102"/>
        <v>40-49</v>
      </c>
      <c r="I2217" t="str">
        <f t="shared" si="103"/>
        <v>0-9</v>
      </c>
      <c r="J2217">
        <f t="shared" si="104"/>
        <v>1.65E-3</v>
      </c>
    </row>
    <row r="2218" spans="1:10">
      <c r="A2218" t="s">
        <v>2300</v>
      </c>
      <c r="B2218">
        <v>27</v>
      </c>
      <c r="C2218" t="s">
        <v>9</v>
      </c>
      <c r="D2218">
        <v>2</v>
      </c>
      <c r="E2218">
        <v>28</v>
      </c>
      <c r="F2218">
        <v>3.4000000000000002E-4</v>
      </c>
      <c r="G2218">
        <v>0</v>
      </c>
      <c r="H2218" t="str">
        <f t="shared" si="102"/>
        <v>20-29</v>
      </c>
      <c r="I2218" t="str">
        <f t="shared" si="103"/>
        <v>0-9</v>
      </c>
      <c r="J2218">
        <f t="shared" si="104"/>
        <v>3.4000000000000002E-4</v>
      </c>
    </row>
    <row r="2219" spans="1:10">
      <c r="A2219" t="s">
        <v>2301</v>
      </c>
      <c r="B2219">
        <v>57</v>
      </c>
      <c r="C2219" t="s">
        <v>9</v>
      </c>
      <c r="D2219">
        <v>8</v>
      </c>
      <c r="E2219">
        <v>64</v>
      </c>
      <c r="F2219">
        <v>8.4600000000000005E-3</v>
      </c>
      <c r="G2219">
        <v>0</v>
      </c>
      <c r="H2219" t="str">
        <f t="shared" si="102"/>
        <v>60-69</v>
      </c>
      <c r="I2219" t="str">
        <f t="shared" si="103"/>
        <v>0-9</v>
      </c>
      <c r="J2219">
        <f t="shared" si="104"/>
        <v>8.4600000000000005E-3</v>
      </c>
    </row>
    <row r="2220" spans="1:10">
      <c r="A2220" t="s">
        <v>2302</v>
      </c>
      <c r="B2220">
        <v>44</v>
      </c>
      <c r="C2220" t="s">
        <v>9</v>
      </c>
      <c r="D2220">
        <v>4</v>
      </c>
      <c r="E2220">
        <v>47</v>
      </c>
      <c r="F2220">
        <v>1.1999999999999999E-3</v>
      </c>
      <c r="G2220">
        <v>0</v>
      </c>
      <c r="H2220" t="str">
        <f t="shared" si="102"/>
        <v>40-49</v>
      </c>
      <c r="I2220" t="str">
        <f t="shared" si="103"/>
        <v>0-9</v>
      </c>
      <c r="J2220">
        <f t="shared" si="104"/>
        <v>1.1999999999999999E-3</v>
      </c>
    </row>
    <row r="2221" spans="1:10">
      <c r="A2221" t="s">
        <v>2303</v>
      </c>
      <c r="B2221">
        <v>55</v>
      </c>
      <c r="C2221" t="s">
        <v>9</v>
      </c>
      <c r="D2221">
        <v>14</v>
      </c>
      <c r="E2221">
        <v>68</v>
      </c>
      <c r="F2221">
        <v>1.3690000000000001E-2</v>
      </c>
      <c r="G2221">
        <v>0</v>
      </c>
      <c r="H2221" t="str">
        <f t="shared" si="102"/>
        <v>60-69</v>
      </c>
      <c r="I2221" t="str">
        <f t="shared" si="103"/>
        <v>10-19</v>
      </c>
      <c r="J2221">
        <f t="shared" si="104"/>
        <v>1.3690000000000001E-2</v>
      </c>
    </row>
    <row r="2222" spans="1:10">
      <c r="A2222" t="s">
        <v>2304</v>
      </c>
      <c r="B2222">
        <v>60</v>
      </c>
      <c r="C2222" t="s">
        <v>7</v>
      </c>
      <c r="D2222">
        <v>8</v>
      </c>
      <c r="E2222">
        <v>67</v>
      </c>
      <c r="F2222">
        <v>6.8100000000000001E-3</v>
      </c>
      <c r="G2222">
        <v>0</v>
      </c>
      <c r="H2222" t="str">
        <f t="shared" si="102"/>
        <v>60-69</v>
      </c>
      <c r="I2222" t="str">
        <f t="shared" si="103"/>
        <v>0-9</v>
      </c>
      <c r="J2222">
        <f t="shared" si="104"/>
        <v>6.8100000000000001E-3</v>
      </c>
    </row>
    <row r="2223" spans="1:10">
      <c r="A2223" t="s">
        <v>2305</v>
      </c>
      <c r="B2223">
        <v>55</v>
      </c>
      <c r="C2223" t="s">
        <v>7</v>
      </c>
      <c r="D2223">
        <v>19</v>
      </c>
      <c r="E2223">
        <v>73</v>
      </c>
      <c r="F2223">
        <v>1.8159999999999999E-2</v>
      </c>
      <c r="G2223">
        <v>0</v>
      </c>
      <c r="H2223" t="str">
        <f t="shared" si="102"/>
        <v>70-79</v>
      </c>
      <c r="I2223" t="str">
        <f t="shared" si="103"/>
        <v>10-19</v>
      </c>
      <c r="J2223">
        <f t="shared" si="104"/>
        <v>1.8159999999999999E-2</v>
      </c>
    </row>
    <row r="2224" spans="1:10">
      <c r="A2224" t="s">
        <v>2306</v>
      </c>
      <c r="B2224">
        <v>55</v>
      </c>
      <c r="C2224" t="s">
        <v>7</v>
      </c>
      <c r="D2224">
        <v>21</v>
      </c>
      <c r="E2224">
        <v>75</v>
      </c>
      <c r="F2224">
        <v>2.325E-2</v>
      </c>
      <c r="G2224">
        <v>0</v>
      </c>
      <c r="H2224" t="str">
        <f t="shared" si="102"/>
        <v>70-79</v>
      </c>
      <c r="I2224" t="str">
        <f t="shared" si="103"/>
        <v>20-29</v>
      </c>
      <c r="J2224">
        <f t="shared" si="104"/>
        <v>2.325E-2</v>
      </c>
    </row>
    <row r="2225" spans="1:10">
      <c r="A2225" t="s">
        <v>2307</v>
      </c>
      <c r="B2225">
        <v>46</v>
      </c>
      <c r="C2225" t="s">
        <v>9</v>
      </c>
      <c r="D2225">
        <v>15</v>
      </c>
      <c r="E2225">
        <v>60</v>
      </c>
      <c r="F2225">
        <v>6.11E-3</v>
      </c>
      <c r="G2225">
        <v>0</v>
      </c>
      <c r="H2225" t="str">
        <f t="shared" si="102"/>
        <v>60-69</v>
      </c>
      <c r="I2225" t="str">
        <f t="shared" si="103"/>
        <v>10-19</v>
      </c>
      <c r="J2225">
        <f t="shared" si="104"/>
        <v>6.11E-3</v>
      </c>
    </row>
    <row r="2226" spans="1:10">
      <c r="A2226" t="s">
        <v>2308</v>
      </c>
      <c r="B2226">
        <v>33</v>
      </c>
      <c r="C2226" t="s">
        <v>7</v>
      </c>
      <c r="D2226">
        <v>26</v>
      </c>
      <c r="E2226">
        <v>58</v>
      </c>
      <c r="F2226">
        <v>4.0499999999999998E-3</v>
      </c>
      <c r="G2226">
        <v>0</v>
      </c>
      <c r="H2226" t="str">
        <f t="shared" si="102"/>
        <v>50-59</v>
      </c>
      <c r="I2226" t="str">
        <f t="shared" si="103"/>
        <v>20-29</v>
      </c>
      <c r="J2226">
        <f t="shared" si="104"/>
        <v>4.0499999999999998E-3</v>
      </c>
    </row>
    <row r="2227" spans="1:10">
      <c r="A2227" t="s">
        <v>2309</v>
      </c>
      <c r="B2227">
        <v>30</v>
      </c>
      <c r="C2227" t="s">
        <v>9</v>
      </c>
      <c r="D2227">
        <v>26</v>
      </c>
      <c r="E2227">
        <v>55</v>
      </c>
      <c r="F2227">
        <v>4.0499999999999998E-3</v>
      </c>
      <c r="G2227">
        <v>0</v>
      </c>
      <c r="H2227" t="str">
        <f t="shared" si="102"/>
        <v>50-59</v>
      </c>
      <c r="I2227" t="str">
        <f t="shared" si="103"/>
        <v>20-29</v>
      </c>
      <c r="J2227">
        <f t="shared" si="104"/>
        <v>4.0499999999999998E-3</v>
      </c>
    </row>
    <row r="2228" spans="1:10">
      <c r="A2228" t="s">
        <v>2310</v>
      </c>
      <c r="B2228">
        <v>55</v>
      </c>
      <c r="C2228" t="s">
        <v>9</v>
      </c>
      <c r="D2228">
        <v>15</v>
      </c>
      <c r="E2228">
        <v>69</v>
      </c>
      <c r="F2228">
        <v>1.5049999999999999E-2</v>
      </c>
      <c r="G2228">
        <v>0</v>
      </c>
      <c r="H2228" t="str">
        <f t="shared" si="102"/>
        <v>60-69</v>
      </c>
      <c r="I2228" t="str">
        <f t="shared" si="103"/>
        <v>10-19</v>
      </c>
      <c r="J2228">
        <f t="shared" si="104"/>
        <v>1.5049999999999999E-2</v>
      </c>
    </row>
    <row r="2229" spans="1:10">
      <c r="A2229" t="s">
        <v>2311</v>
      </c>
      <c r="B2229">
        <v>59</v>
      </c>
      <c r="C2229" t="s">
        <v>7</v>
      </c>
      <c r="D2229">
        <v>10</v>
      </c>
      <c r="E2229">
        <v>68</v>
      </c>
      <c r="F2229">
        <v>7.77E-3</v>
      </c>
      <c r="G2229">
        <v>0</v>
      </c>
      <c r="H2229" t="str">
        <f t="shared" si="102"/>
        <v>60-69</v>
      </c>
      <c r="I2229" t="str">
        <f t="shared" si="103"/>
        <v>10-19</v>
      </c>
      <c r="J2229">
        <f t="shared" si="104"/>
        <v>7.77E-3</v>
      </c>
    </row>
    <row r="2230" spans="1:10">
      <c r="A2230" t="s">
        <v>2312</v>
      </c>
      <c r="B2230">
        <v>23</v>
      </c>
      <c r="C2230" t="s">
        <v>7</v>
      </c>
      <c r="D2230">
        <v>30</v>
      </c>
      <c r="E2230">
        <v>52</v>
      </c>
      <c r="F2230">
        <v>1.73E-3</v>
      </c>
      <c r="G2230">
        <v>0</v>
      </c>
      <c r="H2230" t="str">
        <f t="shared" si="102"/>
        <v>50-59</v>
      </c>
      <c r="I2230" t="str">
        <f t="shared" si="103"/>
        <v>30-39</v>
      </c>
      <c r="J2230">
        <f t="shared" si="104"/>
        <v>1.73E-3</v>
      </c>
    </row>
    <row r="2231" spans="1:10">
      <c r="A2231" t="s">
        <v>2313</v>
      </c>
      <c r="B2231">
        <v>36</v>
      </c>
      <c r="C2231" t="s">
        <v>7</v>
      </c>
      <c r="D2231">
        <v>27</v>
      </c>
      <c r="E2231">
        <v>62</v>
      </c>
      <c r="F2231">
        <v>5.4599999999999996E-3</v>
      </c>
      <c r="G2231">
        <v>0</v>
      </c>
      <c r="H2231" t="str">
        <f t="shared" si="102"/>
        <v>60-69</v>
      </c>
      <c r="I2231" t="str">
        <f t="shared" si="103"/>
        <v>20-29</v>
      </c>
      <c r="J2231">
        <f t="shared" si="104"/>
        <v>5.4599999999999996E-3</v>
      </c>
    </row>
    <row r="2232" spans="1:10">
      <c r="A2232" t="s">
        <v>2314</v>
      </c>
      <c r="B2232">
        <v>60</v>
      </c>
      <c r="C2232" t="s">
        <v>7</v>
      </c>
      <c r="D2232">
        <v>7</v>
      </c>
      <c r="E2232">
        <v>66</v>
      </c>
      <c r="F2232">
        <v>6.2199999999999998E-3</v>
      </c>
      <c r="G2232">
        <v>0</v>
      </c>
      <c r="H2232" t="str">
        <f t="shared" si="102"/>
        <v>60-69</v>
      </c>
      <c r="I2232" t="str">
        <f t="shared" si="103"/>
        <v>0-9</v>
      </c>
      <c r="J2232">
        <f t="shared" si="104"/>
        <v>6.2199999999999998E-3</v>
      </c>
    </row>
    <row r="2233" spans="1:10">
      <c r="A2233" t="s">
        <v>2315</v>
      </c>
      <c r="B2233">
        <v>22</v>
      </c>
      <c r="C2233" t="s">
        <v>7</v>
      </c>
      <c r="D2233">
        <v>6</v>
      </c>
      <c r="E2233">
        <v>27</v>
      </c>
      <c r="F2233">
        <v>2.7E-4</v>
      </c>
      <c r="G2233">
        <v>0</v>
      </c>
      <c r="H2233" t="str">
        <f t="shared" si="102"/>
        <v>20-29</v>
      </c>
      <c r="I2233" t="str">
        <f t="shared" si="103"/>
        <v>0-9</v>
      </c>
      <c r="J2233">
        <f t="shared" si="104"/>
        <v>2.7E-4</v>
      </c>
    </row>
    <row r="2234" spans="1:10">
      <c r="A2234" t="s">
        <v>2316</v>
      </c>
      <c r="B2234">
        <v>39</v>
      </c>
      <c r="C2234" t="s">
        <v>9</v>
      </c>
      <c r="D2234">
        <v>3</v>
      </c>
      <c r="E2234">
        <v>41</v>
      </c>
      <c r="F2234">
        <v>6.8999999999999997E-4</v>
      </c>
      <c r="G2234">
        <v>0</v>
      </c>
      <c r="H2234" t="str">
        <f t="shared" si="102"/>
        <v>40-49</v>
      </c>
      <c r="I2234" t="str">
        <f t="shared" si="103"/>
        <v>0-9</v>
      </c>
      <c r="J2234">
        <f t="shared" si="104"/>
        <v>6.8999999999999997E-4</v>
      </c>
    </row>
    <row r="2235" spans="1:10">
      <c r="A2235" t="s">
        <v>2317</v>
      </c>
      <c r="B2235">
        <v>28</v>
      </c>
      <c r="C2235" t="s">
        <v>7</v>
      </c>
      <c r="D2235">
        <v>24</v>
      </c>
      <c r="E2235">
        <v>51</v>
      </c>
      <c r="F2235">
        <v>2.1900000000000001E-3</v>
      </c>
      <c r="G2235">
        <v>0</v>
      </c>
      <c r="H2235" t="str">
        <f t="shared" si="102"/>
        <v>50-59</v>
      </c>
      <c r="I2235" t="str">
        <f t="shared" si="103"/>
        <v>20-29</v>
      </c>
      <c r="J2235">
        <f t="shared" si="104"/>
        <v>2.1900000000000001E-3</v>
      </c>
    </row>
    <row r="2236" spans="1:10">
      <c r="A2236" t="s">
        <v>2318</v>
      </c>
      <c r="B2236">
        <v>47</v>
      </c>
      <c r="C2236" t="s">
        <v>7</v>
      </c>
      <c r="D2236">
        <v>7</v>
      </c>
      <c r="E2236">
        <v>53</v>
      </c>
      <c r="F2236">
        <v>1.75E-3</v>
      </c>
      <c r="G2236">
        <v>0</v>
      </c>
      <c r="H2236" t="str">
        <f t="shared" si="102"/>
        <v>50-59</v>
      </c>
      <c r="I2236" t="str">
        <f t="shared" si="103"/>
        <v>0-9</v>
      </c>
      <c r="J2236">
        <f t="shared" si="104"/>
        <v>1.75E-3</v>
      </c>
    </row>
    <row r="2237" spans="1:10">
      <c r="A2237" t="s">
        <v>2319</v>
      </c>
      <c r="B2237">
        <v>40</v>
      </c>
      <c r="C2237" t="s">
        <v>7</v>
      </c>
      <c r="D2237">
        <v>29</v>
      </c>
      <c r="E2237">
        <v>68</v>
      </c>
      <c r="F2237">
        <v>8.3099999999999997E-3</v>
      </c>
      <c r="G2237">
        <v>0</v>
      </c>
      <c r="H2237" t="str">
        <f t="shared" si="102"/>
        <v>60-69</v>
      </c>
      <c r="I2237" t="str">
        <f t="shared" si="103"/>
        <v>20-29</v>
      </c>
      <c r="J2237">
        <f t="shared" si="104"/>
        <v>8.3099999999999997E-3</v>
      </c>
    </row>
    <row r="2238" spans="1:10">
      <c r="A2238" t="s">
        <v>2320</v>
      </c>
      <c r="B2238">
        <v>36</v>
      </c>
      <c r="C2238" t="s">
        <v>7</v>
      </c>
      <c r="D2238">
        <v>25</v>
      </c>
      <c r="E2238">
        <v>60</v>
      </c>
      <c r="F2238">
        <v>4.9300000000000004E-3</v>
      </c>
      <c r="G2238">
        <v>0</v>
      </c>
      <c r="H2238" t="str">
        <f t="shared" si="102"/>
        <v>60-69</v>
      </c>
      <c r="I2238" t="str">
        <f t="shared" si="103"/>
        <v>20-29</v>
      </c>
      <c r="J2238">
        <f t="shared" si="104"/>
        <v>4.9300000000000004E-3</v>
      </c>
    </row>
    <row r="2239" spans="1:10">
      <c r="A2239" t="s">
        <v>2321</v>
      </c>
      <c r="B2239">
        <v>62</v>
      </c>
      <c r="C2239" t="s">
        <v>9</v>
      </c>
      <c r="D2239">
        <v>11</v>
      </c>
      <c r="E2239">
        <v>72</v>
      </c>
      <c r="F2239">
        <v>1.847E-2</v>
      </c>
      <c r="G2239">
        <v>0</v>
      </c>
      <c r="H2239" t="str">
        <f t="shared" si="102"/>
        <v>70-79</v>
      </c>
      <c r="I2239" t="str">
        <f t="shared" si="103"/>
        <v>10-19</v>
      </c>
      <c r="J2239">
        <f t="shared" si="104"/>
        <v>1.847E-2</v>
      </c>
    </row>
    <row r="2240" spans="1:10">
      <c r="A2240" t="s">
        <v>2322</v>
      </c>
      <c r="B2240">
        <v>58</v>
      </c>
      <c r="C2240" t="s">
        <v>9</v>
      </c>
      <c r="D2240">
        <v>11</v>
      </c>
      <c r="E2240">
        <v>68</v>
      </c>
      <c r="F2240">
        <v>1.3270000000000001E-2</v>
      </c>
      <c r="G2240">
        <v>0</v>
      </c>
      <c r="H2240" t="str">
        <f t="shared" si="102"/>
        <v>60-69</v>
      </c>
      <c r="I2240" t="str">
        <f t="shared" si="103"/>
        <v>10-19</v>
      </c>
      <c r="J2240">
        <f t="shared" si="104"/>
        <v>1.3270000000000001E-2</v>
      </c>
    </row>
    <row r="2241" spans="1:10">
      <c r="A2241" t="s">
        <v>2323</v>
      </c>
      <c r="B2241">
        <v>61</v>
      </c>
      <c r="C2241" t="s">
        <v>9</v>
      </c>
      <c r="D2241">
        <v>30</v>
      </c>
      <c r="E2241">
        <v>90</v>
      </c>
      <c r="F2241">
        <v>0.10347000000000001</v>
      </c>
      <c r="G2241">
        <v>0</v>
      </c>
      <c r="H2241" t="str">
        <f t="shared" si="102"/>
        <v>90-99</v>
      </c>
      <c r="I2241" t="str">
        <f t="shared" si="103"/>
        <v>30-39</v>
      </c>
      <c r="J2241">
        <f t="shared" si="104"/>
        <v>0.10347000000000001</v>
      </c>
    </row>
    <row r="2242" spans="1:10">
      <c r="A2242" t="s">
        <v>2324</v>
      </c>
      <c r="B2242">
        <v>20</v>
      </c>
      <c r="C2242" t="s">
        <v>9</v>
      </c>
      <c r="D2242">
        <v>22</v>
      </c>
      <c r="E2242">
        <v>41</v>
      </c>
      <c r="F2242">
        <v>1.92E-3</v>
      </c>
      <c r="G2242">
        <v>0</v>
      </c>
      <c r="H2242" t="str">
        <f t="shared" si="102"/>
        <v>40-49</v>
      </c>
      <c r="I2242" t="str">
        <f t="shared" si="103"/>
        <v>20-29</v>
      </c>
      <c r="J2242">
        <f t="shared" si="104"/>
        <v>1.92E-3</v>
      </c>
    </row>
    <row r="2243" spans="1:10">
      <c r="A2243" t="s">
        <v>2325</v>
      </c>
      <c r="B2243">
        <v>64</v>
      </c>
      <c r="C2243" t="s">
        <v>9</v>
      </c>
      <c r="D2243">
        <v>23</v>
      </c>
      <c r="E2243">
        <v>86</v>
      </c>
      <c r="F2243">
        <v>0.10346</v>
      </c>
      <c r="G2243">
        <v>0</v>
      </c>
      <c r="H2243" t="str">
        <f t="shared" ref="H2243:H2306" si="105">FLOOR(E2243,10) &amp; "-" &amp; FLOOR(E2243,10)+9</f>
        <v>80-89</v>
      </c>
      <c r="I2243" t="str">
        <f t="shared" ref="I2243:I2306" si="106">FLOOR(D2243, 10) &amp; "-"&amp;FLOOR(D2243, 10)+9</f>
        <v>20-29</v>
      </c>
      <c r="J2243">
        <f t="shared" ref="J2243:J2306" si="107">F2243</f>
        <v>0.10346</v>
      </c>
    </row>
    <row r="2244" spans="1:10">
      <c r="A2244" t="s">
        <v>2326</v>
      </c>
      <c r="B2244">
        <v>25</v>
      </c>
      <c r="C2244" t="s">
        <v>7</v>
      </c>
      <c r="D2244">
        <v>26</v>
      </c>
      <c r="E2244">
        <v>50</v>
      </c>
      <c r="F2244">
        <v>2.0200000000000001E-3</v>
      </c>
      <c r="G2244">
        <v>0</v>
      </c>
      <c r="H2244" t="str">
        <f t="shared" si="105"/>
        <v>50-59</v>
      </c>
      <c r="I2244" t="str">
        <f t="shared" si="106"/>
        <v>20-29</v>
      </c>
      <c r="J2244">
        <f t="shared" si="107"/>
        <v>2.0200000000000001E-3</v>
      </c>
    </row>
    <row r="2245" spans="1:10">
      <c r="A2245" t="s">
        <v>2327</v>
      </c>
      <c r="B2245">
        <v>54</v>
      </c>
      <c r="C2245" t="s">
        <v>7</v>
      </c>
      <c r="D2245">
        <v>1</v>
      </c>
      <c r="E2245">
        <v>54</v>
      </c>
      <c r="F2245">
        <v>5.1000000000000004E-4</v>
      </c>
      <c r="G2245">
        <v>0</v>
      </c>
      <c r="H2245" t="str">
        <f t="shared" si="105"/>
        <v>50-59</v>
      </c>
      <c r="I2245" t="str">
        <f t="shared" si="106"/>
        <v>0-9</v>
      </c>
      <c r="J2245">
        <f t="shared" si="107"/>
        <v>5.1000000000000004E-4</v>
      </c>
    </row>
    <row r="2246" spans="1:10">
      <c r="A2246" t="s">
        <v>2328</v>
      </c>
      <c r="B2246">
        <v>48</v>
      </c>
      <c r="C2246" t="s">
        <v>9</v>
      </c>
      <c r="D2246">
        <v>22</v>
      </c>
      <c r="E2246">
        <v>69</v>
      </c>
      <c r="F2246">
        <v>1.5509999999999999E-2</v>
      </c>
      <c r="G2246">
        <v>0</v>
      </c>
      <c r="H2246" t="str">
        <f t="shared" si="105"/>
        <v>60-69</v>
      </c>
      <c r="I2246" t="str">
        <f t="shared" si="106"/>
        <v>20-29</v>
      </c>
      <c r="J2246">
        <f t="shared" si="107"/>
        <v>1.5509999999999999E-2</v>
      </c>
    </row>
    <row r="2247" spans="1:10">
      <c r="A2247" t="s">
        <v>2329</v>
      </c>
      <c r="B2247">
        <v>44</v>
      </c>
      <c r="C2247" t="s">
        <v>7</v>
      </c>
      <c r="D2247">
        <v>27</v>
      </c>
      <c r="E2247">
        <v>70</v>
      </c>
      <c r="F2247">
        <v>1.2659999999999999E-2</v>
      </c>
      <c r="G2247">
        <v>0</v>
      </c>
      <c r="H2247" t="str">
        <f t="shared" si="105"/>
        <v>70-79</v>
      </c>
      <c r="I2247" t="str">
        <f t="shared" si="106"/>
        <v>20-29</v>
      </c>
      <c r="J2247">
        <f t="shared" si="107"/>
        <v>1.2659999999999999E-2</v>
      </c>
    </row>
    <row r="2248" spans="1:10">
      <c r="A2248" t="s">
        <v>2330</v>
      </c>
      <c r="B2248">
        <v>64</v>
      </c>
      <c r="C2248" t="s">
        <v>9</v>
      </c>
      <c r="D2248">
        <v>1</v>
      </c>
      <c r="E2248">
        <v>64</v>
      </c>
      <c r="F2248">
        <v>2.66E-3</v>
      </c>
      <c r="G2248">
        <v>0</v>
      </c>
      <c r="H2248" t="str">
        <f t="shared" si="105"/>
        <v>60-69</v>
      </c>
      <c r="I2248" t="str">
        <f t="shared" si="106"/>
        <v>0-9</v>
      </c>
      <c r="J2248">
        <f t="shared" si="107"/>
        <v>2.66E-3</v>
      </c>
    </row>
    <row r="2249" spans="1:10">
      <c r="A2249" t="s">
        <v>2331</v>
      </c>
      <c r="B2249">
        <v>32</v>
      </c>
      <c r="C2249" t="s">
        <v>9</v>
      </c>
      <c r="D2249">
        <v>15</v>
      </c>
      <c r="E2249">
        <v>46</v>
      </c>
      <c r="F2249">
        <v>1.6999999999999999E-3</v>
      </c>
      <c r="G2249">
        <v>0</v>
      </c>
      <c r="H2249" t="str">
        <f t="shared" si="105"/>
        <v>40-49</v>
      </c>
      <c r="I2249" t="str">
        <f t="shared" si="106"/>
        <v>10-19</v>
      </c>
      <c r="J2249">
        <f t="shared" si="107"/>
        <v>1.6999999999999999E-3</v>
      </c>
    </row>
    <row r="2250" spans="1:10">
      <c r="A2250" t="s">
        <v>2332</v>
      </c>
      <c r="B2250">
        <v>37</v>
      </c>
      <c r="C2250" t="s">
        <v>7</v>
      </c>
      <c r="D2250">
        <v>22</v>
      </c>
      <c r="E2250">
        <v>58</v>
      </c>
      <c r="F2250">
        <v>4.0499999999999998E-3</v>
      </c>
      <c r="G2250">
        <v>0</v>
      </c>
      <c r="H2250" t="str">
        <f t="shared" si="105"/>
        <v>50-59</v>
      </c>
      <c r="I2250" t="str">
        <f t="shared" si="106"/>
        <v>20-29</v>
      </c>
      <c r="J2250">
        <f t="shared" si="107"/>
        <v>4.0499999999999998E-3</v>
      </c>
    </row>
    <row r="2251" spans="1:10">
      <c r="A2251" t="s">
        <v>2333</v>
      </c>
      <c r="B2251">
        <v>25</v>
      </c>
      <c r="C2251" t="s">
        <v>7</v>
      </c>
      <c r="D2251">
        <v>27</v>
      </c>
      <c r="E2251">
        <v>51</v>
      </c>
      <c r="F2251">
        <v>2.0200000000000001E-3</v>
      </c>
      <c r="G2251">
        <v>0</v>
      </c>
      <c r="H2251" t="str">
        <f t="shared" si="105"/>
        <v>50-59</v>
      </c>
      <c r="I2251" t="str">
        <f t="shared" si="106"/>
        <v>20-29</v>
      </c>
      <c r="J2251">
        <f t="shared" si="107"/>
        <v>2.0200000000000001E-3</v>
      </c>
    </row>
    <row r="2252" spans="1:10">
      <c r="A2252" t="s">
        <v>2334</v>
      </c>
      <c r="B2252">
        <v>65</v>
      </c>
      <c r="C2252" t="s">
        <v>9</v>
      </c>
      <c r="D2252">
        <v>8</v>
      </c>
      <c r="E2252">
        <v>72</v>
      </c>
      <c r="F2252">
        <v>1.4579999999999999E-2</v>
      </c>
      <c r="G2252">
        <v>0</v>
      </c>
      <c r="H2252" t="str">
        <f t="shared" si="105"/>
        <v>70-79</v>
      </c>
      <c r="I2252" t="str">
        <f t="shared" si="106"/>
        <v>0-9</v>
      </c>
      <c r="J2252">
        <f t="shared" si="107"/>
        <v>1.4579999999999999E-2</v>
      </c>
    </row>
    <row r="2253" spans="1:10">
      <c r="A2253" t="s">
        <v>2335</v>
      </c>
      <c r="B2253">
        <v>43</v>
      </c>
      <c r="C2253" t="s">
        <v>9</v>
      </c>
      <c r="D2253">
        <v>2</v>
      </c>
      <c r="E2253">
        <v>44</v>
      </c>
      <c r="F2253">
        <v>7.2000000000000005E-4</v>
      </c>
      <c r="G2253">
        <v>0</v>
      </c>
      <c r="H2253" t="str">
        <f t="shared" si="105"/>
        <v>40-49</v>
      </c>
      <c r="I2253" t="str">
        <f t="shared" si="106"/>
        <v>0-9</v>
      </c>
      <c r="J2253">
        <f t="shared" si="107"/>
        <v>7.2000000000000005E-4</v>
      </c>
    </row>
    <row r="2254" spans="1:10">
      <c r="A2254" t="s">
        <v>2336</v>
      </c>
      <c r="B2254">
        <v>65</v>
      </c>
      <c r="C2254" t="s">
        <v>9</v>
      </c>
      <c r="D2254">
        <v>20</v>
      </c>
      <c r="E2254">
        <v>84</v>
      </c>
      <c r="F2254">
        <v>8.0589999999999995E-2</v>
      </c>
      <c r="G2254">
        <v>0</v>
      </c>
      <c r="H2254" t="str">
        <f t="shared" si="105"/>
        <v>80-89</v>
      </c>
      <c r="I2254" t="str">
        <f t="shared" si="106"/>
        <v>20-29</v>
      </c>
      <c r="J2254">
        <f t="shared" si="107"/>
        <v>8.0589999999999995E-2</v>
      </c>
    </row>
    <row r="2255" spans="1:10">
      <c r="A2255" t="s">
        <v>2337</v>
      </c>
      <c r="B2255">
        <v>60</v>
      </c>
      <c r="C2255" t="s">
        <v>9</v>
      </c>
      <c r="D2255">
        <v>13</v>
      </c>
      <c r="E2255">
        <v>72</v>
      </c>
      <c r="F2255">
        <v>2.0410000000000001E-2</v>
      </c>
      <c r="G2255">
        <v>0</v>
      </c>
      <c r="H2255" t="str">
        <f t="shared" si="105"/>
        <v>70-79</v>
      </c>
      <c r="I2255" t="str">
        <f t="shared" si="106"/>
        <v>10-19</v>
      </c>
      <c r="J2255">
        <f t="shared" si="107"/>
        <v>2.0410000000000001E-2</v>
      </c>
    </row>
    <row r="2256" spans="1:10">
      <c r="A2256" t="s">
        <v>2338</v>
      </c>
      <c r="B2256">
        <v>52</v>
      </c>
      <c r="C2256" t="s">
        <v>9</v>
      </c>
      <c r="D2256">
        <v>16</v>
      </c>
      <c r="E2256">
        <v>67</v>
      </c>
      <c r="F2256">
        <v>1.2460000000000001E-2</v>
      </c>
      <c r="G2256">
        <v>0</v>
      </c>
      <c r="H2256" t="str">
        <f t="shared" si="105"/>
        <v>60-69</v>
      </c>
      <c r="I2256" t="str">
        <f t="shared" si="106"/>
        <v>10-19</v>
      </c>
      <c r="J2256">
        <f t="shared" si="107"/>
        <v>1.2460000000000001E-2</v>
      </c>
    </row>
    <row r="2257" spans="1:10">
      <c r="A2257" t="s">
        <v>2339</v>
      </c>
      <c r="B2257">
        <v>56</v>
      </c>
      <c r="C2257" t="s">
        <v>7</v>
      </c>
      <c r="D2257">
        <v>22</v>
      </c>
      <c r="E2257">
        <v>77</v>
      </c>
      <c r="F2257">
        <v>2.8719999999999999E-2</v>
      </c>
      <c r="G2257">
        <v>0</v>
      </c>
      <c r="H2257" t="str">
        <f t="shared" si="105"/>
        <v>70-79</v>
      </c>
      <c r="I2257" t="str">
        <f t="shared" si="106"/>
        <v>20-29</v>
      </c>
      <c r="J2257">
        <f t="shared" si="107"/>
        <v>2.8719999999999999E-2</v>
      </c>
    </row>
    <row r="2258" spans="1:10">
      <c r="A2258" t="s">
        <v>2340</v>
      </c>
      <c r="B2258">
        <v>24</v>
      </c>
      <c r="C2258" t="s">
        <v>9</v>
      </c>
      <c r="D2258">
        <v>19</v>
      </c>
      <c r="E2258">
        <v>42</v>
      </c>
      <c r="F2258">
        <v>1.72E-3</v>
      </c>
      <c r="G2258">
        <v>0</v>
      </c>
      <c r="H2258" t="str">
        <f t="shared" si="105"/>
        <v>40-49</v>
      </c>
      <c r="I2258" t="str">
        <f t="shared" si="106"/>
        <v>10-19</v>
      </c>
      <c r="J2258">
        <f t="shared" si="107"/>
        <v>1.72E-3</v>
      </c>
    </row>
    <row r="2259" spans="1:10">
      <c r="A2259" t="s">
        <v>2341</v>
      </c>
      <c r="B2259">
        <v>36</v>
      </c>
      <c r="C2259" t="s">
        <v>7</v>
      </c>
      <c r="D2259">
        <v>30</v>
      </c>
      <c r="E2259">
        <v>65</v>
      </c>
      <c r="F2259">
        <v>5.4599999999999996E-3</v>
      </c>
      <c r="G2259">
        <v>0</v>
      </c>
      <c r="H2259" t="str">
        <f t="shared" si="105"/>
        <v>60-69</v>
      </c>
      <c r="I2259" t="str">
        <f t="shared" si="106"/>
        <v>30-39</v>
      </c>
      <c r="J2259">
        <f t="shared" si="107"/>
        <v>5.4599999999999996E-3</v>
      </c>
    </row>
    <row r="2260" spans="1:10">
      <c r="A2260" t="s">
        <v>2342</v>
      </c>
      <c r="B2260">
        <v>53</v>
      </c>
      <c r="C2260" t="s">
        <v>7</v>
      </c>
      <c r="D2260">
        <v>24</v>
      </c>
      <c r="E2260">
        <v>76</v>
      </c>
      <c r="F2260">
        <v>2.58E-2</v>
      </c>
      <c r="G2260">
        <v>0</v>
      </c>
      <c r="H2260" t="str">
        <f t="shared" si="105"/>
        <v>70-79</v>
      </c>
      <c r="I2260" t="str">
        <f t="shared" si="106"/>
        <v>20-29</v>
      </c>
      <c r="J2260">
        <f t="shared" si="107"/>
        <v>2.58E-2</v>
      </c>
    </row>
    <row r="2261" spans="1:10">
      <c r="A2261" t="s">
        <v>2343</v>
      </c>
      <c r="B2261">
        <v>63</v>
      </c>
      <c r="C2261" t="s">
        <v>7</v>
      </c>
      <c r="D2261">
        <v>1</v>
      </c>
      <c r="E2261">
        <v>63</v>
      </c>
      <c r="F2261">
        <v>1.1000000000000001E-3</v>
      </c>
      <c r="G2261">
        <v>0</v>
      </c>
      <c r="H2261" t="str">
        <f t="shared" si="105"/>
        <v>60-69</v>
      </c>
      <c r="I2261" t="str">
        <f t="shared" si="106"/>
        <v>0-9</v>
      </c>
      <c r="J2261">
        <f t="shared" si="107"/>
        <v>1.1000000000000001E-3</v>
      </c>
    </row>
    <row r="2262" spans="1:10">
      <c r="A2262" t="s">
        <v>2344</v>
      </c>
      <c r="B2262">
        <v>54</v>
      </c>
      <c r="C2262" t="s">
        <v>9</v>
      </c>
      <c r="D2262">
        <v>20</v>
      </c>
      <c r="E2262">
        <v>73</v>
      </c>
      <c r="F2262">
        <v>2.3859999999999999E-2</v>
      </c>
      <c r="G2262">
        <v>0</v>
      </c>
      <c r="H2262" t="str">
        <f t="shared" si="105"/>
        <v>70-79</v>
      </c>
      <c r="I2262" t="str">
        <f t="shared" si="106"/>
        <v>20-29</v>
      </c>
      <c r="J2262">
        <f t="shared" si="107"/>
        <v>2.3859999999999999E-2</v>
      </c>
    </row>
    <row r="2263" spans="1:10">
      <c r="A2263" t="s">
        <v>2345</v>
      </c>
      <c r="B2263">
        <v>49</v>
      </c>
      <c r="C2263" t="s">
        <v>7</v>
      </c>
      <c r="D2263">
        <v>1</v>
      </c>
      <c r="E2263">
        <v>49</v>
      </c>
      <c r="F2263">
        <v>4.0000000000000002E-4</v>
      </c>
      <c r="G2263">
        <v>0</v>
      </c>
      <c r="H2263" t="str">
        <f t="shared" si="105"/>
        <v>40-49</v>
      </c>
      <c r="I2263" t="str">
        <f t="shared" si="106"/>
        <v>0-9</v>
      </c>
      <c r="J2263">
        <f t="shared" si="107"/>
        <v>4.0000000000000002E-4</v>
      </c>
    </row>
    <row r="2264" spans="1:10">
      <c r="A2264" t="s">
        <v>2346</v>
      </c>
      <c r="B2264">
        <v>61</v>
      </c>
      <c r="C2264" t="s">
        <v>7</v>
      </c>
      <c r="D2264">
        <v>2</v>
      </c>
      <c r="E2264">
        <v>62</v>
      </c>
      <c r="F2264">
        <v>1.6800000000000001E-3</v>
      </c>
      <c r="G2264">
        <v>0</v>
      </c>
      <c r="H2264" t="str">
        <f t="shared" si="105"/>
        <v>60-69</v>
      </c>
      <c r="I2264" t="str">
        <f t="shared" si="106"/>
        <v>0-9</v>
      </c>
      <c r="J2264">
        <f t="shared" si="107"/>
        <v>1.6800000000000001E-3</v>
      </c>
    </row>
    <row r="2265" spans="1:10">
      <c r="A2265" t="s">
        <v>2347</v>
      </c>
      <c r="B2265">
        <v>46</v>
      </c>
      <c r="C2265" t="s">
        <v>9</v>
      </c>
      <c r="D2265">
        <v>9</v>
      </c>
      <c r="E2265">
        <v>54</v>
      </c>
      <c r="F2265">
        <v>2.8900000000000002E-3</v>
      </c>
      <c r="G2265">
        <v>0</v>
      </c>
      <c r="H2265" t="str">
        <f t="shared" si="105"/>
        <v>50-59</v>
      </c>
      <c r="I2265" t="str">
        <f t="shared" si="106"/>
        <v>0-9</v>
      </c>
      <c r="J2265">
        <f t="shared" si="107"/>
        <v>2.8900000000000002E-3</v>
      </c>
    </row>
    <row r="2266" spans="1:10">
      <c r="A2266" t="s">
        <v>2348</v>
      </c>
      <c r="B2266">
        <v>51</v>
      </c>
      <c r="C2266" t="s">
        <v>7</v>
      </c>
      <c r="D2266">
        <v>12</v>
      </c>
      <c r="E2266">
        <v>62</v>
      </c>
      <c r="F2266">
        <v>5.0499999999999998E-3</v>
      </c>
      <c r="G2266">
        <v>0</v>
      </c>
      <c r="H2266" t="str">
        <f t="shared" si="105"/>
        <v>60-69</v>
      </c>
      <c r="I2266" t="str">
        <f t="shared" si="106"/>
        <v>10-19</v>
      </c>
      <c r="J2266">
        <f t="shared" si="107"/>
        <v>5.0499999999999998E-3</v>
      </c>
    </row>
    <row r="2267" spans="1:10">
      <c r="A2267" t="s">
        <v>2349</v>
      </c>
      <c r="B2267">
        <v>34</v>
      </c>
      <c r="C2267" t="s">
        <v>9</v>
      </c>
      <c r="D2267">
        <v>2</v>
      </c>
      <c r="E2267">
        <v>35</v>
      </c>
      <c r="F2267">
        <v>3.3E-4</v>
      </c>
      <c r="G2267">
        <v>0</v>
      </c>
      <c r="H2267" t="str">
        <f t="shared" si="105"/>
        <v>30-39</v>
      </c>
      <c r="I2267" t="str">
        <f t="shared" si="106"/>
        <v>0-9</v>
      </c>
      <c r="J2267">
        <f t="shared" si="107"/>
        <v>3.3E-4</v>
      </c>
    </row>
    <row r="2268" spans="1:10">
      <c r="A2268" t="s">
        <v>2350</v>
      </c>
      <c r="B2268">
        <v>48</v>
      </c>
      <c r="C2268" t="s">
        <v>9</v>
      </c>
      <c r="D2268">
        <v>11</v>
      </c>
      <c r="E2268">
        <v>58</v>
      </c>
      <c r="F2268">
        <v>4.7600000000000003E-3</v>
      </c>
      <c r="G2268">
        <v>0</v>
      </c>
      <c r="H2268" t="str">
        <f t="shared" si="105"/>
        <v>50-59</v>
      </c>
      <c r="I2268" t="str">
        <f t="shared" si="106"/>
        <v>10-19</v>
      </c>
      <c r="J2268">
        <f t="shared" si="107"/>
        <v>4.7600000000000003E-3</v>
      </c>
    </row>
    <row r="2269" spans="1:10">
      <c r="A2269" t="s">
        <v>2351</v>
      </c>
      <c r="B2269">
        <v>25</v>
      </c>
      <c r="C2269" t="s">
        <v>7</v>
      </c>
      <c r="D2269">
        <v>29</v>
      </c>
      <c r="E2269">
        <v>53</v>
      </c>
      <c r="F2269">
        <v>2.0200000000000001E-3</v>
      </c>
      <c r="G2269">
        <v>0</v>
      </c>
      <c r="H2269" t="str">
        <f t="shared" si="105"/>
        <v>50-59</v>
      </c>
      <c r="I2269" t="str">
        <f t="shared" si="106"/>
        <v>20-29</v>
      </c>
      <c r="J2269">
        <f t="shared" si="107"/>
        <v>2.0200000000000001E-3</v>
      </c>
    </row>
    <row r="2270" spans="1:10">
      <c r="A2270" t="s">
        <v>2352</v>
      </c>
      <c r="B2270">
        <v>34</v>
      </c>
      <c r="C2270" t="s">
        <v>9</v>
      </c>
      <c r="D2270">
        <v>23</v>
      </c>
      <c r="E2270">
        <v>56</v>
      </c>
      <c r="F2270">
        <v>4.3899999999999998E-3</v>
      </c>
      <c r="G2270">
        <v>0</v>
      </c>
      <c r="H2270" t="str">
        <f t="shared" si="105"/>
        <v>50-59</v>
      </c>
      <c r="I2270" t="str">
        <f t="shared" si="106"/>
        <v>20-29</v>
      </c>
      <c r="J2270">
        <f t="shared" si="107"/>
        <v>4.3899999999999998E-3</v>
      </c>
    </row>
    <row r="2271" spans="1:10">
      <c r="A2271" t="s">
        <v>2353</v>
      </c>
      <c r="B2271">
        <v>35</v>
      </c>
      <c r="C2271" t="s">
        <v>9</v>
      </c>
      <c r="D2271">
        <v>7</v>
      </c>
      <c r="E2271">
        <v>41</v>
      </c>
      <c r="F2271">
        <v>8.5999999999999998E-4</v>
      </c>
      <c r="G2271">
        <v>0</v>
      </c>
      <c r="H2271" t="str">
        <f t="shared" si="105"/>
        <v>40-49</v>
      </c>
      <c r="I2271" t="str">
        <f t="shared" si="106"/>
        <v>0-9</v>
      </c>
      <c r="J2271">
        <f t="shared" si="107"/>
        <v>8.5999999999999998E-4</v>
      </c>
    </row>
    <row r="2272" spans="1:10">
      <c r="A2272" t="s">
        <v>2354</v>
      </c>
      <c r="B2272">
        <v>60</v>
      </c>
      <c r="C2272" t="s">
        <v>9</v>
      </c>
      <c r="D2272">
        <v>21</v>
      </c>
      <c r="E2272">
        <v>80</v>
      </c>
      <c r="F2272">
        <v>5.0909999999999997E-2</v>
      </c>
      <c r="G2272">
        <v>0</v>
      </c>
      <c r="H2272" t="str">
        <f t="shared" si="105"/>
        <v>80-89</v>
      </c>
      <c r="I2272" t="str">
        <f t="shared" si="106"/>
        <v>20-29</v>
      </c>
      <c r="J2272">
        <f t="shared" si="107"/>
        <v>5.0909999999999997E-2</v>
      </c>
    </row>
    <row r="2273" spans="1:10">
      <c r="A2273" t="s">
        <v>2355</v>
      </c>
      <c r="B2273">
        <v>21</v>
      </c>
      <c r="C2273" t="s">
        <v>7</v>
      </c>
      <c r="D2273">
        <v>19</v>
      </c>
      <c r="E2273">
        <v>39</v>
      </c>
      <c r="F2273">
        <v>1.06E-3</v>
      </c>
      <c r="G2273">
        <v>0</v>
      </c>
      <c r="H2273" t="str">
        <f t="shared" si="105"/>
        <v>30-39</v>
      </c>
      <c r="I2273" t="str">
        <f t="shared" si="106"/>
        <v>10-19</v>
      </c>
      <c r="J2273">
        <f t="shared" si="107"/>
        <v>1.06E-3</v>
      </c>
    </row>
    <row r="2274" spans="1:10">
      <c r="A2274" t="s">
        <v>2356</v>
      </c>
      <c r="B2274">
        <v>36</v>
      </c>
      <c r="C2274" t="s">
        <v>9</v>
      </c>
      <c r="D2274">
        <v>8</v>
      </c>
      <c r="E2274">
        <v>43</v>
      </c>
      <c r="F2274">
        <v>1.1000000000000001E-3</v>
      </c>
      <c r="G2274">
        <v>0</v>
      </c>
      <c r="H2274" t="str">
        <f t="shared" si="105"/>
        <v>40-49</v>
      </c>
      <c r="I2274" t="str">
        <f t="shared" si="106"/>
        <v>0-9</v>
      </c>
      <c r="J2274">
        <f t="shared" si="107"/>
        <v>1.1000000000000001E-3</v>
      </c>
    </row>
    <row r="2275" spans="1:10">
      <c r="A2275" t="s">
        <v>2357</v>
      </c>
      <c r="B2275">
        <v>41</v>
      </c>
      <c r="C2275" t="s">
        <v>9</v>
      </c>
      <c r="D2275">
        <v>27</v>
      </c>
      <c r="E2275">
        <v>67</v>
      </c>
      <c r="F2275">
        <v>1.1730000000000001E-2</v>
      </c>
      <c r="G2275">
        <v>0</v>
      </c>
      <c r="H2275" t="str">
        <f t="shared" si="105"/>
        <v>60-69</v>
      </c>
      <c r="I2275" t="str">
        <f t="shared" si="106"/>
        <v>20-29</v>
      </c>
      <c r="J2275">
        <f t="shared" si="107"/>
        <v>1.1730000000000001E-2</v>
      </c>
    </row>
    <row r="2276" spans="1:10">
      <c r="A2276" t="s">
        <v>2358</v>
      </c>
      <c r="B2276">
        <v>35</v>
      </c>
      <c r="C2276" t="s">
        <v>7</v>
      </c>
      <c r="D2276">
        <v>3</v>
      </c>
      <c r="E2276">
        <v>37</v>
      </c>
      <c r="F2276">
        <v>3.5E-4</v>
      </c>
      <c r="G2276">
        <v>0</v>
      </c>
      <c r="H2276" t="str">
        <f t="shared" si="105"/>
        <v>30-39</v>
      </c>
      <c r="I2276" t="str">
        <f t="shared" si="106"/>
        <v>0-9</v>
      </c>
      <c r="J2276">
        <f t="shared" si="107"/>
        <v>3.5E-4</v>
      </c>
    </row>
    <row r="2277" spans="1:10">
      <c r="A2277" t="s">
        <v>2359</v>
      </c>
      <c r="B2277">
        <v>26</v>
      </c>
      <c r="C2277" t="s">
        <v>9</v>
      </c>
      <c r="D2277">
        <v>21</v>
      </c>
      <c r="E2277">
        <v>46</v>
      </c>
      <c r="F2277">
        <v>2.0100000000000001E-3</v>
      </c>
      <c r="G2277">
        <v>0</v>
      </c>
      <c r="H2277" t="str">
        <f t="shared" si="105"/>
        <v>40-49</v>
      </c>
      <c r="I2277" t="str">
        <f t="shared" si="106"/>
        <v>20-29</v>
      </c>
      <c r="J2277">
        <f t="shared" si="107"/>
        <v>2.0100000000000001E-3</v>
      </c>
    </row>
    <row r="2278" spans="1:10">
      <c r="A2278" t="s">
        <v>2360</v>
      </c>
      <c r="B2278">
        <v>23</v>
      </c>
      <c r="C2278" t="s">
        <v>9</v>
      </c>
      <c r="D2278">
        <v>30</v>
      </c>
      <c r="E2278">
        <v>52</v>
      </c>
      <c r="F2278">
        <v>2.7399999999999998E-3</v>
      </c>
      <c r="G2278">
        <v>0</v>
      </c>
      <c r="H2278" t="str">
        <f t="shared" si="105"/>
        <v>50-59</v>
      </c>
      <c r="I2278" t="str">
        <f t="shared" si="106"/>
        <v>30-39</v>
      </c>
      <c r="J2278">
        <f t="shared" si="107"/>
        <v>2.7399999999999998E-3</v>
      </c>
    </row>
    <row r="2279" spans="1:10">
      <c r="A2279" t="s">
        <v>2361</v>
      </c>
      <c r="B2279">
        <v>64</v>
      </c>
      <c r="C2279" t="s">
        <v>7</v>
      </c>
      <c r="D2279">
        <v>3</v>
      </c>
      <c r="E2279">
        <v>66</v>
      </c>
      <c r="F2279">
        <v>4.2300000000000003E-3</v>
      </c>
      <c r="G2279">
        <v>0</v>
      </c>
      <c r="H2279" t="str">
        <f t="shared" si="105"/>
        <v>60-69</v>
      </c>
      <c r="I2279" t="str">
        <f t="shared" si="106"/>
        <v>0-9</v>
      </c>
      <c r="J2279">
        <f t="shared" si="107"/>
        <v>4.2300000000000003E-3</v>
      </c>
    </row>
    <row r="2280" spans="1:10">
      <c r="A2280" t="s">
        <v>2362</v>
      </c>
      <c r="B2280">
        <v>48</v>
      </c>
      <c r="C2280" t="s">
        <v>9</v>
      </c>
      <c r="D2280">
        <v>2</v>
      </c>
      <c r="E2280">
        <v>49</v>
      </c>
      <c r="F2280">
        <v>1E-3</v>
      </c>
      <c r="G2280">
        <v>0</v>
      </c>
      <c r="H2280" t="str">
        <f t="shared" si="105"/>
        <v>40-49</v>
      </c>
      <c r="I2280" t="str">
        <f t="shared" si="106"/>
        <v>0-9</v>
      </c>
      <c r="J2280">
        <f t="shared" si="107"/>
        <v>1E-3</v>
      </c>
    </row>
    <row r="2281" spans="1:10">
      <c r="A2281" t="s">
        <v>2363</v>
      </c>
      <c r="B2281">
        <v>24</v>
      </c>
      <c r="C2281" t="s">
        <v>7</v>
      </c>
      <c r="D2281">
        <v>4</v>
      </c>
      <c r="E2281">
        <v>27</v>
      </c>
      <c r="F2281">
        <v>2.2000000000000001E-4</v>
      </c>
      <c r="G2281">
        <v>0</v>
      </c>
      <c r="H2281" t="str">
        <f t="shared" si="105"/>
        <v>20-29</v>
      </c>
      <c r="I2281" t="str">
        <f t="shared" si="106"/>
        <v>0-9</v>
      </c>
      <c r="J2281">
        <f t="shared" si="107"/>
        <v>2.2000000000000001E-4</v>
      </c>
    </row>
    <row r="2282" spans="1:10">
      <c r="A2282" t="s">
        <v>2364</v>
      </c>
      <c r="B2282">
        <v>38</v>
      </c>
      <c r="C2282" t="s">
        <v>9</v>
      </c>
      <c r="D2282">
        <v>28</v>
      </c>
      <c r="E2282">
        <v>65</v>
      </c>
      <c r="F2282">
        <v>8.6599999999999993E-3</v>
      </c>
      <c r="G2282">
        <v>0</v>
      </c>
      <c r="H2282" t="str">
        <f t="shared" si="105"/>
        <v>60-69</v>
      </c>
      <c r="I2282" t="str">
        <f t="shared" si="106"/>
        <v>20-29</v>
      </c>
      <c r="J2282">
        <f t="shared" si="107"/>
        <v>8.6599999999999993E-3</v>
      </c>
    </row>
    <row r="2283" spans="1:10">
      <c r="A2283" t="s">
        <v>2365</v>
      </c>
      <c r="B2283">
        <v>46</v>
      </c>
      <c r="C2283" t="s">
        <v>7</v>
      </c>
      <c r="D2283">
        <v>8</v>
      </c>
      <c r="E2283">
        <v>53</v>
      </c>
      <c r="F2283">
        <v>1.8500000000000001E-3</v>
      </c>
      <c r="G2283">
        <v>0</v>
      </c>
      <c r="H2283" t="str">
        <f t="shared" si="105"/>
        <v>50-59</v>
      </c>
      <c r="I2283" t="str">
        <f t="shared" si="106"/>
        <v>0-9</v>
      </c>
      <c r="J2283">
        <f t="shared" si="107"/>
        <v>1.8500000000000001E-3</v>
      </c>
    </row>
    <row r="2284" spans="1:10">
      <c r="A2284" t="s">
        <v>2366</v>
      </c>
      <c r="B2284">
        <v>59</v>
      </c>
      <c r="C2284" t="s">
        <v>9</v>
      </c>
      <c r="D2284">
        <v>1</v>
      </c>
      <c r="E2284">
        <v>59</v>
      </c>
      <c r="F2284">
        <v>1.81E-3</v>
      </c>
      <c r="G2284">
        <v>0</v>
      </c>
      <c r="H2284" t="str">
        <f t="shared" si="105"/>
        <v>50-59</v>
      </c>
      <c r="I2284" t="str">
        <f t="shared" si="106"/>
        <v>0-9</v>
      </c>
      <c r="J2284">
        <f t="shared" si="107"/>
        <v>1.81E-3</v>
      </c>
    </row>
    <row r="2285" spans="1:10">
      <c r="A2285" t="s">
        <v>2367</v>
      </c>
      <c r="B2285">
        <v>47</v>
      </c>
      <c r="C2285" t="s">
        <v>7</v>
      </c>
      <c r="D2285">
        <v>29</v>
      </c>
      <c r="E2285">
        <v>75</v>
      </c>
      <c r="F2285">
        <v>1.7170000000000001E-2</v>
      </c>
      <c r="G2285">
        <v>0</v>
      </c>
      <c r="H2285" t="str">
        <f t="shared" si="105"/>
        <v>70-79</v>
      </c>
      <c r="I2285" t="str">
        <f t="shared" si="106"/>
        <v>20-29</v>
      </c>
      <c r="J2285">
        <f t="shared" si="107"/>
        <v>1.7170000000000001E-2</v>
      </c>
    </row>
    <row r="2286" spans="1:10">
      <c r="A2286" t="s">
        <v>2368</v>
      </c>
      <c r="B2286">
        <v>61</v>
      </c>
      <c r="C2286" t="s">
        <v>7</v>
      </c>
      <c r="D2286">
        <v>22</v>
      </c>
      <c r="E2286">
        <v>82</v>
      </c>
      <c r="F2286">
        <v>5.0599999999999999E-2</v>
      </c>
      <c r="G2286">
        <v>0</v>
      </c>
      <c r="H2286" t="str">
        <f t="shared" si="105"/>
        <v>80-89</v>
      </c>
      <c r="I2286" t="str">
        <f t="shared" si="106"/>
        <v>20-29</v>
      </c>
      <c r="J2286">
        <f t="shared" si="107"/>
        <v>5.0599999999999999E-2</v>
      </c>
    </row>
    <row r="2287" spans="1:10">
      <c r="A2287" t="s">
        <v>2369</v>
      </c>
      <c r="B2287">
        <v>41</v>
      </c>
      <c r="C2287" t="s">
        <v>9</v>
      </c>
      <c r="D2287">
        <v>19</v>
      </c>
      <c r="E2287">
        <v>59</v>
      </c>
      <c r="F2287">
        <v>5.7400000000000003E-3</v>
      </c>
      <c r="G2287">
        <v>0</v>
      </c>
      <c r="H2287" t="str">
        <f t="shared" si="105"/>
        <v>50-59</v>
      </c>
      <c r="I2287" t="str">
        <f t="shared" si="106"/>
        <v>10-19</v>
      </c>
      <c r="J2287">
        <f t="shared" si="107"/>
        <v>5.7400000000000003E-3</v>
      </c>
    </row>
    <row r="2288" spans="1:10">
      <c r="A2288" t="s">
        <v>2370</v>
      </c>
      <c r="B2288">
        <v>58</v>
      </c>
      <c r="C2288" t="s">
        <v>9</v>
      </c>
      <c r="D2288">
        <v>23</v>
      </c>
      <c r="E2288">
        <v>80</v>
      </c>
      <c r="F2288">
        <v>5.0909999999999997E-2</v>
      </c>
      <c r="G2288">
        <v>0</v>
      </c>
      <c r="H2288" t="str">
        <f t="shared" si="105"/>
        <v>80-89</v>
      </c>
      <c r="I2288" t="str">
        <f t="shared" si="106"/>
        <v>20-29</v>
      </c>
      <c r="J2288">
        <f t="shared" si="107"/>
        <v>5.0909999999999997E-2</v>
      </c>
    </row>
    <row r="2289" spans="1:10">
      <c r="A2289" t="s">
        <v>2371</v>
      </c>
      <c r="B2289">
        <v>32</v>
      </c>
      <c r="C2289" t="s">
        <v>7</v>
      </c>
      <c r="D2289">
        <v>29</v>
      </c>
      <c r="E2289">
        <v>60</v>
      </c>
      <c r="F2289">
        <v>3.6900000000000001E-3</v>
      </c>
      <c r="G2289">
        <v>0</v>
      </c>
      <c r="H2289" t="str">
        <f t="shared" si="105"/>
        <v>60-69</v>
      </c>
      <c r="I2289" t="str">
        <f t="shared" si="106"/>
        <v>20-29</v>
      </c>
      <c r="J2289">
        <f t="shared" si="107"/>
        <v>3.6900000000000001E-3</v>
      </c>
    </row>
    <row r="2290" spans="1:10">
      <c r="A2290" t="s">
        <v>2372</v>
      </c>
      <c r="B2290">
        <v>36</v>
      </c>
      <c r="C2290" t="s">
        <v>9</v>
      </c>
      <c r="D2290">
        <v>12</v>
      </c>
      <c r="E2290">
        <v>47</v>
      </c>
      <c r="F2290">
        <v>1.6299999999999999E-3</v>
      </c>
      <c r="G2290">
        <v>0</v>
      </c>
      <c r="H2290" t="str">
        <f t="shared" si="105"/>
        <v>40-49</v>
      </c>
      <c r="I2290" t="str">
        <f t="shared" si="106"/>
        <v>10-19</v>
      </c>
      <c r="J2290">
        <f t="shared" si="107"/>
        <v>1.6299999999999999E-3</v>
      </c>
    </row>
    <row r="2291" spans="1:10">
      <c r="A2291" t="s">
        <v>2373</v>
      </c>
      <c r="B2291">
        <v>48</v>
      </c>
      <c r="C2291" t="s">
        <v>9</v>
      </c>
      <c r="D2291">
        <v>6</v>
      </c>
      <c r="E2291">
        <v>53</v>
      </c>
      <c r="F2291">
        <v>2.4199999999999998E-3</v>
      </c>
      <c r="G2291">
        <v>0</v>
      </c>
      <c r="H2291" t="str">
        <f t="shared" si="105"/>
        <v>50-59</v>
      </c>
      <c r="I2291" t="str">
        <f t="shared" si="106"/>
        <v>0-9</v>
      </c>
      <c r="J2291">
        <f t="shared" si="107"/>
        <v>2.4199999999999998E-3</v>
      </c>
    </row>
    <row r="2292" spans="1:10">
      <c r="A2292" t="s">
        <v>2374</v>
      </c>
      <c r="B2292">
        <v>23</v>
      </c>
      <c r="C2292" t="s">
        <v>9</v>
      </c>
      <c r="D2292">
        <v>5</v>
      </c>
      <c r="E2292">
        <v>27</v>
      </c>
      <c r="F2292">
        <v>5.1999999999999995E-4</v>
      </c>
      <c r="G2292">
        <v>0</v>
      </c>
      <c r="H2292" t="str">
        <f t="shared" si="105"/>
        <v>20-29</v>
      </c>
      <c r="I2292" t="str">
        <f t="shared" si="106"/>
        <v>0-9</v>
      </c>
      <c r="J2292">
        <f t="shared" si="107"/>
        <v>5.1999999999999995E-4</v>
      </c>
    </row>
    <row r="2293" spans="1:10">
      <c r="A2293" t="s">
        <v>2375</v>
      </c>
      <c r="B2293">
        <v>61</v>
      </c>
      <c r="C2293" t="s">
        <v>9</v>
      </c>
      <c r="D2293">
        <v>25</v>
      </c>
      <c r="E2293">
        <v>85</v>
      </c>
      <c r="F2293">
        <v>9.1270000000000004E-2</v>
      </c>
      <c r="G2293">
        <v>0</v>
      </c>
      <c r="H2293" t="str">
        <f t="shared" si="105"/>
        <v>80-89</v>
      </c>
      <c r="I2293" t="str">
        <f t="shared" si="106"/>
        <v>20-29</v>
      </c>
      <c r="J2293">
        <f t="shared" si="107"/>
        <v>9.1270000000000004E-2</v>
      </c>
    </row>
    <row r="2294" spans="1:10">
      <c r="A2294" t="s">
        <v>2376</v>
      </c>
      <c r="B2294">
        <v>54</v>
      </c>
      <c r="C2294" t="s">
        <v>9</v>
      </c>
      <c r="D2294">
        <v>25</v>
      </c>
      <c r="E2294">
        <v>78</v>
      </c>
      <c r="F2294">
        <v>4.1189999999999997E-2</v>
      </c>
      <c r="G2294">
        <v>0</v>
      </c>
      <c r="H2294" t="str">
        <f t="shared" si="105"/>
        <v>70-79</v>
      </c>
      <c r="I2294" t="str">
        <f t="shared" si="106"/>
        <v>20-29</v>
      </c>
      <c r="J2294">
        <f t="shared" si="107"/>
        <v>4.1189999999999997E-2</v>
      </c>
    </row>
    <row r="2295" spans="1:10">
      <c r="A2295" t="s">
        <v>2377</v>
      </c>
      <c r="B2295">
        <v>58</v>
      </c>
      <c r="C2295" t="s">
        <v>9</v>
      </c>
      <c r="D2295">
        <v>11</v>
      </c>
      <c r="E2295">
        <v>68</v>
      </c>
      <c r="F2295">
        <v>1.3270000000000001E-2</v>
      </c>
      <c r="G2295">
        <v>0</v>
      </c>
      <c r="H2295" t="str">
        <f t="shared" si="105"/>
        <v>60-69</v>
      </c>
      <c r="I2295" t="str">
        <f t="shared" si="106"/>
        <v>10-19</v>
      </c>
      <c r="J2295">
        <f t="shared" si="107"/>
        <v>1.3270000000000001E-2</v>
      </c>
    </row>
    <row r="2296" spans="1:10">
      <c r="A2296" t="s">
        <v>2378</v>
      </c>
      <c r="B2296">
        <v>53</v>
      </c>
      <c r="C2296" t="s">
        <v>7</v>
      </c>
      <c r="D2296">
        <v>19</v>
      </c>
      <c r="E2296">
        <v>71</v>
      </c>
      <c r="F2296">
        <v>1.47E-2</v>
      </c>
      <c r="G2296">
        <v>0</v>
      </c>
      <c r="H2296" t="str">
        <f t="shared" si="105"/>
        <v>70-79</v>
      </c>
      <c r="I2296" t="str">
        <f t="shared" si="106"/>
        <v>10-19</v>
      </c>
      <c r="J2296">
        <f t="shared" si="107"/>
        <v>1.47E-2</v>
      </c>
    </row>
    <row r="2297" spans="1:10">
      <c r="A2297" t="s">
        <v>2379</v>
      </c>
      <c r="B2297">
        <v>35</v>
      </c>
      <c r="C2297" t="s">
        <v>7</v>
      </c>
      <c r="D2297">
        <v>17</v>
      </c>
      <c r="E2297">
        <v>51</v>
      </c>
      <c r="F2297">
        <v>1.9599999999999999E-3</v>
      </c>
      <c r="G2297">
        <v>0</v>
      </c>
      <c r="H2297" t="str">
        <f t="shared" si="105"/>
        <v>50-59</v>
      </c>
      <c r="I2297" t="str">
        <f t="shared" si="106"/>
        <v>10-19</v>
      </c>
      <c r="J2297">
        <f t="shared" si="107"/>
        <v>1.9599999999999999E-3</v>
      </c>
    </row>
    <row r="2298" spans="1:10">
      <c r="A2298" t="s">
        <v>2380</v>
      </c>
      <c r="B2298">
        <v>23</v>
      </c>
      <c r="C2298" t="s">
        <v>9</v>
      </c>
      <c r="D2298">
        <v>14</v>
      </c>
      <c r="E2298">
        <v>36</v>
      </c>
      <c r="F2298">
        <v>9.1E-4</v>
      </c>
      <c r="G2298">
        <v>0</v>
      </c>
      <c r="H2298" t="str">
        <f t="shared" si="105"/>
        <v>30-39</v>
      </c>
      <c r="I2298" t="str">
        <f t="shared" si="106"/>
        <v>10-19</v>
      </c>
      <c r="J2298">
        <f t="shared" si="107"/>
        <v>9.1E-4</v>
      </c>
    </row>
    <row r="2299" spans="1:10">
      <c r="A2299" t="s">
        <v>2381</v>
      </c>
      <c r="B2299">
        <v>60</v>
      </c>
      <c r="C2299" t="s">
        <v>9</v>
      </c>
      <c r="D2299">
        <v>30</v>
      </c>
      <c r="E2299">
        <v>89</v>
      </c>
      <c r="F2299">
        <v>9.1270000000000004E-2</v>
      </c>
      <c r="G2299">
        <v>1</v>
      </c>
      <c r="H2299" t="str">
        <f t="shared" si="105"/>
        <v>80-89</v>
      </c>
      <c r="I2299" t="str">
        <f t="shared" si="106"/>
        <v>30-39</v>
      </c>
      <c r="J2299">
        <f t="shared" si="107"/>
        <v>9.1270000000000004E-2</v>
      </c>
    </row>
    <row r="2300" spans="1:10">
      <c r="A2300" t="s">
        <v>2382</v>
      </c>
      <c r="B2300">
        <v>32</v>
      </c>
      <c r="C2300" t="s">
        <v>9</v>
      </c>
      <c r="D2300">
        <v>22</v>
      </c>
      <c r="E2300">
        <v>53</v>
      </c>
      <c r="F2300">
        <v>3.32E-3</v>
      </c>
      <c r="G2300">
        <v>0</v>
      </c>
      <c r="H2300" t="str">
        <f t="shared" si="105"/>
        <v>50-59</v>
      </c>
      <c r="I2300" t="str">
        <f t="shared" si="106"/>
        <v>20-29</v>
      </c>
      <c r="J2300">
        <f t="shared" si="107"/>
        <v>3.32E-3</v>
      </c>
    </row>
    <row r="2301" spans="1:10">
      <c r="A2301" t="s">
        <v>2383</v>
      </c>
      <c r="B2301">
        <v>49</v>
      </c>
      <c r="C2301" t="s">
        <v>7</v>
      </c>
      <c r="D2301">
        <v>20</v>
      </c>
      <c r="E2301">
        <v>68</v>
      </c>
      <c r="F2301">
        <v>1.125E-2</v>
      </c>
      <c r="G2301">
        <v>0</v>
      </c>
      <c r="H2301" t="str">
        <f t="shared" si="105"/>
        <v>60-69</v>
      </c>
      <c r="I2301" t="str">
        <f t="shared" si="106"/>
        <v>20-29</v>
      </c>
      <c r="J2301">
        <f t="shared" si="107"/>
        <v>1.125E-2</v>
      </c>
    </row>
    <row r="2302" spans="1:10">
      <c r="A2302" t="s">
        <v>2384</v>
      </c>
      <c r="B2302">
        <v>56</v>
      </c>
      <c r="C2302" t="s">
        <v>7</v>
      </c>
      <c r="D2302">
        <v>11</v>
      </c>
      <c r="E2302">
        <v>66</v>
      </c>
      <c r="F2302">
        <v>6.96E-3</v>
      </c>
      <c r="G2302">
        <v>0</v>
      </c>
      <c r="H2302" t="str">
        <f t="shared" si="105"/>
        <v>60-69</v>
      </c>
      <c r="I2302" t="str">
        <f t="shared" si="106"/>
        <v>10-19</v>
      </c>
      <c r="J2302">
        <f t="shared" si="107"/>
        <v>6.96E-3</v>
      </c>
    </row>
    <row r="2303" spans="1:10">
      <c r="A2303" t="s">
        <v>2385</v>
      </c>
      <c r="B2303">
        <v>30</v>
      </c>
      <c r="C2303" t="s">
        <v>9</v>
      </c>
      <c r="D2303">
        <v>4</v>
      </c>
      <c r="E2303">
        <v>33</v>
      </c>
      <c r="F2303">
        <v>4.2999999999999999E-4</v>
      </c>
      <c r="G2303">
        <v>0</v>
      </c>
      <c r="H2303" t="str">
        <f t="shared" si="105"/>
        <v>30-39</v>
      </c>
      <c r="I2303" t="str">
        <f t="shared" si="106"/>
        <v>0-9</v>
      </c>
      <c r="J2303">
        <f t="shared" si="107"/>
        <v>4.2999999999999999E-4</v>
      </c>
    </row>
    <row r="2304" spans="1:10">
      <c r="A2304" t="s">
        <v>2386</v>
      </c>
      <c r="B2304">
        <v>22</v>
      </c>
      <c r="C2304" t="s">
        <v>9</v>
      </c>
      <c r="D2304">
        <v>16</v>
      </c>
      <c r="E2304">
        <v>37</v>
      </c>
      <c r="F2304">
        <v>1.0399999999999999E-3</v>
      </c>
      <c r="G2304">
        <v>0</v>
      </c>
      <c r="H2304" t="str">
        <f t="shared" si="105"/>
        <v>30-39</v>
      </c>
      <c r="I2304" t="str">
        <f t="shared" si="106"/>
        <v>10-19</v>
      </c>
      <c r="J2304">
        <f t="shared" si="107"/>
        <v>1.0399999999999999E-3</v>
      </c>
    </row>
    <row r="2305" spans="1:10">
      <c r="A2305" t="s">
        <v>2387</v>
      </c>
      <c r="B2305">
        <v>34</v>
      </c>
      <c r="C2305" t="s">
        <v>9</v>
      </c>
      <c r="D2305">
        <v>23</v>
      </c>
      <c r="E2305">
        <v>56</v>
      </c>
      <c r="F2305">
        <v>4.3899999999999998E-3</v>
      </c>
      <c r="G2305">
        <v>0</v>
      </c>
      <c r="H2305" t="str">
        <f t="shared" si="105"/>
        <v>50-59</v>
      </c>
      <c r="I2305" t="str">
        <f t="shared" si="106"/>
        <v>20-29</v>
      </c>
      <c r="J2305">
        <f t="shared" si="107"/>
        <v>4.3899999999999998E-3</v>
      </c>
    </row>
    <row r="2306" spans="1:10">
      <c r="A2306" t="s">
        <v>2388</v>
      </c>
      <c r="B2306">
        <v>35</v>
      </c>
      <c r="C2306" t="s">
        <v>7</v>
      </c>
      <c r="D2306">
        <v>16</v>
      </c>
      <c r="E2306">
        <v>50</v>
      </c>
      <c r="F2306">
        <v>1.7799999999999999E-3</v>
      </c>
      <c r="G2306">
        <v>0</v>
      </c>
      <c r="H2306" t="str">
        <f t="shared" si="105"/>
        <v>50-59</v>
      </c>
      <c r="I2306" t="str">
        <f t="shared" si="106"/>
        <v>10-19</v>
      </c>
      <c r="J2306">
        <f t="shared" si="107"/>
        <v>1.7799999999999999E-3</v>
      </c>
    </row>
    <row r="2307" spans="1:10">
      <c r="A2307" t="s">
        <v>2389</v>
      </c>
      <c r="B2307">
        <v>41</v>
      </c>
      <c r="C2307" t="s">
        <v>7</v>
      </c>
      <c r="D2307">
        <v>26</v>
      </c>
      <c r="E2307">
        <v>66</v>
      </c>
      <c r="F2307">
        <v>9.2399999999999999E-3</v>
      </c>
      <c r="G2307">
        <v>0</v>
      </c>
      <c r="H2307" t="str">
        <f t="shared" ref="H2307:H2370" si="108">FLOOR(E2307,10) &amp; "-" &amp; FLOOR(E2307,10)+9</f>
        <v>60-69</v>
      </c>
      <c r="I2307" t="str">
        <f t="shared" ref="I2307:I2370" si="109">FLOOR(D2307, 10) &amp; "-"&amp;FLOOR(D2307, 10)+9</f>
        <v>20-29</v>
      </c>
      <c r="J2307">
        <f t="shared" ref="J2307:J2370" si="110">F2307</f>
        <v>9.2399999999999999E-3</v>
      </c>
    </row>
    <row r="2308" spans="1:10">
      <c r="A2308" t="s">
        <v>2390</v>
      </c>
      <c r="B2308">
        <v>31</v>
      </c>
      <c r="C2308" t="s">
        <v>7</v>
      </c>
      <c r="D2308">
        <v>27</v>
      </c>
      <c r="E2308">
        <v>57</v>
      </c>
      <c r="F2308">
        <v>3.3700000000000002E-3</v>
      </c>
      <c r="G2308">
        <v>0</v>
      </c>
      <c r="H2308" t="str">
        <f t="shared" si="108"/>
        <v>50-59</v>
      </c>
      <c r="I2308" t="str">
        <f t="shared" si="109"/>
        <v>20-29</v>
      </c>
      <c r="J2308">
        <f t="shared" si="110"/>
        <v>3.3700000000000002E-3</v>
      </c>
    </row>
    <row r="2309" spans="1:10">
      <c r="A2309" t="s">
        <v>2391</v>
      </c>
      <c r="B2309">
        <v>24</v>
      </c>
      <c r="C2309" t="s">
        <v>9</v>
      </c>
      <c r="D2309">
        <v>12</v>
      </c>
      <c r="E2309">
        <v>35</v>
      </c>
      <c r="F2309">
        <v>7.6999999999999996E-4</v>
      </c>
      <c r="G2309">
        <v>0</v>
      </c>
      <c r="H2309" t="str">
        <f t="shared" si="108"/>
        <v>30-39</v>
      </c>
      <c r="I2309" t="str">
        <f t="shared" si="109"/>
        <v>10-19</v>
      </c>
      <c r="J2309">
        <f t="shared" si="110"/>
        <v>7.6999999999999996E-4</v>
      </c>
    </row>
    <row r="2310" spans="1:10">
      <c r="A2310" t="s">
        <v>2392</v>
      </c>
      <c r="B2310">
        <v>38</v>
      </c>
      <c r="C2310" t="s">
        <v>9</v>
      </c>
      <c r="D2310">
        <v>15</v>
      </c>
      <c r="E2310">
        <v>52</v>
      </c>
      <c r="F2310">
        <v>2.7100000000000002E-3</v>
      </c>
      <c r="G2310">
        <v>0</v>
      </c>
      <c r="H2310" t="str">
        <f t="shared" si="108"/>
        <v>50-59</v>
      </c>
      <c r="I2310" t="str">
        <f t="shared" si="109"/>
        <v>10-19</v>
      </c>
      <c r="J2310">
        <f t="shared" si="110"/>
        <v>2.7100000000000002E-3</v>
      </c>
    </row>
    <row r="2311" spans="1:10">
      <c r="A2311" t="s">
        <v>2393</v>
      </c>
      <c r="B2311">
        <v>43</v>
      </c>
      <c r="C2311" t="s">
        <v>7</v>
      </c>
      <c r="D2311">
        <v>2</v>
      </c>
      <c r="E2311">
        <v>44</v>
      </c>
      <c r="F2311">
        <v>4.0000000000000002E-4</v>
      </c>
      <c r="G2311">
        <v>0</v>
      </c>
      <c r="H2311" t="str">
        <f t="shared" si="108"/>
        <v>40-49</v>
      </c>
      <c r="I2311" t="str">
        <f t="shared" si="109"/>
        <v>0-9</v>
      </c>
      <c r="J2311">
        <f t="shared" si="110"/>
        <v>4.0000000000000002E-4</v>
      </c>
    </row>
    <row r="2312" spans="1:10">
      <c r="A2312" t="s">
        <v>2394</v>
      </c>
      <c r="B2312">
        <v>38</v>
      </c>
      <c r="C2312" t="s">
        <v>9</v>
      </c>
      <c r="D2312">
        <v>6</v>
      </c>
      <c r="E2312">
        <v>43</v>
      </c>
      <c r="F2312">
        <v>9.8999999999999999E-4</v>
      </c>
      <c r="G2312">
        <v>0</v>
      </c>
      <c r="H2312" t="str">
        <f t="shared" si="108"/>
        <v>40-49</v>
      </c>
      <c r="I2312" t="str">
        <f t="shared" si="109"/>
        <v>0-9</v>
      </c>
      <c r="J2312">
        <f t="shared" si="110"/>
        <v>9.8999999999999999E-4</v>
      </c>
    </row>
    <row r="2313" spans="1:10">
      <c r="A2313" t="s">
        <v>2395</v>
      </c>
      <c r="B2313">
        <v>31</v>
      </c>
      <c r="C2313" t="s">
        <v>7</v>
      </c>
      <c r="D2313">
        <v>11</v>
      </c>
      <c r="E2313">
        <v>41</v>
      </c>
      <c r="F2313">
        <v>8.1999999999999998E-4</v>
      </c>
      <c r="G2313">
        <v>0</v>
      </c>
      <c r="H2313" t="str">
        <f t="shared" si="108"/>
        <v>40-49</v>
      </c>
      <c r="I2313" t="str">
        <f t="shared" si="109"/>
        <v>10-19</v>
      </c>
      <c r="J2313">
        <f t="shared" si="110"/>
        <v>8.1999999999999998E-4</v>
      </c>
    </row>
    <row r="2314" spans="1:10">
      <c r="A2314" t="s">
        <v>2396</v>
      </c>
      <c r="B2314">
        <v>32</v>
      </c>
      <c r="C2314" t="s">
        <v>9</v>
      </c>
      <c r="D2314">
        <v>1</v>
      </c>
      <c r="E2314">
        <v>32</v>
      </c>
      <c r="F2314">
        <v>2.3000000000000001E-4</v>
      </c>
      <c r="G2314">
        <v>0</v>
      </c>
      <c r="H2314" t="str">
        <f t="shared" si="108"/>
        <v>30-39</v>
      </c>
      <c r="I2314" t="str">
        <f t="shared" si="109"/>
        <v>0-9</v>
      </c>
      <c r="J2314">
        <f t="shared" si="110"/>
        <v>2.3000000000000001E-4</v>
      </c>
    </row>
    <row r="2315" spans="1:10">
      <c r="A2315" t="s">
        <v>2397</v>
      </c>
      <c r="B2315">
        <v>26</v>
      </c>
      <c r="C2315" t="s">
        <v>7</v>
      </c>
      <c r="D2315">
        <v>1</v>
      </c>
      <c r="E2315">
        <v>26</v>
      </c>
      <c r="F2315">
        <v>1.3999999999999999E-4</v>
      </c>
      <c r="G2315">
        <v>0</v>
      </c>
      <c r="H2315" t="str">
        <f t="shared" si="108"/>
        <v>20-29</v>
      </c>
      <c r="I2315" t="str">
        <f t="shared" si="109"/>
        <v>0-9</v>
      </c>
      <c r="J2315">
        <f t="shared" si="110"/>
        <v>1.3999999999999999E-4</v>
      </c>
    </row>
    <row r="2316" spans="1:10">
      <c r="A2316" t="s">
        <v>2398</v>
      </c>
      <c r="B2316">
        <v>61</v>
      </c>
      <c r="C2316" t="s">
        <v>7</v>
      </c>
      <c r="D2316">
        <v>26</v>
      </c>
      <c r="E2316">
        <v>86</v>
      </c>
      <c r="F2316">
        <v>8.2710000000000006E-2</v>
      </c>
      <c r="G2316">
        <v>0</v>
      </c>
      <c r="H2316" t="str">
        <f t="shared" si="108"/>
        <v>80-89</v>
      </c>
      <c r="I2316" t="str">
        <f t="shared" si="109"/>
        <v>20-29</v>
      </c>
      <c r="J2316">
        <f t="shared" si="110"/>
        <v>8.2710000000000006E-2</v>
      </c>
    </row>
    <row r="2317" spans="1:10">
      <c r="A2317" t="s">
        <v>2399</v>
      </c>
      <c r="B2317">
        <v>33</v>
      </c>
      <c r="C2317" t="s">
        <v>9</v>
      </c>
      <c r="D2317">
        <v>10</v>
      </c>
      <c r="E2317">
        <v>42</v>
      </c>
      <c r="F2317">
        <v>1.14E-3</v>
      </c>
      <c r="G2317">
        <v>0</v>
      </c>
      <c r="H2317" t="str">
        <f t="shared" si="108"/>
        <v>40-49</v>
      </c>
      <c r="I2317" t="str">
        <f t="shared" si="109"/>
        <v>10-19</v>
      </c>
      <c r="J2317">
        <f t="shared" si="110"/>
        <v>1.14E-3</v>
      </c>
    </row>
    <row r="2318" spans="1:10">
      <c r="A2318" t="s">
        <v>2400</v>
      </c>
      <c r="B2318">
        <v>43</v>
      </c>
      <c r="C2318" t="s">
        <v>9</v>
      </c>
      <c r="D2318">
        <v>22</v>
      </c>
      <c r="E2318">
        <v>64</v>
      </c>
      <c r="F2318">
        <v>9.3299999999999998E-3</v>
      </c>
      <c r="G2318">
        <v>0</v>
      </c>
      <c r="H2318" t="str">
        <f t="shared" si="108"/>
        <v>60-69</v>
      </c>
      <c r="I2318" t="str">
        <f t="shared" si="109"/>
        <v>20-29</v>
      </c>
      <c r="J2318">
        <f t="shared" si="110"/>
        <v>9.3299999999999998E-3</v>
      </c>
    </row>
    <row r="2319" spans="1:10">
      <c r="A2319" t="s">
        <v>2401</v>
      </c>
      <c r="B2319">
        <v>59</v>
      </c>
      <c r="C2319" t="s">
        <v>9</v>
      </c>
      <c r="D2319">
        <v>29</v>
      </c>
      <c r="E2319">
        <v>87</v>
      </c>
      <c r="F2319">
        <v>8.0629999999999993E-2</v>
      </c>
      <c r="G2319">
        <v>0</v>
      </c>
      <c r="H2319" t="str">
        <f t="shared" si="108"/>
        <v>80-89</v>
      </c>
      <c r="I2319" t="str">
        <f t="shared" si="109"/>
        <v>20-29</v>
      </c>
      <c r="J2319">
        <f t="shared" si="110"/>
        <v>8.0629999999999993E-2</v>
      </c>
    </row>
    <row r="2320" spans="1:10">
      <c r="A2320" t="s">
        <v>2402</v>
      </c>
      <c r="B2320">
        <v>27</v>
      </c>
      <c r="C2320" t="s">
        <v>7</v>
      </c>
      <c r="D2320">
        <v>5</v>
      </c>
      <c r="E2320">
        <v>31</v>
      </c>
      <c r="F2320">
        <v>2.5999999999999998E-4</v>
      </c>
      <c r="G2320">
        <v>0</v>
      </c>
      <c r="H2320" t="str">
        <f t="shared" si="108"/>
        <v>30-39</v>
      </c>
      <c r="I2320" t="str">
        <f t="shared" si="109"/>
        <v>0-9</v>
      </c>
      <c r="J2320">
        <f t="shared" si="110"/>
        <v>2.5999999999999998E-4</v>
      </c>
    </row>
    <row r="2321" spans="1:10">
      <c r="A2321" t="s">
        <v>2403</v>
      </c>
      <c r="B2321">
        <v>32</v>
      </c>
      <c r="C2321" t="s">
        <v>7</v>
      </c>
      <c r="D2321">
        <v>7</v>
      </c>
      <c r="E2321">
        <v>38</v>
      </c>
      <c r="F2321">
        <v>5.2999999999999998E-4</v>
      </c>
      <c r="G2321">
        <v>0</v>
      </c>
      <c r="H2321" t="str">
        <f t="shared" si="108"/>
        <v>30-39</v>
      </c>
      <c r="I2321" t="str">
        <f t="shared" si="109"/>
        <v>0-9</v>
      </c>
      <c r="J2321">
        <f t="shared" si="110"/>
        <v>5.2999999999999998E-4</v>
      </c>
    </row>
    <row r="2322" spans="1:10">
      <c r="A2322" t="s">
        <v>2404</v>
      </c>
      <c r="B2322">
        <v>40</v>
      </c>
      <c r="C2322" t="s">
        <v>9</v>
      </c>
      <c r="D2322">
        <v>20</v>
      </c>
      <c r="E2322">
        <v>59</v>
      </c>
      <c r="F2322">
        <v>5.7400000000000003E-3</v>
      </c>
      <c r="G2322">
        <v>0</v>
      </c>
      <c r="H2322" t="str">
        <f t="shared" si="108"/>
        <v>50-59</v>
      </c>
      <c r="I2322" t="str">
        <f t="shared" si="109"/>
        <v>20-29</v>
      </c>
      <c r="J2322">
        <f t="shared" si="110"/>
        <v>5.7400000000000003E-3</v>
      </c>
    </row>
    <row r="2323" spans="1:10">
      <c r="A2323" t="s">
        <v>2405</v>
      </c>
      <c r="B2323">
        <v>22</v>
      </c>
      <c r="C2323" t="s">
        <v>7</v>
      </c>
      <c r="D2323">
        <v>25</v>
      </c>
      <c r="E2323">
        <v>46</v>
      </c>
      <c r="F2323">
        <v>1.49E-3</v>
      </c>
      <c r="G2323">
        <v>0</v>
      </c>
      <c r="H2323" t="str">
        <f t="shared" si="108"/>
        <v>40-49</v>
      </c>
      <c r="I2323" t="str">
        <f t="shared" si="109"/>
        <v>20-29</v>
      </c>
      <c r="J2323">
        <f t="shared" si="110"/>
        <v>1.49E-3</v>
      </c>
    </row>
    <row r="2324" spans="1:10">
      <c r="A2324" t="s">
        <v>2406</v>
      </c>
      <c r="B2324">
        <v>54</v>
      </c>
      <c r="C2324" t="s">
        <v>7</v>
      </c>
      <c r="D2324">
        <v>10</v>
      </c>
      <c r="E2324">
        <v>63</v>
      </c>
      <c r="F2324">
        <v>5.2500000000000003E-3</v>
      </c>
      <c r="G2324">
        <v>0</v>
      </c>
      <c r="H2324" t="str">
        <f t="shared" si="108"/>
        <v>60-69</v>
      </c>
      <c r="I2324" t="str">
        <f t="shared" si="109"/>
        <v>10-19</v>
      </c>
      <c r="J2324">
        <f t="shared" si="110"/>
        <v>5.2500000000000003E-3</v>
      </c>
    </row>
    <row r="2325" spans="1:10">
      <c r="A2325" t="s">
        <v>2407</v>
      </c>
      <c r="B2325">
        <v>23</v>
      </c>
      <c r="C2325" t="s">
        <v>7</v>
      </c>
      <c r="D2325">
        <v>21</v>
      </c>
      <c r="E2325">
        <v>43</v>
      </c>
      <c r="F2325">
        <v>1.2800000000000001E-3</v>
      </c>
      <c r="G2325">
        <v>0</v>
      </c>
      <c r="H2325" t="str">
        <f t="shared" si="108"/>
        <v>40-49</v>
      </c>
      <c r="I2325" t="str">
        <f t="shared" si="109"/>
        <v>20-29</v>
      </c>
      <c r="J2325">
        <f t="shared" si="110"/>
        <v>1.2800000000000001E-3</v>
      </c>
    </row>
    <row r="2326" spans="1:10">
      <c r="A2326" t="s">
        <v>2408</v>
      </c>
      <c r="B2326">
        <v>52</v>
      </c>
      <c r="C2326" t="s">
        <v>7</v>
      </c>
      <c r="D2326">
        <v>19</v>
      </c>
      <c r="E2326">
        <v>70</v>
      </c>
      <c r="F2326">
        <v>1.328E-2</v>
      </c>
      <c r="G2326">
        <v>0</v>
      </c>
      <c r="H2326" t="str">
        <f t="shared" si="108"/>
        <v>70-79</v>
      </c>
      <c r="I2326" t="str">
        <f t="shared" si="109"/>
        <v>10-19</v>
      </c>
      <c r="J2326">
        <f t="shared" si="110"/>
        <v>1.328E-2</v>
      </c>
    </row>
    <row r="2327" spans="1:10">
      <c r="A2327" t="s">
        <v>2409</v>
      </c>
      <c r="B2327">
        <v>25</v>
      </c>
      <c r="C2327" t="s">
        <v>9</v>
      </c>
      <c r="D2327">
        <v>26</v>
      </c>
      <c r="E2327">
        <v>50</v>
      </c>
      <c r="F2327">
        <v>2.9299999999999999E-3</v>
      </c>
      <c r="G2327">
        <v>0</v>
      </c>
      <c r="H2327" t="str">
        <f t="shared" si="108"/>
        <v>50-59</v>
      </c>
      <c r="I2327" t="str">
        <f t="shared" si="109"/>
        <v>20-29</v>
      </c>
      <c r="J2327">
        <f t="shared" si="110"/>
        <v>2.9299999999999999E-3</v>
      </c>
    </row>
    <row r="2328" spans="1:10">
      <c r="A2328" t="s">
        <v>2410</v>
      </c>
      <c r="B2328">
        <v>24</v>
      </c>
      <c r="C2328" t="s">
        <v>7</v>
      </c>
      <c r="D2328">
        <v>6</v>
      </c>
      <c r="E2328">
        <v>29</v>
      </c>
      <c r="F2328">
        <v>2.7E-4</v>
      </c>
      <c r="G2328">
        <v>0</v>
      </c>
      <c r="H2328" t="str">
        <f t="shared" si="108"/>
        <v>20-29</v>
      </c>
      <c r="I2328" t="str">
        <f t="shared" si="109"/>
        <v>0-9</v>
      </c>
      <c r="J2328">
        <f t="shared" si="110"/>
        <v>2.7E-4</v>
      </c>
    </row>
    <row r="2329" spans="1:10">
      <c r="A2329" t="s">
        <v>2411</v>
      </c>
      <c r="B2329">
        <v>61</v>
      </c>
      <c r="C2329" t="s">
        <v>7</v>
      </c>
      <c r="D2329">
        <v>25</v>
      </c>
      <c r="E2329">
        <v>85</v>
      </c>
      <c r="F2329">
        <v>7.2980000000000003E-2</v>
      </c>
      <c r="G2329">
        <v>0</v>
      </c>
      <c r="H2329" t="str">
        <f t="shared" si="108"/>
        <v>80-89</v>
      </c>
      <c r="I2329" t="str">
        <f t="shared" si="109"/>
        <v>20-29</v>
      </c>
      <c r="J2329">
        <f t="shared" si="110"/>
        <v>7.2980000000000003E-2</v>
      </c>
    </row>
    <row r="2330" spans="1:10">
      <c r="A2330" t="s">
        <v>2412</v>
      </c>
      <c r="B2330">
        <v>49</v>
      </c>
      <c r="C2330" t="s">
        <v>9</v>
      </c>
      <c r="D2330">
        <v>6</v>
      </c>
      <c r="E2330">
        <v>54</v>
      </c>
      <c r="F2330">
        <v>2.7000000000000001E-3</v>
      </c>
      <c r="G2330">
        <v>0</v>
      </c>
      <c r="H2330" t="str">
        <f t="shared" si="108"/>
        <v>50-59</v>
      </c>
      <c r="I2330" t="str">
        <f t="shared" si="109"/>
        <v>0-9</v>
      </c>
      <c r="J2330">
        <f t="shared" si="110"/>
        <v>2.7000000000000001E-3</v>
      </c>
    </row>
    <row r="2331" spans="1:10">
      <c r="A2331" t="s">
        <v>2413</v>
      </c>
      <c r="B2331">
        <v>64</v>
      </c>
      <c r="C2331" t="s">
        <v>7</v>
      </c>
      <c r="D2331">
        <v>16</v>
      </c>
      <c r="E2331">
        <v>79</v>
      </c>
      <c r="F2331">
        <v>3.184E-2</v>
      </c>
      <c r="G2331">
        <v>0</v>
      </c>
      <c r="H2331" t="str">
        <f t="shared" si="108"/>
        <v>70-79</v>
      </c>
      <c r="I2331" t="str">
        <f t="shared" si="109"/>
        <v>10-19</v>
      </c>
      <c r="J2331">
        <f t="shared" si="110"/>
        <v>3.184E-2</v>
      </c>
    </row>
    <row r="2332" spans="1:10">
      <c r="A2332" t="s">
        <v>2414</v>
      </c>
      <c r="B2332">
        <v>37</v>
      </c>
      <c r="C2332" t="s">
        <v>9</v>
      </c>
      <c r="D2332">
        <v>19</v>
      </c>
      <c r="E2332">
        <v>55</v>
      </c>
      <c r="F2332">
        <v>3.82E-3</v>
      </c>
      <c r="G2332">
        <v>0</v>
      </c>
      <c r="H2332" t="str">
        <f t="shared" si="108"/>
        <v>50-59</v>
      </c>
      <c r="I2332" t="str">
        <f t="shared" si="109"/>
        <v>10-19</v>
      </c>
      <c r="J2332">
        <f t="shared" si="110"/>
        <v>3.82E-3</v>
      </c>
    </row>
    <row r="2333" spans="1:10">
      <c r="A2333" t="s">
        <v>2415</v>
      </c>
      <c r="B2333">
        <v>57</v>
      </c>
      <c r="C2333" t="s">
        <v>9</v>
      </c>
      <c r="D2333">
        <v>21</v>
      </c>
      <c r="E2333">
        <v>77</v>
      </c>
      <c r="F2333">
        <v>3.7039999999999997E-2</v>
      </c>
      <c r="G2333">
        <v>0</v>
      </c>
      <c r="H2333" t="str">
        <f t="shared" si="108"/>
        <v>70-79</v>
      </c>
      <c r="I2333" t="str">
        <f t="shared" si="109"/>
        <v>20-29</v>
      </c>
      <c r="J2333">
        <f t="shared" si="110"/>
        <v>3.7039999999999997E-2</v>
      </c>
    </row>
    <row r="2334" spans="1:10">
      <c r="A2334" t="s">
        <v>2416</v>
      </c>
      <c r="B2334">
        <v>32</v>
      </c>
      <c r="C2334" t="s">
        <v>7</v>
      </c>
      <c r="D2334">
        <v>15</v>
      </c>
      <c r="E2334">
        <v>46</v>
      </c>
      <c r="F2334">
        <v>1.2600000000000001E-3</v>
      </c>
      <c r="G2334">
        <v>0</v>
      </c>
      <c r="H2334" t="str">
        <f t="shared" si="108"/>
        <v>40-49</v>
      </c>
      <c r="I2334" t="str">
        <f t="shared" si="109"/>
        <v>10-19</v>
      </c>
      <c r="J2334">
        <f t="shared" si="110"/>
        <v>1.2600000000000001E-3</v>
      </c>
    </row>
    <row r="2335" spans="1:10">
      <c r="A2335" t="s">
        <v>2417</v>
      </c>
      <c r="B2335">
        <v>39</v>
      </c>
      <c r="C2335" t="s">
        <v>7</v>
      </c>
      <c r="D2335">
        <v>14</v>
      </c>
      <c r="E2335">
        <v>52</v>
      </c>
      <c r="F2335">
        <v>2.0899999999999998E-3</v>
      </c>
      <c r="G2335">
        <v>0</v>
      </c>
      <c r="H2335" t="str">
        <f t="shared" si="108"/>
        <v>50-59</v>
      </c>
      <c r="I2335" t="str">
        <f t="shared" si="109"/>
        <v>10-19</v>
      </c>
      <c r="J2335">
        <f t="shared" si="110"/>
        <v>2.0899999999999998E-3</v>
      </c>
    </row>
    <row r="2336" spans="1:10">
      <c r="A2336" t="s">
        <v>2418</v>
      </c>
      <c r="B2336">
        <v>43</v>
      </c>
      <c r="C2336" t="s">
        <v>7</v>
      </c>
      <c r="D2336">
        <v>9</v>
      </c>
      <c r="E2336">
        <v>51</v>
      </c>
      <c r="F2336">
        <v>1.64E-3</v>
      </c>
      <c r="G2336">
        <v>0</v>
      </c>
      <c r="H2336" t="str">
        <f t="shared" si="108"/>
        <v>50-59</v>
      </c>
      <c r="I2336" t="str">
        <f t="shared" si="109"/>
        <v>0-9</v>
      </c>
      <c r="J2336">
        <f t="shared" si="110"/>
        <v>1.64E-3</v>
      </c>
    </row>
    <row r="2337" spans="1:10">
      <c r="A2337" t="s">
        <v>2419</v>
      </c>
      <c r="B2337">
        <v>25</v>
      </c>
      <c r="C2337" t="s">
        <v>9</v>
      </c>
      <c r="D2337">
        <v>10</v>
      </c>
      <c r="E2337">
        <v>34</v>
      </c>
      <c r="F2337">
        <v>6.6E-4</v>
      </c>
      <c r="G2337">
        <v>0</v>
      </c>
      <c r="H2337" t="str">
        <f t="shared" si="108"/>
        <v>30-39</v>
      </c>
      <c r="I2337" t="str">
        <f t="shared" si="109"/>
        <v>10-19</v>
      </c>
      <c r="J2337">
        <f t="shared" si="110"/>
        <v>6.6E-4</v>
      </c>
    </row>
    <row r="2338" spans="1:10">
      <c r="A2338" t="s">
        <v>2420</v>
      </c>
      <c r="B2338">
        <v>57</v>
      </c>
      <c r="C2338" t="s">
        <v>9</v>
      </c>
      <c r="D2338">
        <v>2</v>
      </c>
      <c r="E2338">
        <v>58</v>
      </c>
      <c r="F2338">
        <v>2.2799999999999999E-3</v>
      </c>
      <c r="G2338">
        <v>0</v>
      </c>
      <c r="H2338" t="str">
        <f t="shared" si="108"/>
        <v>50-59</v>
      </c>
      <c r="I2338" t="str">
        <f t="shared" si="109"/>
        <v>0-9</v>
      </c>
      <c r="J2338">
        <f t="shared" si="110"/>
        <v>2.2799999999999999E-3</v>
      </c>
    </row>
    <row r="2339" spans="1:10">
      <c r="A2339" t="s">
        <v>2421</v>
      </c>
      <c r="B2339">
        <v>47</v>
      </c>
      <c r="C2339" t="s">
        <v>9</v>
      </c>
      <c r="D2339">
        <v>15</v>
      </c>
      <c r="E2339">
        <v>61</v>
      </c>
      <c r="F2339">
        <v>6.7799999999999996E-3</v>
      </c>
      <c r="G2339">
        <v>0</v>
      </c>
      <c r="H2339" t="str">
        <f t="shared" si="108"/>
        <v>60-69</v>
      </c>
      <c r="I2339" t="str">
        <f t="shared" si="109"/>
        <v>10-19</v>
      </c>
      <c r="J2339">
        <f t="shared" si="110"/>
        <v>6.7799999999999996E-3</v>
      </c>
    </row>
    <row r="2340" spans="1:10">
      <c r="A2340" t="s">
        <v>2422</v>
      </c>
      <c r="B2340">
        <v>51</v>
      </c>
      <c r="C2340" t="s">
        <v>9</v>
      </c>
      <c r="D2340">
        <v>11</v>
      </c>
      <c r="E2340">
        <v>61</v>
      </c>
      <c r="F2340">
        <v>6.5500000000000003E-3</v>
      </c>
      <c r="G2340">
        <v>0</v>
      </c>
      <c r="H2340" t="str">
        <f t="shared" si="108"/>
        <v>60-69</v>
      </c>
      <c r="I2340" t="str">
        <f t="shared" si="109"/>
        <v>10-19</v>
      </c>
      <c r="J2340">
        <f t="shared" si="110"/>
        <v>6.5500000000000003E-3</v>
      </c>
    </row>
    <row r="2341" spans="1:10">
      <c r="A2341" t="s">
        <v>2423</v>
      </c>
      <c r="B2341">
        <v>48</v>
      </c>
      <c r="C2341" t="s">
        <v>9</v>
      </c>
      <c r="D2341">
        <v>8</v>
      </c>
      <c r="E2341">
        <v>55</v>
      </c>
      <c r="F2341">
        <v>3.1099999999999999E-3</v>
      </c>
      <c r="G2341">
        <v>0</v>
      </c>
      <c r="H2341" t="str">
        <f t="shared" si="108"/>
        <v>50-59</v>
      </c>
      <c r="I2341" t="str">
        <f t="shared" si="109"/>
        <v>0-9</v>
      </c>
      <c r="J2341">
        <f t="shared" si="110"/>
        <v>3.1099999999999999E-3</v>
      </c>
    </row>
    <row r="2342" spans="1:10">
      <c r="A2342" t="s">
        <v>2424</v>
      </c>
      <c r="B2342">
        <v>25</v>
      </c>
      <c r="C2342" t="s">
        <v>7</v>
      </c>
      <c r="D2342">
        <v>10</v>
      </c>
      <c r="E2342">
        <v>34</v>
      </c>
      <c r="F2342">
        <v>4.6000000000000001E-4</v>
      </c>
      <c r="G2342">
        <v>0</v>
      </c>
      <c r="H2342" t="str">
        <f t="shared" si="108"/>
        <v>30-39</v>
      </c>
      <c r="I2342" t="str">
        <f t="shared" si="109"/>
        <v>10-19</v>
      </c>
      <c r="J2342">
        <f t="shared" si="110"/>
        <v>4.6000000000000001E-4</v>
      </c>
    </row>
    <row r="2343" spans="1:10">
      <c r="A2343" t="s">
        <v>2425</v>
      </c>
      <c r="B2343">
        <v>61</v>
      </c>
      <c r="C2343" t="s">
        <v>7</v>
      </c>
      <c r="D2343">
        <v>3</v>
      </c>
      <c r="E2343">
        <v>63</v>
      </c>
      <c r="F2343">
        <v>2.8900000000000002E-3</v>
      </c>
      <c r="G2343">
        <v>0</v>
      </c>
      <c r="H2343" t="str">
        <f t="shared" si="108"/>
        <v>60-69</v>
      </c>
      <c r="I2343" t="str">
        <f t="shared" si="109"/>
        <v>0-9</v>
      </c>
      <c r="J2343">
        <f t="shared" si="110"/>
        <v>2.8900000000000002E-3</v>
      </c>
    </row>
    <row r="2344" spans="1:10">
      <c r="A2344" t="s">
        <v>2426</v>
      </c>
      <c r="B2344">
        <v>26</v>
      </c>
      <c r="C2344" t="s">
        <v>9</v>
      </c>
      <c r="D2344">
        <v>4</v>
      </c>
      <c r="E2344">
        <v>29</v>
      </c>
      <c r="F2344">
        <v>3.8999999999999999E-4</v>
      </c>
      <c r="G2344">
        <v>0</v>
      </c>
      <c r="H2344" t="str">
        <f t="shared" si="108"/>
        <v>20-29</v>
      </c>
      <c r="I2344" t="str">
        <f t="shared" si="109"/>
        <v>0-9</v>
      </c>
      <c r="J2344">
        <f t="shared" si="110"/>
        <v>3.8999999999999999E-4</v>
      </c>
    </row>
    <row r="2345" spans="1:10">
      <c r="A2345" t="s">
        <v>2427</v>
      </c>
      <c r="B2345">
        <v>32</v>
      </c>
      <c r="C2345" t="s">
        <v>9</v>
      </c>
      <c r="D2345">
        <v>11</v>
      </c>
      <c r="E2345">
        <v>42</v>
      </c>
      <c r="F2345">
        <v>1.16E-3</v>
      </c>
      <c r="G2345">
        <v>0</v>
      </c>
      <c r="H2345" t="str">
        <f t="shared" si="108"/>
        <v>40-49</v>
      </c>
      <c r="I2345" t="str">
        <f t="shared" si="109"/>
        <v>10-19</v>
      </c>
      <c r="J2345">
        <f t="shared" si="110"/>
        <v>1.16E-3</v>
      </c>
    </row>
    <row r="2346" spans="1:10">
      <c r="A2346" t="s">
        <v>2428</v>
      </c>
      <c r="B2346">
        <v>39</v>
      </c>
      <c r="C2346" t="s">
        <v>7</v>
      </c>
      <c r="D2346">
        <v>24</v>
      </c>
      <c r="E2346">
        <v>62</v>
      </c>
      <c r="F2346">
        <v>6.0499999999999998E-3</v>
      </c>
      <c r="G2346">
        <v>0</v>
      </c>
      <c r="H2346" t="str">
        <f t="shared" si="108"/>
        <v>60-69</v>
      </c>
      <c r="I2346" t="str">
        <f t="shared" si="109"/>
        <v>20-29</v>
      </c>
      <c r="J2346">
        <f t="shared" si="110"/>
        <v>6.0499999999999998E-3</v>
      </c>
    </row>
    <row r="2347" spans="1:10">
      <c r="A2347" t="s">
        <v>2429</v>
      </c>
      <c r="B2347">
        <v>37</v>
      </c>
      <c r="C2347" t="s">
        <v>7</v>
      </c>
      <c r="D2347">
        <v>7</v>
      </c>
      <c r="E2347">
        <v>43</v>
      </c>
      <c r="F2347">
        <v>7.6000000000000004E-4</v>
      </c>
      <c r="G2347">
        <v>0</v>
      </c>
      <c r="H2347" t="str">
        <f t="shared" si="108"/>
        <v>40-49</v>
      </c>
      <c r="I2347" t="str">
        <f t="shared" si="109"/>
        <v>0-9</v>
      </c>
      <c r="J2347">
        <f t="shared" si="110"/>
        <v>7.6000000000000004E-4</v>
      </c>
    </row>
    <row r="2348" spans="1:10">
      <c r="A2348" t="s">
        <v>2430</v>
      </c>
      <c r="B2348">
        <v>65</v>
      </c>
      <c r="C2348" t="s">
        <v>7</v>
      </c>
      <c r="D2348">
        <v>24</v>
      </c>
      <c r="E2348">
        <v>88</v>
      </c>
      <c r="F2348">
        <v>0.10484</v>
      </c>
      <c r="G2348">
        <v>0</v>
      </c>
      <c r="H2348" t="str">
        <f t="shared" si="108"/>
        <v>80-89</v>
      </c>
      <c r="I2348" t="str">
        <f t="shared" si="109"/>
        <v>20-29</v>
      </c>
      <c r="J2348">
        <f t="shared" si="110"/>
        <v>0.10484</v>
      </c>
    </row>
    <row r="2349" spans="1:10">
      <c r="A2349" t="s">
        <v>2431</v>
      </c>
      <c r="B2349">
        <v>39</v>
      </c>
      <c r="C2349" t="s">
        <v>7</v>
      </c>
      <c r="D2349">
        <v>10</v>
      </c>
      <c r="E2349">
        <v>48</v>
      </c>
      <c r="F2349">
        <v>1.2899999999999999E-3</v>
      </c>
      <c r="G2349">
        <v>0</v>
      </c>
      <c r="H2349" t="str">
        <f t="shared" si="108"/>
        <v>40-49</v>
      </c>
      <c r="I2349" t="str">
        <f t="shared" si="109"/>
        <v>10-19</v>
      </c>
      <c r="J2349">
        <f t="shared" si="110"/>
        <v>1.2899999999999999E-3</v>
      </c>
    </row>
    <row r="2350" spans="1:10">
      <c r="A2350" t="s">
        <v>2432</v>
      </c>
      <c r="B2350">
        <v>45</v>
      </c>
      <c r="C2350" t="s">
        <v>7</v>
      </c>
      <c r="D2350">
        <v>13</v>
      </c>
      <c r="E2350">
        <v>57</v>
      </c>
      <c r="F2350">
        <v>3.2399999999999998E-3</v>
      </c>
      <c r="G2350">
        <v>0</v>
      </c>
      <c r="H2350" t="str">
        <f t="shared" si="108"/>
        <v>50-59</v>
      </c>
      <c r="I2350" t="str">
        <f t="shared" si="109"/>
        <v>10-19</v>
      </c>
      <c r="J2350">
        <f t="shared" si="110"/>
        <v>3.2399999999999998E-3</v>
      </c>
    </row>
    <row r="2351" spans="1:10">
      <c r="A2351" t="s">
        <v>2433</v>
      </c>
      <c r="B2351">
        <v>20</v>
      </c>
      <c r="C2351" t="s">
        <v>7</v>
      </c>
      <c r="D2351">
        <v>16</v>
      </c>
      <c r="E2351">
        <v>35</v>
      </c>
      <c r="F2351">
        <v>6.6E-4</v>
      </c>
      <c r="G2351">
        <v>0</v>
      </c>
      <c r="H2351" t="str">
        <f t="shared" si="108"/>
        <v>30-39</v>
      </c>
      <c r="I2351" t="str">
        <f t="shared" si="109"/>
        <v>10-19</v>
      </c>
      <c r="J2351">
        <f t="shared" si="110"/>
        <v>6.6E-4</v>
      </c>
    </row>
    <row r="2352" spans="1:10">
      <c r="A2352" t="s">
        <v>2434</v>
      </c>
      <c r="B2352">
        <v>29</v>
      </c>
      <c r="C2352" t="s">
        <v>9</v>
      </c>
      <c r="D2352">
        <v>28</v>
      </c>
      <c r="E2352">
        <v>56</v>
      </c>
      <c r="F2352">
        <v>3.7499999999999999E-3</v>
      </c>
      <c r="G2352">
        <v>0</v>
      </c>
      <c r="H2352" t="str">
        <f t="shared" si="108"/>
        <v>50-59</v>
      </c>
      <c r="I2352" t="str">
        <f t="shared" si="109"/>
        <v>20-29</v>
      </c>
      <c r="J2352">
        <f t="shared" si="110"/>
        <v>3.7499999999999999E-3</v>
      </c>
    </row>
    <row r="2353" spans="1:10">
      <c r="A2353" t="s">
        <v>2435</v>
      </c>
      <c r="B2353">
        <v>33</v>
      </c>
      <c r="C2353" t="s">
        <v>9</v>
      </c>
      <c r="D2353">
        <v>16</v>
      </c>
      <c r="E2353">
        <v>48</v>
      </c>
      <c r="F2353">
        <v>2.0500000000000002E-3</v>
      </c>
      <c r="G2353">
        <v>0</v>
      </c>
      <c r="H2353" t="str">
        <f t="shared" si="108"/>
        <v>40-49</v>
      </c>
      <c r="I2353" t="str">
        <f t="shared" si="109"/>
        <v>10-19</v>
      </c>
      <c r="J2353">
        <f t="shared" si="110"/>
        <v>2.0500000000000002E-3</v>
      </c>
    </row>
    <row r="2354" spans="1:10">
      <c r="A2354" t="s">
        <v>2436</v>
      </c>
      <c r="B2354">
        <v>55</v>
      </c>
      <c r="C2354" t="s">
        <v>9</v>
      </c>
      <c r="D2354">
        <v>25</v>
      </c>
      <c r="E2354">
        <v>79</v>
      </c>
      <c r="F2354">
        <v>4.5769999999999998E-2</v>
      </c>
      <c r="G2354">
        <v>0</v>
      </c>
      <c r="H2354" t="str">
        <f t="shared" si="108"/>
        <v>70-79</v>
      </c>
      <c r="I2354" t="str">
        <f t="shared" si="109"/>
        <v>20-29</v>
      </c>
      <c r="J2354">
        <f t="shared" si="110"/>
        <v>4.5769999999999998E-2</v>
      </c>
    </row>
    <row r="2355" spans="1:10">
      <c r="A2355" t="s">
        <v>2437</v>
      </c>
      <c r="B2355">
        <v>41</v>
      </c>
      <c r="C2355" t="s">
        <v>9</v>
      </c>
      <c r="D2355">
        <v>26</v>
      </c>
      <c r="E2355">
        <v>66</v>
      </c>
      <c r="F2355">
        <v>1.1730000000000001E-2</v>
      </c>
      <c r="G2355">
        <v>0</v>
      </c>
      <c r="H2355" t="str">
        <f t="shared" si="108"/>
        <v>60-69</v>
      </c>
      <c r="I2355" t="str">
        <f t="shared" si="109"/>
        <v>20-29</v>
      </c>
      <c r="J2355">
        <f t="shared" si="110"/>
        <v>1.1730000000000001E-2</v>
      </c>
    </row>
    <row r="2356" spans="1:10">
      <c r="A2356" t="s">
        <v>2438</v>
      </c>
      <c r="B2356">
        <v>47</v>
      </c>
      <c r="C2356" t="s">
        <v>7</v>
      </c>
      <c r="D2356">
        <v>25</v>
      </c>
      <c r="E2356">
        <v>71</v>
      </c>
      <c r="F2356">
        <v>1.553E-2</v>
      </c>
      <c r="G2356">
        <v>0</v>
      </c>
      <c r="H2356" t="str">
        <f t="shared" si="108"/>
        <v>70-79</v>
      </c>
      <c r="I2356" t="str">
        <f t="shared" si="109"/>
        <v>20-29</v>
      </c>
      <c r="J2356">
        <f t="shared" si="110"/>
        <v>1.553E-2</v>
      </c>
    </row>
    <row r="2357" spans="1:10">
      <c r="A2357" t="s">
        <v>2439</v>
      </c>
      <c r="B2357">
        <v>48</v>
      </c>
      <c r="C2357" t="s">
        <v>7</v>
      </c>
      <c r="D2357">
        <v>15</v>
      </c>
      <c r="E2357">
        <v>62</v>
      </c>
      <c r="F2357">
        <v>5.6600000000000001E-3</v>
      </c>
      <c r="G2357">
        <v>0</v>
      </c>
      <c r="H2357" t="str">
        <f t="shared" si="108"/>
        <v>60-69</v>
      </c>
      <c r="I2357" t="str">
        <f t="shared" si="109"/>
        <v>10-19</v>
      </c>
      <c r="J2357">
        <f t="shared" si="110"/>
        <v>5.6600000000000001E-3</v>
      </c>
    </row>
    <row r="2358" spans="1:10">
      <c r="A2358" t="s">
        <v>2440</v>
      </c>
      <c r="B2358">
        <v>28</v>
      </c>
      <c r="C2358" t="s">
        <v>7</v>
      </c>
      <c r="D2358">
        <v>19</v>
      </c>
      <c r="E2358">
        <v>46</v>
      </c>
      <c r="F2358">
        <v>1.41E-3</v>
      </c>
      <c r="G2358">
        <v>0</v>
      </c>
      <c r="H2358" t="str">
        <f t="shared" si="108"/>
        <v>40-49</v>
      </c>
      <c r="I2358" t="str">
        <f t="shared" si="109"/>
        <v>10-19</v>
      </c>
      <c r="J2358">
        <f t="shared" si="110"/>
        <v>1.41E-3</v>
      </c>
    </row>
    <row r="2359" spans="1:10">
      <c r="A2359" t="s">
        <v>2441</v>
      </c>
      <c r="B2359">
        <v>20</v>
      </c>
      <c r="C2359" t="s">
        <v>7</v>
      </c>
      <c r="D2359">
        <v>16</v>
      </c>
      <c r="E2359">
        <v>35</v>
      </c>
      <c r="F2359">
        <v>6.6E-4</v>
      </c>
      <c r="G2359">
        <v>0</v>
      </c>
      <c r="H2359" t="str">
        <f t="shared" si="108"/>
        <v>30-39</v>
      </c>
      <c r="I2359" t="str">
        <f t="shared" si="109"/>
        <v>10-19</v>
      </c>
      <c r="J2359">
        <f t="shared" si="110"/>
        <v>6.6E-4</v>
      </c>
    </row>
    <row r="2360" spans="1:10">
      <c r="A2360" t="s">
        <v>2442</v>
      </c>
      <c r="B2360">
        <v>41</v>
      </c>
      <c r="C2360" t="s">
        <v>9</v>
      </c>
      <c r="D2360">
        <v>8</v>
      </c>
      <c r="E2360">
        <v>48</v>
      </c>
      <c r="F2360">
        <v>1.58E-3</v>
      </c>
      <c r="G2360">
        <v>0</v>
      </c>
      <c r="H2360" t="str">
        <f t="shared" si="108"/>
        <v>40-49</v>
      </c>
      <c r="I2360" t="str">
        <f t="shared" si="109"/>
        <v>0-9</v>
      </c>
      <c r="J2360">
        <f t="shared" si="110"/>
        <v>1.58E-3</v>
      </c>
    </row>
    <row r="2361" spans="1:10">
      <c r="A2361" t="s">
        <v>2443</v>
      </c>
      <c r="B2361">
        <v>45</v>
      </c>
      <c r="C2361" t="s">
        <v>7</v>
      </c>
      <c r="D2361">
        <v>25</v>
      </c>
      <c r="E2361">
        <v>69</v>
      </c>
      <c r="F2361">
        <v>1.2659999999999999E-2</v>
      </c>
      <c r="G2361">
        <v>0</v>
      </c>
      <c r="H2361" t="str">
        <f t="shared" si="108"/>
        <v>60-69</v>
      </c>
      <c r="I2361" t="str">
        <f t="shared" si="109"/>
        <v>20-29</v>
      </c>
      <c r="J2361">
        <f t="shared" si="110"/>
        <v>1.2659999999999999E-2</v>
      </c>
    </row>
    <row r="2362" spans="1:10">
      <c r="A2362" t="s">
        <v>2444</v>
      </c>
      <c r="B2362">
        <v>40</v>
      </c>
      <c r="C2362" t="s">
        <v>9</v>
      </c>
      <c r="D2362">
        <v>19</v>
      </c>
      <c r="E2362">
        <v>58</v>
      </c>
      <c r="F2362">
        <v>5.2100000000000002E-3</v>
      </c>
      <c r="G2362">
        <v>0</v>
      </c>
      <c r="H2362" t="str">
        <f t="shared" si="108"/>
        <v>50-59</v>
      </c>
      <c r="I2362" t="str">
        <f t="shared" si="109"/>
        <v>10-19</v>
      </c>
      <c r="J2362">
        <f t="shared" si="110"/>
        <v>5.2100000000000002E-3</v>
      </c>
    </row>
    <row r="2363" spans="1:10">
      <c r="A2363" t="s">
        <v>2445</v>
      </c>
      <c r="B2363">
        <v>28</v>
      </c>
      <c r="C2363" t="s">
        <v>7</v>
      </c>
      <c r="D2363">
        <v>5</v>
      </c>
      <c r="E2363">
        <v>32</v>
      </c>
      <c r="F2363">
        <v>2.5999999999999998E-4</v>
      </c>
      <c r="G2363">
        <v>0</v>
      </c>
      <c r="H2363" t="str">
        <f t="shared" si="108"/>
        <v>30-39</v>
      </c>
      <c r="I2363" t="str">
        <f t="shared" si="109"/>
        <v>0-9</v>
      </c>
      <c r="J2363">
        <f t="shared" si="110"/>
        <v>2.5999999999999998E-4</v>
      </c>
    </row>
    <row r="2364" spans="1:10">
      <c r="A2364" t="s">
        <v>2446</v>
      </c>
      <c r="B2364">
        <v>56</v>
      </c>
      <c r="C2364" t="s">
        <v>7</v>
      </c>
      <c r="D2364">
        <v>21</v>
      </c>
      <c r="E2364">
        <v>76</v>
      </c>
      <c r="F2364">
        <v>2.58E-2</v>
      </c>
      <c r="G2364">
        <v>0</v>
      </c>
      <c r="H2364" t="str">
        <f t="shared" si="108"/>
        <v>70-79</v>
      </c>
      <c r="I2364" t="str">
        <f t="shared" si="109"/>
        <v>20-29</v>
      </c>
      <c r="J2364">
        <f t="shared" si="110"/>
        <v>2.58E-2</v>
      </c>
    </row>
    <row r="2365" spans="1:10">
      <c r="A2365" t="s">
        <v>2447</v>
      </c>
      <c r="B2365">
        <v>56</v>
      </c>
      <c r="C2365" t="s">
        <v>9</v>
      </c>
      <c r="D2365">
        <v>28</v>
      </c>
      <c r="E2365">
        <v>83</v>
      </c>
      <c r="F2365">
        <v>5.6829999999999999E-2</v>
      </c>
      <c r="G2365">
        <v>0</v>
      </c>
      <c r="H2365" t="str">
        <f t="shared" si="108"/>
        <v>80-89</v>
      </c>
      <c r="I2365" t="str">
        <f t="shared" si="109"/>
        <v>20-29</v>
      </c>
      <c r="J2365">
        <f t="shared" si="110"/>
        <v>5.6829999999999999E-2</v>
      </c>
    </row>
    <row r="2366" spans="1:10">
      <c r="A2366" t="s">
        <v>2448</v>
      </c>
      <c r="B2366">
        <v>45</v>
      </c>
      <c r="C2366" t="s">
        <v>7</v>
      </c>
      <c r="D2366">
        <v>3</v>
      </c>
      <c r="E2366">
        <v>47</v>
      </c>
      <c r="F2366">
        <v>6.8000000000000005E-4</v>
      </c>
      <c r="G2366">
        <v>0</v>
      </c>
      <c r="H2366" t="str">
        <f t="shared" si="108"/>
        <v>40-49</v>
      </c>
      <c r="I2366" t="str">
        <f t="shared" si="109"/>
        <v>0-9</v>
      </c>
      <c r="J2366">
        <f t="shared" si="110"/>
        <v>6.8000000000000005E-4</v>
      </c>
    </row>
    <row r="2367" spans="1:10">
      <c r="A2367" t="s">
        <v>2449</v>
      </c>
      <c r="B2367">
        <v>26</v>
      </c>
      <c r="C2367" t="s">
        <v>7</v>
      </c>
      <c r="D2367">
        <v>11</v>
      </c>
      <c r="E2367">
        <v>36</v>
      </c>
      <c r="F2367">
        <v>5.5999999999999995E-4</v>
      </c>
      <c r="G2367">
        <v>0</v>
      </c>
      <c r="H2367" t="str">
        <f t="shared" si="108"/>
        <v>30-39</v>
      </c>
      <c r="I2367" t="str">
        <f t="shared" si="109"/>
        <v>10-19</v>
      </c>
      <c r="J2367">
        <f t="shared" si="110"/>
        <v>5.5999999999999995E-4</v>
      </c>
    </row>
    <row r="2368" spans="1:10">
      <c r="A2368" t="s">
        <v>2450</v>
      </c>
      <c r="B2368">
        <v>39</v>
      </c>
      <c r="C2368" t="s">
        <v>9</v>
      </c>
      <c r="D2368">
        <v>3</v>
      </c>
      <c r="E2368">
        <v>41</v>
      </c>
      <c r="F2368">
        <v>6.8999999999999997E-4</v>
      </c>
      <c r="G2368">
        <v>0</v>
      </c>
      <c r="H2368" t="str">
        <f t="shared" si="108"/>
        <v>40-49</v>
      </c>
      <c r="I2368" t="str">
        <f t="shared" si="109"/>
        <v>0-9</v>
      </c>
      <c r="J2368">
        <f t="shared" si="110"/>
        <v>6.8999999999999997E-4</v>
      </c>
    </row>
    <row r="2369" spans="1:10">
      <c r="A2369" t="s">
        <v>2451</v>
      </c>
      <c r="B2369">
        <v>31</v>
      </c>
      <c r="C2369" t="s">
        <v>7</v>
      </c>
      <c r="D2369">
        <v>2</v>
      </c>
      <c r="E2369">
        <v>32</v>
      </c>
      <c r="F2369">
        <v>1.9000000000000001E-4</v>
      </c>
      <c r="G2369">
        <v>0</v>
      </c>
      <c r="H2369" t="str">
        <f t="shared" si="108"/>
        <v>30-39</v>
      </c>
      <c r="I2369" t="str">
        <f t="shared" si="109"/>
        <v>0-9</v>
      </c>
      <c r="J2369">
        <f t="shared" si="110"/>
        <v>1.9000000000000001E-4</v>
      </c>
    </row>
    <row r="2370" spans="1:10">
      <c r="A2370" t="s">
        <v>2452</v>
      </c>
      <c r="B2370">
        <v>21</v>
      </c>
      <c r="C2370" t="s">
        <v>9</v>
      </c>
      <c r="D2370">
        <v>6</v>
      </c>
      <c r="E2370">
        <v>26</v>
      </c>
      <c r="F2370">
        <v>6.8000000000000005E-4</v>
      </c>
      <c r="G2370">
        <v>0</v>
      </c>
      <c r="H2370" t="str">
        <f t="shared" si="108"/>
        <v>20-29</v>
      </c>
      <c r="I2370" t="str">
        <f t="shared" si="109"/>
        <v>0-9</v>
      </c>
      <c r="J2370">
        <f t="shared" si="110"/>
        <v>6.8000000000000005E-4</v>
      </c>
    </row>
    <row r="2371" spans="1:10">
      <c r="A2371" t="s">
        <v>2453</v>
      </c>
      <c r="B2371">
        <v>44</v>
      </c>
      <c r="C2371" t="s">
        <v>9</v>
      </c>
      <c r="D2371">
        <v>10</v>
      </c>
      <c r="E2371">
        <v>53</v>
      </c>
      <c r="F2371">
        <v>2.7200000000000002E-3</v>
      </c>
      <c r="G2371">
        <v>0</v>
      </c>
      <c r="H2371" t="str">
        <f t="shared" ref="H2371:H2434" si="111">FLOOR(E2371,10) &amp; "-" &amp; FLOOR(E2371,10)+9</f>
        <v>50-59</v>
      </c>
      <c r="I2371" t="str">
        <f t="shared" ref="I2371:I2434" si="112">FLOOR(D2371, 10) &amp; "-"&amp;FLOOR(D2371, 10)+9</f>
        <v>10-19</v>
      </c>
      <c r="J2371">
        <f t="shared" ref="J2371:J2434" si="113">F2371</f>
        <v>2.7200000000000002E-3</v>
      </c>
    </row>
    <row r="2372" spans="1:10">
      <c r="A2372" t="s">
        <v>2454</v>
      </c>
      <c r="B2372">
        <v>53</v>
      </c>
      <c r="C2372" t="s">
        <v>9</v>
      </c>
      <c r="D2372">
        <v>3</v>
      </c>
      <c r="E2372">
        <v>55</v>
      </c>
      <c r="F2372">
        <v>2.4099999999999998E-3</v>
      </c>
      <c r="G2372">
        <v>0</v>
      </c>
      <c r="H2372" t="str">
        <f t="shared" si="111"/>
        <v>50-59</v>
      </c>
      <c r="I2372" t="str">
        <f t="shared" si="112"/>
        <v>0-9</v>
      </c>
      <c r="J2372">
        <f t="shared" si="113"/>
        <v>2.4099999999999998E-3</v>
      </c>
    </row>
    <row r="2373" spans="1:10">
      <c r="A2373" t="s">
        <v>2455</v>
      </c>
      <c r="B2373">
        <v>20</v>
      </c>
      <c r="C2373" t="s">
        <v>9</v>
      </c>
      <c r="D2373">
        <v>6</v>
      </c>
      <c r="E2373">
        <v>25</v>
      </c>
      <c r="F2373">
        <v>7.7999999999999999E-4</v>
      </c>
      <c r="G2373">
        <v>0</v>
      </c>
      <c r="H2373" t="str">
        <f t="shared" si="111"/>
        <v>20-29</v>
      </c>
      <c r="I2373" t="str">
        <f t="shared" si="112"/>
        <v>0-9</v>
      </c>
      <c r="J2373">
        <f t="shared" si="113"/>
        <v>7.7999999999999999E-4</v>
      </c>
    </row>
    <row r="2374" spans="1:10">
      <c r="A2374" t="s">
        <v>2456</v>
      </c>
      <c r="B2374">
        <v>45</v>
      </c>
      <c r="C2374" t="s">
        <v>7</v>
      </c>
      <c r="D2374">
        <v>6</v>
      </c>
      <c r="E2374">
        <v>50</v>
      </c>
      <c r="F2374">
        <v>1.2800000000000001E-3</v>
      </c>
      <c r="G2374">
        <v>0</v>
      </c>
      <c r="H2374" t="str">
        <f t="shared" si="111"/>
        <v>50-59</v>
      </c>
      <c r="I2374" t="str">
        <f t="shared" si="112"/>
        <v>0-9</v>
      </c>
      <c r="J2374">
        <f t="shared" si="113"/>
        <v>1.2800000000000001E-3</v>
      </c>
    </row>
    <row r="2375" spans="1:10">
      <c r="A2375" t="s">
        <v>2457</v>
      </c>
      <c r="B2375">
        <v>46</v>
      </c>
      <c r="C2375" t="s">
        <v>7</v>
      </c>
      <c r="D2375">
        <v>16</v>
      </c>
      <c r="E2375">
        <v>61</v>
      </c>
      <c r="F2375">
        <v>5.13E-3</v>
      </c>
      <c r="G2375">
        <v>0</v>
      </c>
      <c r="H2375" t="str">
        <f t="shared" si="111"/>
        <v>60-69</v>
      </c>
      <c r="I2375" t="str">
        <f t="shared" si="112"/>
        <v>10-19</v>
      </c>
      <c r="J2375">
        <f t="shared" si="113"/>
        <v>5.13E-3</v>
      </c>
    </row>
    <row r="2376" spans="1:10">
      <c r="A2376" t="s">
        <v>2458</v>
      </c>
      <c r="B2376">
        <v>33</v>
      </c>
      <c r="C2376" t="s">
        <v>7</v>
      </c>
      <c r="D2376">
        <v>5</v>
      </c>
      <c r="E2376">
        <v>37</v>
      </c>
      <c r="F2376">
        <v>4.2000000000000002E-4</v>
      </c>
      <c r="G2376">
        <v>0</v>
      </c>
      <c r="H2376" t="str">
        <f t="shared" si="111"/>
        <v>30-39</v>
      </c>
      <c r="I2376" t="str">
        <f t="shared" si="112"/>
        <v>0-9</v>
      </c>
      <c r="J2376">
        <f t="shared" si="113"/>
        <v>4.2000000000000002E-4</v>
      </c>
    </row>
    <row r="2377" spans="1:10">
      <c r="A2377" t="s">
        <v>2459</v>
      </c>
      <c r="B2377">
        <v>65</v>
      </c>
      <c r="C2377" t="s">
        <v>9</v>
      </c>
      <c r="D2377">
        <v>22</v>
      </c>
      <c r="E2377">
        <v>86</v>
      </c>
      <c r="F2377">
        <v>0.10324</v>
      </c>
      <c r="G2377">
        <v>0</v>
      </c>
      <c r="H2377" t="str">
        <f t="shared" si="111"/>
        <v>80-89</v>
      </c>
      <c r="I2377" t="str">
        <f t="shared" si="112"/>
        <v>20-29</v>
      </c>
      <c r="J2377">
        <f t="shared" si="113"/>
        <v>0.10324</v>
      </c>
    </row>
    <row r="2378" spans="1:10">
      <c r="A2378" t="s">
        <v>2460</v>
      </c>
      <c r="B2378">
        <v>39</v>
      </c>
      <c r="C2378" t="s">
        <v>9</v>
      </c>
      <c r="D2378">
        <v>19</v>
      </c>
      <c r="E2378">
        <v>57</v>
      </c>
      <c r="F2378">
        <v>4.6699999999999997E-3</v>
      </c>
      <c r="G2378">
        <v>0</v>
      </c>
      <c r="H2378" t="str">
        <f t="shared" si="111"/>
        <v>50-59</v>
      </c>
      <c r="I2378" t="str">
        <f t="shared" si="112"/>
        <v>10-19</v>
      </c>
      <c r="J2378">
        <f t="shared" si="113"/>
        <v>4.6699999999999997E-3</v>
      </c>
    </row>
    <row r="2379" spans="1:10">
      <c r="A2379" t="s">
        <v>2461</v>
      </c>
      <c r="B2379">
        <v>49</v>
      </c>
      <c r="C2379" t="s">
        <v>9</v>
      </c>
      <c r="D2379">
        <v>9</v>
      </c>
      <c r="E2379">
        <v>57</v>
      </c>
      <c r="F2379">
        <v>3.9300000000000003E-3</v>
      </c>
      <c r="G2379">
        <v>0</v>
      </c>
      <c r="H2379" t="str">
        <f t="shared" si="111"/>
        <v>50-59</v>
      </c>
      <c r="I2379" t="str">
        <f t="shared" si="112"/>
        <v>0-9</v>
      </c>
      <c r="J2379">
        <f t="shared" si="113"/>
        <v>3.9300000000000003E-3</v>
      </c>
    </row>
    <row r="2380" spans="1:10">
      <c r="A2380" t="s">
        <v>2462</v>
      </c>
      <c r="B2380">
        <v>48</v>
      </c>
      <c r="C2380" t="s">
        <v>7</v>
      </c>
      <c r="D2380">
        <v>3</v>
      </c>
      <c r="E2380">
        <v>50</v>
      </c>
      <c r="F2380">
        <v>9.7999999999999997E-4</v>
      </c>
      <c r="G2380">
        <v>0</v>
      </c>
      <c r="H2380" t="str">
        <f t="shared" si="111"/>
        <v>50-59</v>
      </c>
      <c r="I2380" t="str">
        <f t="shared" si="112"/>
        <v>0-9</v>
      </c>
      <c r="J2380">
        <f t="shared" si="113"/>
        <v>9.7999999999999997E-4</v>
      </c>
    </row>
    <row r="2381" spans="1:10">
      <c r="A2381" t="s">
        <v>2463</v>
      </c>
      <c r="B2381">
        <v>35</v>
      </c>
      <c r="C2381" t="s">
        <v>9</v>
      </c>
      <c r="D2381">
        <v>17</v>
      </c>
      <c r="E2381">
        <v>51</v>
      </c>
      <c r="F2381">
        <v>2.65E-3</v>
      </c>
      <c r="G2381">
        <v>0</v>
      </c>
      <c r="H2381" t="str">
        <f t="shared" si="111"/>
        <v>50-59</v>
      </c>
      <c r="I2381" t="str">
        <f t="shared" si="112"/>
        <v>10-19</v>
      </c>
      <c r="J2381">
        <f t="shared" si="113"/>
        <v>2.65E-3</v>
      </c>
    </row>
    <row r="2382" spans="1:10">
      <c r="A2382" t="s">
        <v>2464</v>
      </c>
      <c r="B2382">
        <v>51</v>
      </c>
      <c r="C2382" t="s">
        <v>9</v>
      </c>
      <c r="D2382">
        <v>15</v>
      </c>
      <c r="E2382">
        <v>65</v>
      </c>
      <c r="F2382">
        <v>1.005E-2</v>
      </c>
      <c r="G2382">
        <v>0</v>
      </c>
      <c r="H2382" t="str">
        <f t="shared" si="111"/>
        <v>60-69</v>
      </c>
      <c r="I2382" t="str">
        <f t="shared" si="112"/>
        <v>10-19</v>
      </c>
      <c r="J2382">
        <f t="shared" si="113"/>
        <v>1.005E-2</v>
      </c>
    </row>
    <row r="2383" spans="1:10">
      <c r="A2383" t="s">
        <v>2465</v>
      </c>
      <c r="B2383">
        <v>25</v>
      </c>
      <c r="C2383" t="s">
        <v>7</v>
      </c>
      <c r="D2383">
        <v>10</v>
      </c>
      <c r="E2383">
        <v>34</v>
      </c>
      <c r="F2383">
        <v>4.6000000000000001E-4</v>
      </c>
      <c r="G2383">
        <v>0</v>
      </c>
      <c r="H2383" t="str">
        <f t="shared" si="111"/>
        <v>30-39</v>
      </c>
      <c r="I2383" t="str">
        <f t="shared" si="112"/>
        <v>10-19</v>
      </c>
      <c r="J2383">
        <f t="shared" si="113"/>
        <v>4.6000000000000001E-4</v>
      </c>
    </row>
    <row r="2384" spans="1:10">
      <c r="A2384" t="s">
        <v>2466</v>
      </c>
      <c r="B2384">
        <v>42</v>
      </c>
      <c r="C2384" t="s">
        <v>7</v>
      </c>
      <c r="D2384">
        <v>23</v>
      </c>
      <c r="E2384">
        <v>64</v>
      </c>
      <c r="F2384">
        <v>7.4700000000000001E-3</v>
      </c>
      <c r="G2384">
        <v>0</v>
      </c>
      <c r="H2384" t="str">
        <f t="shared" si="111"/>
        <v>60-69</v>
      </c>
      <c r="I2384" t="str">
        <f t="shared" si="112"/>
        <v>20-29</v>
      </c>
      <c r="J2384">
        <f t="shared" si="113"/>
        <v>7.4700000000000001E-3</v>
      </c>
    </row>
    <row r="2385" spans="1:10">
      <c r="A2385" t="s">
        <v>2467</v>
      </c>
      <c r="B2385">
        <v>45</v>
      </c>
      <c r="C2385" t="s">
        <v>7</v>
      </c>
      <c r="D2385">
        <v>20</v>
      </c>
      <c r="E2385">
        <v>64</v>
      </c>
      <c r="F2385">
        <v>7.4000000000000003E-3</v>
      </c>
      <c r="G2385">
        <v>0</v>
      </c>
      <c r="H2385" t="str">
        <f t="shared" si="111"/>
        <v>60-69</v>
      </c>
      <c r="I2385" t="str">
        <f t="shared" si="112"/>
        <v>20-29</v>
      </c>
      <c r="J2385">
        <f t="shared" si="113"/>
        <v>7.4000000000000003E-3</v>
      </c>
    </row>
    <row r="2386" spans="1:10">
      <c r="A2386" t="s">
        <v>2468</v>
      </c>
      <c r="B2386">
        <v>46</v>
      </c>
      <c r="C2386" t="s">
        <v>9</v>
      </c>
      <c r="D2386">
        <v>8</v>
      </c>
      <c r="E2386">
        <v>53</v>
      </c>
      <c r="F2386">
        <v>2.5600000000000002E-3</v>
      </c>
      <c r="G2386">
        <v>0</v>
      </c>
      <c r="H2386" t="str">
        <f t="shared" si="111"/>
        <v>50-59</v>
      </c>
      <c r="I2386" t="str">
        <f t="shared" si="112"/>
        <v>0-9</v>
      </c>
      <c r="J2386">
        <f t="shared" si="113"/>
        <v>2.5600000000000002E-3</v>
      </c>
    </row>
    <row r="2387" spans="1:10">
      <c r="A2387" t="s">
        <v>2469</v>
      </c>
      <c r="B2387">
        <v>47</v>
      </c>
      <c r="C2387" t="s">
        <v>9</v>
      </c>
      <c r="D2387">
        <v>15</v>
      </c>
      <c r="E2387">
        <v>61</v>
      </c>
      <c r="F2387">
        <v>6.7799999999999996E-3</v>
      </c>
      <c r="G2387">
        <v>0</v>
      </c>
      <c r="H2387" t="str">
        <f t="shared" si="111"/>
        <v>60-69</v>
      </c>
      <c r="I2387" t="str">
        <f t="shared" si="112"/>
        <v>10-19</v>
      </c>
      <c r="J2387">
        <f t="shared" si="113"/>
        <v>6.7799999999999996E-3</v>
      </c>
    </row>
    <row r="2388" spans="1:10">
      <c r="A2388" t="s">
        <v>2470</v>
      </c>
      <c r="B2388">
        <v>64</v>
      </c>
      <c r="C2388" t="s">
        <v>9</v>
      </c>
      <c r="D2388">
        <v>19</v>
      </c>
      <c r="E2388">
        <v>82</v>
      </c>
      <c r="F2388">
        <v>6.2700000000000006E-2</v>
      </c>
      <c r="G2388">
        <v>0</v>
      </c>
      <c r="H2388" t="str">
        <f t="shared" si="111"/>
        <v>80-89</v>
      </c>
      <c r="I2388" t="str">
        <f t="shared" si="112"/>
        <v>10-19</v>
      </c>
      <c r="J2388">
        <f t="shared" si="113"/>
        <v>6.2700000000000006E-2</v>
      </c>
    </row>
    <row r="2389" spans="1:10">
      <c r="A2389" t="s">
        <v>2471</v>
      </c>
      <c r="B2389">
        <v>22</v>
      </c>
      <c r="C2389" t="s">
        <v>7</v>
      </c>
      <c r="D2389">
        <v>8</v>
      </c>
      <c r="E2389">
        <v>29</v>
      </c>
      <c r="F2389">
        <v>3.3E-4</v>
      </c>
      <c r="G2389">
        <v>0</v>
      </c>
      <c r="H2389" t="str">
        <f t="shared" si="111"/>
        <v>20-29</v>
      </c>
      <c r="I2389" t="str">
        <f t="shared" si="112"/>
        <v>0-9</v>
      </c>
      <c r="J2389">
        <f t="shared" si="113"/>
        <v>3.3E-4</v>
      </c>
    </row>
    <row r="2390" spans="1:10">
      <c r="A2390" t="s">
        <v>2472</v>
      </c>
      <c r="B2390">
        <v>60</v>
      </c>
      <c r="C2390" t="s">
        <v>9</v>
      </c>
      <c r="D2390">
        <v>18</v>
      </c>
      <c r="E2390">
        <v>77</v>
      </c>
      <c r="F2390">
        <v>3.6549999999999999E-2</v>
      </c>
      <c r="G2390">
        <v>0</v>
      </c>
      <c r="H2390" t="str">
        <f t="shared" si="111"/>
        <v>70-79</v>
      </c>
      <c r="I2390" t="str">
        <f t="shared" si="112"/>
        <v>10-19</v>
      </c>
      <c r="J2390">
        <f t="shared" si="113"/>
        <v>3.6549999999999999E-2</v>
      </c>
    </row>
    <row r="2391" spans="1:10">
      <c r="A2391" t="s">
        <v>2473</v>
      </c>
      <c r="B2391">
        <v>64</v>
      </c>
      <c r="C2391" t="s">
        <v>7</v>
      </c>
      <c r="D2391">
        <v>24</v>
      </c>
      <c r="E2391">
        <v>87</v>
      </c>
      <c r="F2391">
        <v>9.3240000000000003E-2</v>
      </c>
      <c r="G2391">
        <v>0</v>
      </c>
      <c r="H2391" t="str">
        <f t="shared" si="111"/>
        <v>80-89</v>
      </c>
      <c r="I2391" t="str">
        <f t="shared" si="112"/>
        <v>20-29</v>
      </c>
      <c r="J2391">
        <f t="shared" si="113"/>
        <v>9.3240000000000003E-2</v>
      </c>
    </row>
    <row r="2392" spans="1:10">
      <c r="A2392" t="s">
        <v>2474</v>
      </c>
      <c r="B2392">
        <v>51</v>
      </c>
      <c r="C2392" t="s">
        <v>7</v>
      </c>
      <c r="D2392">
        <v>14</v>
      </c>
      <c r="E2392">
        <v>64</v>
      </c>
      <c r="F2392">
        <v>6.6100000000000004E-3</v>
      </c>
      <c r="G2392">
        <v>0</v>
      </c>
      <c r="H2392" t="str">
        <f t="shared" si="111"/>
        <v>60-69</v>
      </c>
      <c r="I2392" t="str">
        <f t="shared" si="112"/>
        <v>10-19</v>
      </c>
      <c r="J2392">
        <f t="shared" si="113"/>
        <v>6.6100000000000004E-3</v>
      </c>
    </row>
    <row r="2393" spans="1:10">
      <c r="A2393" t="s">
        <v>2475</v>
      </c>
      <c r="B2393">
        <v>43</v>
      </c>
      <c r="C2393" t="s">
        <v>7</v>
      </c>
      <c r="D2393">
        <v>3</v>
      </c>
      <c r="E2393">
        <v>45</v>
      </c>
      <c r="F2393">
        <v>5.6999999999999998E-4</v>
      </c>
      <c r="G2393">
        <v>0</v>
      </c>
      <c r="H2393" t="str">
        <f t="shared" si="111"/>
        <v>40-49</v>
      </c>
      <c r="I2393" t="str">
        <f t="shared" si="112"/>
        <v>0-9</v>
      </c>
      <c r="J2393">
        <f t="shared" si="113"/>
        <v>5.6999999999999998E-4</v>
      </c>
    </row>
    <row r="2394" spans="1:10">
      <c r="A2394" t="s">
        <v>2476</v>
      </c>
      <c r="B2394">
        <v>40</v>
      </c>
      <c r="C2394" t="s">
        <v>9</v>
      </c>
      <c r="D2394">
        <v>14</v>
      </c>
      <c r="E2394">
        <v>53</v>
      </c>
      <c r="F2394">
        <v>2.9499999999999999E-3</v>
      </c>
      <c r="G2394">
        <v>0</v>
      </c>
      <c r="H2394" t="str">
        <f t="shared" si="111"/>
        <v>50-59</v>
      </c>
      <c r="I2394" t="str">
        <f t="shared" si="112"/>
        <v>10-19</v>
      </c>
      <c r="J2394">
        <f t="shared" si="113"/>
        <v>2.9499999999999999E-3</v>
      </c>
    </row>
    <row r="2395" spans="1:10">
      <c r="A2395" t="s">
        <v>2477</v>
      </c>
      <c r="B2395">
        <v>52</v>
      </c>
      <c r="C2395" t="s">
        <v>9</v>
      </c>
      <c r="D2395">
        <v>2</v>
      </c>
      <c r="E2395">
        <v>53</v>
      </c>
      <c r="F2395">
        <v>1.5E-3</v>
      </c>
      <c r="G2395">
        <v>0</v>
      </c>
      <c r="H2395" t="str">
        <f t="shared" si="111"/>
        <v>50-59</v>
      </c>
      <c r="I2395" t="str">
        <f t="shared" si="112"/>
        <v>0-9</v>
      </c>
      <c r="J2395">
        <f t="shared" si="113"/>
        <v>1.5E-3</v>
      </c>
    </row>
    <row r="2396" spans="1:10">
      <c r="A2396" t="s">
        <v>2478</v>
      </c>
      <c r="B2396">
        <v>64</v>
      </c>
      <c r="C2396" t="s">
        <v>7</v>
      </c>
      <c r="D2396">
        <v>22</v>
      </c>
      <c r="E2396">
        <v>85</v>
      </c>
      <c r="F2396">
        <v>7.2980000000000003E-2</v>
      </c>
      <c r="G2396">
        <v>0</v>
      </c>
      <c r="H2396" t="str">
        <f t="shared" si="111"/>
        <v>80-89</v>
      </c>
      <c r="I2396" t="str">
        <f t="shared" si="112"/>
        <v>20-29</v>
      </c>
      <c r="J2396">
        <f t="shared" si="113"/>
        <v>7.2980000000000003E-2</v>
      </c>
    </row>
    <row r="2397" spans="1:10">
      <c r="A2397" t="s">
        <v>2479</v>
      </c>
      <c r="B2397">
        <v>45</v>
      </c>
      <c r="C2397" t="s">
        <v>9</v>
      </c>
      <c r="D2397">
        <v>28</v>
      </c>
      <c r="E2397">
        <v>72</v>
      </c>
      <c r="F2397">
        <v>1.7160000000000002E-2</v>
      </c>
      <c r="G2397">
        <v>0</v>
      </c>
      <c r="H2397" t="str">
        <f t="shared" si="111"/>
        <v>70-79</v>
      </c>
      <c r="I2397" t="str">
        <f t="shared" si="112"/>
        <v>20-29</v>
      </c>
      <c r="J2397">
        <f t="shared" si="113"/>
        <v>1.7160000000000002E-2</v>
      </c>
    </row>
    <row r="2398" spans="1:10">
      <c r="A2398" t="s">
        <v>2480</v>
      </c>
      <c r="B2398">
        <v>36</v>
      </c>
      <c r="C2398" t="s">
        <v>7</v>
      </c>
      <c r="D2398">
        <v>4</v>
      </c>
      <c r="E2398">
        <v>39</v>
      </c>
      <c r="F2398">
        <v>4.8999999999999998E-4</v>
      </c>
      <c r="G2398">
        <v>0</v>
      </c>
      <c r="H2398" t="str">
        <f t="shared" si="111"/>
        <v>30-39</v>
      </c>
      <c r="I2398" t="str">
        <f t="shared" si="112"/>
        <v>0-9</v>
      </c>
      <c r="J2398">
        <f t="shared" si="113"/>
        <v>4.8999999999999998E-4</v>
      </c>
    </row>
    <row r="2399" spans="1:10">
      <c r="A2399" t="s">
        <v>2481</v>
      </c>
      <c r="B2399">
        <v>62</v>
      </c>
      <c r="C2399" t="s">
        <v>9</v>
      </c>
      <c r="D2399">
        <v>24</v>
      </c>
      <c r="E2399">
        <v>85</v>
      </c>
      <c r="F2399">
        <v>9.1270000000000004E-2</v>
      </c>
      <c r="G2399">
        <v>0</v>
      </c>
      <c r="H2399" t="str">
        <f t="shared" si="111"/>
        <v>80-89</v>
      </c>
      <c r="I2399" t="str">
        <f t="shared" si="112"/>
        <v>20-29</v>
      </c>
      <c r="J2399">
        <f t="shared" si="113"/>
        <v>9.1270000000000004E-2</v>
      </c>
    </row>
    <row r="2400" spans="1:10">
      <c r="A2400" t="s">
        <v>2482</v>
      </c>
      <c r="B2400">
        <v>25</v>
      </c>
      <c r="C2400" t="s">
        <v>7</v>
      </c>
      <c r="D2400">
        <v>18</v>
      </c>
      <c r="E2400">
        <v>42</v>
      </c>
      <c r="F2400">
        <v>1.1199999999999999E-3</v>
      </c>
      <c r="G2400">
        <v>0</v>
      </c>
      <c r="H2400" t="str">
        <f t="shared" si="111"/>
        <v>40-49</v>
      </c>
      <c r="I2400" t="str">
        <f t="shared" si="112"/>
        <v>10-19</v>
      </c>
      <c r="J2400">
        <f t="shared" si="113"/>
        <v>1.1199999999999999E-3</v>
      </c>
    </row>
    <row r="2401" spans="1:10">
      <c r="A2401" t="s">
        <v>2483</v>
      </c>
      <c r="B2401">
        <v>48</v>
      </c>
      <c r="C2401" t="s">
        <v>9</v>
      </c>
      <c r="D2401">
        <v>5</v>
      </c>
      <c r="E2401">
        <v>52</v>
      </c>
      <c r="F2401">
        <v>2.0600000000000002E-3</v>
      </c>
      <c r="G2401">
        <v>0</v>
      </c>
      <c r="H2401" t="str">
        <f t="shared" si="111"/>
        <v>50-59</v>
      </c>
      <c r="I2401" t="str">
        <f t="shared" si="112"/>
        <v>0-9</v>
      </c>
      <c r="J2401">
        <f t="shared" si="113"/>
        <v>2.0600000000000002E-3</v>
      </c>
    </row>
    <row r="2402" spans="1:10">
      <c r="A2402" t="s">
        <v>2484</v>
      </c>
      <c r="B2402">
        <v>30</v>
      </c>
      <c r="C2402" t="s">
        <v>7</v>
      </c>
      <c r="D2402">
        <v>6</v>
      </c>
      <c r="E2402">
        <v>35</v>
      </c>
      <c r="F2402">
        <v>3.5E-4</v>
      </c>
      <c r="G2402">
        <v>0</v>
      </c>
      <c r="H2402" t="str">
        <f t="shared" si="111"/>
        <v>30-39</v>
      </c>
      <c r="I2402" t="str">
        <f t="shared" si="112"/>
        <v>0-9</v>
      </c>
      <c r="J2402">
        <f t="shared" si="113"/>
        <v>3.5E-4</v>
      </c>
    </row>
    <row r="2403" spans="1:10">
      <c r="A2403" t="s">
        <v>2485</v>
      </c>
      <c r="B2403">
        <v>31</v>
      </c>
      <c r="C2403" t="s">
        <v>9</v>
      </c>
      <c r="D2403">
        <v>10</v>
      </c>
      <c r="E2403">
        <v>40</v>
      </c>
      <c r="F2403">
        <v>9.6000000000000002E-4</v>
      </c>
      <c r="G2403">
        <v>0</v>
      </c>
      <c r="H2403" t="str">
        <f t="shared" si="111"/>
        <v>40-49</v>
      </c>
      <c r="I2403" t="str">
        <f t="shared" si="112"/>
        <v>10-19</v>
      </c>
      <c r="J2403">
        <f t="shared" si="113"/>
        <v>9.6000000000000002E-4</v>
      </c>
    </row>
    <row r="2404" spans="1:10">
      <c r="A2404" t="s">
        <v>2486</v>
      </c>
      <c r="B2404">
        <v>30</v>
      </c>
      <c r="C2404" t="s">
        <v>7</v>
      </c>
      <c r="D2404">
        <v>3</v>
      </c>
      <c r="E2404">
        <v>32</v>
      </c>
      <c r="F2404">
        <v>2.2000000000000001E-4</v>
      </c>
      <c r="G2404">
        <v>0</v>
      </c>
      <c r="H2404" t="str">
        <f t="shared" si="111"/>
        <v>30-39</v>
      </c>
      <c r="I2404" t="str">
        <f t="shared" si="112"/>
        <v>0-9</v>
      </c>
      <c r="J2404">
        <f t="shared" si="113"/>
        <v>2.2000000000000001E-4</v>
      </c>
    </row>
    <row r="2405" spans="1:10">
      <c r="A2405" t="s">
        <v>2487</v>
      </c>
      <c r="B2405">
        <v>37</v>
      </c>
      <c r="C2405" t="s">
        <v>9</v>
      </c>
      <c r="D2405">
        <v>5</v>
      </c>
      <c r="E2405">
        <v>41</v>
      </c>
      <c r="F2405">
        <v>8.0000000000000004E-4</v>
      </c>
      <c r="G2405">
        <v>0</v>
      </c>
      <c r="H2405" t="str">
        <f t="shared" si="111"/>
        <v>40-49</v>
      </c>
      <c r="I2405" t="str">
        <f t="shared" si="112"/>
        <v>0-9</v>
      </c>
      <c r="J2405">
        <f t="shared" si="113"/>
        <v>8.0000000000000004E-4</v>
      </c>
    </row>
    <row r="2406" spans="1:10">
      <c r="A2406" t="s">
        <v>2488</v>
      </c>
      <c r="B2406">
        <v>65</v>
      </c>
      <c r="C2406" t="s">
        <v>7</v>
      </c>
      <c r="D2406">
        <v>2</v>
      </c>
      <c r="E2406">
        <v>66</v>
      </c>
      <c r="F2406">
        <v>2.8999999999999998E-3</v>
      </c>
      <c r="G2406">
        <v>0</v>
      </c>
      <c r="H2406" t="str">
        <f t="shared" si="111"/>
        <v>60-69</v>
      </c>
      <c r="I2406" t="str">
        <f t="shared" si="112"/>
        <v>0-9</v>
      </c>
      <c r="J2406">
        <f t="shared" si="113"/>
        <v>2.8999999999999998E-3</v>
      </c>
    </row>
    <row r="2407" spans="1:10">
      <c r="A2407" t="s">
        <v>2489</v>
      </c>
      <c r="B2407">
        <v>48</v>
      </c>
      <c r="C2407" t="s">
        <v>9</v>
      </c>
      <c r="D2407">
        <v>23</v>
      </c>
      <c r="E2407">
        <v>70</v>
      </c>
      <c r="F2407">
        <v>1.7160000000000002E-2</v>
      </c>
      <c r="G2407">
        <v>0</v>
      </c>
      <c r="H2407" t="str">
        <f t="shared" si="111"/>
        <v>70-79</v>
      </c>
      <c r="I2407" t="str">
        <f t="shared" si="112"/>
        <v>20-29</v>
      </c>
      <c r="J2407">
        <f t="shared" si="113"/>
        <v>1.7160000000000002E-2</v>
      </c>
    </row>
    <row r="2408" spans="1:10">
      <c r="A2408" t="s">
        <v>2490</v>
      </c>
      <c r="B2408">
        <v>53</v>
      </c>
      <c r="C2408" t="s">
        <v>7</v>
      </c>
      <c r="D2408">
        <v>21</v>
      </c>
      <c r="E2408">
        <v>73</v>
      </c>
      <c r="F2408">
        <v>1.8970000000000001E-2</v>
      </c>
      <c r="G2408">
        <v>0</v>
      </c>
      <c r="H2408" t="str">
        <f t="shared" si="111"/>
        <v>70-79</v>
      </c>
      <c r="I2408" t="str">
        <f t="shared" si="112"/>
        <v>20-29</v>
      </c>
      <c r="J2408">
        <f t="shared" si="113"/>
        <v>1.8970000000000001E-2</v>
      </c>
    </row>
    <row r="2409" spans="1:10">
      <c r="A2409" t="s">
        <v>2491</v>
      </c>
      <c r="B2409">
        <v>26</v>
      </c>
      <c r="C2409" t="s">
        <v>7</v>
      </c>
      <c r="D2409">
        <v>13</v>
      </c>
      <c r="E2409">
        <v>38</v>
      </c>
      <c r="F2409">
        <v>7.6000000000000004E-4</v>
      </c>
      <c r="G2409">
        <v>0</v>
      </c>
      <c r="H2409" t="str">
        <f t="shared" si="111"/>
        <v>30-39</v>
      </c>
      <c r="I2409" t="str">
        <f t="shared" si="112"/>
        <v>10-19</v>
      </c>
      <c r="J2409">
        <f t="shared" si="113"/>
        <v>7.6000000000000004E-4</v>
      </c>
    </row>
    <row r="2410" spans="1:10">
      <c r="A2410" t="s">
        <v>2492</v>
      </c>
      <c r="B2410">
        <v>58</v>
      </c>
      <c r="C2410" t="s">
        <v>9</v>
      </c>
      <c r="D2410">
        <v>1</v>
      </c>
      <c r="E2410">
        <v>58</v>
      </c>
      <c r="F2410">
        <v>1.56E-3</v>
      </c>
      <c r="G2410">
        <v>0</v>
      </c>
      <c r="H2410" t="str">
        <f t="shared" si="111"/>
        <v>50-59</v>
      </c>
      <c r="I2410" t="str">
        <f t="shared" si="112"/>
        <v>0-9</v>
      </c>
      <c r="J2410">
        <f t="shared" si="113"/>
        <v>1.56E-3</v>
      </c>
    </row>
    <row r="2411" spans="1:10">
      <c r="A2411" t="s">
        <v>2493</v>
      </c>
      <c r="B2411">
        <v>32</v>
      </c>
      <c r="C2411" t="s">
        <v>9</v>
      </c>
      <c r="D2411">
        <v>30</v>
      </c>
      <c r="E2411">
        <v>61</v>
      </c>
      <c r="F2411">
        <v>4.7800000000000004E-3</v>
      </c>
      <c r="G2411">
        <v>0</v>
      </c>
      <c r="H2411" t="str">
        <f t="shared" si="111"/>
        <v>60-69</v>
      </c>
      <c r="I2411" t="str">
        <f t="shared" si="112"/>
        <v>30-39</v>
      </c>
      <c r="J2411">
        <f t="shared" si="113"/>
        <v>4.7800000000000004E-3</v>
      </c>
    </row>
    <row r="2412" spans="1:10">
      <c r="A2412" t="s">
        <v>2494</v>
      </c>
      <c r="B2412">
        <v>32</v>
      </c>
      <c r="C2412" t="s">
        <v>9</v>
      </c>
      <c r="D2412">
        <v>3</v>
      </c>
      <c r="E2412">
        <v>34</v>
      </c>
      <c r="F2412">
        <v>4.0999999999999999E-4</v>
      </c>
      <c r="G2412">
        <v>0</v>
      </c>
      <c r="H2412" t="str">
        <f t="shared" si="111"/>
        <v>30-39</v>
      </c>
      <c r="I2412" t="str">
        <f t="shared" si="112"/>
        <v>0-9</v>
      </c>
      <c r="J2412">
        <f t="shared" si="113"/>
        <v>4.0999999999999999E-4</v>
      </c>
    </row>
    <row r="2413" spans="1:10">
      <c r="A2413" t="s">
        <v>2495</v>
      </c>
      <c r="B2413">
        <v>20</v>
      </c>
      <c r="C2413" t="s">
        <v>7</v>
      </c>
      <c r="D2413">
        <v>11</v>
      </c>
      <c r="E2413">
        <v>30</v>
      </c>
      <c r="F2413">
        <v>4.0000000000000002E-4</v>
      </c>
      <c r="G2413">
        <v>0</v>
      </c>
      <c r="H2413" t="str">
        <f t="shared" si="111"/>
        <v>30-39</v>
      </c>
      <c r="I2413" t="str">
        <f t="shared" si="112"/>
        <v>10-19</v>
      </c>
      <c r="J2413">
        <f t="shared" si="113"/>
        <v>4.0000000000000002E-4</v>
      </c>
    </row>
    <row r="2414" spans="1:10">
      <c r="A2414" t="s">
        <v>2496</v>
      </c>
      <c r="B2414">
        <v>24</v>
      </c>
      <c r="C2414" t="s">
        <v>7</v>
      </c>
      <c r="D2414">
        <v>8</v>
      </c>
      <c r="E2414">
        <v>31</v>
      </c>
      <c r="F2414">
        <v>3.5E-4</v>
      </c>
      <c r="G2414">
        <v>0</v>
      </c>
      <c r="H2414" t="str">
        <f t="shared" si="111"/>
        <v>30-39</v>
      </c>
      <c r="I2414" t="str">
        <f t="shared" si="112"/>
        <v>0-9</v>
      </c>
      <c r="J2414">
        <f t="shared" si="113"/>
        <v>3.5E-4</v>
      </c>
    </row>
    <row r="2415" spans="1:10">
      <c r="A2415" t="s">
        <v>2497</v>
      </c>
      <c r="B2415">
        <v>62</v>
      </c>
      <c r="C2415" t="s">
        <v>7</v>
      </c>
      <c r="D2415">
        <v>6</v>
      </c>
      <c r="E2415">
        <v>67</v>
      </c>
      <c r="F2415">
        <v>6.43E-3</v>
      </c>
      <c r="G2415">
        <v>0</v>
      </c>
      <c r="H2415" t="str">
        <f t="shared" si="111"/>
        <v>60-69</v>
      </c>
      <c r="I2415" t="str">
        <f t="shared" si="112"/>
        <v>0-9</v>
      </c>
      <c r="J2415">
        <f t="shared" si="113"/>
        <v>6.43E-3</v>
      </c>
    </row>
    <row r="2416" spans="1:10">
      <c r="A2416" t="s">
        <v>2498</v>
      </c>
      <c r="B2416">
        <v>52</v>
      </c>
      <c r="C2416" t="s">
        <v>7</v>
      </c>
      <c r="D2416">
        <v>4</v>
      </c>
      <c r="E2416">
        <v>55</v>
      </c>
      <c r="F2416">
        <v>1.8699999999999999E-3</v>
      </c>
      <c r="G2416">
        <v>0</v>
      </c>
      <c r="H2416" t="str">
        <f t="shared" si="111"/>
        <v>50-59</v>
      </c>
      <c r="I2416" t="str">
        <f t="shared" si="112"/>
        <v>0-9</v>
      </c>
      <c r="J2416">
        <f t="shared" si="113"/>
        <v>1.8699999999999999E-3</v>
      </c>
    </row>
    <row r="2417" spans="1:10">
      <c r="A2417" t="s">
        <v>2499</v>
      </c>
      <c r="B2417">
        <v>60</v>
      </c>
      <c r="C2417" t="s">
        <v>7</v>
      </c>
      <c r="D2417">
        <v>7</v>
      </c>
      <c r="E2417">
        <v>66</v>
      </c>
      <c r="F2417">
        <v>6.2199999999999998E-3</v>
      </c>
      <c r="G2417">
        <v>0</v>
      </c>
      <c r="H2417" t="str">
        <f t="shared" si="111"/>
        <v>60-69</v>
      </c>
      <c r="I2417" t="str">
        <f t="shared" si="112"/>
        <v>0-9</v>
      </c>
      <c r="J2417">
        <f t="shared" si="113"/>
        <v>6.2199999999999998E-3</v>
      </c>
    </row>
    <row r="2418" spans="1:10">
      <c r="A2418" t="s">
        <v>2500</v>
      </c>
      <c r="B2418">
        <v>45</v>
      </c>
      <c r="C2418" t="s">
        <v>9</v>
      </c>
      <c r="D2418">
        <v>14</v>
      </c>
      <c r="E2418">
        <v>58</v>
      </c>
      <c r="F2418">
        <v>4.8900000000000002E-3</v>
      </c>
      <c r="G2418">
        <v>0</v>
      </c>
      <c r="H2418" t="str">
        <f t="shared" si="111"/>
        <v>50-59</v>
      </c>
      <c r="I2418" t="str">
        <f t="shared" si="112"/>
        <v>10-19</v>
      </c>
      <c r="J2418">
        <f t="shared" si="113"/>
        <v>4.8900000000000002E-3</v>
      </c>
    </row>
    <row r="2419" spans="1:10">
      <c r="A2419" t="s">
        <v>2501</v>
      </c>
      <c r="B2419">
        <v>42</v>
      </c>
      <c r="C2419" t="s">
        <v>9</v>
      </c>
      <c r="D2419">
        <v>11</v>
      </c>
      <c r="E2419">
        <v>52</v>
      </c>
      <c r="F2419">
        <v>2.5400000000000002E-3</v>
      </c>
      <c r="G2419">
        <v>0</v>
      </c>
      <c r="H2419" t="str">
        <f t="shared" si="111"/>
        <v>50-59</v>
      </c>
      <c r="I2419" t="str">
        <f t="shared" si="112"/>
        <v>10-19</v>
      </c>
      <c r="J2419">
        <f t="shared" si="113"/>
        <v>2.5400000000000002E-3</v>
      </c>
    </row>
    <row r="2420" spans="1:10">
      <c r="A2420" t="s">
        <v>2502</v>
      </c>
      <c r="B2420">
        <v>40</v>
      </c>
      <c r="C2420" t="s">
        <v>9</v>
      </c>
      <c r="D2420">
        <v>1</v>
      </c>
      <c r="E2420">
        <v>40</v>
      </c>
      <c r="F2420">
        <v>3.1E-4</v>
      </c>
      <c r="G2420">
        <v>0</v>
      </c>
      <c r="H2420" t="str">
        <f t="shared" si="111"/>
        <v>40-49</v>
      </c>
      <c r="I2420" t="str">
        <f t="shared" si="112"/>
        <v>0-9</v>
      </c>
      <c r="J2420">
        <f t="shared" si="113"/>
        <v>3.1E-4</v>
      </c>
    </row>
    <row r="2421" spans="1:10">
      <c r="A2421" t="s">
        <v>2503</v>
      </c>
      <c r="B2421">
        <v>24</v>
      </c>
      <c r="C2421" t="s">
        <v>7</v>
      </c>
      <c r="D2421">
        <v>22</v>
      </c>
      <c r="E2421">
        <v>45</v>
      </c>
      <c r="F2421">
        <v>1.3799999999999999E-3</v>
      </c>
      <c r="G2421">
        <v>0</v>
      </c>
      <c r="H2421" t="str">
        <f t="shared" si="111"/>
        <v>40-49</v>
      </c>
      <c r="I2421" t="str">
        <f t="shared" si="112"/>
        <v>20-29</v>
      </c>
      <c r="J2421">
        <f t="shared" si="113"/>
        <v>1.3799999999999999E-3</v>
      </c>
    </row>
    <row r="2422" spans="1:10">
      <c r="A2422" t="s">
        <v>2504</v>
      </c>
      <c r="B2422">
        <v>43</v>
      </c>
      <c r="C2422" t="s">
        <v>9</v>
      </c>
      <c r="D2422">
        <v>2</v>
      </c>
      <c r="E2422">
        <v>44</v>
      </c>
      <c r="F2422">
        <v>7.2000000000000005E-4</v>
      </c>
      <c r="G2422">
        <v>0</v>
      </c>
      <c r="H2422" t="str">
        <f t="shared" si="111"/>
        <v>40-49</v>
      </c>
      <c r="I2422" t="str">
        <f t="shared" si="112"/>
        <v>0-9</v>
      </c>
      <c r="J2422">
        <f t="shared" si="113"/>
        <v>7.2000000000000005E-4</v>
      </c>
    </row>
    <row r="2423" spans="1:10">
      <c r="A2423" t="s">
        <v>2505</v>
      </c>
      <c r="B2423">
        <v>39</v>
      </c>
      <c r="C2423" t="s">
        <v>7</v>
      </c>
      <c r="D2423">
        <v>25</v>
      </c>
      <c r="E2423">
        <v>63</v>
      </c>
      <c r="F2423">
        <v>6.7200000000000003E-3</v>
      </c>
      <c r="G2423">
        <v>0</v>
      </c>
      <c r="H2423" t="str">
        <f t="shared" si="111"/>
        <v>60-69</v>
      </c>
      <c r="I2423" t="str">
        <f t="shared" si="112"/>
        <v>20-29</v>
      </c>
      <c r="J2423">
        <f t="shared" si="113"/>
        <v>6.7200000000000003E-3</v>
      </c>
    </row>
    <row r="2424" spans="1:10">
      <c r="A2424" t="s">
        <v>2506</v>
      </c>
      <c r="B2424">
        <v>26</v>
      </c>
      <c r="C2424" t="s">
        <v>7</v>
      </c>
      <c r="D2424">
        <v>23</v>
      </c>
      <c r="E2424">
        <v>48</v>
      </c>
      <c r="F2424">
        <v>1.73E-3</v>
      </c>
      <c r="G2424">
        <v>0</v>
      </c>
      <c r="H2424" t="str">
        <f t="shared" si="111"/>
        <v>40-49</v>
      </c>
      <c r="I2424" t="str">
        <f t="shared" si="112"/>
        <v>20-29</v>
      </c>
      <c r="J2424">
        <f t="shared" si="113"/>
        <v>1.73E-3</v>
      </c>
    </row>
    <row r="2425" spans="1:10">
      <c r="A2425" t="s">
        <v>2507</v>
      </c>
      <c r="B2425">
        <v>56</v>
      </c>
      <c r="C2425" t="s">
        <v>9</v>
      </c>
      <c r="D2425">
        <v>6</v>
      </c>
      <c r="E2425">
        <v>61</v>
      </c>
      <c r="F2425">
        <v>5.5900000000000004E-3</v>
      </c>
      <c r="G2425">
        <v>0</v>
      </c>
      <c r="H2425" t="str">
        <f t="shared" si="111"/>
        <v>60-69</v>
      </c>
      <c r="I2425" t="str">
        <f t="shared" si="112"/>
        <v>0-9</v>
      </c>
      <c r="J2425">
        <f t="shared" si="113"/>
        <v>5.5900000000000004E-3</v>
      </c>
    </row>
    <row r="2426" spans="1:10">
      <c r="A2426" t="s">
        <v>2508</v>
      </c>
      <c r="B2426">
        <v>40</v>
      </c>
      <c r="C2426" t="s">
        <v>7</v>
      </c>
      <c r="D2426">
        <v>21</v>
      </c>
      <c r="E2426">
        <v>60</v>
      </c>
      <c r="F2426">
        <v>4.9300000000000004E-3</v>
      </c>
      <c r="G2426">
        <v>0</v>
      </c>
      <c r="H2426" t="str">
        <f t="shared" si="111"/>
        <v>60-69</v>
      </c>
      <c r="I2426" t="str">
        <f t="shared" si="112"/>
        <v>20-29</v>
      </c>
      <c r="J2426">
        <f t="shared" si="113"/>
        <v>4.9300000000000004E-3</v>
      </c>
    </row>
    <row r="2427" spans="1:10">
      <c r="A2427" t="s">
        <v>2509</v>
      </c>
      <c r="B2427">
        <v>64</v>
      </c>
      <c r="C2427" t="s">
        <v>9</v>
      </c>
      <c r="D2427">
        <v>5</v>
      </c>
      <c r="E2427">
        <v>68</v>
      </c>
      <c r="F2427">
        <v>9.1599999999999997E-3</v>
      </c>
      <c r="G2427">
        <v>0</v>
      </c>
      <c r="H2427" t="str">
        <f t="shared" si="111"/>
        <v>60-69</v>
      </c>
      <c r="I2427" t="str">
        <f t="shared" si="112"/>
        <v>0-9</v>
      </c>
      <c r="J2427">
        <f t="shared" si="113"/>
        <v>9.1599999999999997E-3</v>
      </c>
    </row>
    <row r="2428" spans="1:10">
      <c r="A2428" t="s">
        <v>2510</v>
      </c>
      <c r="B2428">
        <v>64</v>
      </c>
      <c r="C2428" t="s">
        <v>7</v>
      </c>
      <c r="D2428">
        <v>11</v>
      </c>
      <c r="E2428">
        <v>74</v>
      </c>
      <c r="F2428">
        <v>1.443E-2</v>
      </c>
      <c r="G2428">
        <v>0</v>
      </c>
      <c r="H2428" t="str">
        <f t="shared" si="111"/>
        <v>70-79</v>
      </c>
      <c r="I2428" t="str">
        <f t="shared" si="112"/>
        <v>10-19</v>
      </c>
      <c r="J2428">
        <f t="shared" si="113"/>
        <v>1.443E-2</v>
      </c>
    </row>
    <row r="2429" spans="1:10">
      <c r="A2429" t="s">
        <v>2511</v>
      </c>
      <c r="B2429">
        <v>24</v>
      </c>
      <c r="C2429" t="s">
        <v>9</v>
      </c>
      <c r="D2429">
        <v>11</v>
      </c>
      <c r="E2429">
        <v>34</v>
      </c>
      <c r="F2429">
        <v>7.1000000000000002E-4</v>
      </c>
      <c r="G2429">
        <v>0</v>
      </c>
      <c r="H2429" t="str">
        <f t="shared" si="111"/>
        <v>30-39</v>
      </c>
      <c r="I2429" t="str">
        <f t="shared" si="112"/>
        <v>10-19</v>
      </c>
      <c r="J2429">
        <f t="shared" si="113"/>
        <v>7.1000000000000002E-4</v>
      </c>
    </row>
    <row r="2430" spans="1:10">
      <c r="A2430" t="s">
        <v>2512</v>
      </c>
      <c r="B2430">
        <v>48</v>
      </c>
      <c r="C2430" t="s">
        <v>7</v>
      </c>
      <c r="D2430">
        <v>13</v>
      </c>
      <c r="E2430">
        <v>60</v>
      </c>
      <c r="F2430">
        <v>4.45E-3</v>
      </c>
      <c r="G2430">
        <v>0</v>
      </c>
      <c r="H2430" t="str">
        <f t="shared" si="111"/>
        <v>60-69</v>
      </c>
      <c r="I2430" t="str">
        <f t="shared" si="112"/>
        <v>10-19</v>
      </c>
      <c r="J2430">
        <f t="shared" si="113"/>
        <v>4.45E-3</v>
      </c>
    </row>
    <row r="2431" spans="1:10">
      <c r="A2431" t="s">
        <v>2513</v>
      </c>
      <c r="B2431">
        <v>52</v>
      </c>
      <c r="C2431" t="s">
        <v>7</v>
      </c>
      <c r="D2431">
        <v>19</v>
      </c>
      <c r="E2431">
        <v>70</v>
      </c>
      <c r="F2431">
        <v>1.328E-2</v>
      </c>
      <c r="G2431">
        <v>0</v>
      </c>
      <c r="H2431" t="str">
        <f t="shared" si="111"/>
        <v>70-79</v>
      </c>
      <c r="I2431" t="str">
        <f t="shared" si="112"/>
        <v>10-19</v>
      </c>
      <c r="J2431">
        <f t="shared" si="113"/>
        <v>1.328E-2</v>
      </c>
    </row>
    <row r="2432" spans="1:10">
      <c r="A2432" t="s">
        <v>2514</v>
      </c>
      <c r="B2432">
        <v>21</v>
      </c>
      <c r="C2432" t="s">
        <v>7</v>
      </c>
      <c r="D2432">
        <v>20</v>
      </c>
      <c r="E2432">
        <v>40</v>
      </c>
      <c r="F2432">
        <v>1.14E-3</v>
      </c>
      <c r="G2432">
        <v>0</v>
      </c>
      <c r="H2432" t="str">
        <f t="shared" si="111"/>
        <v>40-49</v>
      </c>
      <c r="I2432" t="str">
        <f t="shared" si="112"/>
        <v>20-29</v>
      </c>
      <c r="J2432">
        <f t="shared" si="113"/>
        <v>1.14E-3</v>
      </c>
    </row>
    <row r="2433" spans="1:10">
      <c r="A2433" t="s">
        <v>2515</v>
      </c>
      <c r="B2433">
        <v>35</v>
      </c>
      <c r="C2433" t="s">
        <v>9</v>
      </c>
      <c r="D2433">
        <v>24</v>
      </c>
      <c r="E2433">
        <v>58</v>
      </c>
      <c r="F2433">
        <v>5.2199999999999998E-3</v>
      </c>
      <c r="G2433">
        <v>0</v>
      </c>
      <c r="H2433" t="str">
        <f t="shared" si="111"/>
        <v>50-59</v>
      </c>
      <c r="I2433" t="str">
        <f t="shared" si="112"/>
        <v>20-29</v>
      </c>
      <c r="J2433">
        <f t="shared" si="113"/>
        <v>5.2199999999999998E-3</v>
      </c>
    </row>
    <row r="2434" spans="1:10">
      <c r="A2434" t="s">
        <v>2516</v>
      </c>
      <c r="B2434">
        <v>25</v>
      </c>
      <c r="C2434" t="s">
        <v>9</v>
      </c>
      <c r="D2434">
        <v>2</v>
      </c>
      <c r="E2434">
        <v>26</v>
      </c>
      <c r="F2434">
        <v>4.2000000000000002E-4</v>
      </c>
      <c r="G2434">
        <v>0</v>
      </c>
      <c r="H2434" t="str">
        <f t="shared" si="111"/>
        <v>20-29</v>
      </c>
      <c r="I2434" t="str">
        <f t="shared" si="112"/>
        <v>0-9</v>
      </c>
      <c r="J2434">
        <f t="shared" si="113"/>
        <v>4.2000000000000002E-4</v>
      </c>
    </row>
    <row r="2435" spans="1:10">
      <c r="A2435" t="s">
        <v>2517</v>
      </c>
      <c r="B2435">
        <v>32</v>
      </c>
      <c r="C2435" t="s">
        <v>9</v>
      </c>
      <c r="D2435">
        <v>5</v>
      </c>
      <c r="E2435">
        <v>36</v>
      </c>
      <c r="F2435">
        <v>5.4000000000000001E-4</v>
      </c>
      <c r="G2435">
        <v>0</v>
      </c>
      <c r="H2435" t="str">
        <f t="shared" ref="H2435:H2498" si="114">FLOOR(E2435,10) &amp; "-" &amp; FLOOR(E2435,10)+9</f>
        <v>30-39</v>
      </c>
      <c r="I2435" t="str">
        <f t="shared" ref="I2435:I2498" si="115">FLOOR(D2435, 10) &amp; "-"&amp;FLOOR(D2435, 10)+9</f>
        <v>0-9</v>
      </c>
      <c r="J2435">
        <f t="shared" ref="J2435:J2498" si="116">F2435</f>
        <v>5.4000000000000001E-4</v>
      </c>
    </row>
    <row r="2436" spans="1:10">
      <c r="A2436" t="s">
        <v>2518</v>
      </c>
      <c r="B2436">
        <v>35</v>
      </c>
      <c r="C2436" t="s">
        <v>7</v>
      </c>
      <c r="D2436">
        <v>30</v>
      </c>
      <c r="E2436">
        <v>64</v>
      </c>
      <c r="F2436">
        <v>4.9300000000000004E-3</v>
      </c>
      <c r="G2436">
        <v>0</v>
      </c>
      <c r="H2436" t="str">
        <f t="shared" si="114"/>
        <v>60-69</v>
      </c>
      <c r="I2436" t="str">
        <f t="shared" si="115"/>
        <v>30-39</v>
      </c>
      <c r="J2436">
        <f t="shared" si="116"/>
        <v>4.9300000000000004E-3</v>
      </c>
    </row>
    <row r="2437" spans="1:10">
      <c r="A2437" t="s">
        <v>2519</v>
      </c>
      <c r="B2437">
        <v>48</v>
      </c>
      <c r="C2437" t="s">
        <v>7</v>
      </c>
      <c r="D2437">
        <v>24</v>
      </c>
      <c r="E2437">
        <v>71</v>
      </c>
      <c r="F2437">
        <v>1.553E-2</v>
      </c>
      <c r="G2437">
        <v>0</v>
      </c>
      <c r="H2437" t="str">
        <f t="shared" si="114"/>
        <v>70-79</v>
      </c>
      <c r="I2437" t="str">
        <f t="shared" si="115"/>
        <v>20-29</v>
      </c>
      <c r="J2437">
        <f t="shared" si="116"/>
        <v>1.553E-2</v>
      </c>
    </row>
    <row r="2438" spans="1:10">
      <c r="A2438" t="s">
        <v>2520</v>
      </c>
      <c r="B2438">
        <v>40</v>
      </c>
      <c r="C2438" t="s">
        <v>7</v>
      </c>
      <c r="D2438">
        <v>21</v>
      </c>
      <c r="E2438">
        <v>60</v>
      </c>
      <c r="F2438">
        <v>4.9300000000000004E-3</v>
      </c>
      <c r="G2438">
        <v>0</v>
      </c>
      <c r="H2438" t="str">
        <f t="shared" si="114"/>
        <v>60-69</v>
      </c>
      <c r="I2438" t="str">
        <f t="shared" si="115"/>
        <v>20-29</v>
      </c>
      <c r="J2438">
        <f t="shared" si="116"/>
        <v>4.9300000000000004E-3</v>
      </c>
    </row>
    <row r="2439" spans="1:10">
      <c r="A2439" t="s">
        <v>2521</v>
      </c>
      <c r="B2439">
        <v>46</v>
      </c>
      <c r="C2439" t="s">
        <v>7</v>
      </c>
      <c r="D2439">
        <v>21</v>
      </c>
      <c r="E2439">
        <v>66</v>
      </c>
      <c r="F2439">
        <v>9.2399999999999999E-3</v>
      </c>
      <c r="G2439">
        <v>0</v>
      </c>
      <c r="H2439" t="str">
        <f t="shared" si="114"/>
        <v>60-69</v>
      </c>
      <c r="I2439" t="str">
        <f t="shared" si="115"/>
        <v>20-29</v>
      </c>
      <c r="J2439">
        <f t="shared" si="116"/>
        <v>9.2399999999999999E-3</v>
      </c>
    </row>
    <row r="2440" spans="1:10">
      <c r="A2440" t="s">
        <v>2522</v>
      </c>
      <c r="B2440">
        <v>34</v>
      </c>
      <c r="C2440" t="s">
        <v>7</v>
      </c>
      <c r="D2440">
        <v>28</v>
      </c>
      <c r="E2440">
        <v>61</v>
      </c>
      <c r="F2440">
        <v>4.4600000000000004E-3</v>
      </c>
      <c r="G2440">
        <v>0</v>
      </c>
      <c r="H2440" t="str">
        <f t="shared" si="114"/>
        <v>60-69</v>
      </c>
      <c r="I2440" t="str">
        <f t="shared" si="115"/>
        <v>20-29</v>
      </c>
      <c r="J2440">
        <f t="shared" si="116"/>
        <v>4.4600000000000004E-3</v>
      </c>
    </row>
    <row r="2441" spans="1:10">
      <c r="A2441" t="s">
        <v>2523</v>
      </c>
      <c r="B2441">
        <v>33</v>
      </c>
      <c r="C2441" t="s">
        <v>9</v>
      </c>
      <c r="D2441">
        <v>18</v>
      </c>
      <c r="E2441">
        <v>50</v>
      </c>
      <c r="F2441">
        <v>2.48E-3</v>
      </c>
      <c r="G2441">
        <v>0</v>
      </c>
      <c r="H2441" t="str">
        <f t="shared" si="114"/>
        <v>50-59</v>
      </c>
      <c r="I2441" t="str">
        <f t="shared" si="115"/>
        <v>10-19</v>
      </c>
      <c r="J2441">
        <f t="shared" si="116"/>
        <v>2.48E-3</v>
      </c>
    </row>
    <row r="2442" spans="1:10">
      <c r="A2442" t="s">
        <v>2524</v>
      </c>
      <c r="B2442">
        <v>35</v>
      </c>
      <c r="C2442" t="s">
        <v>7</v>
      </c>
      <c r="D2442">
        <v>26</v>
      </c>
      <c r="E2442">
        <v>60</v>
      </c>
      <c r="F2442">
        <v>4.9300000000000004E-3</v>
      </c>
      <c r="G2442">
        <v>0</v>
      </c>
      <c r="H2442" t="str">
        <f t="shared" si="114"/>
        <v>60-69</v>
      </c>
      <c r="I2442" t="str">
        <f t="shared" si="115"/>
        <v>20-29</v>
      </c>
      <c r="J2442">
        <f t="shared" si="116"/>
        <v>4.9300000000000004E-3</v>
      </c>
    </row>
    <row r="2443" spans="1:10">
      <c r="A2443" t="s">
        <v>2525</v>
      </c>
      <c r="B2443">
        <v>58</v>
      </c>
      <c r="C2443" t="s">
        <v>9</v>
      </c>
      <c r="D2443">
        <v>28</v>
      </c>
      <c r="E2443">
        <v>85</v>
      </c>
      <c r="F2443">
        <v>7.1389999999999995E-2</v>
      </c>
      <c r="G2443">
        <v>0</v>
      </c>
      <c r="H2443" t="str">
        <f t="shared" si="114"/>
        <v>80-89</v>
      </c>
      <c r="I2443" t="str">
        <f t="shared" si="115"/>
        <v>20-29</v>
      </c>
      <c r="J2443">
        <f t="shared" si="116"/>
        <v>7.1389999999999995E-2</v>
      </c>
    </row>
    <row r="2444" spans="1:10">
      <c r="A2444" t="s">
        <v>2526</v>
      </c>
      <c r="B2444">
        <v>48</v>
      </c>
      <c r="C2444" t="s">
        <v>9</v>
      </c>
      <c r="D2444">
        <v>21</v>
      </c>
      <c r="E2444">
        <v>68</v>
      </c>
      <c r="F2444">
        <v>1.3950000000000001E-2</v>
      </c>
      <c r="G2444">
        <v>0</v>
      </c>
      <c r="H2444" t="str">
        <f t="shared" si="114"/>
        <v>60-69</v>
      </c>
      <c r="I2444" t="str">
        <f t="shared" si="115"/>
        <v>20-29</v>
      </c>
      <c r="J2444">
        <f t="shared" si="116"/>
        <v>1.3950000000000001E-2</v>
      </c>
    </row>
    <row r="2445" spans="1:10">
      <c r="A2445" t="s">
        <v>2527</v>
      </c>
      <c r="B2445">
        <v>24</v>
      </c>
      <c r="C2445" t="s">
        <v>9</v>
      </c>
      <c r="D2445">
        <v>7</v>
      </c>
      <c r="E2445">
        <v>30</v>
      </c>
      <c r="F2445">
        <v>4.8999999999999998E-4</v>
      </c>
      <c r="G2445">
        <v>0</v>
      </c>
      <c r="H2445" t="str">
        <f t="shared" si="114"/>
        <v>30-39</v>
      </c>
      <c r="I2445" t="str">
        <f t="shared" si="115"/>
        <v>0-9</v>
      </c>
      <c r="J2445">
        <f t="shared" si="116"/>
        <v>4.8999999999999998E-4</v>
      </c>
    </row>
    <row r="2446" spans="1:10">
      <c r="A2446" t="s">
        <v>2528</v>
      </c>
      <c r="B2446">
        <v>33</v>
      </c>
      <c r="C2446" t="s">
        <v>9</v>
      </c>
      <c r="D2446">
        <v>5</v>
      </c>
      <c r="E2446">
        <v>37</v>
      </c>
      <c r="F2446">
        <v>5.8E-4</v>
      </c>
      <c r="G2446">
        <v>0</v>
      </c>
      <c r="H2446" t="str">
        <f t="shared" si="114"/>
        <v>30-39</v>
      </c>
      <c r="I2446" t="str">
        <f t="shared" si="115"/>
        <v>0-9</v>
      </c>
      <c r="J2446">
        <f t="shared" si="116"/>
        <v>5.8E-4</v>
      </c>
    </row>
    <row r="2447" spans="1:10">
      <c r="A2447" t="s">
        <v>2529</v>
      </c>
      <c r="B2447">
        <v>33</v>
      </c>
      <c r="C2447" t="s">
        <v>7</v>
      </c>
      <c r="D2447">
        <v>8</v>
      </c>
      <c r="E2447">
        <v>40</v>
      </c>
      <c r="F2447">
        <v>6.6E-4</v>
      </c>
      <c r="G2447">
        <v>0</v>
      </c>
      <c r="H2447" t="str">
        <f t="shared" si="114"/>
        <v>40-49</v>
      </c>
      <c r="I2447" t="str">
        <f t="shared" si="115"/>
        <v>0-9</v>
      </c>
      <c r="J2447">
        <f t="shared" si="116"/>
        <v>6.6E-4</v>
      </c>
    </row>
    <row r="2448" spans="1:10">
      <c r="A2448" t="s">
        <v>2530</v>
      </c>
      <c r="B2448">
        <v>49</v>
      </c>
      <c r="C2448" t="s">
        <v>9</v>
      </c>
      <c r="D2448">
        <v>10</v>
      </c>
      <c r="E2448">
        <v>58</v>
      </c>
      <c r="F2448">
        <v>4.7200000000000002E-3</v>
      </c>
      <c r="G2448">
        <v>0</v>
      </c>
      <c r="H2448" t="str">
        <f t="shared" si="114"/>
        <v>50-59</v>
      </c>
      <c r="I2448" t="str">
        <f t="shared" si="115"/>
        <v>10-19</v>
      </c>
      <c r="J2448">
        <f t="shared" si="116"/>
        <v>4.7200000000000002E-3</v>
      </c>
    </row>
    <row r="2449" spans="1:10">
      <c r="A2449" t="s">
        <v>2531</v>
      </c>
      <c r="B2449">
        <v>47</v>
      </c>
      <c r="C2449" t="s">
        <v>7</v>
      </c>
      <c r="D2449">
        <v>6</v>
      </c>
      <c r="E2449">
        <v>52</v>
      </c>
      <c r="F2449">
        <v>1.5399999999999999E-3</v>
      </c>
      <c r="G2449">
        <v>0</v>
      </c>
      <c r="H2449" t="str">
        <f t="shared" si="114"/>
        <v>50-59</v>
      </c>
      <c r="I2449" t="str">
        <f t="shared" si="115"/>
        <v>0-9</v>
      </c>
      <c r="J2449">
        <f t="shared" si="116"/>
        <v>1.5399999999999999E-3</v>
      </c>
    </row>
    <row r="2450" spans="1:10">
      <c r="A2450" t="s">
        <v>2532</v>
      </c>
      <c r="B2450">
        <v>56</v>
      </c>
      <c r="C2450" t="s">
        <v>7</v>
      </c>
      <c r="D2450">
        <v>15</v>
      </c>
      <c r="E2450">
        <v>70</v>
      </c>
      <c r="F2450">
        <v>1.2070000000000001E-2</v>
      </c>
      <c r="G2450">
        <v>0</v>
      </c>
      <c r="H2450" t="str">
        <f t="shared" si="114"/>
        <v>70-79</v>
      </c>
      <c r="I2450" t="str">
        <f t="shared" si="115"/>
        <v>10-19</v>
      </c>
      <c r="J2450">
        <f t="shared" si="116"/>
        <v>1.2070000000000001E-2</v>
      </c>
    </row>
    <row r="2451" spans="1:10">
      <c r="A2451" t="s">
        <v>2533</v>
      </c>
      <c r="B2451">
        <v>50</v>
      </c>
      <c r="C2451" t="s">
        <v>7</v>
      </c>
      <c r="D2451">
        <v>3</v>
      </c>
      <c r="E2451">
        <v>52</v>
      </c>
      <c r="F2451">
        <v>1.2800000000000001E-3</v>
      </c>
      <c r="G2451">
        <v>0</v>
      </c>
      <c r="H2451" t="str">
        <f t="shared" si="114"/>
        <v>50-59</v>
      </c>
      <c r="I2451" t="str">
        <f t="shared" si="115"/>
        <v>0-9</v>
      </c>
      <c r="J2451">
        <f t="shared" si="116"/>
        <v>1.2800000000000001E-3</v>
      </c>
    </row>
    <row r="2452" spans="1:10">
      <c r="A2452" t="s">
        <v>2534</v>
      </c>
      <c r="B2452">
        <v>44</v>
      </c>
      <c r="C2452" t="s">
        <v>9</v>
      </c>
      <c r="D2452">
        <v>6</v>
      </c>
      <c r="E2452">
        <v>49</v>
      </c>
      <c r="F2452">
        <v>1.5900000000000001E-3</v>
      </c>
      <c r="G2452">
        <v>0</v>
      </c>
      <c r="H2452" t="str">
        <f t="shared" si="114"/>
        <v>40-49</v>
      </c>
      <c r="I2452" t="str">
        <f t="shared" si="115"/>
        <v>0-9</v>
      </c>
      <c r="J2452">
        <f t="shared" si="116"/>
        <v>1.5900000000000001E-3</v>
      </c>
    </row>
    <row r="2453" spans="1:10">
      <c r="A2453" t="s">
        <v>2535</v>
      </c>
      <c r="B2453">
        <v>59</v>
      </c>
      <c r="C2453" t="s">
        <v>9</v>
      </c>
      <c r="D2453">
        <v>24</v>
      </c>
      <c r="E2453">
        <v>82</v>
      </c>
      <c r="F2453">
        <v>6.3329999999999997E-2</v>
      </c>
      <c r="G2453">
        <v>0</v>
      </c>
      <c r="H2453" t="str">
        <f t="shared" si="114"/>
        <v>80-89</v>
      </c>
      <c r="I2453" t="str">
        <f t="shared" si="115"/>
        <v>20-29</v>
      </c>
      <c r="J2453">
        <f t="shared" si="116"/>
        <v>6.3329999999999997E-2</v>
      </c>
    </row>
    <row r="2454" spans="1:10">
      <c r="A2454" t="s">
        <v>2536</v>
      </c>
      <c r="B2454">
        <v>50</v>
      </c>
      <c r="C2454" t="s">
        <v>7</v>
      </c>
      <c r="D2454">
        <v>1</v>
      </c>
      <c r="E2454">
        <v>50</v>
      </c>
      <c r="F2454">
        <v>4.2000000000000002E-4</v>
      </c>
      <c r="G2454">
        <v>0</v>
      </c>
      <c r="H2454" t="str">
        <f t="shared" si="114"/>
        <v>50-59</v>
      </c>
      <c r="I2454" t="str">
        <f t="shared" si="115"/>
        <v>0-9</v>
      </c>
      <c r="J2454">
        <f t="shared" si="116"/>
        <v>4.2000000000000002E-4</v>
      </c>
    </row>
    <row r="2455" spans="1:10">
      <c r="A2455" t="s">
        <v>2537</v>
      </c>
      <c r="B2455">
        <v>25</v>
      </c>
      <c r="C2455" t="s">
        <v>7</v>
      </c>
      <c r="D2455">
        <v>25</v>
      </c>
      <c r="E2455">
        <v>49</v>
      </c>
      <c r="F2455">
        <v>1.8699999999999999E-3</v>
      </c>
      <c r="G2455">
        <v>0</v>
      </c>
      <c r="H2455" t="str">
        <f t="shared" si="114"/>
        <v>40-49</v>
      </c>
      <c r="I2455" t="str">
        <f t="shared" si="115"/>
        <v>20-29</v>
      </c>
      <c r="J2455">
        <f t="shared" si="116"/>
        <v>1.8699999999999999E-3</v>
      </c>
    </row>
    <row r="2456" spans="1:10">
      <c r="A2456" t="s">
        <v>2538</v>
      </c>
      <c r="B2456">
        <v>54</v>
      </c>
      <c r="C2456" t="s">
        <v>7</v>
      </c>
      <c r="D2456">
        <v>5</v>
      </c>
      <c r="E2456">
        <v>58</v>
      </c>
      <c r="F2456">
        <v>2.63E-3</v>
      </c>
      <c r="G2456">
        <v>0</v>
      </c>
      <c r="H2456" t="str">
        <f t="shared" si="114"/>
        <v>50-59</v>
      </c>
      <c r="I2456" t="str">
        <f t="shared" si="115"/>
        <v>0-9</v>
      </c>
      <c r="J2456">
        <f t="shared" si="116"/>
        <v>2.63E-3</v>
      </c>
    </row>
    <row r="2457" spans="1:10">
      <c r="A2457" t="s">
        <v>2539</v>
      </c>
      <c r="B2457">
        <v>44</v>
      </c>
      <c r="C2457" t="s">
        <v>9</v>
      </c>
      <c r="D2457">
        <v>15</v>
      </c>
      <c r="E2457">
        <v>58</v>
      </c>
      <c r="F2457">
        <v>4.9399999999999999E-3</v>
      </c>
      <c r="G2457">
        <v>0</v>
      </c>
      <c r="H2457" t="str">
        <f t="shared" si="114"/>
        <v>50-59</v>
      </c>
      <c r="I2457" t="str">
        <f t="shared" si="115"/>
        <v>10-19</v>
      </c>
      <c r="J2457">
        <f t="shared" si="116"/>
        <v>4.9399999999999999E-3</v>
      </c>
    </row>
    <row r="2458" spans="1:10">
      <c r="A2458" t="s">
        <v>2540</v>
      </c>
      <c r="B2458">
        <v>55</v>
      </c>
      <c r="C2458" t="s">
        <v>9</v>
      </c>
      <c r="D2458">
        <v>20</v>
      </c>
      <c r="E2458">
        <v>74</v>
      </c>
      <c r="F2458">
        <v>2.6550000000000001E-2</v>
      </c>
      <c r="G2458">
        <v>0</v>
      </c>
      <c r="H2458" t="str">
        <f t="shared" si="114"/>
        <v>70-79</v>
      </c>
      <c r="I2458" t="str">
        <f t="shared" si="115"/>
        <v>20-29</v>
      </c>
      <c r="J2458">
        <f t="shared" si="116"/>
        <v>2.6550000000000001E-2</v>
      </c>
    </row>
    <row r="2459" spans="1:10">
      <c r="A2459" t="s">
        <v>2541</v>
      </c>
      <c r="B2459">
        <v>65</v>
      </c>
      <c r="C2459" t="s">
        <v>9</v>
      </c>
      <c r="D2459">
        <v>16</v>
      </c>
      <c r="E2459">
        <v>80</v>
      </c>
      <c r="F2459">
        <v>4.65E-2</v>
      </c>
      <c r="G2459">
        <v>0</v>
      </c>
      <c r="H2459" t="str">
        <f t="shared" si="114"/>
        <v>80-89</v>
      </c>
      <c r="I2459" t="str">
        <f t="shared" si="115"/>
        <v>10-19</v>
      </c>
      <c r="J2459">
        <f t="shared" si="116"/>
        <v>4.65E-2</v>
      </c>
    </row>
    <row r="2460" spans="1:10">
      <c r="A2460" t="s">
        <v>2542</v>
      </c>
      <c r="B2460">
        <v>20</v>
      </c>
      <c r="C2460" t="s">
        <v>7</v>
      </c>
      <c r="D2460">
        <v>1</v>
      </c>
      <c r="E2460">
        <v>20</v>
      </c>
      <c r="F2460">
        <v>2.9E-4</v>
      </c>
      <c r="G2460">
        <v>0</v>
      </c>
      <c r="H2460" t="str">
        <f t="shared" si="114"/>
        <v>20-29</v>
      </c>
      <c r="I2460" t="str">
        <f t="shared" si="115"/>
        <v>0-9</v>
      </c>
      <c r="J2460">
        <f t="shared" si="116"/>
        <v>2.9E-4</v>
      </c>
    </row>
    <row r="2461" spans="1:10">
      <c r="A2461" t="s">
        <v>2543</v>
      </c>
      <c r="B2461">
        <v>43</v>
      </c>
      <c r="C2461" t="s">
        <v>9</v>
      </c>
      <c r="D2461">
        <v>16</v>
      </c>
      <c r="E2461">
        <v>58</v>
      </c>
      <c r="F2461">
        <v>5.0299999999999997E-3</v>
      </c>
      <c r="G2461">
        <v>0</v>
      </c>
      <c r="H2461" t="str">
        <f t="shared" si="114"/>
        <v>50-59</v>
      </c>
      <c r="I2461" t="str">
        <f t="shared" si="115"/>
        <v>10-19</v>
      </c>
      <c r="J2461">
        <f t="shared" si="116"/>
        <v>5.0299999999999997E-3</v>
      </c>
    </row>
    <row r="2462" spans="1:10">
      <c r="A2462" t="s">
        <v>2544</v>
      </c>
      <c r="B2462">
        <v>45</v>
      </c>
      <c r="C2462" t="s">
        <v>9</v>
      </c>
      <c r="D2462">
        <v>24</v>
      </c>
      <c r="E2462">
        <v>68</v>
      </c>
      <c r="F2462">
        <v>1.405E-2</v>
      </c>
      <c r="G2462">
        <v>0</v>
      </c>
      <c r="H2462" t="str">
        <f t="shared" si="114"/>
        <v>60-69</v>
      </c>
      <c r="I2462" t="str">
        <f t="shared" si="115"/>
        <v>20-29</v>
      </c>
      <c r="J2462">
        <f t="shared" si="116"/>
        <v>1.405E-2</v>
      </c>
    </row>
    <row r="2463" spans="1:10">
      <c r="A2463" t="s">
        <v>2545</v>
      </c>
      <c r="B2463">
        <v>61</v>
      </c>
      <c r="C2463" t="s">
        <v>9</v>
      </c>
      <c r="D2463">
        <v>19</v>
      </c>
      <c r="E2463">
        <v>79</v>
      </c>
      <c r="F2463">
        <v>4.5609999999999998E-2</v>
      </c>
      <c r="G2463">
        <v>0</v>
      </c>
      <c r="H2463" t="str">
        <f t="shared" si="114"/>
        <v>70-79</v>
      </c>
      <c r="I2463" t="str">
        <f t="shared" si="115"/>
        <v>10-19</v>
      </c>
      <c r="J2463">
        <f t="shared" si="116"/>
        <v>4.5609999999999998E-2</v>
      </c>
    </row>
    <row r="2464" spans="1:10">
      <c r="A2464" t="s">
        <v>2546</v>
      </c>
      <c r="B2464">
        <v>27</v>
      </c>
      <c r="C2464" t="s">
        <v>7</v>
      </c>
      <c r="D2464">
        <v>13</v>
      </c>
      <c r="E2464">
        <v>39</v>
      </c>
      <c r="F2464">
        <v>8.3000000000000001E-4</v>
      </c>
      <c r="G2464">
        <v>0</v>
      </c>
      <c r="H2464" t="str">
        <f t="shared" si="114"/>
        <v>30-39</v>
      </c>
      <c r="I2464" t="str">
        <f t="shared" si="115"/>
        <v>10-19</v>
      </c>
      <c r="J2464">
        <f t="shared" si="116"/>
        <v>8.3000000000000001E-4</v>
      </c>
    </row>
    <row r="2465" spans="1:10">
      <c r="A2465" t="s">
        <v>2547</v>
      </c>
      <c r="B2465">
        <v>47</v>
      </c>
      <c r="C2465" t="s">
        <v>7</v>
      </c>
      <c r="D2465">
        <v>9</v>
      </c>
      <c r="E2465">
        <v>55</v>
      </c>
      <c r="F2465">
        <v>2.32E-3</v>
      </c>
      <c r="G2465">
        <v>0</v>
      </c>
      <c r="H2465" t="str">
        <f t="shared" si="114"/>
        <v>50-59</v>
      </c>
      <c r="I2465" t="str">
        <f t="shared" si="115"/>
        <v>0-9</v>
      </c>
      <c r="J2465">
        <f t="shared" si="116"/>
        <v>2.32E-3</v>
      </c>
    </row>
    <row r="2466" spans="1:10">
      <c r="A2466" t="s">
        <v>2548</v>
      </c>
      <c r="B2466">
        <v>42</v>
      </c>
      <c r="C2466" t="s">
        <v>7</v>
      </c>
      <c r="D2466">
        <v>17</v>
      </c>
      <c r="E2466">
        <v>58</v>
      </c>
      <c r="F2466">
        <v>3.81E-3</v>
      </c>
      <c r="G2466">
        <v>0</v>
      </c>
      <c r="H2466" t="str">
        <f t="shared" si="114"/>
        <v>50-59</v>
      </c>
      <c r="I2466" t="str">
        <f t="shared" si="115"/>
        <v>10-19</v>
      </c>
      <c r="J2466">
        <f t="shared" si="116"/>
        <v>3.81E-3</v>
      </c>
    </row>
    <row r="2467" spans="1:10">
      <c r="A2467" t="s">
        <v>2549</v>
      </c>
      <c r="B2467">
        <v>43</v>
      </c>
      <c r="C2467" t="s">
        <v>9</v>
      </c>
      <c r="D2467">
        <v>23</v>
      </c>
      <c r="E2467">
        <v>65</v>
      </c>
      <c r="F2467">
        <v>1.0359999999999999E-2</v>
      </c>
      <c r="G2467">
        <v>0</v>
      </c>
      <c r="H2467" t="str">
        <f t="shared" si="114"/>
        <v>60-69</v>
      </c>
      <c r="I2467" t="str">
        <f t="shared" si="115"/>
        <v>20-29</v>
      </c>
      <c r="J2467">
        <f t="shared" si="116"/>
        <v>1.0359999999999999E-2</v>
      </c>
    </row>
    <row r="2468" spans="1:10">
      <c r="A2468" t="s">
        <v>2550</v>
      </c>
      <c r="B2468">
        <v>47</v>
      </c>
      <c r="C2468" t="s">
        <v>9</v>
      </c>
      <c r="D2468">
        <v>24</v>
      </c>
      <c r="E2468">
        <v>70</v>
      </c>
      <c r="F2468">
        <v>1.7160000000000002E-2</v>
      </c>
      <c r="G2468">
        <v>0</v>
      </c>
      <c r="H2468" t="str">
        <f t="shared" si="114"/>
        <v>70-79</v>
      </c>
      <c r="I2468" t="str">
        <f t="shared" si="115"/>
        <v>20-29</v>
      </c>
      <c r="J2468">
        <f t="shared" si="116"/>
        <v>1.7160000000000002E-2</v>
      </c>
    </row>
    <row r="2469" spans="1:10">
      <c r="A2469" t="s">
        <v>2551</v>
      </c>
      <c r="B2469">
        <v>43</v>
      </c>
      <c r="C2469" t="s">
        <v>7</v>
      </c>
      <c r="D2469">
        <v>21</v>
      </c>
      <c r="E2469">
        <v>63</v>
      </c>
      <c r="F2469">
        <v>6.7200000000000003E-3</v>
      </c>
      <c r="G2469">
        <v>0</v>
      </c>
      <c r="H2469" t="str">
        <f t="shared" si="114"/>
        <v>60-69</v>
      </c>
      <c r="I2469" t="str">
        <f t="shared" si="115"/>
        <v>20-29</v>
      </c>
      <c r="J2469">
        <f t="shared" si="116"/>
        <v>6.7200000000000003E-3</v>
      </c>
    </row>
    <row r="2470" spans="1:10">
      <c r="A2470" t="s">
        <v>2552</v>
      </c>
      <c r="B2470">
        <v>62</v>
      </c>
      <c r="C2470" t="s">
        <v>9</v>
      </c>
      <c r="D2470">
        <v>21</v>
      </c>
      <c r="E2470">
        <v>82</v>
      </c>
      <c r="F2470">
        <v>6.3329999999999997E-2</v>
      </c>
      <c r="G2470">
        <v>0</v>
      </c>
      <c r="H2470" t="str">
        <f t="shared" si="114"/>
        <v>80-89</v>
      </c>
      <c r="I2470" t="str">
        <f t="shared" si="115"/>
        <v>20-29</v>
      </c>
      <c r="J2470">
        <f t="shared" si="116"/>
        <v>6.3329999999999997E-2</v>
      </c>
    </row>
    <row r="2471" spans="1:10">
      <c r="A2471" t="s">
        <v>2553</v>
      </c>
      <c r="B2471">
        <v>63</v>
      </c>
      <c r="C2471" t="s">
        <v>9</v>
      </c>
      <c r="D2471">
        <v>5</v>
      </c>
      <c r="E2471">
        <v>67</v>
      </c>
      <c r="F2471">
        <v>8.5199999999999998E-3</v>
      </c>
      <c r="G2471">
        <v>0</v>
      </c>
      <c r="H2471" t="str">
        <f t="shared" si="114"/>
        <v>60-69</v>
      </c>
      <c r="I2471" t="str">
        <f t="shared" si="115"/>
        <v>0-9</v>
      </c>
      <c r="J2471">
        <f t="shared" si="116"/>
        <v>8.5199999999999998E-3</v>
      </c>
    </row>
    <row r="2472" spans="1:10">
      <c r="A2472" t="s">
        <v>2554</v>
      </c>
      <c r="B2472">
        <v>62</v>
      </c>
      <c r="C2472" t="s">
        <v>9</v>
      </c>
      <c r="D2472">
        <v>27</v>
      </c>
      <c r="E2472">
        <v>88</v>
      </c>
      <c r="F2472">
        <v>0.11724</v>
      </c>
      <c r="G2472">
        <v>1</v>
      </c>
      <c r="H2472" t="str">
        <f t="shared" si="114"/>
        <v>80-89</v>
      </c>
      <c r="I2472" t="str">
        <f t="shared" si="115"/>
        <v>20-29</v>
      </c>
      <c r="J2472">
        <f t="shared" si="116"/>
        <v>0.11724</v>
      </c>
    </row>
    <row r="2473" spans="1:10">
      <c r="A2473" t="s">
        <v>2555</v>
      </c>
      <c r="B2473">
        <v>25</v>
      </c>
      <c r="C2473" t="s">
        <v>7</v>
      </c>
      <c r="D2473">
        <v>21</v>
      </c>
      <c r="E2473">
        <v>45</v>
      </c>
      <c r="F2473">
        <v>1.3799999999999999E-3</v>
      </c>
      <c r="G2473">
        <v>0</v>
      </c>
      <c r="H2473" t="str">
        <f t="shared" si="114"/>
        <v>40-49</v>
      </c>
      <c r="I2473" t="str">
        <f t="shared" si="115"/>
        <v>20-29</v>
      </c>
      <c r="J2473">
        <f t="shared" si="116"/>
        <v>1.3799999999999999E-3</v>
      </c>
    </row>
    <row r="2474" spans="1:10">
      <c r="A2474" t="s">
        <v>2556</v>
      </c>
      <c r="B2474">
        <v>65</v>
      </c>
      <c r="C2474" t="s">
        <v>7</v>
      </c>
      <c r="D2474">
        <v>19</v>
      </c>
      <c r="E2474">
        <v>83</v>
      </c>
      <c r="F2474">
        <v>5.5640000000000002E-2</v>
      </c>
      <c r="G2474">
        <v>0</v>
      </c>
      <c r="H2474" t="str">
        <f t="shared" si="114"/>
        <v>80-89</v>
      </c>
      <c r="I2474" t="str">
        <f t="shared" si="115"/>
        <v>10-19</v>
      </c>
      <c r="J2474">
        <f t="shared" si="116"/>
        <v>5.5640000000000002E-2</v>
      </c>
    </row>
    <row r="2475" spans="1:10">
      <c r="A2475" t="s">
        <v>2557</v>
      </c>
      <c r="B2475">
        <v>32</v>
      </c>
      <c r="C2475" t="s">
        <v>9</v>
      </c>
      <c r="D2475">
        <v>29</v>
      </c>
      <c r="E2475">
        <v>60</v>
      </c>
      <c r="F2475">
        <v>4.7800000000000004E-3</v>
      </c>
      <c r="G2475">
        <v>0</v>
      </c>
      <c r="H2475" t="str">
        <f t="shared" si="114"/>
        <v>60-69</v>
      </c>
      <c r="I2475" t="str">
        <f t="shared" si="115"/>
        <v>20-29</v>
      </c>
      <c r="J2475">
        <f t="shared" si="116"/>
        <v>4.7800000000000004E-3</v>
      </c>
    </row>
    <row r="2476" spans="1:10">
      <c r="A2476" t="s">
        <v>2558</v>
      </c>
      <c r="B2476">
        <v>36</v>
      </c>
      <c r="C2476" t="s">
        <v>9</v>
      </c>
      <c r="D2476">
        <v>23</v>
      </c>
      <c r="E2476">
        <v>58</v>
      </c>
      <c r="F2476">
        <v>5.2199999999999998E-3</v>
      </c>
      <c r="G2476">
        <v>0</v>
      </c>
      <c r="H2476" t="str">
        <f t="shared" si="114"/>
        <v>50-59</v>
      </c>
      <c r="I2476" t="str">
        <f t="shared" si="115"/>
        <v>20-29</v>
      </c>
      <c r="J2476">
        <f t="shared" si="116"/>
        <v>5.2199999999999998E-3</v>
      </c>
    </row>
    <row r="2477" spans="1:10">
      <c r="A2477" t="s">
        <v>2559</v>
      </c>
      <c r="B2477">
        <v>62</v>
      </c>
      <c r="C2477" t="s">
        <v>9</v>
      </c>
      <c r="D2477">
        <v>29</v>
      </c>
      <c r="E2477">
        <v>90</v>
      </c>
      <c r="F2477">
        <v>0.11724</v>
      </c>
      <c r="G2477">
        <v>0</v>
      </c>
      <c r="H2477" t="str">
        <f t="shared" si="114"/>
        <v>90-99</v>
      </c>
      <c r="I2477" t="str">
        <f t="shared" si="115"/>
        <v>20-29</v>
      </c>
      <c r="J2477">
        <f t="shared" si="116"/>
        <v>0.11724</v>
      </c>
    </row>
    <row r="2478" spans="1:10">
      <c r="A2478" t="s">
        <v>2560</v>
      </c>
      <c r="B2478">
        <v>46</v>
      </c>
      <c r="C2478" t="s">
        <v>7</v>
      </c>
      <c r="D2478">
        <v>25</v>
      </c>
      <c r="E2478">
        <v>70</v>
      </c>
      <c r="F2478">
        <v>1.404E-2</v>
      </c>
      <c r="G2478">
        <v>0</v>
      </c>
      <c r="H2478" t="str">
        <f t="shared" si="114"/>
        <v>70-79</v>
      </c>
      <c r="I2478" t="str">
        <f t="shared" si="115"/>
        <v>20-29</v>
      </c>
      <c r="J2478">
        <f t="shared" si="116"/>
        <v>1.404E-2</v>
      </c>
    </row>
    <row r="2479" spans="1:10">
      <c r="A2479" t="s">
        <v>2561</v>
      </c>
      <c r="B2479">
        <v>25</v>
      </c>
      <c r="C2479" t="s">
        <v>7</v>
      </c>
      <c r="D2479">
        <v>4</v>
      </c>
      <c r="E2479">
        <v>28</v>
      </c>
      <c r="F2479">
        <v>2.2000000000000001E-4</v>
      </c>
      <c r="G2479">
        <v>0</v>
      </c>
      <c r="H2479" t="str">
        <f t="shared" si="114"/>
        <v>20-29</v>
      </c>
      <c r="I2479" t="str">
        <f t="shared" si="115"/>
        <v>0-9</v>
      </c>
      <c r="J2479">
        <f t="shared" si="116"/>
        <v>2.2000000000000001E-4</v>
      </c>
    </row>
    <row r="2480" spans="1:10">
      <c r="A2480" t="s">
        <v>2562</v>
      </c>
      <c r="B2480">
        <v>42</v>
      </c>
      <c r="C2480" t="s">
        <v>9</v>
      </c>
      <c r="D2480">
        <v>27</v>
      </c>
      <c r="E2480">
        <v>68</v>
      </c>
      <c r="F2480">
        <v>1.2880000000000001E-2</v>
      </c>
      <c r="G2480">
        <v>0</v>
      </c>
      <c r="H2480" t="str">
        <f t="shared" si="114"/>
        <v>60-69</v>
      </c>
      <c r="I2480" t="str">
        <f t="shared" si="115"/>
        <v>20-29</v>
      </c>
      <c r="J2480">
        <f t="shared" si="116"/>
        <v>1.2880000000000001E-2</v>
      </c>
    </row>
    <row r="2481" spans="1:10">
      <c r="A2481" t="s">
        <v>2563</v>
      </c>
      <c r="B2481">
        <v>45</v>
      </c>
      <c r="C2481" t="s">
        <v>9</v>
      </c>
      <c r="D2481">
        <v>23</v>
      </c>
      <c r="E2481">
        <v>67</v>
      </c>
      <c r="F2481">
        <v>1.273E-2</v>
      </c>
      <c r="G2481">
        <v>0</v>
      </c>
      <c r="H2481" t="str">
        <f t="shared" si="114"/>
        <v>60-69</v>
      </c>
      <c r="I2481" t="str">
        <f t="shared" si="115"/>
        <v>20-29</v>
      </c>
      <c r="J2481">
        <f t="shared" si="116"/>
        <v>1.273E-2</v>
      </c>
    </row>
    <row r="2482" spans="1:10">
      <c r="A2482" t="s">
        <v>2564</v>
      </c>
      <c r="B2482">
        <v>51</v>
      </c>
      <c r="C2482" t="s">
        <v>9</v>
      </c>
      <c r="D2482">
        <v>1</v>
      </c>
      <c r="E2482">
        <v>51</v>
      </c>
      <c r="F2482">
        <v>8.5999999999999998E-4</v>
      </c>
      <c r="G2482">
        <v>0</v>
      </c>
      <c r="H2482" t="str">
        <f t="shared" si="114"/>
        <v>50-59</v>
      </c>
      <c r="I2482" t="str">
        <f t="shared" si="115"/>
        <v>0-9</v>
      </c>
      <c r="J2482">
        <f t="shared" si="116"/>
        <v>8.5999999999999998E-4</v>
      </c>
    </row>
    <row r="2483" spans="1:10">
      <c r="A2483" t="s">
        <v>2565</v>
      </c>
      <c r="B2483">
        <v>46</v>
      </c>
      <c r="C2483" t="s">
        <v>9</v>
      </c>
      <c r="D2483">
        <v>17</v>
      </c>
      <c r="E2483">
        <v>62</v>
      </c>
      <c r="F2483">
        <v>7.7400000000000004E-3</v>
      </c>
      <c r="G2483">
        <v>0</v>
      </c>
      <c r="H2483" t="str">
        <f t="shared" si="114"/>
        <v>60-69</v>
      </c>
      <c r="I2483" t="str">
        <f t="shared" si="115"/>
        <v>10-19</v>
      </c>
      <c r="J2483">
        <f t="shared" si="116"/>
        <v>7.7400000000000004E-3</v>
      </c>
    </row>
    <row r="2484" spans="1:10">
      <c r="A2484" t="s">
        <v>2566</v>
      </c>
      <c r="B2484">
        <v>47</v>
      </c>
      <c r="C2484" t="s">
        <v>9</v>
      </c>
      <c r="D2484">
        <v>6</v>
      </c>
      <c r="E2484">
        <v>52</v>
      </c>
      <c r="F2484">
        <v>2.16E-3</v>
      </c>
      <c r="G2484">
        <v>0</v>
      </c>
      <c r="H2484" t="str">
        <f t="shared" si="114"/>
        <v>50-59</v>
      </c>
      <c r="I2484" t="str">
        <f t="shared" si="115"/>
        <v>0-9</v>
      </c>
      <c r="J2484">
        <f t="shared" si="116"/>
        <v>2.16E-3</v>
      </c>
    </row>
    <row r="2485" spans="1:10">
      <c r="A2485" t="s">
        <v>2567</v>
      </c>
      <c r="B2485">
        <v>28</v>
      </c>
      <c r="C2485" t="s">
        <v>9</v>
      </c>
      <c r="D2485">
        <v>7</v>
      </c>
      <c r="E2485">
        <v>34</v>
      </c>
      <c r="F2485">
        <v>5.1999999999999995E-4</v>
      </c>
      <c r="G2485">
        <v>0</v>
      </c>
      <c r="H2485" t="str">
        <f t="shared" si="114"/>
        <v>30-39</v>
      </c>
      <c r="I2485" t="str">
        <f t="shared" si="115"/>
        <v>0-9</v>
      </c>
      <c r="J2485">
        <f t="shared" si="116"/>
        <v>5.1999999999999995E-4</v>
      </c>
    </row>
    <row r="2486" spans="1:10">
      <c r="A2486" t="s">
        <v>2568</v>
      </c>
      <c r="B2486">
        <v>27</v>
      </c>
      <c r="C2486" t="s">
        <v>7</v>
      </c>
      <c r="D2486">
        <v>15</v>
      </c>
      <c r="E2486">
        <v>41</v>
      </c>
      <c r="F2486">
        <v>9.8999999999999999E-4</v>
      </c>
      <c r="G2486">
        <v>0</v>
      </c>
      <c r="H2486" t="str">
        <f t="shared" si="114"/>
        <v>40-49</v>
      </c>
      <c r="I2486" t="str">
        <f t="shared" si="115"/>
        <v>10-19</v>
      </c>
      <c r="J2486">
        <f t="shared" si="116"/>
        <v>9.8999999999999999E-4</v>
      </c>
    </row>
    <row r="2487" spans="1:10">
      <c r="A2487" t="s">
        <v>2569</v>
      </c>
      <c r="B2487">
        <v>32</v>
      </c>
      <c r="C2487" t="s">
        <v>7</v>
      </c>
      <c r="D2487">
        <v>2</v>
      </c>
      <c r="E2487">
        <v>33</v>
      </c>
      <c r="F2487">
        <v>2.0000000000000001E-4</v>
      </c>
      <c r="G2487">
        <v>0</v>
      </c>
      <c r="H2487" t="str">
        <f t="shared" si="114"/>
        <v>30-39</v>
      </c>
      <c r="I2487" t="str">
        <f t="shared" si="115"/>
        <v>0-9</v>
      </c>
      <c r="J2487">
        <f t="shared" si="116"/>
        <v>2.0000000000000001E-4</v>
      </c>
    </row>
    <row r="2488" spans="1:10">
      <c r="A2488" t="s">
        <v>2570</v>
      </c>
      <c r="B2488">
        <v>32</v>
      </c>
      <c r="C2488" t="s">
        <v>7</v>
      </c>
      <c r="D2488">
        <v>9</v>
      </c>
      <c r="E2488">
        <v>40</v>
      </c>
      <c r="F2488">
        <v>6.9999999999999999E-4</v>
      </c>
      <c r="G2488">
        <v>0</v>
      </c>
      <c r="H2488" t="str">
        <f t="shared" si="114"/>
        <v>40-49</v>
      </c>
      <c r="I2488" t="str">
        <f t="shared" si="115"/>
        <v>0-9</v>
      </c>
      <c r="J2488">
        <f t="shared" si="116"/>
        <v>6.9999999999999999E-4</v>
      </c>
    </row>
    <row r="2489" spans="1:10">
      <c r="A2489" t="s">
        <v>2571</v>
      </c>
      <c r="B2489">
        <v>48</v>
      </c>
      <c r="C2489" t="s">
        <v>7</v>
      </c>
      <c r="D2489">
        <v>21</v>
      </c>
      <c r="E2489">
        <v>68</v>
      </c>
      <c r="F2489">
        <v>1.141E-2</v>
      </c>
      <c r="G2489">
        <v>0</v>
      </c>
      <c r="H2489" t="str">
        <f t="shared" si="114"/>
        <v>60-69</v>
      </c>
      <c r="I2489" t="str">
        <f t="shared" si="115"/>
        <v>20-29</v>
      </c>
      <c r="J2489">
        <f t="shared" si="116"/>
        <v>1.141E-2</v>
      </c>
    </row>
    <row r="2490" spans="1:10">
      <c r="A2490" t="s">
        <v>2572</v>
      </c>
      <c r="B2490">
        <v>60</v>
      </c>
      <c r="C2490" t="s">
        <v>9</v>
      </c>
      <c r="D2490">
        <v>6</v>
      </c>
      <c r="E2490">
        <v>65</v>
      </c>
      <c r="F2490">
        <v>8.1399999999999997E-3</v>
      </c>
      <c r="G2490">
        <v>0</v>
      </c>
      <c r="H2490" t="str">
        <f t="shared" si="114"/>
        <v>60-69</v>
      </c>
      <c r="I2490" t="str">
        <f t="shared" si="115"/>
        <v>0-9</v>
      </c>
      <c r="J2490">
        <f t="shared" si="116"/>
        <v>8.1399999999999997E-3</v>
      </c>
    </row>
    <row r="2491" spans="1:10">
      <c r="A2491" t="s">
        <v>2573</v>
      </c>
      <c r="B2491">
        <v>27</v>
      </c>
      <c r="C2491" t="s">
        <v>9</v>
      </c>
      <c r="D2491">
        <v>9</v>
      </c>
      <c r="E2491">
        <v>35</v>
      </c>
      <c r="F2491">
        <v>6.2E-4</v>
      </c>
      <c r="G2491">
        <v>0</v>
      </c>
      <c r="H2491" t="str">
        <f t="shared" si="114"/>
        <v>30-39</v>
      </c>
      <c r="I2491" t="str">
        <f t="shared" si="115"/>
        <v>0-9</v>
      </c>
      <c r="J2491">
        <f t="shared" si="116"/>
        <v>6.2E-4</v>
      </c>
    </row>
    <row r="2492" spans="1:10">
      <c r="A2492" t="s">
        <v>2574</v>
      </c>
      <c r="B2492">
        <v>35</v>
      </c>
      <c r="C2492" t="s">
        <v>9</v>
      </c>
      <c r="D2492">
        <v>16</v>
      </c>
      <c r="E2492">
        <v>50</v>
      </c>
      <c r="F2492">
        <v>2.3900000000000002E-3</v>
      </c>
      <c r="G2492">
        <v>0</v>
      </c>
      <c r="H2492" t="str">
        <f t="shared" si="114"/>
        <v>50-59</v>
      </c>
      <c r="I2492" t="str">
        <f t="shared" si="115"/>
        <v>10-19</v>
      </c>
      <c r="J2492">
        <f t="shared" si="116"/>
        <v>2.3900000000000002E-3</v>
      </c>
    </row>
    <row r="2493" spans="1:10">
      <c r="A2493" t="s">
        <v>2575</v>
      </c>
      <c r="B2493">
        <v>20</v>
      </c>
      <c r="C2493" t="s">
        <v>9</v>
      </c>
      <c r="D2493">
        <v>2</v>
      </c>
      <c r="E2493">
        <v>21</v>
      </c>
      <c r="F2493">
        <v>7.2000000000000005E-4</v>
      </c>
      <c r="G2493">
        <v>0</v>
      </c>
      <c r="H2493" t="str">
        <f t="shared" si="114"/>
        <v>20-29</v>
      </c>
      <c r="I2493" t="str">
        <f t="shared" si="115"/>
        <v>0-9</v>
      </c>
      <c r="J2493">
        <f t="shared" si="116"/>
        <v>7.2000000000000005E-4</v>
      </c>
    </row>
    <row r="2494" spans="1:10">
      <c r="A2494" t="s">
        <v>2576</v>
      </c>
      <c r="B2494">
        <v>62</v>
      </c>
      <c r="C2494" t="s">
        <v>7</v>
      </c>
      <c r="D2494">
        <v>19</v>
      </c>
      <c r="E2494">
        <v>80</v>
      </c>
      <c r="F2494">
        <v>3.8629999999999998E-2</v>
      </c>
      <c r="G2494">
        <v>0</v>
      </c>
      <c r="H2494" t="str">
        <f t="shared" si="114"/>
        <v>80-89</v>
      </c>
      <c r="I2494" t="str">
        <f t="shared" si="115"/>
        <v>10-19</v>
      </c>
      <c r="J2494">
        <f t="shared" si="116"/>
        <v>3.8629999999999998E-2</v>
      </c>
    </row>
    <row r="2495" spans="1:10">
      <c r="A2495" t="s">
        <v>2577</v>
      </c>
      <c r="B2495">
        <v>33</v>
      </c>
      <c r="C2495" t="s">
        <v>7</v>
      </c>
      <c r="D2495">
        <v>17</v>
      </c>
      <c r="E2495">
        <v>49</v>
      </c>
      <c r="F2495">
        <v>1.6900000000000001E-3</v>
      </c>
      <c r="G2495">
        <v>0</v>
      </c>
      <c r="H2495" t="str">
        <f t="shared" si="114"/>
        <v>40-49</v>
      </c>
      <c r="I2495" t="str">
        <f t="shared" si="115"/>
        <v>10-19</v>
      </c>
      <c r="J2495">
        <f t="shared" si="116"/>
        <v>1.6900000000000001E-3</v>
      </c>
    </row>
    <row r="2496" spans="1:10">
      <c r="A2496" t="s">
        <v>2578</v>
      </c>
      <c r="B2496">
        <v>53</v>
      </c>
      <c r="C2496" t="s">
        <v>9</v>
      </c>
      <c r="D2496">
        <v>25</v>
      </c>
      <c r="E2496">
        <v>77</v>
      </c>
      <c r="F2496">
        <v>3.7039999999999997E-2</v>
      </c>
      <c r="G2496">
        <v>0</v>
      </c>
      <c r="H2496" t="str">
        <f t="shared" si="114"/>
        <v>70-79</v>
      </c>
      <c r="I2496" t="str">
        <f t="shared" si="115"/>
        <v>20-29</v>
      </c>
      <c r="J2496">
        <f t="shared" si="116"/>
        <v>3.7039999999999997E-2</v>
      </c>
    </row>
    <row r="2497" spans="1:10">
      <c r="A2497" t="s">
        <v>2579</v>
      </c>
      <c r="B2497">
        <v>41</v>
      </c>
      <c r="C2497" t="s">
        <v>9</v>
      </c>
      <c r="D2497">
        <v>20</v>
      </c>
      <c r="E2497">
        <v>60</v>
      </c>
      <c r="F2497">
        <v>6.3299999999999997E-3</v>
      </c>
      <c r="G2497">
        <v>0</v>
      </c>
      <c r="H2497" t="str">
        <f t="shared" si="114"/>
        <v>60-69</v>
      </c>
      <c r="I2497" t="str">
        <f t="shared" si="115"/>
        <v>20-29</v>
      </c>
      <c r="J2497">
        <f t="shared" si="116"/>
        <v>6.3299999999999997E-3</v>
      </c>
    </row>
    <row r="2498" spans="1:10">
      <c r="A2498" t="s">
        <v>2580</v>
      </c>
      <c r="B2498">
        <v>41</v>
      </c>
      <c r="C2498" t="s">
        <v>7</v>
      </c>
      <c r="D2498">
        <v>11</v>
      </c>
      <c r="E2498">
        <v>51</v>
      </c>
      <c r="F2498">
        <v>1.8E-3</v>
      </c>
      <c r="G2498">
        <v>0</v>
      </c>
      <c r="H2498" t="str">
        <f t="shared" si="114"/>
        <v>50-59</v>
      </c>
      <c r="I2498" t="str">
        <f t="shared" si="115"/>
        <v>10-19</v>
      </c>
      <c r="J2498">
        <f t="shared" si="116"/>
        <v>1.8E-3</v>
      </c>
    </row>
    <row r="2499" spans="1:10">
      <c r="A2499" t="s">
        <v>2581</v>
      </c>
      <c r="B2499">
        <v>62</v>
      </c>
      <c r="C2499" t="s">
        <v>9</v>
      </c>
      <c r="D2499">
        <v>13</v>
      </c>
      <c r="E2499">
        <v>74</v>
      </c>
      <c r="F2499">
        <v>2.409E-2</v>
      </c>
      <c r="G2499">
        <v>0</v>
      </c>
      <c r="H2499" t="str">
        <f t="shared" ref="H2499:H2562" si="117">FLOOR(E2499,10) &amp; "-" &amp; FLOOR(E2499,10)+9</f>
        <v>70-79</v>
      </c>
      <c r="I2499" t="str">
        <f t="shared" ref="I2499:I2562" si="118">FLOOR(D2499, 10) &amp; "-"&amp;FLOOR(D2499, 10)+9</f>
        <v>10-19</v>
      </c>
      <c r="J2499">
        <f t="shared" ref="J2499:J2562" si="119">F2499</f>
        <v>2.409E-2</v>
      </c>
    </row>
    <row r="2500" spans="1:10">
      <c r="A2500" t="s">
        <v>2582</v>
      </c>
      <c r="B2500">
        <v>42</v>
      </c>
      <c r="C2500" t="s">
        <v>9</v>
      </c>
      <c r="D2500">
        <v>28</v>
      </c>
      <c r="E2500">
        <v>69</v>
      </c>
      <c r="F2500">
        <v>1.2880000000000001E-2</v>
      </c>
      <c r="G2500">
        <v>0</v>
      </c>
      <c r="H2500" t="str">
        <f t="shared" si="117"/>
        <v>60-69</v>
      </c>
      <c r="I2500" t="str">
        <f t="shared" si="118"/>
        <v>20-29</v>
      </c>
      <c r="J2500">
        <f t="shared" si="119"/>
        <v>1.2880000000000001E-2</v>
      </c>
    </row>
    <row r="2501" spans="1:10">
      <c r="A2501" t="s">
        <v>2583</v>
      </c>
      <c r="B2501">
        <v>49</v>
      </c>
      <c r="C2501" t="s">
        <v>7</v>
      </c>
      <c r="D2501">
        <v>28</v>
      </c>
      <c r="E2501">
        <v>76</v>
      </c>
      <c r="F2501">
        <v>2.0979999999999999E-2</v>
      </c>
      <c r="G2501">
        <v>0</v>
      </c>
      <c r="H2501" t="str">
        <f t="shared" si="117"/>
        <v>70-79</v>
      </c>
      <c r="I2501" t="str">
        <f t="shared" si="118"/>
        <v>20-29</v>
      </c>
      <c r="J2501">
        <f t="shared" si="119"/>
        <v>2.0979999999999999E-2</v>
      </c>
    </row>
    <row r="2502" spans="1:10">
      <c r="A2502" t="s">
        <v>2584</v>
      </c>
      <c r="B2502">
        <v>28</v>
      </c>
      <c r="C2502" t="s">
        <v>7</v>
      </c>
      <c r="D2502">
        <v>1</v>
      </c>
      <c r="E2502">
        <v>28</v>
      </c>
      <c r="F2502">
        <v>1.1E-4</v>
      </c>
      <c r="G2502">
        <v>0</v>
      </c>
      <c r="H2502" t="str">
        <f t="shared" si="117"/>
        <v>20-29</v>
      </c>
      <c r="I2502" t="str">
        <f t="shared" si="118"/>
        <v>0-9</v>
      </c>
      <c r="J2502">
        <f t="shared" si="119"/>
        <v>1.1E-4</v>
      </c>
    </row>
    <row r="2503" spans="1:10">
      <c r="A2503" t="s">
        <v>2585</v>
      </c>
      <c r="B2503">
        <v>37</v>
      </c>
      <c r="C2503" t="s">
        <v>7</v>
      </c>
      <c r="D2503">
        <v>23</v>
      </c>
      <c r="E2503">
        <v>59</v>
      </c>
      <c r="F2503">
        <v>4.4600000000000004E-3</v>
      </c>
      <c r="G2503">
        <v>0</v>
      </c>
      <c r="H2503" t="str">
        <f t="shared" si="117"/>
        <v>50-59</v>
      </c>
      <c r="I2503" t="str">
        <f t="shared" si="118"/>
        <v>20-29</v>
      </c>
      <c r="J2503">
        <f t="shared" si="119"/>
        <v>4.4600000000000004E-3</v>
      </c>
    </row>
    <row r="2504" spans="1:10">
      <c r="A2504" t="s">
        <v>2586</v>
      </c>
      <c r="B2504">
        <v>48</v>
      </c>
      <c r="C2504" t="s">
        <v>7</v>
      </c>
      <c r="D2504">
        <v>20</v>
      </c>
      <c r="E2504">
        <v>67</v>
      </c>
      <c r="F2504">
        <v>1.0149999999999999E-2</v>
      </c>
      <c r="G2504">
        <v>0</v>
      </c>
      <c r="H2504" t="str">
        <f t="shared" si="117"/>
        <v>60-69</v>
      </c>
      <c r="I2504" t="str">
        <f t="shared" si="118"/>
        <v>20-29</v>
      </c>
      <c r="J2504">
        <f t="shared" si="119"/>
        <v>1.0149999999999999E-2</v>
      </c>
    </row>
    <row r="2505" spans="1:10">
      <c r="A2505" t="s">
        <v>2587</v>
      </c>
      <c r="B2505">
        <v>52</v>
      </c>
      <c r="C2505" t="s">
        <v>7</v>
      </c>
      <c r="D2505">
        <v>14</v>
      </c>
      <c r="E2505">
        <v>65</v>
      </c>
      <c r="F2505">
        <v>7.2399999999999999E-3</v>
      </c>
      <c r="G2505">
        <v>1</v>
      </c>
      <c r="H2505" t="str">
        <f t="shared" si="117"/>
        <v>60-69</v>
      </c>
      <c r="I2505" t="str">
        <f t="shared" si="118"/>
        <v>10-19</v>
      </c>
      <c r="J2505">
        <f t="shared" si="119"/>
        <v>7.2399999999999999E-3</v>
      </c>
    </row>
    <row r="2506" spans="1:10">
      <c r="A2506" t="s">
        <v>2588</v>
      </c>
      <c r="B2506">
        <v>60</v>
      </c>
      <c r="C2506" t="s">
        <v>9</v>
      </c>
      <c r="D2506">
        <v>27</v>
      </c>
      <c r="E2506">
        <v>86</v>
      </c>
      <c r="F2506">
        <v>9.1270000000000004E-2</v>
      </c>
      <c r="G2506">
        <v>0</v>
      </c>
      <c r="H2506" t="str">
        <f t="shared" si="117"/>
        <v>80-89</v>
      </c>
      <c r="I2506" t="str">
        <f t="shared" si="118"/>
        <v>20-29</v>
      </c>
      <c r="J2506">
        <f t="shared" si="119"/>
        <v>9.1270000000000004E-2</v>
      </c>
    </row>
    <row r="2507" spans="1:10">
      <c r="A2507" t="s">
        <v>2589</v>
      </c>
      <c r="B2507">
        <v>22</v>
      </c>
      <c r="C2507" t="s">
        <v>7</v>
      </c>
      <c r="D2507">
        <v>26</v>
      </c>
      <c r="E2507">
        <v>47</v>
      </c>
      <c r="F2507">
        <v>1.6000000000000001E-3</v>
      </c>
      <c r="G2507">
        <v>0</v>
      </c>
      <c r="H2507" t="str">
        <f t="shared" si="117"/>
        <v>40-49</v>
      </c>
      <c r="I2507" t="str">
        <f t="shared" si="118"/>
        <v>20-29</v>
      </c>
      <c r="J2507">
        <f t="shared" si="119"/>
        <v>1.6000000000000001E-3</v>
      </c>
    </row>
    <row r="2508" spans="1:10">
      <c r="A2508" t="s">
        <v>2590</v>
      </c>
      <c r="B2508">
        <v>34</v>
      </c>
      <c r="C2508" t="s">
        <v>9</v>
      </c>
      <c r="D2508">
        <v>20</v>
      </c>
      <c r="E2508">
        <v>53</v>
      </c>
      <c r="F2508">
        <v>3.2599999999999999E-3</v>
      </c>
      <c r="G2508">
        <v>0</v>
      </c>
      <c r="H2508" t="str">
        <f t="shared" si="117"/>
        <v>50-59</v>
      </c>
      <c r="I2508" t="str">
        <f t="shared" si="118"/>
        <v>20-29</v>
      </c>
      <c r="J2508">
        <f t="shared" si="119"/>
        <v>3.2599999999999999E-3</v>
      </c>
    </row>
    <row r="2509" spans="1:10">
      <c r="A2509" t="s">
        <v>2591</v>
      </c>
      <c r="B2509">
        <v>25</v>
      </c>
      <c r="C2509" t="s">
        <v>9</v>
      </c>
      <c r="D2509">
        <v>12</v>
      </c>
      <c r="E2509">
        <v>36</v>
      </c>
      <c r="F2509">
        <v>8.0999999999999996E-4</v>
      </c>
      <c r="G2509">
        <v>0</v>
      </c>
      <c r="H2509" t="str">
        <f t="shared" si="117"/>
        <v>30-39</v>
      </c>
      <c r="I2509" t="str">
        <f t="shared" si="118"/>
        <v>10-19</v>
      </c>
      <c r="J2509">
        <f t="shared" si="119"/>
        <v>8.0999999999999996E-4</v>
      </c>
    </row>
    <row r="2510" spans="1:10">
      <c r="A2510" t="s">
        <v>2592</v>
      </c>
      <c r="B2510">
        <v>50</v>
      </c>
      <c r="C2510" t="s">
        <v>7</v>
      </c>
      <c r="D2510">
        <v>22</v>
      </c>
      <c r="E2510">
        <v>71</v>
      </c>
      <c r="F2510">
        <v>1.553E-2</v>
      </c>
      <c r="G2510">
        <v>0</v>
      </c>
      <c r="H2510" t="str">
        <f t="shared" si="117"/>
        <v>70-79</v>
      </c>
      <c r="I2510" t="str">
        <f t="shared" si="118"/>
        <v>20-29</v>
      </c>
      <c r="J2510">
        <f t="shared" si="119"/>
        <v>1.553E-2</v>
      </c>
    </row>
    <row r="2511" spans="1:10">
      <c r="A2511" t="s">
        <v>2593</v>
      </c>
      <c r="B2511">
        <v>44</v>
      </c>
      <c r="C2511" t="s">
        <v>7</v>
      </c>
      <c r="D2511">
        <v>10</v>
      </c>
      <c r="E2511">
        <v>53</v>
      </c>
      <c r="F2511">
        <v>2.0600000000000002E-3</v>
      </c>
      <c r="G2511">
        <v>0</v>
      </c>
      <c r="H2511" t="str">
        <f t="shared" si="117"/>
        <v>50-59</v>
      </c>
      <c r="I2511" t="str">
        <f t="shared" si="118"/>
        <v>10-19</v>
      </c>
      <c r="J2511">
        <f t="shared" si="119"/>
        <v>2.0600000000000002E-3</v>
      </c>
    </row>
    <row r="2512" spans="1:10">
      <c r="A2512" t="s">
        <v>2594</v>
      </c>
      <c r="B2512">
        <v>53</v>
      </c>
      <c r="C2512" t="s">
        <v>7</v>
      </c>
      <c r="D2512">
        <v>29</v>
      </c>
      <c r="E2512">
        <v>81</v>
      </c>
      <c r="F2512">
        <v>3.1989999999999998E-2</v>
      </c>
      <c r="G2512">
        <v>0</v>
      </c>
      <c r="H2512" t="str">
        <f t="shared" si="117"/>
        <v>80-89</v>
      </c>
      <c r="I2512" t="str">
        <f t="shared" si="118"/>
        <v>20-29</v>
      </c>
      <c r="J2512">
        <f t="shared" si="119"/>
        <v>3.1989999999999998E-2</v>
      </c>
    </row>
    <row r="2513" spans="1:10">
      <c r="A2513" t="s">
        <v>2595</v>
      </c>
      <c r="B2513">
        <v>52</v>
      </c>
      <c r="C2513" t="s">
        <v>9</v>
      </c>
      <c r="D2513">
        <v>2</v>
      </c>
      <c r="E2513">
        <v>53</v>
      </c>
      <c r="F2513">
        <v>1.5E-3</v>
      </c>
      <c r="G2513">
        <v>0</v>
      </c>
      <c r="H2513" t="str">
        <f t="shared" si="117"/>
        <v>50-59</v>
      </c>
      <c r="I2513" t="str">
        <f t="shared" si="118"/>
        <v>0-9</v>
      </c>
      <c r="J2513">
        <f t="shared" si="119"/>
        <v>1.5E-3</v>
      </c>
    </row>
    <row r="2514" spans="1:10">
      <c r="A2514" t="s">
        <v>2596</v>
      </c>
      <c r="B2514">
        <v>39</v>
      </c>
      <c r="C2514" t="s">
        <v>7</v>
      </c>
      <c r="D2514">
        <v>27</v>
      </c>
      <c r="E2514">
        <v>65</v>
      </c>
      <c r="F2514">
        <v>7.4700000000000001E-3</v>
      </c>
      <c r="G2514">
        <v>0</v>
      </c>
      <c r="H2514" t="str">
        <f t="shared" si="117"/>
        <v>60-69</v>
      </c>
      <c r="I2514" t="str">
        <f t="shared" si="118"/>
        <v>20-29</v>
      </c>
      <c r="J2514">
        <f t="shared" si="119"/>
        <v>7.4700000000000001E-3</v>
      </c>
    </row>
    <row r="2515" spans="1:10">
      <c r="A2515" t="s">
        <v>2597</v>
      </c>
      <c r="B2515">
        <v>49</v>
      </c>
      <c r="C2515" t="s">
        <v>7</v>
      </c>
      <c r="D2515">
        <v>6</v>
      </c>
      <c r="E2515">
        <v>54</v>
      </c>
      <c r="F2515">
        <v>1.8600000000000001E-3</v>
      </c>
      <c r="G2515">
        <v>0</v>
      </c>
      <c r="H2515" t="str">
        <f t="shared" si="117"/>
        <v>50-59</v>
      </c>
      <c r="I2515" t="str">
        <f t="shared" si="118"/>
        <v>0-9</v>
      </c>
      <c r="J2515">
        <f t="shared" si="119"/>
        <v>1.8600000000000001E-3</v>
      </c>
    </row>
    <row r="2516" spans="1:10">
      <c r="A2516" t="s">
        <v>2598</v>
      </c>
      <c r="B2516">
        <v>50</v>
      </c>
      <c r="C2516" t="s">
        <v>7</v>
      </c>
      <c r="D2516">
        <v>22</v>
      </c>
      <c r="E2516">
        <v>71</v>
      </c>
      <c r="F2516">
        <v>1.553E-2</v>
      </c>
      <c r="G2516">
        <v>0</v>
      </c>
      <c r="H2516" t="str">
        <f t="shared" si="117"/>
        <v>70-79</v>
      </c>
      <c r="I2516" t="str">
        <f t="shared" si="118"/>
        <v>20-29</v>
      </c>
      <c r="J2516">
        <f t="shared" si="119"/>
        <v>1.553E-2</v>
      </c>
    </row>
    <row r="2517" spans="1:10">
      <c r="A2517" t="s">
        <v>2599</v>
      </c>
      <c r="B2517">
        <v>30</v>
      </c>
      <c r="C2517" t="s">
        <v>7</v>
      </c>
      <c r="D2517">
        <v>25</v>
      </c>
      <c r="E2517">
        <v>54</v>
      </c>
      <c r="F2517">
        <v>2.82E-3</v>
      </c>
      <c r="G2517">
        <v>0</v>
      </c>
      <c r="H2517" t="str">
        <f t="shared" si="117"/>
        <v>50-59</v>
      </c>
      <c r="I2517" t="str">
        <f t="shared" si="118"/>
        <v>20-29</v>
      </c>
      <c r="J2517">
        <f t="shared" si="119"/>
        <v>2.82E-3</v>
      </c>
    </row>
    <row r="2518" spans="1:10">
      <c r="A2518" t="s">
        <v>2600</v>
      </c>
      <c r="B2518">
        <v>26</v>
      </c>
      <c r="C2518" t="s">
        <v>7</v>
      </c>
      <c r="D2518">
        <v>14</v>
      </c>
      <c r="E2518">
        <v>39</v>
      </c>
      <c r="F2518">
        <v>8.5999999999999998E-4</v>
      </c>
      <c r="G2518">
        <v>0</v>
      </c>
      <c r="H2518" t="str">
        <f t="shared" si="117"/>
        <v>30-39</v>
      </c>
      <c r="I2518" t="str">
        <f t="shared" si="118"/>
        <v>10-19</v>
      </c>
      <c r="J2518">
        <f t="shared" si="119"/>
        <v>8.5999999999999998E-4</v>
      </c>
    </row>
    <row r="2519" spans="1:10">
      <c r="A2519" t="s">
        <v>2601</v>
      </c>
      <c r="B2519">
        <v>40</v>
      </c>
      <c r="C2519" t="s">
        <v>9</v>
      </c>
      <c r="D2519">
        <v>29</v>
      </c>
      <c r="E2519">
        <v>68</v>
      </c>
      <c r="F2519">
        <v>1.064E-2</v>
      </c>
      <c r="G2519">
        <v>0</v>
      </c>
      <c r="H2519" t="str">
        <f t="shared" si="117"/>
        <v>60-69</v>
      </c>
      <c r="I2519" t="str">
        <f t="shared" si="118"/>
        <v>20-29</v>
      </c>
      <c r="J2519">
        <f t="shared" si="119"/>
        <v>1.064E-2</v>
      </c>
    </row>
    <row r="2520" spans="1:10">
      <c r="A2520" t="s">
        <v>2602</v>
      </c>
      <c r="B2520">
        <v>36</v>
      </c>
      <c r="C2520" t="s">
        <v>9</v>
      </c>
      <c r="D2520">
        <v>22</v>
      </c>
      <c r="E2520">
        <v>57</v>
      </c>
      <c r="F2520">
        <v>4.7800000000000004E-3</v>
      </c>
      <c r="G2520">
        <v>0</v>
      </c>
      <c r="H2520" t="str">
        <f t="shared" si="117"/>
        <v>50-59</v>
      </c>
      <c r="I2520" t="str">
        <f t="shared" si="118"/>
        <v>20-29</v>
      </c>
      <c r="J2520">
        <f t="shared" si="119"/>
        <v>4.7800000000000004E-3</v>
      </c>
    </row>
    <row r="2521" spans="1:10">
      <c r="A2521" t="s">
        <v>2603</v>
      </c>
      <c r="B2521">
        <v>27</v>
      </c>
      <c r="C2521" t="s">
        <v>9</v>
      </c>
      <c r="D2521">
        <v>22</v>
      </c>
      <c r="E2521">
        <v>48</v>
      </c>
      <c r="F2521">
        <v>2.2699999999999999E-3</v>
      </c>
      <c r="G2521">
        <v>0</v>
      </c>
      <c r="H2521" t="str">
        <f t="shared" si="117"/>
        <v>40-49</v>
      </c>
      <c r="I2521" t="str">
        <f t="shared" si="118"/>
        <v>20-29</v>
      </c>
      <c r="J2521">
        <f t="shared" si="119"/>
        <v>2.2699999999999999E-3</v>
      </c>
    </row>
    <row r="2522" spans="1:10">
      <c r="A2522" t="s">
        <v>2604</v>
      </c>
      <c r="B2522">
        <v>51</v>
      </c>
      <c r="C2522" t="s">
        <v>7</v>
      </c>
      <c r="D2522">
        <v>3</v>
      </c>
      <c r="E2522">
        <v>53</v>
      </c>
      <c r="F2522">
        <v>1.4300000000000001E-3</v>
      </c>
      <c r="G2522">
        <v>0</v>
      </c>
      <c r="H2522" t="str">
        <f t="shared" si="117"/>
        <v>50-59</v>
      </c>
      <c r="I2522" t="str">
        <f t="shared" si="118"/>
        <v>0-9</v>
      </c>
      <c r="J2522">
        <f t="shared" si="119"/>
        <v>1.4300000000000001E-3</v>
      </c>
    </row>
    <row r="2523" spans="1:10">
      <c r="A2523" t="s">
        <v>2605</v>
      </c>
      <c r="B2523">
        <v>34</v>
      </c>
      <c r="C2523" t="s">
        <v>7</v>
      </c>
      <c r="D2523">
        <v>30</v>
      </c>
      <c r="E2523">
        <v>63</v>
      </c>
      <c r="F2523">
        <v>4.4600000000000004E-3</v>
      </c>
      <c r="G2523">
        <v>0</v>
      </c>
      <c r="H2523" t="str">
        <f t="shared" si="117"/>
        <v>60-69</v>
      </c>
      <c r="I2523" t="str">
        <f t="shared" si="118"/>
        <v>30-39</v>
      </c>
      <c r="J2523">
        <f t="shared" si="119"/>
        <v>4.4600000000000004E-3</v>
      </c>
    </row>
    <row r="2524" spans="1:10">
      <c r="A2524" t="s">
        <v>2606</v>
      </c>
      <c r="B2524">
        <v>24</v>
      </c>
      <c r="C2524" t="s">
        <v>9</v>
      </c>
      <c r="D2524">
        <v>21</v>
      </c>
      <c r="E2524">
        <v>44</v>
      </c>
      <c r="F2524">
        <v>1.9599999999999999E-3</v>
      </c>
      <c r="G2524">
        <v>0</v>
      </c>
      <c r="H2524" t="str">
        <f t="shared" si="117"/>
        <v>40-49</v>
      </c>
      <c r="I2524" t="str">
        <f t="shared" si="118"/>
        <v>20-29</v>
      </c>
      <c r="J2524">
        <f t="shared" si="119"/>
        <v>1.9599999999999999E-3</v>
      </c>
    </row>
    <row r="2525" spans="1:10">
      <c r="A2525" t="s">
        <v>2607</v>
      </c>
      <c r="B2525">
        <v>44</v>
      </c>
      <c r="C2525" t="s">
        <v>7</v>
      </c>
      <c r="D2525">
        <v>21</v>
      </c>
      <c r="E2525">
        <v>64</v>
      </c>
      <c r="F2525">
        <v>7.4700000000000001E-3</v>
      </c>
      <c r="G2525">
        <v>0</v>
      </c>
      <c r="H2525" t="str">
        <f t="shared" si="117"/>
        <v>60-69</v>
      </c>
      <c r="I2525" t="str">
        <f t="shared" si="118"/>
        <v>20-29</v>
      </c>
      <c r="J2525">
        <f t="shared" si="119"/>
        <v>7.4700000000000001E-3</v>
      </c>
    </row>
    <row r="2526" spans="1:10">
      <c r="A2526" t="s">
        <v>2608</v>
      </c>
      <c r="B2526">
        <v>47</v>
      </c>
      <c r="C2526" t="s">
        <v>9</v>
      </c>
      <c r="D2526">
        <v>26</v>
      </c>
      <c r="E2526">
        <v>72</v>
      </c>
      <c r="F2526">
        <v>2.1340000000000001E-2</v>
      </c>
      <c r="G2526">
        <v>0</v>
      </c>
      <c r="H2526" t="str">
        <f t="shared" si="117"/>
        <v>70-79</v>
      </c>
      <c r="I2526" t="str">
        <f t="shared" si="118"/>
        <v>20-29</v>
      </c>
      <c r="J2526">
        <f t="shared" si="119"/>
        <v>2.1340000000000001E-2</v>
      </c>
    </row>
    <row r="2527" spans="1:10">
      <c r="A2527" t="s">
        <v>2609</v>
      </c>
      <c r="B2527">
        <v>38</v>
      </c>
      <c r="C2527" t="s">
        <v>9</v>
      </c>
      <c r="D2527">
        <v>3</v>
      </c>
      <c r="E2527">
        <v>40</v>
      </c>
      <c r="F2527">
        <v>6.3000000000000003E-4</v>
      </c>
      <c r="G2527">
        <v>0</v>
      </c>
      <c r="H2527" t="str">
        <f t="shared" si="117"/>
        <v>40-49</v>
      </c>
      <c r="I2527" t="str">
        <f t="shared" si="118"/>
        <v>0-9</v>
      </c>
      <c r="J2527">
        <f t="shared" si="119"/>
        <v>6.3000000000000003E-4</v>
      </c>
    </row>
    <row r="2528" spans="1:10">
      <c r="A2528" t="s">
        <v>2610</v>
      </c>
      <c r="B2528">
        <v>57</v>
      </c>
      <c r="C2528" t="s">
        <v>9</v>
      </c>
      <c r="D2528">
        <v>30</v>
      </c>
      <c r="E2528">
        <v>86</v>
      </c>
      <c r="F2528">
        <v>6.3329999999999997E-2</v>
      </c>
      <c r="G2528">
        <v>0</v>
      </c>
      <c r="H2528" t="str">
        <f t="shared" si="117"/>
        <v>80-89</v>
      </c>
      <c r="I2528" t="str">
        <f t="shared" si="118"/>
        <v>30-39</v>
      </c>
      <c r="J2528">
        <f t="shared" si="119"/>
        <v>6.3329999999999997E-2</v>
      </c>
    </row>
    <row r="2529" spans="1:10">
      <c r="A2529" t="s">
        <v>2611</v>
      </c>
      <c r="B2529">
        <v>56</v>
      </c>
      <c r="C2529" t="s">
        <v>9</v>
      </c>
      <c r="D2529">
        <v>12</v>
      </c>
      <c r="E2529">
        <v>67</v>
      </c>
      <c r="F2529">
        <v>1.227E-2</v>
      </c>
      <c r="G2529">
        <v>0</v>
      </c>
      <c r="H2529" t="str">
        <f t="shared" si="117"/>
        <v>60-69</v>
      </c>
      <c r="I2529" t="str">
        <f t="shared" si="118"/>
        <v>10-19</v>
      </c>
      <c r="J2529">
        <f t="shared" si="119"/>
        <v>1.227E-2</v>
      </c>
    </row>
    <row r="2530" spans="1:10">
      <c r="A2530" t="s">
        <v>2612</v>
      </c>
      <c r="B2530">
        <v>44</v>
      </c>
      <c r="C2530" t="s">
        <v>7</v>
      </c>
      <c r="D2530">
        <v>19</v>
      </c>
      <c r="E2530">
        <v>62</v>
      </c>
      <c r="F2530">
        <v>5.8700000000000002E-3</v>
      </c>
      <c r="G2530">
        <v>0</v>
      </c>
      <c r="H2530" t="str">
        <f t="shared" si="117"/>
        <v>60-69</v>
      </c>
      <c r="I2530" t="str">
        <f t="shared" si="118"/>
        <v>10-19</v>
      </c>
      <c r="J2530">
        <f t="shared" si="119"/>
        <v>5.8700000000000002E-3</v>
      </c>
    </row>
    <row r="2531" spans="1:10">
      <c r="A2531" t="s">
        <v>2613</v>
      </c>
      <c r="B2531">
        <v>57</v>
      </c>
      <c r="C2531" t="s">
        <v>9</v>
      </c>
      <c r="D2531">
        <v>18</v>
      </c>
      <c r="E2531">
        <v>74</v>
      </c>
      <c r="F2531">
        <v>2.6550000000000001E-2</v>
      </c>
      <c r="G2531">
        <v>0</v>
      </c>
      <c r="H2531" t="str">
        <f t="shared" si="117"/>
        <v>70-79</v>
      </c>
      <c r="I2531" t="str">
        <f t="shared" si="118"/>
        <v>10-19</v>
      </c>
      <c r="J2531">
        <f t="shared" si="119"/>
        <v>2.6550000000000001E-2</v>
      </c>
    </row>
    <row r="2532" spans="1:10">
      <c r="A2532" t="s">
        <v>2614</v>
      </c>
      <c r="B2532">
        <v>47</v>
      </c>
      <c r="C2532" t="s">
        <v>7</v>
      </c>
      <c r="D2532">
        <v>11</v>
      </c>
      <c r="E2532">
        <v>57</v>
      </c>
      <c r="F2532">
        <v>2.98E-3</v>
      </c>
      <c r="G2532">
        <v>0</v>
      </c>
      <c r="H2532" t="str">
        <f t="shared" si="117"/>
        <v>50-59</v>
      </c>
      <c r="I2532" t="str">
        <f t="shared" si="118"/>
        <v>10-19</v>
      </c>
      <c r="J2532">
        <f t="shared" si="119"/>
        <v>2.98E-3</v>
      </c>
    </row>
    <row r="2533" spans="1:10">
      <c r="A2533" t="s">
        <v>2615</v>
      </c>
      <c r="B2533">
        <v>28</v>
      </c>
      <c r="C2533" t="s">
        <v>7</v>
      </c>
      <c r="D2533">
        <v>17</v>
      </c>
      <c r="E2533">
        <v>44</v>
      </c>
      <c r="F2533">
        <v>1.1800000000000001E-3</v>
      </c>
      <c r="G2533">
        <v>0</v>
      </c>
      <c r="H2533" t="str">
        <f t="shared" si="117"/>
        <v>40-49</v>
      </c>
      <c r="I2533" t="str">
        <f t="shared" si="118"/>
        <v>10-19</v>
      </c>
      <c r="J2533">
        <f t="shared" si="119"/>
        <v>1.1800000000000001E-3</v>
      </c>
    </row>
    <row r="2534" spans="1:10">
      <c r="A2534" t="s">
        <v>2616</v>
      </c>
      <c r="B2534">
        <v>26</v>
      </c>
      <c r="C2534" t="s">
        <v>9</v>
      </c>
      <c r="D2534">
        <v>13</v>
      </c>
      <c r="E2534">
        <v>38</v>
      </c>
      <c r="F2534">
        <v>9.6000000000000002E-4</v>
      </c>
      <c r="G2534">
        <v>0</v>
      </c>
      <c r="H2534" t="str">
        <f t="shared" si="117"/>
        <v>30-39</v>
      </c>
      <c r="I2534" t="str">
        <f t="shared" si="118"/>
        <v>10-19</v>
      </c>
      <c r="J2534">
        <f t="shared" si="119"/>
        <v>9.6000000000000002E-4</v>
      </c>
    </row>
    <row r="2535" spans="1:10">
      <c r="A2535" t="s">
        <v>2617</v>
      </c>
      <c r="B2535">
        <v>40</v>
      </c>
      <c r="C2535" t="s">
        <v>7</v>
      </c>
      <c r="D2535">
        <v>5</v>
      </c>
      <c r="E2535">
        <v>44</v>
      </c>
      <c r="F2535">
        <v>7.6000000000000004E-4</v>
      </c>
      <c r="G2535">
        <v>0</v>
      </c>
      <c r="H2535" t="str">
        <f t="shared" si="117"/>
        <v>40-49</v>
      </c>
      <c r="I2535" t="str">
        <f t="shared" si="118"/>
        <v>0-9</v>
      </c>
      <c r="J2535">
        <f t="shared" si="119"/>
        <v>7.6000000000000004E-4</v>
      </c>
    </row>
    <row r="2536" spans="1:10">
      <c r="A2536" t="s">
        <v>2618</v>
      </c>
      <c r="B2536">
        <v>34</v>
      </c>
      <c r="C2536" t="s">
        <v>7</v>
      </c>
      <c r="D2536">
        <v>16</v>
      </c>
      <c r="E2536">
        <v>49</v>
      </c>
      <c r="F2536">
        <v>1.64E-3</v>
      </c>
      <c r="G2536">
        <v>0</v>
      </c>
      <c r="H2536" t="str">
        <f t="shared" si="117"/>
        <v>40-49</v>
      </c>
      <c r="I2536" t="str">
        <f t="shared" si="118"/>
        <v>10-19</v>
      </c>
      <c r="J2536">
        <f t="shared" si="119"/>
        <v>1.64E-3</v>
      </c>
    </row>
    <row r="2537" spans="1:10">
      <c r="A2537" t="s">
        <v>2619</v>
      </c>
      <c r="B2537">
        <v>38</v>
      </c>
      <c r="C2537" t="s">
        <v>7</v>
      </c>
      <c r="D2537">
        <v>5</v>
      </c>
      <c r="E2537">
        <v>42</v>
      </c>
      <c r="F2537">
        <v>6.7000000000000002E-4</v>
      </c>
      <c r="G2537">
        <v>0</v>
      </c>
      <c r="H2537" t="str">
        <f t="shared" si="117"/>
        <v>40-49</v>
      </c>
      <c r="I2537" t="str">
        <f t="shared" si="118"/>
        <v>0-9</v>
      </c>
      <c r="J2537">
        <f t="shared" si="119"/>
        <v>6.7000000000000002E-4</v>
      </c>
    </row>
    <row r="2538" spans="1:10">
      <c r="A2538" t="s">
        <v>2620</v>
      </c>
      <c r="B2538">
        <v>64</v>
      </c>
      <c r="C2538" t="s">
        <v>7</v>
      </c>
      <c r="D2538">
        <v>2</v>
      </c>
      <c r="E2538">
        <v>65</v>
      </c>
      <c r="F2538">
        <v>2.4599999999999999E-3</v>
      </c>
      <c r="G2538">
        <v>0</v>
      </c>
      <c r="H2538" t="str">
        <f t="shared" si="117"/>
        <v>60-69</v>
      </c>
      <c r="I2538" t="str">
        <f t="shared" si="118"/>
        <v>0-9</v>
      </c>
      <c r="J2538">
        <f t="shared" si="119"/>
        <v>2.4599999999999999E-3</v>
      </c>
    </row>
    <row r="2539" spans="1:10">
      <c r="A2539" t="s">
        <v>2621</v>
      </c>
      <c r="B2539">
        <v>64</v>
      </c>
      <c r="C2539" t="s">
        <v>9</v>
      </c>
      <c r="D2539">
        <v>4</v>
      </c>
      <c r="E2539">
        <v>67</v>
      </c>
      <c r="F2539">
        <v>7.5599999999999999E-3</v>
      </c>
      <c r="G2539">
        <v>0</v>
      </c>
      <c r="H2539" t="str">
        <f t="shared" si="117"/>
        <v>60-69</v>
      </c>
      <c r="I2539" t="str">
        <f t="shared" si="118"/>
        <v>0-9</v>
      </c>
      <c r="J2539">
        <f t="shared" si="119"/>
        <v>7.5599999999999999E-3</v>
      </c>
    </row>
    <row r="2540" spans="1:10">
      <c r="A2540" t="s">
        <v>2622</v>
      </c>
      <c r="B2540">
        <v>56</v>
      </c>
      <c r="C2540" t="s">
        <v>7</v>
      </c>
      <c r="D2540">
        <v>16</v>
      </c>
      <c r="E2540">
        <v>71</v>
      </c>
      <c r="F2540">
        <v>1.376E-2</v>
      </c>
      <c r="G2540">
        <v>0</v>
      </c>
      <c r="H2540" t="str">
        <f t="shared" si="117"/>
        <v>70-79</v>
      </c>
      <c r="I2540" t="str">
        <f t="shared" si="118"/>
        <v>10-19</v>
      </c>
      <c r="J2540">
        <f t="shared" si="119"/>
        <v>1.376E-2</v>
      </c>
    </row>
    <row r="2541" spans="1:10">
      <c r="A2541" t="s">
        <v>2623</v>
      </c>
      <c r="B2541">
        <v>38</v>
      </c>
      <c r="C2541" t="s">
        <v>7</v>
      </c>
      <c r="D2541">
        <v>23</v>
      </c>
      <c r="E2541">
        <v>60</v>
      </c>
      <c r="F2541">
        <v>4.9300000000000004E-3</v>
      </c>
      <c r="G2541">
        <v>0</v>
      </c>
      <c r="H2541" t="str">
        <f t="shared" si="117"/>
        <v>60-69</v>
      </c>
      <c r="I2541" t="str">
        <f t="shared" si="118"/>
        <v>20-29</v>
      </c>
      <c r="J2541">
        <f t="shared" si="119"/>
        <v>4.9300000000000004E-3</v>
      </c>
    </row>
    <row r="2542" spans="1:10">
      <c r="A2542" t="s">
        <v>2624</v>
      </c>
      <c r="B2542">
        <v>41</v>
      </c>
      <c r="C2542" t="s">
        <v>7</v>
      </c>
      <c r="D2542">
        <v>5</v>
      </c>
      <c r="E2542">
        <v>45</v>
      </c>
      <c r="F2542">
        <v>8.0000000000000004E-4</v>
      </c>
      <c r="G2542">
        <v>0</v>
      </c>
      <c r="H2542" t="str">
        <f t="shared" si="117"/>
        <v>40-49</v>
      </c>
      <c r="I2542" t="str">
        <f t="shared" si="118"/>
        <v>0-9</v>
      </c>
      <c r="J2542">
        <f t="shared" si="119"/>
        <v>8.0000000000000004E-4</v>
      </c>
    </row>
    <row r="2543" spans="1:10">
      <c r="A2543" t="s">
        <v>2625</v>
      </c>
      <c r="B2543">
        <v>34</v>
      </c>
      <c r="C2543" t="s">
        <v>7</v>
      </c>
      <c r="D2543">
        <v>23</v>
      </c>
      <c r="E2543">
        <v>56</v>
      </c>
      <c r="F2543">
        <v>3.3700000000000002E-3</v>
      </c>
      <c r="G2543">
        <v>0</v>
      </c>
      <c r="H2543" t="str">
        <f t="shared" si="117"/>
        <v>50-59</v>
      </c>
      <c r="I2543" t="str">
        <f t="shared" si="118"/>
        <v>20-29</v>
      </c>
      <c r="J2543">
        <f t="shared" si="119"/>
        <v>3.3700000000000002E-3</v>
      </c>
    </row>
    <row r="2544" spans="1:10">
      <c r="A2544" t="s">
        <v>2626</v>
      </c>
      <c r="B2544">
        <v>31</v>
      </c>
      <c r="C2544" t="s">
        <v>9</v>
      </c>
      <c r="D2544">
        <v>28</v>
      </c>
      <c r="E2544">
        <v>58</v>
      </c>
      <c r="F2544">
        <v>4.3899999999999998E-3</v>
      </c>
      <c r="G2544">
        <v>0</v>
      </c>
      <c r="H2544" t="str">
        <f t="shared" si="117"/>
        <v>50-59</v>
      </c>
      <c r="I2544" t="str">
        <f t="shared" si="118"/>
        <v>20-29</v>
      </c>
      <c r="J2544">
        <f t="shared" si="119"/>
        <v>4.3899999999999998E-3</v>
      </c>
    </row>
    <row r="2545" spans="1:10">
      <c r="A2545" t="s">
        <v>2627</v>
      </c>
      <c r="B2545">
        <v>62</v>
      </c>
      <c r="C2545" t="s">
        <v>7</v>
      </c>
      <c r="D2545">
        <v>30</v>
      </c>
      <c r="E2545">
        <v>91</v>
      </c>
      <c r="F2545">
        <v>9.3240000000000003E-2</v>
      </c>
      <c r="G2545">
        <v>0</v>
      </c>
      <c r="H2545" t="str">
        <f t="shared" si="117"/>
        <v>90-99</v>
      </c>
      <c r="I2545" t="str">
        <f t="shared" si="118"/>
        <v>30-39</v>
      </c>
      <c r="J2545">
        <f t="shared" si="119"/>
        <v>9.3240000000000003E-2</v>
      </c>
    </row>
    <row r="2546" spans="1:10">
      <c r="A2546" t="s">
        <v>2628</v>
      </c>
      <c r="B2546">
        <v>55</v>
      </c>
      <c r="C2546" t="s">
        <v>9</v>
      </c>
      <c r="D2546">
        <v>13</v>
      </c>
      <c r="E2546">
        <v>67</v>
      </c>
      <c r="F2546">
        <v>1.2460000000000001E-2</v>
      </c>
      <c r="G2546">
        <v>0</v>
      </c>
      <c r="H2546" t="str">
        <f t="shared" si="117"/>
        <v>60-69</v>
      </c>
      <c r="I2546" t="str">
        <f t="shared" si="118"/>
        <v>10-19</v>
      </c>
      <c r="J2546">
        <f t="shared" si="119"/>
        <v>1.2460000000000001E-2</v>
      </c>
    </row>
    <row r="2547" spans="1:10">
      <c r="A2547" t="s">
        <v>2629</v>
      </c>
      <c r="B2547">
        <v>42</v>
      </c>
      <c r="C2547" t="s">
        <v>9</v>
      </c>
      <c r="D2547">
        <v>25</v>
      </c>
      <c r="E2547">
        <v>66</v>
      </c>
      <c r="F2547">
        <v>1.162E-2</v>
      </c>
      <c r="G2547">
        <v>0</v>
      </c>
      <c r="H2547" t="str">
        <f t="shared" si="117"/>
        <v>60-69</v>
      </c>
      <c r="I2547" t="str">
        <f t="shared" si="118"/>
        <v>20-29</v>
      </c>
      <c r="J2547">
        <f t="shared" si="119"/>
        <v>1.162E-2</v>
      </c>
    </row>
    <row r="2548" spans="1:10">
      <c r="A2548" t="s">
        <v>2630</v>
      </c>
      <c r="B2548">
        <v>38</v>
      </c>
      <c r="C2548" t="s">
        <v>7</v>
      </c>
      <c r="D2548">
        <v>10</v>
      </c>
      <c r="E2548">
        <v>47</v>
      </c>
      <c r="F2548">
        <v>1.16E-3</v>
      </c>
      <c r="G2548">
        <v>0</v>
      </c>
      <c r="H2548" t="str">
        <f t="shared" si="117"/>
        <v>40-49</v>
      </c>
      <c r="I2548" t="str">
        <f t="shared" si="118"/>
        <v>10-19</v>
      </c>
      <c r="J2548">
        <f t="shared" si="119"/>
        <v>1.16E-3</v>
      </c>
    </row>
    <row r="2549" spans="1:10">
      <c r="A2549" t="s">
        <v>2631</v>
      </c>
      <c r="B2549">
        <v>55</v>
      </c>
      <c r="C2549" t="s">
        <v>9</v>
      </c>
      <c r="D2549">
        <v>13</v>
      </c>
      <c r="E2549">
        <v>67</v>
      </c>
      <c r="F2549">
        <v>1.2460000000000001E-2</v>
      </c>
      <c r="G2549">
        <v>0</v>
      </c>
      <c r="H2549" t="str">
        <f t="shared" si="117"/>
        <v>60-69</v>
      </c>
      <c r="I2549" t="str">
        <f t="shared" si="118"/>
        <v>10-19</v>
      </c>
      <c r="J2549">
        <f t="shared" si="119"/>
        <v>1.2460000000000001E-2</v>
      </c>
    </row>
    <row r="2550" spans="1:10">
      <c r="A2550" t="s">
        <v>2632</v>
      </c>
      <c r="B2550">
        <v>57</v>
      </c>
      <c r="C2550" t="s">
        <v>7</v>
      </c>
      <c r="D2550">
        <v>28</v>
      </c>
      <c r="E2550">
        <v>84</v>
      </c>
      <c r="F2550">
        <v>5.0599999999999999E-2</v>
      </c>
      <c r="G2550">
        <v>0</v>
      </c>
      <c r="H2550" t="str">
        <f t="shared" si="117"/>
        <v>80-89</v>
      </c>
      <c r="I2550" t="str">
        <f t="shared" si="118"/>
        <v>20-29</v>
      </c>
      <c r="J2550">
        <f t="shared" si="119"/>
        <v>5.0599999999999999E-2</v>
      </c>
    </row>
    <row r="2551" spans="1:10">
      <c r="A2551" t="s">
        <v>2633</v>
      </c>
      <c r="B2551">
        <v>65</v>
      </c>
      <c r="C2551" t="s">
        <v>9</v>
      </c>
      <c r="D2551">
        <v>10</v>
      </c>
      <c r="E2551">
        <v>74</v>
      </c>
      <c r="F2551">
        <v>1.9689999999999999E-2</v>
      </c>
      <c r="G2551">
        <v>0</v>
      </c>
      <c r="H2551" t="str">
        <f t="shared" si="117"/>
        <v>70-79</v>
      </c>
      <c r="I2551" t="str">
        <f t="shared" si="118"/>
        <v>10-19</v>
      </c>
      <c r="J2551">
        <f t="shared" si="119"/>
        <v>1.9689999999999999E-2</v>
      </c>
    </row>
    <row r="2552" spans="1:10">
      <c r="A2552" t="s">
        <v>2634</v>
      </c>
      <c r="B2552">
        <v>28</v>
      </c>
      <c r="C2552" t="s">
        <v>7</v>
      </c>
      <c r="D2552">
        <v>15</v>
      </c>
      <c r="E2552">
        <v>42</v>
      </c>
      <c r="F2552">
        <v>1.0200000000000001E-3</v>
      </c>
      <c r="G2552">
        <v>0</v>
      </c>
      <c r="H2552" t="str">
        <f t="shared" si="117"/>
        <v>40-49</v>
      </c>
      <c r="I2552" t="str">
        <f t="shared" si="118"/>
        <v>10-19</v>
      </c>
      <c r="J2552">
        <f t="shared" si="119"/>
        <v>1.0200000000000001E-3</v>
      </c>
    </row>
    <row r="2553" spans="1:10">
      <c r="A2553" t="s">
        <v>2635</v>
      </c>
      <c r="B2553">
        <v>29</v>
      </c>
      <c r="C2553" t="s">
        <v>9</v>
      </c>
      <c r="D2553">
        <v>7</v>
      </c>
      <c r="E2553">
        <v>35</v>
      </c>
      <c r="F2553">
        <v>5.5999999999999995E-4</v>
      </c>
      <c r="G2553">
        <v>0</v>
      </c>
      <c r="H2553" t="str">
        <f t="shared" si="117"/>
        <v>30-39</v>
      </c>
      <c r="I2553" t="str">
        <f t="shared" si="118"/>
        <v>0-9</v>
      </c>
      <c r="J2553">
        <f t="shared" si="119"/>
        <v>5.5999999999999995E-4</v>
      </c>
    </row>
    <row r="2554" spans="1:10">
      <c r="A2554" t="s">
        <v>2636</v>
      </c>
      <c r="B2554">
        <v>61</v>
      </c>
      <c r="C2554" t="s">
        <v>9</v>
      </c>
      <c r="D2554">
        <v>1</v>
      </c>
      <c r="E2554">
        <v>61</v>
      </c>
      <c r="F2554">
        <v>2.2599999999999999E-3</v>
      </c>
      <c r="G2554">
        <v>0</v>
      </c>
      <c r="H2554" t="str">
        <f t="shared" si="117"/>
        <v>60-69</v>
      </c>
      <c r="I2554" t="str">
        <f t="shared" si="118"/>
        <v>0-9</v>
      </c>
      <c r="J2554">
        <f t="shared" si="119"/>
        <v>2.2599999999999999E-3</v>
      </c>
    </row>
    <row r="2555" spans="1:10">
      <c r="A2555" t="s">
        <v>2637</v>
      </c>
      <c r="B2555">
        <v>26</v>
      </c>
      <c r="C2555" t="s">
        <v>7</v>
      </c>
      <c r="D2555">
        <v>22</v>
      </c>
      <c r="E2555">
        <v>47</v>
      </c>
      <c r="F2555">
        <v>1.6000000000000001E-3</v>
      </c>
      <c r="G2555">
        <v>0</v>
      </c>
      <c r="H2555" t="str">
        <f t="shared" si="117"/>
        <v>40-49</v>
      </c>
      <c r="I2555" t="str">
        <f t="shared" si="118"/>
        <v>20-29</v>
      </c>
      <c r="J2555">
        <f t="shared" si="119"/>
        <v>1.6000000000000001E-3</v>
      </c>
    </row>
    <row r="2556" spans="1:10">
      <c r="A2556" t="s">
        <v>2638</v>
      </c>
      <c r="B2556">
        <v>44</v>
      </c>
      <c r="C2556" t="s">
        <v>7</v>
      </c>
      <c r="D2556">
        <v>14</v>
      </c>
      <c r="E2556">
        <v>57</v>
      </c>
      <c r="F2556">
        <v>3.32E-3</v>
      </c>
      <c r="G2556">
        <v>0</v>
      </c>
      <c r="H2556" t="str">
        <f t="shared" si="117"/>
        <v>50-59</v>
      </c>
      <c r="I2556" t="str">
        <f t="shared" si="118"/>
        <v>10-19</v>
      </c>
      <c r="J2556">
        <f t="shared" si="119"/>
        <v>3.32E-3</v>
      </c>
    </row>
    <row r="2557" spans="1:10">
      <c r="A2557" t="s">
        <v>2639</v>
      </c>
      <c r="B2557">
        <v>23</v>
      </c>
      <c r="C2557" t="s">
        <v>9</v>
      </c>
      <c r="D2557">
        <v>4</v>
      </c>
      <c r="E2557">
        <v>26</v>
      </c>
      <c r="F2557">
        <v>5.1000000000000004E-4</v>
      </c>
      <c r="G2557">
        <v>0</v>
      </c>
      <c r="H2557" t="str">
        <f t="shared" si="117"/>
        <v>20-29</v>
      </c>
      <c r="I2557" t="str">
        <f t="shared" si="118"/>
        <v>0-9</v>
      </c>
      <c r="J2557">
        <f t="shared" si="119"/>
        <v>5.1000000000000004E-4</v>
      </c>
    </row>
    <row r="2558" spans="1:10">
      <c r="A2558" t="s">
        <v>2640</v>
      </c>
      <c r="B2558">
        <v>23</v>
      </c>
      <c r="C2558" t="s">
        <v>7</v>
      </c>
      <c r="D2558">
        <v>4</v>
      </c>
      <c r="E2558">
        <v>26</v>
      </c>
      <c r="F2558">
        <v>2.4000000000000001E-4</v>
      </c>
      <c r="G2558">
        <v>0</v>
      </c>
      <c r="H2558" t="str">
        <f t="shared" si="117"/>
        <v>20-29</v>
      </c>
      <c r="I2558" t="str">
        <f t="shared" si="118"/>
        <v>0-9</v>
      </c>
      <c r="J2558">
        <f t="shared" si="119"/>
        <v>2.4000000000000001E-4</v>
      </c>
    </row>
    <row r="2559" spans="1:10">
      <c r="A2559" t="s">
        <v>2641</v>
      </c>
      <c r="B2559">
        <v>57</v>
      </c>
      <c r="C2559" t="s">
        <v>7</v>
      </c>
      <c r="D2559">
        <v>14</v>
      </c>
      <c r="E2559">
        <v>70</v>
      </c>
      <c r="F2559">
        <v>1.1520000000000001E-2</v>
      </c>
      <c r="G2559">
        <v>0</v>
      </c>
      <c r="H2559" t="str">
        <f t="shared" si="117"/>
        <v>70-79</v>
      </c>
      <c r="I2559" t="str">
        <f t="shared" si="118"/>
        <v>10-19</v>
      </c>
      <c r="J2559">
        <f t="shared" si="119"/>
        <v>1.1520000000000001E-2</v>
      </c>
    </row>
    <row r="2560" spans="1:10">
      <c r="A2560" t="s">
        <v>2642</v>
      </c>
      <c r="B2560">
        <v>45</v>
      </c>
      <c r="C2560" t="s">
        <v>9</v>
      </c>
      <c r="D2560">
        <v>8</v>
      </c>
      <c r="E2560">
        <v>52</v>
      </c>
      <c r="F2560">
        <v>2.32E-3</v>
      </c>
      <c r="G2560">
        <v>0</v>
      </c>
      <c r="H2560" t="str">
        <f t="shared" si="117"/>
        <v>50-59</v>
      </c>
      <c r="I2560" t="str">
        <f t="shared" si="118"/>
        <v>0-9</v>
      </c>
      <c r="J2560">
        <f t="shared" si="119"/>
        <v>2.32E-3</v>
      </c>
    </row>
    <row r="2561" spans="1:10">
      <c r="A2561" t="s">
        <v>2643</v>
      </c>
      <c r="B2561">
        <v>51</v>
      </c>
      <c r="C2561" t="s">
        <v>7</v>
      </c>
      <c r="D2561">
        <v>10</v>
      </c>
      <c r="E2561">
        <v>60</v>
      </c>
      <c r="F2561">
        <v>3.8300000000000001E-3</v>
      </c>
      <c r="G2561">
        <v>0</v>
      </c>
      <c r="H2561" t="str">
        <f t="shared" si="117"/>
        <v>60-69</v>
      </c>
      <c r="I2561" t="str">
        <f t="shared" si="118"/>
        <v>10-19</v>
      </c>
      <c r="J2561">
        <f t="shared" si="119"/>
        <v>3.8300000000000001E-3</v>
      </c>
    </row>
    <row r="2562" spans="1:10">
      <c r="A2562" t="s">
        <v>2644</v>
      </c>
      <c r="B2562">
        <v>61</v>
      </c>
      <c r="C2562" t="s">
        <v>9</v>
      </c>
      <c r="D2562">
        <v>24</v>
      </c>
      <c r="E2562">
        <v>84</v>
      </c>
      <c r="F2562">
        <v>8.0629999999999993E-2</v>
      </c>
      <c r="G2562">
        <v>0</v>
      </c>
      <c r="H2562" t="str">
        <f t="shared" si="117"/>
        <v>80-89</v>
      </c>
      <c r="I2562" t="str">
        <f t="shared" si="118"/>
        <v>20-29</v>
      </c>
      <c r="J2562">
        <f t="shared" si="119"/>
        <v>8.0629999999999993E-2</v>
      </c>
    </row>
    <row r="2563" spans="1:10">
      <c r="A2563" t="s">
        <v>2645</v>
      </c>
      <c r="B2563">
        <v>62</v>
      </c>
      <c r="C2563" t="s">
        <v>9</v>
      </c>
      <c r="D2563">
        <v>22</v>
      </c>
      <c r="E2563">
        <v>83</v>
      </c>
      <c r="F2563">
        <v>7.1389999999999995E-2</v>
      </c>
      <c r="G2563">
        <v>0</v>
      </c>
      <c r="H2563" t="str">
        <f t="shared" ref="H2563:H2626" si="120">FLOOR(E2563,10) &amp; "-" &amp; FLOOR(E2563,10)+9</f>
        <v>80-89</v>
      </c>
      <c r="I2563" t="str">
        <f t="shared" ref="I2563:I2626" si="121">FLOOR(D2563, 10) &amp; "-"&amp;FLOOR(D2563, 10)+9</f>
        <v>20-29</v>
      </c>
      <c r="J2563">
        <f t="shared" ref="J2563:J2626" si="122">F2563</f>
        <v>7.1389999999999995E-2</v>
      </c>
    </row>
    <row r="2564" spans="1:10">
      <c r="A2564" t="s">
        <v>2646</v>
      </c>
      <c r="B2564">
        <v>61</v>
      </c>
      <c r="C2564" t="s">
        <v>9</v>
      </c>
      <c r="D2564">
        <v>13</v>
      </c>
      <c r="E2564">
        <v>73</v>
      </c>
      <c r="F2564">
        <v>2.2499999999999999E-2</v>
      </c>
      <c r="G2564">
        <v>0</v>
      </c>
      <c r="H2564" t="str">
        <f t="shared" si="120"/>
        <v>70-79</v>
      </c>
      <c r="I2564" t="str">
        <f t="shared" si="121"/>
        <v>10-19</v>
      </c>
      <c r="J2564">
        <f t="shared" si="122"/>
        <v>2.2499999999999999E-2</v>
      </c>
    </row>
    <row r="2565" spans="1:10">
      <c r="A2565" t="s">
        <v>2647</v>
      </c>
      <c r="B2565">
        <v>43</v>
      </c>
      <c r="C2565" t="s">
        <v>9</v>
      </c>
      <c r="D2565">
        <v>1</v>
      </c>
      <c r="E2565">
        <v>43</v>
      </c>
      <c r="F2565">
        <v>4.4000000000000002E-4</v>
      </c>
      <c r="G2565">
        <v>0</v>
      </c>
      <c r="H2565" t="str">
        <f t="shared" si="120"/>
        <v>40-49</v>
      </c>
      <c r="I2565" t="str">
        <f t="shared" si="121"/>
        <v>0-9</v>
      </c>
      <c r="J2565">
        <f t="shared" si="122"/>
        <v>4.4000000000000002E-4</v>
      </c>
    </row>
    <row r="2566" spans="1:10">
      <c r="A2566" t="s">
        <v>2648</v>
      </c>
      <c r="B2566">
        <v>51</v>
      </c>
      <c r="C2566" t="s">
        <v>7</v>
      </c>
      <c r="D2566">
        <v>21</v>
      </c>
      <c r="E2566">
        <v>71</v>
      </c>
      <c r="F2566">
        <v>1.553E-2</v>
      </c>
      <c r="G2566">
        <v>0</v>
      </c>
      <c r="H2566" t="str">
        <f t="shared" si="120"/>
        <v>70-79</v>
      </c>
      <c r="I2566" t="str">
        <f t="shared" si="121"/>
        <v>20-29</v>
      </c>
      <c r="J2566">
        <f t="shared" si="122"/>
        <v>1.553E-2</v>
      </c>
    </row>
    <row r="2567" spans="1:10">
      <c r="A2567" t="s">
        <v>2649</v>
      </c>
      <c r="B2567">
        <v>21</v>
      </c>
      <c r="C2567" t="s">
        <v>7</v>
      </c>
      <c r="D2567">
        <v>19</v>
      </c>
      <c r="E2567">
        <v>39</v>
      </c>
      <c r="F2567">
        <v>1.06E-3</v>
      </c>
      <c r="G2567">
        <v>0</v>
      </c>
      <c r="H2567" t="str">
        <f t="shared" si="120"/>
        <v>30-39</v>
      </c>
      <c r="I2567" t="str">
        <f t="shared" si="121"/>
        <v>10-19</v>
      </c>
      <c r="J2567">
        <f t="shared" si="122"/>
        <v>1.06E-3</v>
      </c>
    </row>
    <row r="2568" spans="1:10">
      <c r="A2568" t="s">
        <v>2650</v>
      </c>
      <c r="B2568">
        <v>37</v>
      </c>
      <c r="C2568" t="s">
        <v>7</v>
      </c>
      <c r="D2568">
        <v>23</v>
      </c>
      <c r="E2568">
        <v>59</v>
      </c>
      <c r="F2568">
        <v>4.4600000000000004E-3</v>
      </c>
      <c r="G2568">
        <v>0</v>
      </c>
      <c r="H2568" t="str">
        <f t="shared" si="120"/>
        <v>50-59</v>
      </c>
      <c r="I2568" t="str">
        <f t="shared" si="121"/>
        <v>20-29</v>
      </c>
      <c r="J2568">
        <f t="shared" si="122"/>
        <v>4.4600000000000004E-3</v>
      </c>
    </row>
    <row r="2569" spans="1:10">
      <c r="A2569" t="s">
        <v>2651</v>
      </c>
      <c r="B2569">
        <v>31</v>
      </c>
      <c r="C2569" t="s">
        <v>9</v>
      </c>
      <c r="D2569">
        <v>13</v>
      </c>
      <c r="E2569">
        <v>43</v>
      </c>
      <c r="F2569">
        <v>1.31E-3</v>
      </c>
      <c r="G2569">
        <v>0</v>
      </c>
      <c r="H2569" t="str">
        <f t="shared" si="120"/>
        <v>40-49</v>
      </c>
      <c r="I2569" t="str">
        <f t="shared" si="121"/>
        <v>10-19</v>
      </c>
      <c r="J2569">
        <f t="shared" si="122"/>
        <v>1.31E-3</v>
      </c>
    </row>
    <row r="2570" spans="1:10">
      <c r="A2570" t="s">
        <v>2652</v>
      </c>
      <c r="B2570">
        <v>47</v>
      </c>
      <c r="C2570" t="s">
        <v>7</v>
      </c>
      <c r="D2570">
        <v>10</v>
      </c>
      <c r="E2570">
        <v>56</v>
      </c>
      <c r="F2570">
        <v>2.6199999999999999E-3</v>
      </c>
      <c r="G2570">
        <v>0</v>
      </c>
      <c r="H2570" t="str">
        <f t="shared" si="120"/>
        <v>50-59</v>
      </c>
      <c r="I2570" t="str">
        <f t="shared" si="121"/>
        <v>10-19</v>
      </c>
      <c r="J2570">
        <f t="shared" si="122"/>
        <v>2.6199999999999999E-3</v>
      </c>
    </row>
    <row r="2571" spans="1:10">
      <c r="A2571" t="s">
        <v>2653</v>
      </c>
      <c r="B2571">
        <v>24</v>
      </c>
      <c r="C2571" t="s">
        <v>7</v>
      </c>
      <c r="D2571">
        <v>23</v>
      </c>
      <c r="E2571">
        <v>46</v>
      </c>
      <c r="F2571">
        <v>1.49E-3</v>
      </c>
      <c r="G2571">
        <v>0</v>
      </c>
      <c r="H2571" t="str">
        <f t="shared" si="120"/>
        <v>40-49</v>
      </c>
      <c r="I2571" t="str">
        <f t="shared" si="121"/>
        <v>20-29</v>
      </c>
      <c r="J2571">
        <f t="shared" si="122"/>
        <v>1.49E-3</v>
      </c>
    </row>
    <row r="2572" spans="1:10">
      <c r="A2572" t="s">
        <v>2654</v>
      </c>
      <c r="B2572">
        <v>31</v>
      </c>
      <c r="C2572" t="s">
        <v>7</v>
      </c>
      <c r="D2572">
        <v>13</v>
      </c>
      <c r="E2572">
        <v>43</v>
      </c>
      <c r="F2572">
        <v>1.01E-3</v>
      </c>
      <c r="G2572">
        <v>0</v>
      </c>
      <c r="H2572" t="str">
        <f t="shared" si="120"/>
        <v>40-49</v>
      </c>
      <c r="I2572" t="str">
        <f t="shared" si="121"/>
        <v>10-19</v>
      </c>
      <c r="J2572">
        <f t="shared" si="122"/>
        <v>1.01E-3</v>
      </c>
    </row>
    <row r="2573" spans="1:10">
      <c r="A2573" t="s">
        <v>2655</v>
      </c>
      <c r="B2573">
        <v>55</v>
      </c>
      <c r="C2573" t="s">
        <v>7</v>
      </c>
      <c r="D2573">
        <v>27</v>
      </c>
      <c r="E2573">
        <v>81</v>
      </c>
      <c r="F2573">
        <v>3.986E-2</v>
      </c>
      <c r="G2573">
        <v>0</v>
      </c>
      <c r="H2573" t="str">
        <f t="shared" si="120"/>
        <v>80-89</v>
      </c>
      <c r="I2573" t="str">
        <f t="shared" si="121"/>
        <v>20-29</v>
      </c>
      <c r="J2573">
        <f t="shared" si="122"/>
        <v>3.986E-2</v>
      </c>
    </row>
    <row r="2574" spans="1:10">
      <c r="A2574" t="s">
        <v>2656</v>
      </c>
      <c r="B2574">
        <v>51</v>
      </c>
      <c r="C2574" t="s">
        <v>7</v>
      </c>
      <c r="D2574">
        <v>3</v>
      </c>
      <c r="E2574">
        <v>53</v>
      </c>
      <c r="F2574">
        <v>1.4300000000000001E-3</v>
      </c>
      <c r="G2574">
        <v>0</v>
      </c>
      <c r="H2574" t="str">
        <f t="shared" si="120"/>
        <v>50-59</v>
      </c>
      <c r="I2574" t="str">
        <f t="shared" si="121"/>
        <v>0-9</v>
      </c>
      <c r="J2574">
        <f t="shared" si="122"/>
        <v>1.4300000000000001E-3</v>
      </c>
    </row>
    <row r="2575" spans="1:10">
      <c r="A2575" t="s">
        <v>2657</v>
      </c>
      <c r="B2575">
        <v>65</v>
      </c>
      <c r="C2575" t="s">
        <v>7</v>
      </c>
      <c r="D2575">
        <v>27</v>
      </c>
      <c r="E2575">
        <v>91</v>
      </c>
      <c r="F2575">
        <v>0.13125000000000001</v>
      </c>
      <c r="G2575">
        <v>1</v>
      </c>
      <c r="H2575" t="str">
        <f t="shared" si="120"/>
        <v>90-99</v>
      </c>
      <c r="I2575" t="str">
        <f t="shared" si="121"/>
        <v>20-29</v>
      </c>
      <c r="J2575">
        <f t="shared" si="122"/>
        <v>0.13125000000000001</v>
      </c>
    </row>
    <row r="2576" spans="1:10">
      <c r="A2576" t="s">
        <v>2658</v>
      </c>
      <c r="B2576">
        <v>33</v>
      </c>
      <c r="C2576" t="s">
        <v>7</v>
      </c>
      <c r="D2576">
        <v>22</v>
      </c>
      <c r="E2576">
        <v>54</v>
      </c>
      <c r="F2576">
        <v>2.82E-3</v>
      </c>
      <c r="G2576">
        <v>0</v>
      </c>
      <c r="H2576" t="str">
        <f t="shared" si="120"/>
        <v>50-59</v>
      </c>
      <c r="I2576" t="str">
        <f t="shared" si="121"/>
        <v>20-29</v>
      </c>
      <c r="J2576">
        <f t="shared" si="122"/>
        <v>2.82E-3</v>
      </c>
    </row>
    <row r="2577" spans="1:10">
      <c r="A2577" t="s">
        <v>2659</v>
      </c>
      <c r="B2577">
        <v>58</v>
      </c>
      <c r="C2577" t="s">
        <v>9</v>
      </c>
      <c r="D2577">
        <v>23</v>
      </c>
      <c r="E2577">
        <v>80</v>
      </c>
      <c r="F2577">
        <v>5.0909999999999997E-2</v>
      </c>
      <c r="G2577">
        <v>0</v>
      </c>
      <c r="H2577" t="str">
        <f t="shared" si="120"/>
        <v>80-89</v>
      </c>
      <c r="I2577" t="str">
        <f t="shared" si="121"/>
        <v>20-29</v>
      </c>
      <c r="J2577">
        <f t="shared" si="122"/>
        <v>5.0909999999999997E-2</v>
      </c>
    </row>
    <row r="2578" spans="1:10">
      <c r="A2578" t="s">
        <v>2660</v>
      </c>
      <c r="B2578">
        <v>40</v>
      </c>
      <c r="C2578" t="s">
        <v>9</v>
      </c>
      <c r="D2578">
        <v>4</v>
      </c>
      <c r="E2578">
        <v>43</v>
      </c>
      <c r="F2578">
        <v>8.8000000000000003E-4</v>
      </c>
      <c r="G2578">
        <v>0</v>
      </c>
      <c r="H2578" t="str">
        <f t="shared" si="120"/>
        <v>40-49</v>
      </c>
      <c r="I2578" t="str">
        <f t="shared" si="121"/>
        <v>0-9</v>
      </c>
      <c r="J2578">
        <f t="shared" si="122"/>
        <v>8.8000000000000003E-4</v>
      </c>
    </row>
    <row r="2579" spans="1:10">
      <c r="A2579" t="s">
        <v>2661</v>
      </c>
      <c r="B2579">
        <v>61</v>
      </c>
      <c r="C2579" t="s">
        <v>9</v>
      </c>
      <c r="D2579">
        <v>6</v>
      </c>
      <c r="E2579">
        <v>66</v>
      </c>
      <c r="F2579">
        <v>8.7799999999999996E-3</v>
      </c>
      <c r="G2579">
        <v>0</v>
      </c>
      <c r="H2579" t="str">
        <f t="shared" si="120"/>
        <v>60-69</v>
      </c>
      <c r="I2579" t="str">
        <f t="shared" si="121"/>
        <v>0-9</v>
      </c>
      <c r="J2579">
        <f t="shared" si="122"/>
        <v>8.7799999999999996E-3</v>
      </c>
    </row>
    <row r="2580" spans="1:10">
      <c r="A2580" t="s">
        <v>2662</v>
      </c>
      <c r="B2580">
        <v>22</v>
      </c>
      <c r="C2580" t="s">
        <v>7</v>
      </c>
      <c r="D2580">
        <v>3</v>
      </c>
      <c r="E2580">
        <v>24</v>
      </c>
      <c r="F2580">
        <v>2.7E-4</v>
      </c>
      <c r="G2580">
        <v>0</v>
      </c>
      <c r="H2580" t="str">
        <f t="shared" si="120"/>
        <v>20-29</v>
      </c>
      <c r="I2580" t="str">
        <f t="shared" si="121"/>
        <v>0-9</v>
      </c>
      <c r="J2580">
        <f t="shared" si="122"/>
        <v>2.7E-4</v>
      </c>
    </row>
    <row r="2581" spans="1:10">
      <c r="A2581" t="s">
        <v>2663</v>
      </c>
      <c r="B2581">
        <v>43</v>
      </c>
      <c r="C2581" t="s">
        <v>9</v>
      </c>
      <c r="D2581">
        <v>18</v>
      </c>
      <c r="E2581">
        <v>60</v>
      </c>
      <c r="F2581">
        <v>6.3299999999999997E-3</v>
      </c>
      <c r="G2581">
        <v>0</v>
      </c>
      <c r="H2581" t="str">
        <f t="shared" si="120"/>
        <v>60-69</v>
      </c>
      <c r="I2581" t="str">
        <f t="shared" si="121"/>
        <v>10-19</v>
      </c>
      <c r="J2581">
        <f t="shared" si="122"/>
        <v>6.3299999999999997E-3</v>
      </c>
    </row>
    <row r="2582" spans="1:10">
      <c r="A2582" t="s">
        <v>2664</v>
      </c>
      <c r="B2582">
        <v>62</v>
      </c>
      <c r="C2582" t="s">
        <v>9</v>
      </c>
      <c r="D2582">
        <v>1</v>
      </c>
      <c r="E2582">
        <v>62</v>
      </c>
      <c r="F2582">
        <v>2.4099999999999998E-3</v>
      </c>
      <c r="G2582">
        <v>0</v>
      </c>
      <c r="H2582" t="str">
        <f t="shared" si="120"/>
        <v>60-69</v>
      </c>
      <c r="I2582" t="str">
        <f t="shared" si="121"/>
        <v>0-9</v>
      </c>
      <c r="J2582">
        <f t="shared" si="122"/>
        <v>2.4099999999999998E-3</v>
      </c>
    </row>
    <row r="2583" spans="1:10">
      <c r="A2583" t="s">
        <v>2665</v>
      </c>
      <c r="B2583">
        <v>53</v>
      </c>
      <c r="C2583" t="s">
        <v>7</v>
      </c>
      <c r="D2583">
        <v>29</v>
      </c>
      <c r="E2583">
        <v>81</v>
      </c>
      <c r="F2583">
        <v>3.1989999999999998E-2</v>
      </c>
      <c r="G2583">
        <v>0</v>
      </c>
      <c r="H2583" t="str">
        <f t="shared" si="120"/>
        <v>80-89</v>
      </c>
      <c r="I2583" t="str">
        <f t="shared" si="121"/>
        <v>20-29</v>
      </c>
      <c r="J2583">
        <f t="shared" si="122"/>
        <v>3.1989999999999998E-2</v>
      </c>
    </row>
    <row r="2584" spans="1:10">
      <c r="A2584" t="s">
        <v>2666</v>
      </c>
      <c r="B2584">
        <v>48</v>
      </c>
      <c r="C2584" t="s">
        <v>7</v>
      </c>
      <c r="D2584">
        <v>5</v>
      </c>
      <c r="E2584">
        <v>52</v>
      </c>
      <c r="F2584">
        <v>1.47E-3</v>
      </c>
      <c r="G2584">
        <v>0</v>
      </c>
      <c r="H2584" t="str">
        <f t="shared" si="120"/>
        <v>50-59</v>
      </c>
      <c r="I2584" t="str">
        <f t="shared" si="121"/>
        <v>0-9</v>
      </c>
      <c r="J2584">
        <f t="shared" si="122"/>
        <v>1.47E-3</v>
      </c>
    </row>
    <row r="2585" spans="1:10">
      <c r="A2585" t="s">
        <v>2667</v>
      </c>
      <c r="B2585">
        <v>53</v>
      </c>
      <c r="C2585" t="s">
        <v>7</v>
      </c>
      <c r="D2585">
        <v>30</v>
      </c>
      <c r="E2585">
        <v>82</v>
      </c>
      <c r="F2585">
        <v>3.1989999999999998E-2</v>
      </c>
      <c r="G2585">
        <v>0</v>
      </c>
      <c r="H2585" t="str">
        <f t="shared" si="120"/>
        <v>80-89</v>
      </c>
      <c r="I2585" t="str">
        <f t="shared" si="121"/>
        <v>30-39</v>
      </c>
      <c r="J2585">
        <f t="shared" si="122"/>
        <v>3.1989999999999998E-2</v>
      </c>
    </row>
    <row r="2586" spans="1:10">
      <c r="A2586" t="s">
        <v>2668</v>
      </c>
      <c r="B2586">
        <v>54</v>
      </c>
      <c r="C2586" t="s">
        <v>9</v>
      </c>
      <c r="D2586">
        <v>17</v>
      </c>
      <c r="E2586">
        <v>70</v>
      </c>
      <c r="F2586">
        <v>1.6750000000000001E-2</v>
      </c>
      <c r="G2586">
        <v>0</v>
      </c>
      <c r="H2586" t="str">
        <f t="shared" si="120"/>
        <v>70-79</v>
      </c>
      <c r="I2586" t="str">
        <f t="shared" si="121"/>
        <v>10-19</v>
      </c>
      <c r="J2586">
        <f t="shared" si="122"/>
        <v>1.6750000000000001E-2</v>
      </c>
    </row>
    <row r="2587" spans="1:10">
      <c r="A2587" t="s">
        <v>2669</v>
      </c>
      <c r="B2587">
        <v>22</v>
      </c>
      <c r="C2587" t="s">
        <v>9</v>
      </c>
      <c r="D2587">
        <v>8</v>
      </c>
      <c r="E2587">
        <v>29</v>
      </c>
      <c r="F2587">
        <v>5.9000000000000003E-4</v>
      </c>
      <c r="G2587">
        <v>0</v>
      </c>
      <c r="H2587" t="str">
        <f t="shared" si="120"/>
        <v>20-29</v>
      </c>
      <c r="I2587" t="str">
        <f t="shared" si="121"/>
        <v>0-9</v>
      </c>
      <c r="J2587">
        <f t="shared" si="122"/>
        <v>5.9000000000000003E-4</v>
      </c>
    </row>
    <row r="2588" spans="1:10">
      <c r="A2588" t="s">
        <v>2670</v>
      </c>
      <c r="B2588">
        <v>33</v>
      </c>
      <c r="C2588" t="s">
        <v>7</v>
      </c>
      <c r="D2588">
        <v>5</v>
      </c>
      <c r="E2588">
        <v>37</v>
      </c>
      <c r="F2588">
        <v>4.2000000000000002E-4</v>
      </c>
      <c r="G2588">
        <v>0</v>
      </c>
      <c r="H2588" t="str">
        <f t="shared" si="120"/>
        <v>30-39</v>
      </c>
      <c r="I2588" t="str">
        <f t="shared" si="121"/>
        <v>0-9</v>
      </c>
      <c r="J2588">
        <f t="shared" si="122"/>
        <v>4.2000000000000002E-4</v>
      </c>
    </row>
    <row r="2589" spans="1:10">
      <c r="A2589" t="s">
        <v>2671</v>
      </c>
      <c r="B2589">
        <v>42</v>
      </c>
      <c r="C2589" t="s">
        <v>9</v>
      </c>
      <c r="D2589">
        <v>9</v>
      </c>
      <c r="E2589">
        <v>50</v>
      </c>
      <c r="F2589">
        <v>2E-3</v>
      </c>
      <c r="G2589">
        <v>0</v>
      </c>
      <c r="H2589" t="str">
        <f t="shared" si="120"/>
        <v>50-59</v>
      </c>
      <c r="I2589" t="str">
        <f t="shared" si="121"/>
        <v>0-9</v>
      </c>
      <c r="J2589">
        <f t="shared" si="122"/>
        <v>2E-3</v>
      </c>
    </row>
    <row r="2590" spans="1:10">
      <c r="A2590" t="s">
        <v>2672</v>
      </c>
      <c r="B2590">
        <v>24</v>
      </c>
      <c r="C2590" t="s">
        <v>9</v>
      </c>
      <c r="D2590">
        <v>18</v>
      </c>
      <c r="E2590">
        <v>41</v>
      </c>
      <c r="F2590">
        <v>1.5499999999999999E-3</v>
      </c>
      <c r="G2590">
        <v>0</v>
      </c>
      <c r="H2590" t="str">
        <f t="shared" si="120"/>
        <v>40-49</v>
      </c>
      <c r="I2590" t="str">
        <f t="shared" si="121"/>
        <v>10-19</v>
      </c>
      <c r="J2590">
        <f t="shared" si="122"/>
        <v>1.5499999999999999E-3</v>
      </c>
    </row>
    <row r="2591" spans="1:10">
      <c r="A2591" t="s">
        <v>2673</v>
      </c>
      <c r="B2591">
        <v>30</v>
      </c>
      <c r="C2591" t="s">
        <v>9</v>
      </c>
      <c r="D2591">
        <v>13</v>
      </c>
      <c r="E2591">
        <v>42</v>
      </c>
      <c r="F2591">
        <v>1.24E-3</v>
      </c>
      <c r="G2591">
        <v>0</v>
      </c>
      <c r="H2591" t="str">
        <f t="shared" si="120"/>
        <v>40-49</v>
      </c>
      <c r="I2591" t="str">
        <f t="shared" si="121"/>
        <v>10-19</v>
      </c>
      <c r="J2591">
        <f t="shared" si="122"/>
        <v>1.24E-3</v>
      </c>
    </row>
    <row r="2592" spans="1:10">
      <c r="A2592" t="s">
        <v>2674</v>
      </c>
      <c r="B2592">
        <v>63</v>
      </c>
      <c r="C2592" t="s">
        <v>7</v>
      </c>
      <c r="D2592">
        <v>14</v>
      </c>
      <c r="E2592">
        <v>76</v>
      </c>
      <c r="F2592">
        <v>2.12E-2</v>
      </c>
      <c r="G2592">
        <v>0</v>
      </c>
      <c r="H2592" t="str">
        <f t="shared" si="120"/>
        <v>70-79</v>
      </c>
      <c r="I2592" t="str">
        <f t="shared" si="121"/>
        <v>10-19</v>
      </c>
      <c r="J2592">
        <f t="shared" si="122"/>
        <v>2.12E-2</v>
      </c>
    </row>
    <row r="2593" spans="1:10">
      <c r="A2593" t="s">
        <v>2675</v>
      </c>
      <c r="B2593">
        <v>33</v>
      </c>
      <c r="C2593" t="s">
        <v>7</v>
      </c>
      <c r="D2593">
        <v>3</v>
      </c>
      <c r="E2593">
        <v>35</v>
      </c>
      <c r="F2593">
        <v>2.7999999999999998E-4</v>
      </c>
      <c r="G2593">
        <v>0</v>
      </c>
      <c r="H2593" t="str">
        <f t="shared" si="120"/>
        <v>30-39</v>
      </c>
      <c r="I2593" t="str">
        <f t="shared" si="121"/>
        <v>0-9</v>
      </c>
      <c r="J2593">
        <f t="shared" si="122"/>
        <v>2.7999999999999998E-4</v>
      </c>
    </row>
    <row r="2594" spans="1:10">
      <c r="A2594" t="s">
        <v>2676</v>
      </c>
      <c r="B2594">
        <v>60</v>
      </c>
      <c r="C2594" t="s">
        <v>7</v>
      </c>
      <c r="D2594">
        <v>23</v>
      </c>
      <c r="E2594">
        <v>82</v>
      </c>
      <c r="F2594">
        <v>5.0599999999999999E-2</v>
      </c>
      <c r="G2594">
        <v>0</v>
      </c>
      <c r="H2594" t="str">
        <f t="shared" si="120"/>
        <v>80-89</v>
      </c>
      <c r="I2594" t="str">
        <f t="shared" si="121"/>
        <v>20-29</v>
      </c>
      <c r="J2594">
        <f t="shared" si="122"/>
        <v>5.0599999999999999E-2</v>
      </c>
    </row>
    <row r="2595" spans="1:10">
      <c r="A2595" t="s">
        <v>2677</v>
      </c>
      <c r="B2595">
        <v>56</v>
      </c>
      <c r="C2595" t="s">
        <v>7</v>
      </c>
      <c r="D2595">
        <v>22</v>
      </c>
      <c r="E2595">
        <v>77</v>
      </c>
      <c r="F2595">
        <v>2.8719999999999999E-2</v>
      </c>
      <c r="G2595">
        <v>0</v>
      </c>
      <c r="H2595" t="str">
        <f t="shared" si="120"/>
        <v>70-79</v>
      </c>
      <c r="I2595" t="str">
        <f t="shared" si="121"/>
        <v>20-29</v>
      </c>
      <c r="J2595">
        <f t="shared" si="122"/>
        <v>2.8719999999999999E-2</v>
      </c>
    </row>
    <row r="2596" spans="1:10">
      <c r="A2596" t="s">
        <v>2678</v>
      </c>
      <c r="B2596">
        <v>30</v>
      </c>
      <c r="C2596" t="s">
        <v>7</v>
      </c>
      <c r="D2596">
        <v>14</v>
      </c>
      <c r="E2596">
        <v>43</v>
      </c>
      <c r="F2596">
        <v>1.0399999999999999E-3</v>
      </c>
      <c r="G2596">
        <v>0</v>
      </c>
      <c r="H2596" t="str">
        <f t="shared" si="120"/>
        <v>40-49</v>
      </c>
      <c r="I2596" t="str">
        <f t="shared" si="121"/>
        <v>10-19</v>
      </c>
      <c r="J2596">
        <f t="shared" si="122"/>
        <v>1.0399999999999999E-3</v>
      </c>
    </row>
    <row r="2597" spans="1:10">
      <c r="A2597" t="s">
        <v>2679</v>
      </c>
      <c r="B2597">
        <v>47</v>
      </c>
      <c r="C2597" t="s">
        <v>9</v>
      </c>
      <c r="D2597">
        <v>13</v>
      </c>
      <c r="E2597">
        <v>59</v>
      </c>
      <c r="F2597">
        <v>5.3800000000000002E-3</v>
      </c>
      <c r="G2597">
        <v>0</v>
      </c>
      <c r="H2597" t="str">
        <f t="shared" si="120"/>
        <v>50-59</v>
      </c>
      <c r="I2597" t="str">
        <f t="shared" si="121"/>
        <v>10-19</v>
      </c>
      <c r="J2597">
        <f t="shared" si="122"/>
        <v>5.3800000000000002E-3</v>
      </c>
    </row>
    <row r="2598" spans="1:10">
      <c r="A2598" t="s">
        <v>2680</v>
      </c>
      <c r="B2598">
        <v>24</v>
      </c>
      <c r="C2598" t="s">
        <v>9</v>
      </c>
      <c r="D2598">
        <v>9</v>
      </c>
      <c r="E2598">
        <v>32</v>
      </c>
      <c r="F2598">
        <v>5.6999999999999998E-4</v>
      </c>
      <c r="G2598">
        <v>0</v>
      </c>
      <c r="H2598" t="str">
        <f t="shared" si="120"/>
        <v>30-39</v>
      </c>
      <c r="I2598" t="str">
        <f t="shared" si="121"/>
        <v>0-9</v>
      </c>
      <c r="J2598">
        <f t="shared" si="122"/>
        <v>5.6999999999999998E-4</v>
      </c>
    </row>
    <row r="2599" spans="1:10">
      <c r="A2599" t="s">
        <v>2681</v>
      </c>
      <c r="B2599">
        <v>55</v>
      </c>
      <c r="C2599" t="s">
        <v>9</v>
      </c>
      <c r="D2599">
        <v>14</v>
      </c>
      <c r="E2599">
        <v>68</v>
      </c>
      <c r="F2599">
        <v>1.3690000000000001E-2</v>
      </c>
      <c r="G2599">
        <v>0</v>
      </c>
      <c r="H2599" t="str">
        <f t="shared" si="120"/>
        <v>60-69</v>
      </c>
      <c r="I2599" t="str">
        <f t="shared" si="121"/>
        <v>10-19</v>
      </c>
      <c r="J2599">
        <f t="shared" si="122"/>
        <v>1.3690000000000001E-2</v>
      </c>
    </row>
    <row r="2600" spans="1:10">
      <c r="A2600" t="s">
        <v>2682</v>
      </c>
      <c r="B2600">
        <v>43</v>
      </c>
      <c r="C2600" t="s">
        <v>9</v>
      </c>
      <c r="D2600">
        <v>30</v>
      </c>
      <c r="E2600">
        <v>72</v>
      </c>
      <c r="F2600">
        <v>1.413E-2</v>
      </c>
      <c r="G2600">
        <v>0</v>
      </c>
      <c r="H2600" t="str">
        <f t="shared" si="120"/>
        <v>70-79</v>
      </c>
      <c r="I2600" t="str">
        <f t="shared" si="121"/>
        <v>30-39</v>
      </c>
      <c r="J2600">
        <f t="shared" si="122"/>
        <v>1.413E-2</v>
      </c>
    </row>
    <row r="2601" spans="1:10">
      <c r="A2601" t="s">
        <v>2683</v>
      </c>
      <c r="B2601">
        <v>34</v>
      </c>
      <c r="C2601" t="s">
        <v>9</v>
      </c>
      <c r="D2601">
        <v>9</v>
      </c>
      <c r="E2601">
        <v>42</v>
      </c>
      <c r="F2601">
        <v>1.08E-3</v>
      </c>
      <c r="G2601">
        <v>0</v>
      </c>
      <c r="H2601" t="str">
        <f t="shared" si="120"/>
        <v>40-49</v>
      </c>
      <c r="I2601" t="str">
        <f t="shared" si="121"/>
        <v>0-9</v>
      </c>
      <c r="J2601">
        <f t="shared" si="122"/>
        <v>1.08E-3</v>
      </c>
    </row>
    <row r="2602" spans="1:10">
      <c r="A2602" t="s">
        <v>2684</v>
      </c>
      <c r="B2602">
        <v>34</v>
      </c>
      <c r="C2602" t="s">
        <v>7</v>
      </c>
      <c r="D2602">
        <v>13</v>
      </c>
      <c r="E2602">
        <v>46</v>
      </c>
      <c r="F2602">
        <v>1.1999999999999999E-3</v>
      </c>
      <c r="G2602">
        <v>0</v>
      </c>
      <c r="H2602" t="str">
        <f t="shared" si="120"/>
        <v>40-49</v>
      </c>
      <c r="I2602" t="str">
        <f t="shared" si="121"/>
        <v>10-19</v>
      </c>
      <c r="J2602">
        <f t="shared" si="122"/>
        <v>1.1999999999999999E-3</v>
      </c>
    </row>
    <row r="2603" spans="1:10">
      <c r="A2603" t="s">
        <v>2685</v>
      </c>
      <c r="B2603">
        <v>27</v>
      </c>
      <c r="C2603" t="s">
        <v>7</v>
      </c>
      <c r="D2603">
        <v>6</v>
      </c>
      <c r="E2603">
        <v>32</v>
      </c>
      <c r="F2603">
        <v>2.9E-4</v>
      </c>
      <c r="G2603">
        <v>0</v>
      </c>
      <c r="H2603" t="str">
        <f t="shared" si="120"/>
        <v>30-39</v>
      </c>
      <c r="I2603" t="str">
        <f t="shared" si="121"/>
        <v>0-9</v>
      </c>
      <c r="J2603">
        <f t="shared" si="122"/>
        <v>2.9E-4</v>
      </c>
    </row>
    <row r="2604" spans="1:10">
      <c r="A2604" t="s">
        <v>2686</v>
      </c>
      <c r="B2604">
        <v>57</v>
      </c>
      <c r="C2604" t="s">
        <v>7</v>
      </c>
      <c r="D2604">
        <v>27</v>
      </c>
      <c r="E2604">
        <v>83</v>
      </c>
      <c r="F2604">
        <v>5.0599999999999999E-2</v>
      </c>
      <c r="G2604">
        <v>0</v>
      </c>
      <c r="H2604" t="str">
        <f t="shared" si="120"/>
        <v>80-89</v>
      </c>
      <c r="I2604" t="str">
        <f t="shared" si="121"/>
        <v>20-29</v>
      </c>
      <c r="J2604">
        <f t="shared" si="122"/>
        <v>5.0599999999999999E-2</v>
      </c>
    </row>
    <row r="2605" spans="1:10">
      <c r="A2605" t="s">
        <v>2687</v>
      </c>
      <c r="B2605">
        <v>42</v>
      </c>
      <c r="C2605" t="s">
        <v>7</v>
      </c>
      <c r="D2605">
        <v>23</v>
      </c>
      <c r="E2605">
        <v>64</v>
      </c>
      <c r="F2605">
        <v>7.4700000000000001E-3</v>
      </c>
      <c r="G2605">
        <v>0</v>
      </c>
      <c r="H2605" t="str">
        <f t="shared" si="120"/>
        <v>60-69</v>
      </c>
      <c r="I2605" t="str">
        <f t="shared" si="121"/>
        <v>20-29</v>
      </c>
      <c r="J2605">
        <f t="shared" si="122"/>
        <v>7.4700000000000001E-3</v>
      </c>
    </row>
    <row r="2606" spans="1:10">
      <c r="A2606" t="s">
        <v>2688</v>
      </c>
      <c r="B2606">
        <v>37</v>
      </c>
      <c r="C2606" t="s">
        <v>9</v>
      </c>
      <c r="D2606">
        <v>20</v>
      </c>
      <c r="E2606">
        <v>56</v>
      </c>
      <c r="F2606">
        <v>4.28E-3</v>
      </c>
      <c r="G2606">
        <v>0</v>
      </c>
      <c r="H2606" t="str">
        <f t="shared" si="120"/>
        <v>50-59</v>
      </c>
      <c r="I2606" t="str">
        <f t="shared" si="121"/>
        <v>20-29</v>
      </c>
      <c r="J2606">
        <f t="shared" si="122"/>
        <v>4.28E-3</v>
      </c>
    </row>
    <row r="2607" spans="1:10">
      <c r="A2607" t="s">
        <v>2689</v>
      </c>
      <c r="B2607">
        <v>40</v>
      </c>
      <c r="C2607" t="s">
        <v>9</v>
      </c>
      <c r="D2607">
        <v>25</v>
      </c>
      <c r="E2607">
        <v>64</v>
      </c>
      <c r="F2607">
        <v>9.5899999999999996E-3</v>
      </c>
      <c r="G2607">
        <v>0</v>
      </c>
      <c r="H2607" t="str">
        <f t="shared" si="120"/>
        <v>60-69</v>
      </c>
      <c r="I2607" t="str">
        <f t="shared" si="121"/>
        <v>20-29</v>
      </c>
      <c r="J2607">
        <f t="shared" si="122"/>
        <v>9.5899999999999996E-3</v>
      </c>
    </row>
    <row r="2608" spans="1:10">
      <c r="A2608" t="s">
        <v>2690</v>
      </c>
      <c r="B2608">
        <v>63</v>
      </c>
      <c r="C2608" t="s">
        <v>7</v>
      </c>
      <c r="D2608">
        <v>26</v>
      </c>
      <c r="E2608">
        <v>88</v>
      </c>
      <c r="F2608">
        <v>0.10484</v>
      </c>
      <c r="G2608">
        <v>0</v>
      </c>
      <c r="H2608" t="str">
        <f t="shared" si="120"/>
        <v>80-89</v>
      </c>
      <c r="I2608" t="str">
        <f t="shared" si="121"/>
        <v>20-29</v>
      </c>
      <c r="J2608">
        <f t="shared" si="122"/>
        <v>0.10484</v>
      </c>
    </row>
    <row r="2609" spans="1:10">
      <c r="A2609" t="s">
        <v>2691</v>
      </c>
      <c r="B2609">
        <v>45</v>
      </c>
      <c r="C2609" t="s">
        <v>7</v>
      </c>
      <c r="D2609">
        <v>16</v>
      </c>
      <c r="E2609">
        <v>60</v>
      </c>
      <c r="F2609">
        <v>4.62E-3</v>
      </c>
      <c r="G2609">
        <v>0</v>
      </c>
      <c r="H2609" t="str">
        <f t="shared" si="120"/>
        <v>60-69</v>
      </c>
      <c r="I2609" t="str">
        <f t="shared" si="121"/>
        <v>10-19</v>
      </c>
      <c r="J2609">
        <f t="shared" si="122"/>
        <v>4.62E-3</v>
      </c>
    </row>
    <row r="2610" spans="1:10">
      <c r="A2610" t="s">
        <v>2692</v>
      </c>
      <c r="B2610">
        <v>63</v>
      </c>
      <c r="C2610" t="s">
        <v>7</v>
      </c>
      <c r="D2610">
        <v>17</v>
      </c>
      <c r="E2610">
        <v>79</v>
      </c>
      <c r="F2610">
        <v>3.2660000000000002E-2</v>
      </c>
      <c r="G2610">
        <v>0</v>
      </c>
      <c r="H2610" t="str">
        <f t="shared" si="120"/>
        <v>70-79</v>
      </c>
      <c r="I2610" t="str">
        <f t="shared" si="121"/>
        <v>10-19</v>
      </c>
      <c r="J2610">
        <f t="shared" si="122"/>
        <v>3.2660000000000002E-2</v>
      </c>
    </row>
    <row r="2611" spans="1:10">
      <c r="A2611" t="s">
        <v>2693</v>
      </c>
      <c r="B2611">
        <v>29</v>
      </c>
      <c r="C2611" t="s">
        <v>7</v>
      </c>
      <c r="D2611">
        <v>13</v>
      </c>
      <c r="E2611">
        <v>41</v>
      </c>
      <c r="F2611">
        <v>9.3000000000000005E-4</v>
      </c>
      <c r="G2611">
        <v>0</v>
      </c>
      <c r="H2611" t="str">
        <f t="shared" si="120"/>
        <v>40-49</v>
      </c>
      <c r="I2611" t="str">
        <f t="shared" si="121"/>
        <v>10-19</v>
      </c>
      <c r="J2611">
        <f t="shared" si="122"/>
        <v>9.3000000000000005E-4</v>
      </c>
    </row>
    <row r="2612" spans="1:10">
      <c r="A2612" t="s">
        <v>2694</v>
      </c>
      <c r="B2612">
        <v>60</v>
      </c>
      <c r="C2612" t="s">
        <v>7</v>
      </c>
      <c r="D2612">
        <v>12</v>
      </c>
      <c r="E2612">
        <v>71</v>
      </c>
      <c r="F2612">
        <v>1.11E-2</v>
      </c>
      <c r="G2612">
        <v>0</v>
      </c>
      <c r="H2612" t="str">
        <f t="shared" si="120"/>
        <v>70-79</v>
      </c>
      <c r="I2612" t="str">
        <f t="shared" si="121"/>
        <v>10-19</v>
      </c>
      <c r="J2612">
        <f t="shared" si="122"/>
        <v>1.11E-2</v>
      </c>
    </row>
    <row r="2613" spans="1:10">
      <c r="A2613" t="s">
        <v>2695</v>
      </c>
      <c r="B2613">
        <v>58</v>
      </c>
      <c r="C2613" t="s">
        <v>7</v>
      </c>
      <c r="D2613">
        <v>14</v>
      </c>
      <c r="E2613">
        <v>71</v>
      </c>
      <c r="F2613">
        <v>1.2619999999999999E-2</v>
      </c>
      <c r="G2613">
        <v>0</v>
      </c>
      <c r="H2613" t="str">
        <f t="shared" si="120"/>
        <v>70-79</v>
      </c>
      <c r="I2613" t="str">
        <f t="shared" si="121"/>
        <v>10-19</v>
      </c>
      <c r="J2613">
        <f t="shared" si="122"/>
        <v>1.2619999999999999E-2</v>
      </c>
    </row>
    <row r="2614" spans="1:10">
      <c r="A2614" t="s">
        <v>2696</v>
      </c>
      <c r="B2614">
        <v>42</v>
      </c>
      <c r="C2614" t="s">
        <v>9</v>
      </c>
      <c r="D2614">
        <v>26</v>
      </c>
      <c r="E2614">
        <v>67</v>
      </c>
      <c r="F2614">
        <v>1.2880000000000001E-2</v>
      </c>
      <c r="G2614">
        <v>0</v>
      </c>
      <c r="H2614" t="str">
        <f t="shared" si="120"/>
        <v>60-69</v>
      </c>
      <c r="I2614" t="str">
        <f t="shared" si="121"/>
        <v>20-29</v>
      </c>
      <c r="J2614">
        <f t="shared" si="122"/>
        <v>1.2880000000000001E-2</v>
      </c>
    </row>
    <row r="2615" spans="1:10">
      <c r="A2615" t="s">
        <v>2697</v>
      </c>
      <c r="B2615">
        <v>47</v>
      </c>
      <c r="C2615" t="s">
        <v>7</v>
      </c>
      <c r="D2615">
        <v>17</v>
      </c>
      <c r="E2615">
        <v>63</v>
      </c>
      <c r="F2615">
        <v>6.45E-3</v>
      </c>
      <c r="G2615">
        <v>0</v>
      </c>
      <c r="H2615" t="str">
        <f t="shared" si="120"/>
        <v>60-69</v>
      </c>
      <c r="I2615" t="str">
        <f t="shared" si="121"/>
        <v>10-19</v>
      </c>
      <c r="J2615">
        <f t="shared" si="122"/>
        <v>6.45E-3</v>
      </c>
    </row>
    <row r="2616" spans="1:10">
      <c r="A2616" t="s">
        <v>2698</v>
      </c>
      <c r="B2616">
        <v>34</v>
      </c>
      <c r="C2616" t="s">
        <v>7</v>
      </c>
      <c r="D2616">
        <v>10</v>
      </c>
      <c r="E2616">
        <v>43</v>
      </c>
      <c r="F2616">
        <v>8.4000000000000003E-4</v>
      </c>
      <c r="G2616">
        <v>0</v>
      </c>
      <c r="H2616" t="str">
        <f t="shared" si="120"/>
        <v>40-49</v>
      </c>
      <c r="I2616" t="str">
        <f t="shared" si="121"/>
        <v>10-19</v>
      </c>
      <c r="J2616">
        <f t="shared" si="122"/>
        <v>8.4000000000000003E-4</v>
      </c>
    </row>
    <row r="2617" spans="1:10">
      <c r="A2617" t="s">
        <v>2699</v>
      </c>
      <c r="B2617">
        <v>39</v>
      </c>
      <c r="C2617" t="s">
        <v>7</v>
      </c>
      <c r="D2617">
        <v>14</v>
      </c>
      <c r="E2617">
        <v>52</v>
      </c>
      <c r="F2617">
        <v>2.0899999999999998E-3</v>
      </c>
      <c r="G2617">
        <v>0</v>
      </c>
      <c r="H2617" t="str">
        <f t="shared" si="120"/>
        <v>50-59</v>
      </c>
      <c r="I2617" t="str">
        <f t="shared" si="121"/>
        <v>10-19</v>
      </c>
      <c r="J2617">
        <f t="shared" si="122"/>
        <v>2.0899999999999998E-3</v>
      </c>
    </row>
    <row r="2618" spans="1:10">
      <c r="A2618" t="s">
        <v>2700</v>
      </c>
      <c r="B2618">
        <v>60</v>
      </c>
      <c r="C2618" t="s">
        <v>9</v>
      </c>
      <c r="D2618">
        <v>3</v>
      </c>
      <c r="E2618">
        <v>62</v>
      </c>
      <c r="F2618">
        <v>4.6499999999999996E-3</v>
      </c>
      <c r="G2618">
        <v>0</v>
      </c>
      <c r="H2618" t="str">
        <f t="shared" si="120"/>
        <v>60-69</v>
      </c>
      <c r="I2618" t="str">
        <f t="shared" si="121"/>
        <v>0-9</v>
      </c>
      <c r="J2618">
        <f t="shared" si="122"/>
        <v>4.6499999999999996E-3</v>
      </c>
    </row>
    <row r="2619" spans="1:10">
      <c r="A2619" t="s">
        <v>2701</v>
      </c>
      <c r="B2619">
        <v>25</v>
      </c>
      <c r="C2619" t="s">
        <v>7</v>
      </c>
      <c r="D2619">
        <v>6</v>
      </c>
      <c r="E2619">
        <v>30</v>
      </c>
      <c r="F2619">
        <v>2.7999999999999998E-4</v>
      </c>
      <c r="G2619">
        <v>0</v>
      </c>
      <c r="H2619" t="str">
        <f t="shared" si="120"/>
        <v>30-39</v>
      </c>
      <c r="I2619" t="str">
        <f t="shared" si="121"/>
        <v>0-9</v>
      </c>
      <c r="J2619">
        <f t="shared" si="122"/>
        <v>2.7999999999999998E-4</v>
      </c>
    </row>
    <row r="2620" spans="1:10">
      <c r="A2620" t="s">
        <v>2702</v>
      </c>
      <c r="B2620">
        <v>38</v>
      </c>
      <c r="C2620" t="s">
        <v>7</v>
      </c>
      <c r="D2620">
        <v>18</v>
      </c>
      <c r="E2620">
        <v>55</v>
      </c>
      <c r="F2620">
        <v>2.8900000000000002E-3</v>
      </c>
      <c r="G2620">
        <v>0</v>
      </c>
      <c r="H2620" t="str">
        <f t="shared" si="120"/>
        <v>50-59</v>
      </c>
      <c r="I2620" t="str">
        <f t="shared" si="121"/>
        <v>10-19</v>
      </c>
      <c r="J2620">
        <f t="shared" si="122"/>
        <v>2.8900000000000002E-3</v>
      </c>
    </row>
    <row r="2621" spans="1:10">
      <c r="A2621" t="s">
        <v>2703</v>
      </c>
      <c r="B2621">
        <v>20</v>
      </c>
      <c r="C2621" t="s">
        <v>7</v>
      </c>
      <c r="D2621">
        <v>14</v>
      </c>
      <c r="E2621">
        <v>33</v>
      </c>
      <c r="F2621">
        <v>4.8000000000000001E-4</v>
      </c>
      <c r="G2621">
        <v>0</v>
      </c>
      <c r="H2621" t="str">
        <f t="shared" si="120"/>
        <v>30-39</v>
      </c>
      <c r="I2621" t="str">
        <f t="shared" si="121"/>
        <v>10-19</v>
      </c>
      <c r="J2621">
        <f t="shared" si="122"/>
        <v>4.8000000000000001E-4</v>
      </c>
    </row>
    <row r="2622" spans="1:10">
      <c r="A2622" t="s">
        <v>2704</v>
      </c>
      <c r="B2622">
        <v>28</v>
      </c>
      <c r="C2622" t="s">
        <v>9</v>
      </c>
      <c r="D2622">
        <v>16</v>
      </c>
      <c r="E2622">
        <v>43</v>
      </c>
      <c r="F2622">
        <v>1.5399999999999999E-3</v>
      </c>
      <c r="G2622">
        <v>0</v>
      </c>
      <c r="H2622" t="str">
        <f t="shared" si="120"/>
        <v>40-49</v>
      </c>
      <c r="I2622" t="str">
        <f t="shared" si="121"/>
        <v>10-19</v>
      </c>
      <c r="J2622">
        <f t="shared" si="122"/>
        <v>1.5399999999999999E-3</v>
      </c>
    </row>
    <row r="2623" spans="1:10">
      <c r="A2623" t="s">
        <v>2705</v>
      </c>
      <c r="B2623">
        <v>63</v>
      </c>
      <c r="C2623" t="s">
        <v>7</v>
      </c>
      <c r="D2623">
        <v>29</v>
      </c>
      <c r="E2623">
        <v>91</v>
      </c>
      <c r="F2623">
        <v>0.10484</v>
      </c>
      <c r="G2623">
        <v>0</v>
      </c>
      <c r="H2623" t="str">
        <f t="shared" si="120"/>
        <v>90-99</v>
      </c>
      <c r="I2623" t="str">
        <f t="shared" si="121"/>
        <v>20-29</v>
      </c>
      <c r="J2623">
        <f t="shared" si="122"/>
        <v>0.10484</v>
      </c>
    </row>
    <row r="2624" spans="1:10">
      <c r="A2624" t="s">
        <v>2706</v>
      </c>
      <c r="B2624">
        <v>20</v>
      </c>
      <c r="C2624" t="s">
        <v>9</v>
      </c>
      <c r="D2624">
        <v>20</v>
      </c>
      <c r="E2624">
        <v>39</v>
      </c>
      <c r="F2624">
        <v>1.58E-3</v>
      </c>
      <c r="G2624">
        <v>0</v>
      </c>
      <c r="H2624" t="str">
        <f t="shared" si="120"/>
        <v>30-39</v>
      </c>
      <c r="I2624" t="str">
        <f t="shared" si="121"/>
        <v>20-29</v>
      </c>
      <c r="J2624">
        <f t="shared" si="122"/>
        <v>1.58E-3</v>
      </c>
    </row>
    <row r="2625" spans="1:10">
      <c r="A2625" t="s">
        <v>2707</v>
      </c>
      <c r="B2625">
        <v>20</v>
      </c>
      <c r="C2625" t="s">
        <v>9</v>
      </c>
      <c r="D2625">
        <v>23</v>
      </c>
      <c r="E2625">
        <v>42</v>
      </c>
      <c r="F2625">
        <v>2.0899999999999998E-3</v>
      </c>
      <c r="G2625">
        <v>0</v>
      </c>
      <c r="H2625" t="str">
        <f t="shared" si="120"/>
        <v>40-49</v>
      </c>
      <c r="I2625" t="str">
        <f t="shared" si="121"/>
        <v>20-29</v>
      </c>
      <c r="J2625">
        <f t="shared" si="122"/>
        <v>2.0899999999999998E-3</v>
      </c>
    </row>
    <row r="2626" spans="1:10">
      <c r="A2626" t="s">
        <v>2708</v>
      </c>
      <c r="B2626">
        <v>42</v>
      </c>
      <c r="C2626" t="s">
        <v>7</v>
      </c>
      <c r="D2626">
        <v>8</v>
      </c>
      <c r="E2626">
        <v>49</v>
      </c>
      <c r="F2626">
        <v>1.2800000000000001E-3</v>
      </c>
      <c r="G2626">
        <v>0</v>
      </c>
      <c r="H2626" t="str">
        <f t="shared" si="120"/>
        <v>40-49</v>
      </c>
      <c r="I2626" t="str">
        <f t="shared" si="121"/>
        <v>0-9</v>
      </c>
      <c r="J2626">
        <f t="shared" si="122"/>
        <v>1.2800000000000001E-3</v>
      </c>
    </row>
    <row r="2627" spans="1:10">
      <c r="A2627" t="s">
        <v>2709</v>
      </c>
      <c r="B2627">
        <v>53</v>
      </c>
      <c r="C2627" t="s">
        <v>7</v>
      </c>
      <c r="D2627">
        <v>22</v>
      </c>
      <c r="E2627">
        <v>74</v>
      </c>
      <c r="F2627">
        <v>2.0979999999999999E-2</v>
      </c>
      <c r="G2627">
        <v>0</v>
      </c>
      <c r="H2627" t="str">
        <f t="shared" ref="H2627:H2690" si="123">FLOOR(E2627,10) &amp; "-" &amp; FLOOR(E2627,10)+9</f>
        <v>70-79</v>
      </c>
      <c r="I2627" t="str">
        <f t="shared" ref="I2627:I2690" si="124">FLOOR(D2627, 10) &amp; "-"&amp;FLOOR(D2627, 10)+9</f>
        <v>20-29</v>
      </c>
      <c r="J2627">
        <f t="shared" ref="J2627:J2690" si="125">F2627</f>
        <v>2.0979999999999999E-2</v>
      </c>
    </row>
    <row r="2628" spans="1:10">
      <c r="A2628" t="s">
        <v>2710</v>
      </c>
      <c r="B2628">
        <v>30</v>
      </c>
      <c r="C2628" t="s">
        <v>7</v>
      </c>
      <c r="D2628">
        <v>22</v>
      </c>
      <c r="E2628">
        <v>51</v>
      </c>
      <c r="F2628">
        <v>2.1900000000000001E-3</v>
      </c>
      <c r="G2628">
        <v>0</v>
      </c>
      <c r="H2628" t="str">
        <f t="shared" si="123"/>
        <v>50-59</v>
      </c>
      <c r="I2628" t="str">
        <f t="shared" si="124"/>
        <v>20-29</v>
      </c>
      <c r="J2628">
        <f t="shared" si="125"/>
        <v>2.1900000000000001E-3</v>
      </c>
    </row>
    <row r="2629" spans="1:10">
      <c r="A2629" t="s">
        <v>2711</v>
      </c>
      <c r="B2629">
        <v>34</v>
      </c>
      <c r="C2629" t="s">
        <v>9</v>
      </c>
      <c r="D2629">
        <v>6</v>
      </c>
      <c r="E2629">
        <v>39</v>
      </c>
      <c r="F2629">
        <v>6.9999999999999999E-4</v>
      </c>
      <c r="G2629">
        <v>0</v>
      </c>
      <c r="H2629" t="str">
        <f t="shared" si="123"/>
        <v>30-39</v>
      </c>
      <c r="I2629" t="str">
        <f t="shared" si="124"/>
        <v>0-9</v>
      </c>
      <c r="J2629">
        <f t="shared" si="125"/>
        <v>6.9999999999999999E-4</v>
      </c>
    </row>
    <row r="2630" spans="1:10">
      <c r="A2630" t="s">
        <v>2712</v>
      </c>
      <c r="B2630">
        <v>52</v>
      </c>
      <c r="C2630" t="s">
        <v>7</v>
      </c>
      <c r="D2630">
        <v>12</v>
      </c>
      <c r="E2630">
        <v>63</v>
      </c>
      <c r="F2630">
        <v>5.5599999999999998E-3</v>
      </c>
      <c r="G2630">
        <v>0</v>
      </c>
      <c r="H2630" t="str">
        <f t="shared" si="123"/>
        <v>60-69</v>
      </c>
      <c r="I2630" t="str">
        <f t="shared" si="124"/>
        <v>10-19</v>
      </c>
      <c r="J2630">
        <f t="shared" si="125"/>
        <v>5.5599999999999998E-3</v>
      </c>
    </row>
    <row r="2631" spans="1:10">
      <c r="A2631" t="s">
        <v>2713</v>
      </c>
      <c r="B2631">
        <v>44</v>
      </c>
      <c r="C2631" t="s">
        <v>9</v>
      </c>
      <c r="D2631">
        <v>6</v>
      </c>
      <c r="E2631">
        <v>49</v>
      </c>
      <c r="F2631">
        <v>1.5900000000000001E-3</v>
      </c>
      <c r="G2631">
        <v>0</v>
      </c>
      <c r="H2631" t="str">
        <f t="shared" si="123"/>
        <v>40-49</v>
      </c>
      <c r="I2631" t="str">
        <f t="shared" si="124"/>
        <v>0-9</v>
      </c>
      <c r="J2631">
        <f t="shared" si="125"/>
        <v>1.5900000000000001E-3</v>
      </c>
    </row>
    <row r="2632" spans="1:10">
      <c r="A2632" t="s">
        <v>2714</v>
      </c>
      <c r="B2632">
        <v>63</v>
      </c>
      <c r="C2632" t="s">
        <v>7</v>
      </c>
      <c r="D2632">
        <v>8</v>
      </c>
      <c r="E2632">
        <v>70</v>
      </c>
      <c r="F2632">
        <v>8.4200000000000004E-3</v>
      </c>
      <c r="G2632">
        <v>0</v>
      </c>
      <c r="H2632" t="str">
        <f t="shared" si="123"/>
        <v>70-79</v>
      </c>
      <c r="I2632" t="str">
        <f t="shared" si="124"/>
        <v>0-9</v>
      </c>
      <c r="J2632">
        <f t="shared" si="125"/>
        <v>8.4200000000000004E-3</v>
      </c>
    </row>
    <row r="2633" spans="1:10">
      <c r="A2633" t="s">
        <v>2715</v>
      </c>
      <c r="B2633">
        <v>27</v>
      </c>
      <c r="C2633" t="s">
        <v>9</v>
      </c>
      <c r="D2633">
        <v>10</v>
      </c>
      <c r="E2633">
        <v>36</v>
      </c>
      <c r="F2633">
        <v>7.2999999999999996E-4</v>
      </c>
      <c r="G2633">
        <v>0</v>
      </c>
      <c r="H2633" t="str">
        <f t="shared" si="123"/>
        <v>30-39</v>
      </c>
      <c r="I2633" t="str">
        <f t="shared" si="124"/>
        <v>10-19</v>
      </c>
      <c r="J2633">
        <f t="shared" si="125"/>
        <v>7.2999999999999996E-4</v>
      </c>
    </row>
    <row r="2634" spans="1:10">
      <c r="A2634" t="s">
        <v>2716</v>
      </c>
      <c r="B2634">
        <v>33</v>
      </c>
      <c r="C2634" t="s">
        <v>7</v>
      </c>
      <c r="D2634">
        <v>1</v>
      </c>
      <c r="E2634">
        <v>33</v>
      </c>
      <c r="F2634">
        <v>1.2999999999999999E-4</v>
      </c>
      <c r="G2634">
        <v>0</v>
      </c>
      <c r="H2634" t="str">
        <f t="shared" si="123"/>
        <v>30-39</v>
      </c>
      <c r="I2634" t="str">
        <f t="shared" si="124"/>
        <v>0-9</v>
      </c>
      <c r="J2634">
        <f t="shared" si="125"/>
        <v>1.2999999999999999E-4</v>
      </c>
    </row>
    <row r="2635" spans="1:10">
      <c r="A2635" t="s">
        <v>2717</v>
      </c>
      <c r="B2635">
        <v>33</v>
      </c>
      <c r="C2635" t="s">
        <v>9</v>
      </c>
      <c r="D2635">
        <v>30</v>
      </c>
      <c r="E2635">
        <v>62</v>
      </c>
      <c r="F2635">
        <v>5.2199999999999998E-3</v>
      </c>
      <c r="G2635">
        <v>0</v>
      </c>
      <c r="H2635" t="str">
        <f t="shared" si="123"/>
        <v>60-69</v>
      </c>
      <c r="I2635" t="str">
        <f t="shared" si="124"/>
        <v>30-39</v>
      </c>
      <c r="J2635">
        <f t="shared" si="125"/>
        <v>5.2199999999999998E-3</v>
      </c>
    </row>
    <row r="2636" spans="1:10">
      <c r="A2636" t="s">
        <v>2718</v>
      </c>
      <c r="B2636">
        <v>61</v>
      </c>
      <c r="C2636" t="s">
        <v>7</v>
      </c>
      <c r="D2636">
        <v>17</v>
      </c>
      <c r="E2636">
        <v>77</v>
      </c>
      <c r="F2636">
        <v>2.581E-2</v>
      </c>
      <c r="G2636">
        <v>0</v>
      </c>
      <c r="H2636" t="str">
        <f t="shared" si="123"/>
        <v>70-79</v>
      </c>
      <c r="I2636" t="str">
        <f t="shared" si="124"/>
        <v>10-19</v>
      </c>
      <c r="J2636">
        <f t="shared" si="125"/>
        <v>2.581E-2</v>
      </c>
    </row>
    <row r="2637" spans="1:10">
      <c r="A2637" t="s">
        <v>2719</v>
      </c>
      <c r="B2637">
        <v>49</v>
      </c>
      <c r="C2637" t="s">
        <v>7</v>
      </c>
      <c r="D2637">
        <v>29</v>
      </c>
      <c r="E2637">
        <v>77</v>
      </c>
      <c r="F2637">
        <v>2.0979999999999999E-2</v>
      </c>
      <c r="G2637">
        <v>0</v>
      </c>
      <c r="H2637" t="str">
        <f t="shared" si="123"/>
        <v>70-79</v>
      </c>
      <c r="I2637" t="str">
        <f t="shared" si="124"/>
        <v>20-29</v>
      </c>
      <c r="J2637">
        <f t="shared" si="125"/>
        <v>2.0979999999999999E-2</v>
      </c>
    </row>
    <row r="2638" spans="1:10">
      <c r="A2638" t="s">
        <v>2720</v>
      </c>
      <c r="B2638">
        <v>42</v>
      </c>
      <c r="C2638" t="s">
        <v>7</v>
      </c>
      <c r="D2638">
        <v>1</v>
      </c>
      <c r="E2638">
        <v>42</v>
      </c>
      <c r="F2638">
        <v>2.5000000000000001E-4</v>
      </c>
      <c r="G2638">
        <v>0</v>
      </c>
      <c r="H2638" t="str">
        <f t="shared" si="123"/>
        <v>40-49</v>
      </c>
      <c r="I2638" t="str">
        <f t="shared" si="124"/>
        <v>0-9</v>
      </c>
      <c r="J2638">
        <f t="shared" si="125"/>
        <v>2.5000000000000001E-4</v>
      </c>
    </row>
    <row r="2639" spans="1:10">
      <c r="A2639" t="s">
        <v>2721</v>
      </c>
      <c r="B2639">
        <v>42</v>
      </c>
      <c r="C2639" t="s">
        <v>9</v>
      </c>
      <c r="D2639">
        <v>4</v>
      </c>
      <c r="E2639">
        <v>45</v>
      </c>
      <c r="F2639">
        <v>1.01E-3</v>
      </c>
      <c r="G2639">
        <v>0</v>
      </c>
      <c r="H2639" t="str">
        <f t="shared" si="123"/>
        <v>40-49</v>
      </c>
      <c r="I2639" t="str">
        <f t="shared" si="124"/>
        <v>0-9</v>
      </c>
      <c r="J2639">
        <f t="shared" si="125"/>
        <v>1.01E-3</v>
      </c>
    </row>
    <row r="2640" spans="1:10">
      <c r="A2640" t="s">
        <v>2722</v>
      </c>
      <c r="B2640">
        <v>31</v>
      </c>
      <c r="C2640" t="s">
        <v>9</v>
      </c>
      <c r="D2640">
        <v>13</v>
      </c>
      <c r="E2640">
        <v>43</v>
      </c>
      <c r="F2640">
        <v>1.31E-3</v>
      </c>
      <c r="G2640">
        <v>0</v>
      </c>
      <c r="H2640" t="str">
        <f t="shared" si="123"/>
        <v>40-49</v>
      </c>
      <c r="I2640" t="str">
        <f t="shared" si="124"/>
        <v>10-19</v>
      </c>
      <c r="J2640">
        <f t="shared" si="125"/>
        <v>1.31E-3</v>
      </c>
    </row>
    <row r="2641" spans="1:10">
      <c r="A2641" t="s">
        <v>2723</v>
      </c>
      <c r="B2641">
        <v>51</v>
      </c>
      <c r="C2641" t="s">
        <v>9</v>
      </c>
      <c r="D2641">
        <v>7</v>
      </c>
      <c r="E2641">
        <v>57</v>
      </c>
      <c r="F2641">
        <v>3.6900000000000001E-3</v>
      </c>
      <c r="G2641">
        <v>0</v>
      </c>
      <c r="H2641" t="str">
        <f t="shared" si="123"/>
        <v>50-59</v>
      </c>
      <c r="I2641" t="str">
        <f t="shared" si="124"/>
        <v>0-9</v>
      </c>
      <c r="J2641">
        <f t="shared" si="125"/>
        <v>3.6900000000000001E-3</v>
      </c>
    </row>
    <row r="2642" spans="1:10">
      <c r="A2642" t="s">
        <v>2724</v>
      </c>
      <c r="B2642">
        <v>29</v>
      </c>
      <c r="C2642" t="s">
        <v>9</v>
      </c>
      <c r="D2642">
        <v>14</v>
      </c>
      <c r="E2642">
        <v>42</v>
      </c>
      <c r="F2642">
        <v>1.3500000000000001E-3</v>
      </c>
      <c r="G2642">
        <v>0</v>
      </c>
      <c r="H2642" t="str">
        <f t="shared" si="123"/>
        <v>40-49</v>
      </c>
      <c r="I2642" t="str">
        <f t="shared" si="124"/>
        <v>10-19</v>
      </c>
      <c r="J2642">
        <f t="shared" si="125"/>
        <v>1.3500000000000001E-3</v>
      </c>
    </row>
    <row r="2643" spans="1:10">
      <c r="A2643" t="s">
        <v>2725</v>
      </c>
      <c r="B2643">
        <v>29</v>
      </c>
      <c r="C2643" t="s">
        <v>7</v>
      </c>
      <c r="D2643">
        <v>25</v>
      </c>
      <c r="E2643">
        <v>53</v>
      </c>
      <c r="F2643">
        <v>2.5899999999999999E-3</v>
      </c>
      <c r="G2643">
        <v>0</v>
      </c>
      <c r="H2643" t="str">
        <f t="shared" si="123"/>
        <v>50-59</v>
      </c>
      <c r="I2643" t="str">
        <f t="shared" si="124"/>
        <v>20-29</v>
      </c>
      <c r="J2643">
        <f t="shared" si="125"/>
        <v>2.5899999999999999E-3</v>
      </c>
    </row>
    <row r="2644" spans="1:10">
      <c r="A2644" t="s">
        <v>2726</v>
      </c>
      <c r="B2644">
        <v>45</v>
      </c>
      <c r="C2644" t="s">
        <v>9</v>
      </c>
      <c r="D2644">
        <v>12</v>
      </c>
      <c r="E2644">
        <v>56</v>
      </c>
      <c r="F2644">
        <v>3.8300000000000001E-3</v>
      </c>
      <c r="G2644">
        <v>0</v>
      </c>
      <c r="H2644" t="str">
        <f t="shared" si="123"/>
        <v>50-59</v>
      </c>
      <c r="I2644" t="str">
        <f t="shared" si="124"/>
        <v>10-19</v>
      </c>
      <c r="J2644">
        <f t="shared" si="125"/>
        <v>3.8300000000000001E-3</v>
      </c>
    </row>
    <row r="2645" spans="1:10">
      <c r="A2645" t="s">
        <v>2727</v>
      </c>
      <c r="B2645">
        <v>31</v>
      </c>
      <c r="C2645" t="s">
        <v>7</v>
      </c>
      <c r="D2645">
        <v>18</v>
      </c>
      <c r="E2645">
        <v>48</v>
      </c>
      <c r="F2645">
        <v>1.6100000000000001E-3</v>
      </c>
      <c r="G2645">
        <v>0</v>
      </c>
      <c r="H2645" t="str">
        <f t="shared" si="123"/>
        <v>40-49</v>
      </c>
      <c r="I2645" t="str">
        <f t="shared" si="124"/>
        <v>10-19</v>
      </c>
      <c r="J2645">
        <f t="shared" si="125"/>
        <v>1.6100000000000001E-3</v>
      </c>
    </row>
    <row r="2646" spans="1:10">
      <c r="A2646" t="s">
        <v>2728</v>
      </c>
      <c r="B2646">
        <v>48</v>
      </c>
      <c r="C2646" t="s">
        <v>7</v>
      </c>
      <c r="D2646">
        <v>22</v>
      </c>
      <c r="E2646">
        <v>69</v>
      </c>
      <c r="F2646">
        <v>1.2659999999999999E-2</v>
      </c>
      <c r="G2646">
        <v>0</v>
      </c>
      <c r="H2646" t="str">
        <f t="shared" si="123"/>
        <v>60-69</v>
      </c>
      <c r="I2646" t="str">
        <f t="shared" si="124"/>
        <v>20-29</v>
      </c>
      <c r="J2646">
        <f t="shared" si="125"/>
        <v>1.2659999999999999E-2</v>
      </c>
    </row>
    <row r="2647" spans="1:10">
      <c r="A2647" t="s">
        <v>2729</v>
      </c>
      <c r="B2647">
        <v>42</v>
      </c>
      <c r="C2647" t="s">
        <v>9</v>
      </c>
      <c r="D2647">
        <v>24</v>
      </c>
      <c r="E2647">
        <v>65</v>
      </c>
      <c r="F2647">
        <v>1.0449999999999999E-2</v>
      </c>
      <c r="G2647">
        <v>0</v>
      </c>
      <c r="H2647" t="str">
        <f t="shared" si="123"/>
        <v>60-69</v>
      </c>
      <c r="I2647" t="str">
        <f t="shared" si="124"/>
        <v>20-29</v>
      </c>
      <c r="J2647">
        <f t="shared" si="125"/>
        <v>1.0449999999999999E-2</v>
      </c>
    </row>
    <row r="2648" spans="1:10">
      <c r="A2648" t="s">
        <v>2730</v>
      </c>
      <c r="B2648">
        <v>65</v>
      </c>
      <c r="C2648" t="s">
        <v>9</v>
      </c>
      <c r="D2648">
        <v>7</v>
      </c>
      <c r="E2648">
        <v>71</v>
      </c>
      <c r="F2648">
        <v>1.257E-2</v>
      </c>
      <c r="G2648">
        <v>0</v>
      </c>
      <c r="H2648" t="str">
        <f t="shared" si="123"/>
        <v>70-79</v>
      </c>
      <c r="I2648" t="str">
        <f t="shared" si="124"/>
        <v>0-9</v>
      </c>
      <c r="J2648">
        <f t="shared" si="125"/>
        <v>1.257E-2</v>
      </c>
    </row>
    <row r="2649" spans="1:10">
      <c r="A2649" t="s">
        <v>2731</v>
      </c>
      <c r="B2649">
        <v>28</v>
      </c>
      <c r="C2649" t="s">
        <v>9</v>
      </c>
      <c r="D2649">
        <v>13</v>
      </c>
      <c r="E2649">
        <v>40</v>
      </c>
      <c r="F2649">
        <v>1.1100000000000001E-3</v>
      </c>
      <c r="G2649">
        <v>0</v>
      </c>
      <c r="H2649" t="str">
        <f t="shared" si="123"/>
        <v>40-49</v>
      </c>
      <c r="I2649" t="str">
        <f t="shared" si="124"/>
        <v>10-19</v>
      </c>
      <c r="J2649">
        <f t="shared" si="125"/>
        <v>1.1100000000000001E-3</v>
      </c>
    </row>
    <row r="2650" spans="1:10">
      <c r="A2650" t="s">
        <v>2732</v>
      </c>
      <c r="B2650">
        <v>22</v>
      </c>
      <c r="C2650" t="s">
        <v>7</v>
      </c>
      <c r="D2650">
        <v>6</v>
      </c>
      <c r="E2650">
        <v>27</v>
      </c>
      <c r="F2650">
        <v>2.7E-4</v>
      </c>
      <c r="G2650">
        <v>0</v>
      </c>
      <c r="H2650" t="str">
        <f t="shared" si="123"/>
        <v>20-29</v>
      </c>
      <c r="I2650" t="str">
        <f t="shared" si="124"/>
        <v>0-9</v>
      </c>
      <c r="J2650">
        <f t="shared" si="125"/>
        <v>2.7E-4</v>
      </c>
    </row>
    <row r="2651" spans="1:10">
      <c r="A2651" t="s">
        <v>2733</v>
      </c>
      <c r="B2651">
        <v>62</v>
      </c>
      <c r="C2651" t="s">
        <v>9</v>
      </c>
      <c r="D2651">
        <v>9</v>
      </c>
      <c r="E2651">
        <v>70</v>
      </c>
      <c r="F2651">
        <v>1.3729999999999999E-2</v>
      </c>
      <c r="G2651">
        <v>0</v>
      </c>
      <c r="H2651" t="str">
        <f t="shared" si="123"/>
        <v>70-79</v>
      </c>
      <c r="I2651" t="str">
        <f t="shared" si="124"/>
        <v>0-9</v>
      </c>
      <c r="J2651">
        <f t="shared" si="125"/>
        <v>1.3729999999999999E-2</v>
      </c>
    </row>
    <row r="2652" spans="1:10">
      <c r="A2652" t="s">
        <v>2734</v>
      </c>
      <c r="B2652">
        <v>51</v>
      </c>
      <c r="C2652" t="s">
        <v>7</v>
      </c>
      <c r="D2652">
        <v>26</v>
      </c>
      <c r="E2652">
        <v>76</v>
      </c>
      <c r="F2652">
        <v>2.58E-2</v>
      </c>
      <c r="G2652">
        <v>0</v>
      </c>
      <c r="H2652" t="str">
        <f t="shared" si="123"/>
        <v>70-79</v>
      </c>
      <c r="I2652" t="str">
        <f t="shared" si="124"/>
        <v>20-29</v>
      </c>
      <c r="J2652">
        <f t="shared" si="125"/>
        <v>2.58E-2</v>
      </c>
    </row>
    <row r="2653" spans="1:10">
      <c r="A2653" t="s">
        <v>2735</v>
      </c>
      <c r="B2653">
        <v>45</v>
      </c>
      <c r="C2653" t="s">
        <v>7</v>
      </c>
      <c r="D2653">
        <v>17</v>
      </c>
      <c r="E2653">
        <v>61</v>
      </c>
      <c r="F2653">
        <v>5.1700000000000001E-3</v>
      </c>
      <c r="G2653">
        <v>0</v>
      </c>
      <c r="H2653" t="str">
        <f t="shared" si="123"/>
        <v>60-69</v>
      </c>
      <c r="I2653" t="str">
        <f t="shared" si="124"/>
        <v>10-19</v>
      </c>
      <c r="J2653">
        <f t="shared" si="125"/>
        <v>5.1700000000000001E-3</v>
      </c>
    </row>
    <row r="2654" spans="1:10">
      <c r="A2654" t="s">
        <v>2736</v>
      </c>
      <c r="B2654">
        <v>44</v>
      </c>
      <c r="C2654" t="s">
        <v>9</v>
      </c>
      <c r="D2654">
        <v>5</v>
      </c>
      <c r="E2654">
        <v>48</v>
      </c>
      <c r="F2654">
        <v>1.39E-3</v>
      </c>
      <c r="G2654">
        <v>0</v>
      </c>
      <c r="H2654" t="str">
        <f t="shared" si="123"/>
        <v>40-49</v>
      </c>
      <c r="I2654" t="str">
        <f t="shared" si="124"/>
        <v>0-9</v>
      </c>
      <c r="J2654">
        <f t="shared" si="125"/>
        <v>1.39E-3</v>
      </c>
    </row>
    <row r="2655" spans="1:10">
      <c r="A2655" t="s">
        <v>2737</v>
      </c>
      <c r="B2655">
        <v>21</v>
      </c>
      <c r="C2655" t="s">
        <v>9</v>
      </c>
      <c r="D2655">
        <v>5</v>
      </c>
      <c r="E2655">
        <v>25</v>
      </c>
      <c r="F2655">
        <v>6.7000000000000002E-4</v>
      </c>
      <c r="G2655">
        <v>0</v>
      </c>
      <c r="H2655" t="str">
        <f t="shared" si="123"/>
        <v>20-29</v>
      </c>
      <c r="I2655" t="str">
        <f t="shared" si="124"/>
        <v>0-9</v>
      </c>
      <c r="J2655">
        <f t="shared" si="125"/>
        <v>6.7000000000000002E-4</v>
      </c>
    </row>
    <row r="2656" spans="1:10">
      <c r="A2656" t="s">
        <v>2738</v>
      </c>
      <c r="B2656">
        <v>63</v>
      </c>
      <c r="C2656" t="s">
        <v>9</v>
      </c>
      <c r="D2656">
        <v>8</v>
      </c>
      <c r="E2656">
        <v>70</v>
      </c>
      <c r="F2656">
        <v>1.2489999999999999E-2</v>
      </c>
      <c r="G2656">
        <v>0</v>
      </c>
      <c r="H2656" t="str">
        <f t="shared" si="123"/>
        <v>70-79</v>
      </c>
      <c r="I2656" t="str">
        <f t="shared" si="124"/>
        <v>0-9</v>
      </c>
      <c r="J2656">
        <f t="shared" si="125"/>
        <v>1.2489999999999999E-2</v>
      </c>
    </row>
    <row r="2657" spans="1:10">
      <c r="A2657" t="s">
        <v>2739</v>
      </c>
      <c r="B2657">
        <v>47</v>
      </c>
      <c r="C2657" t="s">
        <v>7</v>
      </c>
      <c r="D2657">
        <v>20</v>
      </c>
      <c r="E2657">
        <v>66</v>
      </c>
      <c r="F2657">
        <v>9.1199999999999996E-3</v>
      </c>
      <c r="G2657">
        <v>0</v>
      </c>
      <c r="H2657" t="str">
        <f t="shared" si="123"/>
        <v>60-69</v>
      </c>
      <c r="I2657" t="str">
        <f t="shared" si="124"/>
        <v>20-29</v>
      </c>
      <c r="J2657">
        <f t="shared" si="125"/>
        <v>9.1199999999999996E-3</v>
      </c>
    </row>
    <row r="2658" spans="1:10">
      <c r="A2658" t="s">
        <v>2740</v>
      </c>
      <c r="B2658">
        <v>38</v>
      </c>
      <c r="C2658" t="s">
        <v>9</v>
      </c>
      <c r="D2658">
        <v>10</v>
      </c>
      <c r="E2658">
        <v>47</v>
      </c>
      <c r="F2658">
        <v>1.56E-3</v>
      </c>
      <c r="G2658">
        <v>0</v>
      </c>
      <c r="H2658" t="str">
        <f t="shared" si="123"/>
        <v>40-49</v>
      </c>
      <c r="I2658" t="str">
        <f t="shared" si="124"/>
        <v>10-19</v>
      </c>
      <c r="J2658">
        <f t="shared" si="125"/>
        <v>1.56E-3</v>
      </c>
    </row>
    <row r="2659" spans="1:10">
      <c r="A2659" t="s">
        <v>2741</v>
      </c>
      <c r="B2659">
        <v>35</v>
      </c>
      <c r="C2659" t="s">
        <v>9</v>
      </c>
      <c r="D2659">
        <v>20</v>
      </c>
      <c r="E2659">
        <v>54</v>
      </c>
      <c r="F2659">
        <v>3.5599999999999998E-3</v>
      </c>
      <c r="G2659">
        <v>0</v>
      </c>
      <c r="H2659" t="str">
        <f t="shared" si="123"/>
        <v>50-59</v>
      </c>
      <c r="I2659" t="str">
        <f t="shared" si="124"/>
        <v>20-29</v>
      </c>
      <c r="J2659">
        <f t="shared" si="125"/>
        <v>3.5599999999999998E-3</v>
      </c>
    </row>
    <row r="2660" spans="1:10">
      <c r="A2660" t="s">
        <v>2742</v>
      </c>
      <c r="B2660">
        <v>35</v>
      </c>
      <c r="C2660" t="s">
        <v>7</v>
      </c>
      <c r="D2660">
        <v>9</v>
      </c>
      <c r="E2660">
        <v>43</v>
      </c>
      <c r="F2660">
        <v>8.0000000000000004E-4</v>
      </c>
      <c r="G2660">
        <v>0</v>
      </c>
      <c r="H2660" t="str">
        <f t="shared" si="123"/>
        <v>40-49</v>
      </c>
      <c r="I2660" t="str">
        <f t="shared" si="124"/>
        <v>0-9</v>
      </c>
      <c r="J2660">
        <f t="shared" si="125"/>
        <v>8.0000000000000004E-4</v>
      </c>
    </row>
    <row r="2661" spans="1:10">
      <c r="A2661" t="s">
        <v>2743</v>
      </c>
      <c r="B2661">
        <v>64</v>
      </c>
      <c r="C2661" t="s">
        <v>7</v>
      </c>
      <c r="D2661">
        <v>8</v>
      </c>
      <c r="E2661">
        <v>71</v>
      </c>
      <c r="F2661">
        <v>9.3399999999999993E-3</v>
      </c>
      <c r="G2661">
        <v>0</v>
      </c>
      <c r="H2661" t="str">
        <f t="shared" si="123"/>
        <v>70-79</v>
      </c>
      <c r="I2661" t="str">
        <f t="shared" si="124"/>
        <v>0-9</v>
      </c>
      <c r="J2661">
        <f t="shared" si="125"/>
        <v>9.3399999999999993E-3</v>
      </c>
    </row>
    <row r="2662" spans="1:10">
      <c r="A2662" t="s">
        <v>2744</v>
      </c>
      <c r="B2662">
        <v>50</v>
      </c>
      <c r="C2662" t="s">
        <v>7</v>
      </c>
      <c r="D2662">
        <v>23</v>
      </c>
      <c r="E2662">
        <v>72</v>
      </c>
      <c r="F2662">
        <v>1.7170000000000001E-2</v>
      </c>
      <c r="G2662">
        <v>0</v>
      </c>
      <c r="H2662" t="str">
        <f t="shared" si="123"/>
        <v>70-79</v>
      </c>
      <c r="I2662" t="str">
        <f t="shared" si="124"/>
        <v>20-29</v>
      </c>
      <c r="J2662">
        <f t="shared" si="125"/>
        <v>1.7170000000000001E-2</v>
      </c>
    </row>
    <row r="2663" spans="1:10">
      <c r="A2663" t="s">
        <v>2745</v>
      </c>
      <c r="B2663">
        <v>52</v>
      </c>
      <c r="C2663" t="s">
        <v>9</v>
      </c>
      <c r="D2663">
        <v>20</v>
      </c>
      <c r="E2663">
        <v>71</v>
      </c>
      <c r="F2663">
        <v>1.8890000000000001E-2</v>
      </c>
      <c r="G2663">
        <v>0</v>
      </c>
      <c r="H2663" t="str">
        <f t="shared" si="123"/>
        <v>70-79</v>
      </c>
      <c r="I2663" t="str">
        <f t="shared" si="124"/>
        <v>20-29</v>
      </c>
      <c r="J2663">
        <f t="shared" si="125"/>
        <v>1.8890000000000001E-2</v>
      </c>
    </row>
    <row r="2664" spans="1:10">
      <c r="A2664" t="s">
        <v>2746</v>
      </c>
      <c r="B2664">
        <v>57</v>
      </c>
      <c r="C2664" t="s">
        <v>7</v>
      </c>
      <c r="D2664">
        <v>21</v>
      </c>
      <c r="E2664">
        <v>77</v>
      </c>
      <c r="F2664">
        <v>2.8719999999999999E-2</v>
      </c>
      <c r="G2664">
        <v>0</v>
      </c>
      <c r="H2664" t="str">
        <f t="shared" si="123"/>
        <v>70-79</v>
      </c>
      <c r="I2664" t="str">
        <f t="shared" si="124"/>
        <v>20-29</v>
      </c>
      <c r="J2664">
        <f t="shared" si="125"/>
        <v>2.8719999999999999E-2</v>
      </c>
    </row>
    <row r="2665" spans="1:10">
      <c r="A2665" t="s">
        <v>2747</v>
      </c>
      <c r="B2665">
        <v>28</v>
      </c>
      <c r="C2665" t="s">
        <v>9</v>
      </c>
      <c r="D2665">
        <v>13</v>
      </c>
      <c r="E2665">
        <v>40</v>
      </c>
      <c r="F2665">
        <v>1.1100000000000001E-3</v>
      </c>
      <c r="G2665">
        <v>0</v>
      </c>
      <c r="H2665" t="str">
        <f t="shared" si="123"/>
        <v>40-49</v>
      </c>
      <c r="I2665" t="str">
        <f t="shared" si="124"/>
        <v>10-19</v>
      </c>
      <c r="J2665">
        <f t="shared" si="125"/>
        <v>1.1100000000000001E-3</v>
      </c>
    </row>
    <row r="2666" spans="1:10">
      <c r="A2666" t="s">
        <v>2748</v>
      </c>
      <c r="B2666">
        <v>29</v>
      </c>
      <c r="C2666" t="s">
        <v>9</v>
      </c>
      <c r="D2666">
        <v>14</v>
      </c>
      <c r="E2666">
        <v>42</v>
      </c>
      <c r="F2666">
        <v>1.3500000000000001E-3</v>
      </c>
      <c r="G2666">
        <v>0</v>
      </c>
      <c r="H2666" t="str">
        <f t="shared" si="123"/>
        <v>40-49</v>
      </c>
      <c r="I2666" t="str">
        <f t="shared" si="124"/>
        <v>10-19</v>
      </c>
      <c r="J2666">
        <f t="shared" si="125"/>
        <v>1.3500000000000001E-3</v>
      </c>
    </row>
    <row r="2667" spans="1:10">
      <c r="A2667" t="s">
        <v>2749</v>
      </c>
      <c r="B2667">
        <v>23</v>
      </c>
      <c r="C2667" t="s">
        <v>9</v>
      </c>
      <c r="D2667">
        <v>13</v>
      </c>
      <c r="E2667">
        <v>35</v>
      </c>
      <c r="F2667">
        <v>8.0999999999999996E-4</v>
      </c>
      <c r="G2667">
        <v>0</v>
      </c>
      <c r="H2667" t="str">
        <f t="shared" si="123"/>
        <v>30-39</v>
      </c>
      <c r="I2667" t="str">
        <f t="shared" si="124"/>
        <v>10-19</v>
      </c>
      <c r="J2667">
        <f t="shared" si="125"/>
        <v>8.0999999999999996E-4</v>
      </c>
    </row>
    <row r="2668" spans="1:10">
      <c r="A2668" t="s">
        <v>2750</v>
      </c>
      <c r="B2668">
        <v>60</v>
      </c>
      <c r="C2668" t="s">
        <v>9</v>
      </c>
      <c r="D2668">
        <v>8</v>
      </c>
      <c r="E2668">
        <v>67</v>
      </c>
      <c r="F2668">
        <v>1.074E-2</v>
      </c>
      <c r="G2668">
        <v>0</v>
      </c>
      <c r="H2668" t="str">
        <f t="shared" si="123"/>
        <v>60-69</v>
      </c>
      <c r="I2668" t="str">
        <f t="shared" si="124"/>
        <v>0-9</v>
      </c>
      <c r="J2668">
        <f t="shared" si="125"/>
        <v>1.074E-2</v>
      </c>
    </row>
    <row r="2669" spans="1:10">
      <c r="A2669" t="s">
        <v>2751</v>
      </c>
      <c r="B2669">
        <v>23</v>
      </c>
      <c r="C2669" t="s">
        <v>9</v>
      </c>
      <c r="D2669">
        <v>17</v>
      </c>
      <c r="E2669">
        <v>39</v>
      </c>
      <c r="F2669">
        <v>1.2800000000000001E-3</v>
      </c>
      <c r="G2669">
        <v>0</v>
      </c>
      <c r="H2669" t="str">
        <f t="shared" si="123"/>
        <v>30-39</v>
      </c>
      <c r="I2669" t="str">
        <f t="shared" si="124"/>
        <v>10-19</v>
      </c>
      <c r="J2669">
        <f t="shared" si="125"/>
        <v>1.2800000000000001E-3</v>
      </c>
    </row>
    <row r="2670" spans="1:10">
      <c r="A2670" t="s">
        <v>2752</v>
      </c>
      <c r="B2670">
        <v>27</v>
      </c>
      <c r="C2670" t="s">
        <v>9</v>
      </c>
      <c r="D2670">
        <v>9</v>
      </c>
      <c r="E2670">
        <v>35</v>
      </c>
      <c r="F2670">
        <v>6.2E-4</v>
      </c>
      <c r="G2670">
        <v>0</v>
      </c>
      <c r="H2670" t="str">
        <f t="shared" si="123"/>
        <v>30-39</v>
      </c>
      <c r="I2670" t="str">
        <f t="shared" si="124"/>
        <v>0-9</v>
      </c>
      <c r="J2670">
        <f t="shared" si="125"/>
        <v>6.2E-4</v>
      </c>
    </row>
    <row r="2671" spans="1:10">
      <c r="A2671" t="s">
        <v>2753</v>
      </c>
      <c r="B2671">
        <v>65</v>
      </c>
      <c r="C2671" t="s">
        <v>9</v>
      </c>
      <c r="D2671">
        <v>14</v>
      </c>
      <c r="E2671">
        <v>78</v>
      </c>
      <c r="F2671">
        <v>3.4540000000000001E-2</v>
      </c>
      <c r="G2671">
        <v>0</v>
      </c>
      <c r="H2671" t="str">
        <f t="shared" si="123"/>
        <v>70-79</v>
      </c>
      <c r="I2671" t="str">
        <f t="shared" si="124"/>
        <v>10-19</v>
      </c>
      <c r="J2671">
        <f t="shared" si="125"/>
        <v>3.4540000000000001E-2</v>
      </c>
    </row>
    <row r="2672" spans="1:10">
      <c r="A2672" t="s">
        <v>2754</v>
      </c>
      <c r="B2672">
        <v>31</v>
      </c>
      <c r="C2672" t="s">
        <v>9</v>
      </c>
      <c r="D2672">
        <v>2</v>
      </c>
      <c r="E2672">
        <v>32</v>
      </c>
      <c r="F2672">
        <v>2.9E-4</v>
      </c>
      <c r="G2672">
        <v>0</v>
      </c>
      <c r="H2672" t="str">
        <f t="shared" si="123"/>
        <v>30-39</v>
      </c>
      <c r="I2672" t="str">
        <f t="shared" si="124"/>
        <v>0-9</v>
      </c>
      <c r="J2672">
        <f t="shared" si="125"/>
        <v>2.9E-4</v>
      </c>
    </row>
    <row r="2673" spans="1:10">
      <c r="A2673" t="s">
        <v>2755</v>
      </c>
      <c r="B2673">
        <v>40</v>
      </c>
      <c r="C2673" t="s">
        <v>9</v>
      </c>
      <c r="D2673">
        <v>7</v>
      </c>
      <c r="E2673">
        <v>46</v>
      </c>
      <c r="F2673">
        <v>1.2700000000000001E-3</v>
      </c>
      <c r="G2673">
        <v>0</v>
      </c>
      <c r="H2673" t="str">
        <f t="shared" si="123"/>
        <v>40-49</v>
      </c>
      <c r="I2673" t="str">
        <f t="shared" si="124"/>
        <v>0-9</v>
      </c>
      <c r="J2673">
        <f t="shared" si="125"/>
        <v>1.2700000000000001E-3</v>
      </c>
    </row>
    <row r="2674" spans="1:10">
      <c r="A2674" t="s">
        <v>2756</v>
      </c>
      <c r="B2674">
        <v>58</v>
      </c>
      <c r="C2674" t="s">
        <v>9</v>
      </c>
      <c r="D2674">
        <v>4</v>
      </c>
      <c r="E2674">
        <v>61</v>
      </c>
      <c r="F2674">
        <v>5.11E-3</v>
      </c>
      <c r="G2674">
        <v>0</v>
      </c>
      <c r="H2674" t="str">
        <f t="shared" si="123"/>
        <v>60-69</v>
      </c>
      <c r="I2674" t="str">
        <f t="shared" si="124"/>
        <v>0-9</v>
      </c>
      <c r="J2674">
        <f t="shared" si="125"/>
        <v>5.11E-3</v>
      </c>
    </row>
    <row r="2675" spans="1:10">
      <c r="A2675" t="s">
        <v>2757</v>
      </c>
      <c r="B2675">
        <v>51</v>
      </c>
      <c r="C2675" t="s">
        <v>9</v>
      </c>
      <c r="D2675">
        <v>12</v>
      </c>
      <c r="E2675">
        <v>62</v>
      </c>
      <c r="F2675">
        <v>7.2700000000000004E-3</v>
      </c>
      <c r="G2675">
        <v>0</v>
      </c>
      <c r="H2675" t="str">
        <f t="shared" si="123"/>
        <v>60-69</v>
      </c>
      <c r="I2675" t="str">
        <f t="shared" si="124"/>
        <v>10-19</v>
      </c>
      <c r="J2675">
        <f t="shared" si="125"/>
        <v>7.2700000000000004E-3</v>
      </c>
    </row>
    <row r="2676" spans="1:10">
      <c r="A2676" t="s">
        <v>2758</v>
      </c>
      <c r="B2676">
        <v>62</v>
      </c>
      <c r="C2676" t="s">
        <v>7</v>
      </c>
      <c r="D2676">
        <v>1</v>
      </c>
      <c r="E2676">
        <v>62</v>
      </c>
      <c r="F2676">
        <v>9.6000000000000002E-4</v>
      </c>
      <c r="G2676">
        <v>0</v>
      </c>
      <c r="H2676" t="str">
        <f t="shared" si="123"/>
        <v>60-69</v>
      </c>
      <c r="I2676" t="str">
        <f t="shared" si="124"/>
        <v>0-9</v>
      </c>
      <c r="J2676">
        <f t="shared" si="125"/>
        <v>9.6000000000000002E-4</v>
      </c>
    </row>
    <row r="2677" spans="1:10">
      <c r="A2677" t="s">
        <v>2759</v>
      </c>
      <c r="B2677">
        <v>28</v>
      </c>
      <c r="C2677" t="s">
        <v>9</v>
      </c>
      <c r="D2677">
        <v>11</v>
      </c>
      <c r="E2677">
        <v>38</v>
      </c>
      <c r="F2677">
        <v>8.7000000000000001E-4</v>
      </c>
      <c r="G2677">
        <v>0</v>
      </c>
      <c r="H2677" t="str">
        <f t="shared" si="123"/>
        <v>30-39</v>
      </c>
      <c r="I2677" t="str">
        <f t="shared" si="124"/>
        <v>10-19</v>
      </c>
      <c r="J2677">
        <f t="shared" si="125"/>
        <v>8.7000000000000001E-4</v>
      </c>
    </row>
    <row r="2678" spans="1:10">
      <c r="A2678" t="s">
        <v>2760</v>
      </c>
      <c r="B2678">
        <v>57</v>
      </c>
      <c r="C2678" t="s">
        <v>7</v>
      </c>
      <c r="D2678">
        <v>17</v>
      </c>
      <c r="E2678">
        <v>73</v>
      </c>
      <c r="F2678">
        <v>1.7350000000000001E-2</v>
      </c>
      <c r="G2678">
        <v>0</v>
      </c>
      <c r="H2678" t="str">
        <f t="shared" si="123"/>
        <v>70-79</v>
      </c>
      <c r="I2678" t="str">
        <f t="shared" si="124"/>
        <v>10-19</v>
      </c>
      <c r="J2678">
        <f t="shared" si="125"/>
        <v>1.7350000000000001E-2</v>
      </c>
    </row>
    <row r="2679" spans="1:10">
      <c r="A2679" t="s">
        <v>2761</v>
      </c>
      <c r="B2679">
        <v>37</v>
      </c>
      <c r="C2679" t="s">
        <v>7</v>
      </c>
      <c r="D2679">
        <v>7</v>
      </c>
      <c r="E2679">
        <v>43</v>
      </c>
      <c r="F2679">
        <v>7.6000000000000004E-4</v>
      </c>
      <c r="G2679">
        <v>0</v>
      </c>
      <c r="H2679" t="str">
        <f t="shared" si="123"/>
        <v>40-49</v>
      </c>
      <c r="I2679" t="str">
        <f t="shared" si="124"/>
        <v>0-9</v>
      </c>
      <c r="J2679">
        <f t="shared" si="125"/>
        <v>7.6000000000000004E-4</v>
      </c>
    </row>
    <row r="2680" spans="1:10">
      <c r="A2680" t="s">
        <v>2762</v>
      </c>
      <c r="B2680">
        <v>26</v>
      </c>
      <c r="C2680" t="s">
        <v>7</v>
      </c>
      <c r="D2680">
        <v>5</v>
      </c>
      <c r="E2680">
        <v>30</v>
      </c>
      <c r="F2680">
        <v>2.5000000000000001E-4</v>
      </c>
      <c r="G2680">
        <v>0</v>
      </c>
      <c r="H2680" t="str">
        <f t="shared" si="123"/>
        <v>30-39</v>
      </c>
      <c r="I2680" t="str">
        <f t="shared" si="124"/>
        <v>0-9</v>
      </c>
      <c r="J2680">
        <f t="shared" si="125"/>
        <v>2.5000000000000001E-4</v>
      </c>
    </row>
    <row r="2681" spans="1:10">
      <c r="A2681" t="s">
        <v>2763</v>
      </c>
      <c r="B2681">
        <v>22</v>
      </c>
      <c r="C2681" t="s">
        <v>7</v>
      </c>
      <c r="D2681">
        <v>19</v>
      </c>
      <c r="E2681">
        <v>40</v>
      </c>
      <c r="F2681">
        <v>1.1000000000000001E-3</v>
      </c>
      <c r="G2681">
        <v>0</v>
      </c>
      <c r="H2681" t="str">
        <f t="shared" si="123"/>
        <v>40-49</v>
      </c>
      <c r="I2681" t="str">
        <f t="shared" si="124"/>
        <v>10-19</v>
      </c>
      <c r="J2681">
        <f t="shared" si="125"/>
        <v>1.1000000000000001E-3</v>
      </c>
    </row>
    <row r="2682" spans="1:10">
      <c r="A2682" t="s">
        <v>2764</v>
      </c>
      <c r="B2682">
        <v>32</v>
      </c>
      <c r="C2682" t="s">
        <v>7</v>
      </c>
      <c r="D2682">
        <v>7</v>
      </c>
      <c r="E2682">
        <v>38</v>
      </c>
      <c r="F2682">
        <v>5.2999999999999998E-4</v>
      </c>
      <c r="G2682">
        <v>0</v>
      </c>
      <c r="H2682" t="str">
        <f t="shared" si="123"/>
        <v>30-39</v>
      </c>
      <c r="I2682" t="str">
        <f t="shared" si="124"/>
        <v>0-9</v>
      </c>
      <c r="J2682">
        <f t="shared" si="125"/>
        <v>5.2999999999999998E-4</v>
      </c>
    </row>
    <row r="2683" spans="1:10">
      <c r="A2683" t="s">
        <v>2765</v>
      </c>
      <c r="B2683">
        <v>24</v>
      </c>
      <c r="C2683" t="s">
        <v>7</v>
      </c>
      <c r="D2683">
        <v>18</v>
      </c>
      <c r="E2683">
        <v>41</v>
      </c>
      <c r="F2683">
        <v>1.08E-3</v>
      </c>
      <c r="G2683">
        <v>0</v>
      </c>
      <c r="H2683" t="str">
        <f t="shared" si="123"/>
        <v>40-49</v>
      </c>
      <c r="I2683" t="str">
        <f t="shared" si="124"/>
        <v>10-19</v>
      </c>
      <c r="J2683">
        <f t="shared" si="125"/>
        <v>1.08E-3</v>
      </c>
    </row>
    <row r="2684" spans="1:10">
      <c r="A2684" t="s">
        <v>2766</v>
      </c>
      <c r="B2684">
        <v>50</v>
      </c>
      <c r="C2684" t="s">
        <v>9</v>
      </c>
      <c r="D2684">
        <v>25</v>
      </c>
      <c r="E2684">
        <v>74</v>
      </c>
      <c r="F2684">
        <v>2.6859999999999998E-2</v>
      </c>
      <c r="G2684">
        <v>0</v>
      </c>
      <c r="H2684" t="str">
        <f t="shared" si="123"/>
        <v>70-79</v>
      </c>
      <c r="I2684" t="str">
        <f t="shared" si="124"/>
        <v>20-29</v>
      </c>
      <c r="J2684">
        <f t="shared" si="125"/>
        <v>2.6859999999999998E-2</v>
      </c>
    </row>
    <row r="2685" spans="1:10">
      <c r="A2685" t="s">
        <v>2767</v>
      </c>
      <c r="B2685">
        <v>22</v>
      </c>
      <c r="C2685" t="s">
        <v>9</v>
      </c>
      <c r="D2685">
        <v>5</v>
      </c>
      <c r="E2685">
        <v>26</v>
      </c>
      <c r="F2685">
        <v>5.9000000000000003E-4</v>
      </c>
      <c r="G2685">
        <v>0</v>
      </c>
      <c r="H2685" t="str">
        <f t="shared" si="123"/>
        <v>20-29</v>
      </c>
      <c r="I2685" t="str">
        <f t="shared" si="124"/>
        <v>0-9</v>
      </c>
      <c r="J2685">
        <f t="shared" si="125"/>
        <v>5.9000000000000003E-4</v>
      </c>
    </row>
    <row r="2686" spans="1:10">
      <c r="A2686" t="s">
        <v>2768</v>
      </c>
      <c r="B2686">
        <v>36</v>
      </c>
      <c r="C2686" t="s">
        <v>7</v>
      </c>
      <c r="D2686">
        <v>29</v>
      </c>
      <c r="E2686">
        <v>64</v>
      </c>
      <c r="F2686">
        <v>5.4599999999999996E-3</v>
      </c>
      <c r="G2686">
        <v>0</v>
      </c>
      <c r="H2686" t="str">
        <f t="shared" si="123"/>
        <v>60-69</v>
      </c>
      <c r="I2686" t="str">
        <f t="shared" si="124"/>
        <v>20-29</v>
      </c>
      <c r="J2686">
        <f t="shared" si="125"/>
        <v>5.4599999999999996E-3</v>
      </c>
    </row>
    <row r="2687" spans="1:10">
      <c r="A2687" t="s">
        <v>2769</v>
      </c>
      <c r="B2687">
        <v>55</v>
      </c>
      <c r="C2687" t="s">
        <v>7</v>
      </c>
      <c r="D2687">
        <v>12</v>
      </c>
      <c r="E2687">
        <v>66</v>
      </c>
      <c r="F2687">
        <v>7.2700000000000004E-3</v>
      </c>
      <c r="G2687">
        <v>0</v>
      </c>
      <c r="H2687" t="str">
        <f t="shared" si="123"/>
        <v>60-69</v>
      </c>
      <c r="I2687" t="str">
        <f t="shared" si="124"/>
        <v>10-19</v>
      </c>
      <c r="J2687">
        <f t="shared" si="125"/>
        <v>7.2700000000000004E-3</v>
      </c>
    </row>
    <row r="2688" spans="1:10">
      <c r="A2688" t="s">
        <v>2770</v>
      </c>
      <c r="B2688">
        <v>65</v>
      </c>
      <c r="C2688" t="s">
        <v>7</v>
      </c>
      <c r="D2688">
        <v>4</v>
      </c>
      <c r="E2688">
        <v>68</v>
      </c>
      <c r="F2688">
        <v>5.7999999999999996E-3</v>
      </c>
      <c r="G2688">
        <v>0</v>
      </c>
      <c r="H2688" t="str">
        <f t="shared" si="123"/>
        <v>60-69</v>
      </c>
      <c r="I2688" t="str">
        <f t="shared" si="124"/>
        <v>0-9</v>
      </c>
      <c r="J2688">
        <f t="shared" si="125"/>
        <v>5.7999999999999996E-3</v>
      </c>
    </row>
    <row r="2689" spans="1:10">
      <c r="A2689" t="s">
        <v>2771</v>
      </c>
      <c r="B2689">
        <v>46</v>
      </c>
      <c r="C2689" t="s">
        <v>7</v>
      </c>
      <c r="D2689">
        <v>17</v>
      </c>
      <c r="E2689">
        <v>62</v>
      </c>
      <c r="F2689">
        <v>5.77E-3</v>
      </c>
      <c r="G2689">
        <v>0</v>
      </c>
      <c r="H2689" t="str">
        <f t="shared" si="123"/>
        <v>60-69</v>
      </c>
      <c r="I2689" t="str">
        <f t="shared" si="124"/>
        <v>10-19</v>
      </c>
      <c r="J2689">
        <f t="shared" si="125"/>
        <v>5.77E-3</v>
      </c>
    </row>
    <row r="2690" spans="1:10">
      <c r="A2690" t="s">
        <v>2772</v>
      </c>
      <c r="B2690">
        <v>21</v>
      </c>
      <c r="C2690" t="s">
        <v>7</v>
      </c>
      <c r="D2690">
        <v>6</v>
      </c>
      <c r="E2690">
        <v>26</v>
      </c>
      <c r="F2690">
        <v>2.9E-4</v>
      </c>
      <c r="G2690">
        <v>0</v>
      </c>
      <c r="H2690" t="str">
        <f t="shared" si="123"/>
        <v>20-29</v>
      </c>
      <c r="I2690" t="str">
        <f t="shared" si="124"/>
        <v>0-9</v>
      </c>
      <c r="J2690">
        <f t="shared" si="125"/>
        <v>2.9E-4</v>
      </c>
    </row>
    <row r="2691" spans="1:10">
      <c r="A2691" t="s">
        <v>2773</v>
      </c>
      <c r="B2691">
        <v>28</v>
      </c>
      <c r="C2691" t="s">
        <v>9</v>
      </c>
      <c r="D2691">
        <v>10</v>
      </c>
      <c r="E2691">
        <v>37</v>
      </c>
      <c r="F2691">
        <v>7.6999999999999996E-4</v>
      </c>
      <c r="G2691">
        <v>0</v>
      </c>
      <c r="H2691" t="str">
        <f t="shared" ref="H2691:H2754" si="126">FLOOR(E2691,10) &amp; "-" &amp; FLOOR(E2691,10)+9</f>
        <v>30-39</v>
      </c>
      <c r="I2691" t="str">
        <f t="shared" ref="I2691:I2754" si="127">FLOOR(D2691, 10) &amp; "-"&amp;FLOOR(D2691, 10)+9</f>
        <v>10-19</v>
      </c>
      <c r="J2691">
        <f t="shared" ref="J2691:J2754" si="128">F2691</f>
        <v>7.6999999999999996E-4</v>
      </c>
    </row>
    <row r="2692" spans="1:10">
      <c r="A2692" t="s">
        <v>2774</v>
      </c>
      <c r="B2692">
        <v>64</v>
      </c>
      <c r="C2692" t="s">
        <v>7</v>
      </c>
      <c r="D2692">
        <v>7</v>
      </c>
      <c r="E2692">
        <v>70</v>
      </c>
      <c r="F2692">
        <v>8.2500000000000004E-3</v>
      </c>
      <c r="G2692">
        <v>0</v>
      </c>
      <c r="H2692" t="str">
        <f t="shared" si="126"/>
        <v>70-79</v>
      </c>
      <c r="I2692" t="str">
        <f t="shared" si="127"/>
        <v>0-9</v>
      </c>
      <c r="J2692">
        <f t="shared" si="128"/>
        <v>8.2500000000000004E-3</v>
      </c>
    </row>
    <row r="2693" spans="1:10">
      <c r="A2693" t="s">
        <v>2775</v>
      </c>
      <c r="B2693">
        <v>63</v>
      </c>
      <c r="C2693" t="s">
        <v>7</v>
      </c>
      <c r="D2693">
        <v>18</v>
      </c>
      <c r="E2693">
        <v>80</v>
      </c>
      <c r="F2693">
        <v>3.7789999999999997E-2</v>
      </c>
      <c r="G2693">
        <v>0</v>
      </c>
      <c r="H2693" t="str">
        <f t="shared" si="126"/>
        <v>80-89</v>
      </c>
      <c r="I2693" t="str">
        <f t="shared" si="127"/>
        <v>10-19</v>
      </c>
      <c r="J2693">
        <f t="shared" si="128"/>
        <v>3.7789999999999997E-2</v>
      </c>
    </row>
    <row r="2694" spans="1:10">
      <c r="A2694" t="s">
        <v>2776</v>
      </c>
      <c r="B2694">
        <v>30</v>
      </c>
      <c r="C2694" t="s">
        <v>7</v>
      </c>
      <c r="D2694">
        <v>15</v>
      </c>
      <c r="E2694">
        <v>44</v>
      </c>
      <c r="F2694">
        <v>1.1100000000000001E-3</v>
      </c>
      <c r="G2694">
        <v>0</v>
      </c>
      <c r="H2694" t="str">
        <f t="shared" si="126"/>
        <v>40-49</v>
      </c>
      <c r="I2694" t="str">
        <f t="shared" si="127"/>
        <v>10-19</v>
      </c>
      <c r="J2694">
        <f t="shared" si="128"/>
        <v>1.1100000000000001E-3</v>
      </c>
    </row>
    <row r="2695" spans="1:10">
      <c r="A2695" t="s">
        <v>2777</v>
      </c>
      <c r="B2695">
        <v>44</v>
      </c>
      <c r="C2695" t="s">
        <v>7</v>
      </c>
      <c r="D2695">
        <v>13</v>
      </c>
      <c r="E2695">
        <v>56</v>
      </c>
      <c r="F2695">
        <v>2.9399999999999999E-3</v>
      </c>
      <c r="G2695">
        <v>0</v>
      </c>
      <c r="H2695" t="str">
        <f t="shared" si="126"/>
        <v>50-59</v>
      </c>
      <c r="I2695" t="str">
        <f t="shared" si="127"/>
        <v>10-19</v>
      </c>
      <c r="J2695">
        <f t="shared" si="128"/>
        <v>2.9399999999999999E-3</v>
      </c>
    </row>
    <row r="2696" spans="1:10">
      <c r="A2696" t="s">
        <v>2778</v>
      </c>
      <c r="B2696">
        <v>20</v>
      </c>
      <c r="C2696" t="s">
        <v>7</v>
      </c>
      <c r="D2696">
        <v>6</v>
      </c>
      <c r="E2696">
        <v>25</v>
      </c>
      <c r="F2696">
        <v>3.2000000000000003E-4</v>
      </c>
      <c r="G2696">
        <v>0</v>
      </c>
      <c r="H2696" t="str">
        <f t="shared" si="126"/>
        <v>20-29</v>
      </c>
      <c r="I2696" t="str">
        <f t="shared" si="127"/>
        <v>0-9</v>
      </c>
      <c r="J2696">
        <f t="shared" si="128"/>
        <v>3.2000000000000003E-4</v>
      </c>
    </row>
    <row r="2697" spans="1:10">
      <c r="A2697" t="s">
        <v>2779</v>
      </c>
      <c r="B2697">
        <v>20</v>
      </c>
      <c r="C2697" t="s">
        <v>7</v>
      </c>
      <c r="D2697">
        <v>29</v>
      </c>
      <c r="E2697">
        <v>48</v>
      </c>
      <c r="F2697">
        <v>1.3799999999999999E-3</v>
      </c>
      <c r="G2697">
        <v>0</v>
      </c>
      <c r="H2697" t="str">
        <f t="shared" si="126"/>
        <v>40-49</v>
      </c>
      <c r="I2697" t="str">
        <f t="shared" si="127"/>
        <v>20-29</v>
      </c>
      <c r="J2697">
        <f t="shared" si="128"/>
        <v>1.3799999999999999E-3</v>
      </c>
    </row>
    <row r="2698" spans="1:10">
      <c r="A2698" t="s">
        <v>2780</v>
      </c>
      <c r="B2698">
        <v>52</v>
      </c>
      <c r="C2698" t="s">
        <v>7</v>
      </c>
      <c r="D2698">
        <v>23</v>
      </c>
      <c r="E2698">
        <v>74</v>
      </c>
      <c r="F2698">
        <v>2.0979999999999999E-2</v>
      </c>
      <c r="G2698">
        <v>0</v>
      </c>
      <c r="H2698" t="str">
        <f t="shared" si="126"/>
        <v>70-79</v>
      </c>
      <c r="I2698" t="str">
        <f t="shared" si="127"/>
        <v>20-29</v>
      </c>
      <c r="J2698">
        <f t="shared" si="128"/>
        <v>2.0979999999999999E-2</v>
      </c>
    </row>
    <row r="2699" spans="1:10">
      <c r="A2699" t="s">
        <v>2781</v>
      </c>
      <c r="B2699">
        <v>34</v>
      </c>
      <c r="C2699" t="s">
        <v>7</v>
      </c>
      <c r="D2699">
        <v>10</v>
      </c>
      <c r="E2699">
        <v>43</v>
      </c>
      <c r="F2699">
        <v>8.4000000000000003E-4</v>
      </c>
      <c r="G2699">
        <v>0</v>
      </c>
      <c r="H2699" t="str">
        <f t="shared" si="126"/>
        <v>40-49</v>
      </c>
      <c r="I2699" t="str">
        <f t="shared" si="127"/>
        <v>10-19</v>
      </c>
      <c r="J2699">
        <f t="shared" si="128"/>
        <v>8.4000000000000003E-4</v>
      </c>
    </row>
    <row r="2700" spans="1:10">
      <c r="A2700" t="s">
        <v>2782</v>
      </c>
      <c r="B2700">
        <v>30</v>
      </c>
      <c r="C2700" t="s">
        <v>9</v>
      </c>
      <c r="D2700">
        <v>8</v>
      </c>
      <c r="E2700">
        <v>37</v>
      </c>
      <c r="F2700">
        <v>6.6E-4</v>
      </c>
      <c r="G2700">
        <v>0</v>
      </c>
      <c r="H2700" t="str">
        <f t="shared" si="126"/>
        <v>30-39</v>
      </c>
      <c r="I2700" t="str">
        <f t="shared" si="127"/>
        <v>0-9</v>
      </c>
      <c r="J2700">
        <f t="shared" si="128"/>
        <v>6.6E-4</v>
      </c>
    </row>
    <row r="2701" spans="1:10">
      <c r="A2701" t="s">
        <v>2783</v>
      </c>
      <c r="B2701">
        <v>22</v>
      </c>
      <c r="C2701" t="s">
        <v>9</v>
      </c>
      <c r="D2701">
        <v>21</v>
      </c>
      <c r="E2701">
        <v>42</v>
      </c>
      <c r="F2701">
        <v>1.91E-3</v>
      </c>
      <c r="G2701">
        <v>0</v>
      </c>
      <c r="H2701" t="str">
        <f t="shared" si="126"/>
        <v>40-49</v>
      </c>
      <c r="I2701" t="str">
        <f t="shared" si="127"/>
        <v>20-29</v>
      </c>
      <c r="J2701">
        <f t="shared" si="128"/>
        <v>1.91E-3</v>
      </c>
    </row>
    <row r="2702" spans="1:10">
      <c r="A2702" t="s">
        <v>2784</v>
      </c>
      <c r="B2702">
        <v>28</v>
      </c>
      <c r="C2702" t="s">
        <v>7</v>
      </c>
      <c r="D2702">
        <v>9</v>
      </c>
      <c r="E2702">
        <v>36</v>
      </c>
      <c r="F2702">
        <v>5.0000000000000001E-4</v>
      </c>
      <c r="G2702">
        <v>0</v>
      </c>
      <c r="H2702" t="str">
        <f t="shared" si="126"/>
        <v>30-39</v>
      </c>
      <c r="I2702" t="str">
        <f t="shared" si="127"/>
        <v>0-9</v>
      </c>
      <c r="J2702">
        <f t="shared" si="128"/>
        <v>5.0000000000000001E-4</v>
      </c>
    </row>
    <row r="2703" spans="1:10">
      <c r="A2703" t="s">
        <v>2785</v>
      </c>
      <c r="B2703">
        <v>35</v>
      </c>
      <c r="C2703" t="s">
        <v>9</v>
      </c>
      <c r="D2703">
        <v>27</v>
      </c>
      <c r="E2703">
        <v>61</v>
      </c>
      <c r="F2703">
        <v>6.3299999999999997E-3</v>
      </c>
      <c r="G2703">
        <v>0</v>
      </c>
      <c r="H2703" t="str">
        <f t="shared" si="126"/>
        <v>60-69</v>
      </c>
      <c r="I2703" t="str">
        <f t="shared" si="127"/>
        <v>20-29</v>
      </c>
      <c r="J2703">
        <f t="shared" si="128"/>
        <v>6.3299999999999997E-3</v>
      </c>
    </row>
    <row r="2704" spans="1:10">
      <c r="A2704" t="s">
        <v>2786</v>
      </c>
      <c r="B2704">
        <v>61</v>
      </c>
      <c r="C2704" t="s">
        <v>7</v>
      </c>
      <c r="D2704">
        <v>12</v>
      </c>
      <c r="E2704">
        <v>72</v>
      </c>
      <c r="F2704">
        <v>1.226E-2</v>
      </c>
      <c r="G2704">
        <v>0</v>
      </c>
      <c r="H2704" t="str">
        <f t="shared" si="126"/>
        <v>70-79</v>
      </c>
      <c r="I2704" t="str">
        <f t="shared" si="127"/>
        <v>10-19</v>
      </c>
      <c r="J2704">
        <f t="shared" si="128"/>
        <v>1.226E-2</v>
      </c>
    </row>
    <row r="2705" spans="1:10">
      <c r="A2705" t="s">
        <v>2787</v>
      </c>
      <c r="B2705">
        <v>40</v>
      </c>
      <c r="C2705" t="s">
        <v>7</v>
      </c>
      <c r="D2705">
        <v>3</v>
      </c>
      <c r="E2705">
        <v>42</v>
      </c>
      <c r="F2705">
        <v>5.0000000000000001E-4</v>
      </c>
      <c r="G2705">
        <v>0</v>
      </c>
      <c r="H2705" t="str">
        <f t="shared" si="126"/>
        <v>40-49</v>
      </c>
      <c r="I2705" t="str">
        <f t="shared" si="127"/>
        <v>0-9</v>
      </c>
      <c r="J2705">
        <f t="shared" si="128"/>
        <v>5.0000000000000001E-4</v>
      </c>
    </row>
    <row r="2706" spans="1:10">
      <c r="A2706" t="s">
        <v>2788</v>
      </c>
      <c r="B2706">
        <v>36</v>
      </c>
      <c r="C2706" t="s">
        <v>9</v>
      </c>
      <c r="D2706">
        <v>24</v>
      </c>
      <c r="E2706">
        <v>59</v>
      </c>
      <c r="F2706">
        <v>5.7400000000000003E-3</v>
      </c>
      <c r="G2706">
        <v>0</v>
      </c>
      <c r="H2706" t="str">
        <f t="shared" si="126"/>
        <v>50-59</v>
      </c>
      <c r="I2706" t="str">
        <f t="shared" si="127"/>
        <v>20-29</v>
      </c>
      <c r="J2706">
        <f t="shared" si="128"/>
        <v>5.7400000000000003E-3</v>
      </c>
    </row>
    <row r="2707" spans="1:10">
      <c r="A2707" t="s">
        <v>2789</v>
      </c>
      <c r="B2707">
        <v>38</v>
      </c>
      <c r="C2707" t="s">
        <v>7</v>
      </c>
      <c r="D2707">
        <v>11</v>
      </c>
      <c r="E2707">
        <v>48</v>
      </c>
      <c r="F2707">
        <v>1.3500000000000001E-3</v>
      </c>
      <c r="G2707">
        <v>0</v>
      </c>
      <c r="H2707" t="str">
        <f t="shared" si="126"/>
        <v>40-49</v>
      </c>
      <c r="I2707" t="str">
        <f t="shared" si="127"/>
        <v>10-19</v>
      </c>
      <c r="J2707">
        <f t="shared" si="128"/>
        <v>1.3500000000000001E-3</v>
      </c>
    </row>
    <row r="2708" spans="1:10">
      <c r="A2708" t="s">
        <v>2790</v>
      </c>
      <c r="B2708">
        <v>20</v>
      </c>
      <c r="C2708" t="s">
        <v>9</v>
      </c>
      <c r="D2708">
        <v>27</v>
      </c>
      <c r="E2708">
        <v>46</v>
      </c>
      <c r="F2708">
        <v>2.5400000000000002E-3</v>
      </c>
      <c r="G2708">
        <v>0</v>
      </c>
      <c r="H2708" t="str">
        <f t="shared" si="126"/>
        <v>40-49</v>
      </c>
      <c r="I2708" t="str">
        <f t="shared" si="127"/>
        <v>20-29</v>
      </c>
      <c r="J2708">
        <f t="shared" si="128"/>
        <v>2.5400000000000002E-3</v>
      </c>
    </row>
    <row r="2709" spans="1:10">
      <c r="A2709" t="s">
        <v>2791</v>
      </c>
      <c r="B2709">
        <v>37</v>
      </c>
      <c r="C2709" t="s">
        <v>9</v>
      </c>
      <c r="D2709">
        <v>6</v>
      </c>
      <c r="E2709">
        <v>42</v>
      </c>
      <c r="F2709">
        <v>8.9999999999999998E-4</v>
      </c>
      <c r="G2709">
        <v>0</v>
      </c>
      <c r="H2709" t="str">
        <f t="shared" si="126"/>
        <v>40-49</v>
      </c>
      <c r="I2709" t="str">
        <f t="shared" si="127"/>
        <v>0-9</v>
      </c>
      <c r="J2709">
        <f t="shared" si="128"/>
        <v>8.9999999999999998E-4</v>
      </c>
    </row>
    <row r="2710" spans="1:10">
      <c r="A2710" t="s">
        <v>2792</v>
      </c>
      <c r="B2710">
        <v>62</v>
      </c>
      <c r="C2710" t="s">
        <v>7</v>
      </c>
      <c r="D2710">
        <v>28</v>
      </c>
      <c r="E2710">
        <v>89</v>
      </c>
      <c r="F2710">
        <v>9.3240000000000003E-2</v>
      </c>
      <c r="G2710">
        <v>0</v>
      </c>
      <c r="H2710" t="str">
        <f t="shared" si="126"/>
        <v>80-89</v>
      </c>
      <c r="I2710" t="str">
        <f t="shared" si="127"/>
        <v>20-29</v>
      </c>
      <c r="J2710">
        <f t="shared" si="128"/>
        <v>9.3240000000000003E-2</v>
      </c>
    </row>
    <row r="2711" spans="1:10">
      <c r="A2711" t="s">
        <v>2793</v>
      </c>
      <c r="B2711">
        <v>26</v>
      </c>
      <c r="C2711" t="s">
        <v>7</v>
      </c>
      <c r="D2711">
        <v>24</v>
      </c>
      <c r="E2711">
        <v>49</v>
      </c>
      <c r="F2711">
        <v>1.8699999999999999E-3</v>
      </c>
      <c r="G2711">
        <v>0</v>
      </c>
      <c r="H2711" t="str">
        <f t="shared" si="126"/>
        <v>40-49</v>
      </c>
      <c r="I2711" t="str">
        <f t="shared" si="127"/>
        <v>20-29</v>
      </c>
      <c r="J2711">
        <f t="shared" si="128"/>
        <v>1.8699999999999999E-3</v>
      </c>
    </row>
    <row r="2712" spans="1:10">
      <c r="A2712" t="s">
        <v>2794</v>
      </c>
      <c r="B2712">
        <v>61</v>
      </c>
      <c r="C2712" t="s">
        <v>7</v>
      </c>
      <c r="D2712">
        <v>9</v>
      </c>
      <c r="E2712">
        <v>69</v>
      </c>
      <c r="F2712">
        <v>8.0199999999999994E-3</v>
      </c>
      <c r="G2712">
        <v>0</v>
      </c>
      <c r="H2712" t="str">
        <f t="shared" si="126"/>
        <v>60-69</v>
      </c>
      <c r="I2712" t="str">
        <f t="shared" si="127"/>
        <v>0-9</v>
      </c>
      <c r="J2712">
        <f t="shared" si="128"/>
        <v>8.0199999999999994E-3</v>
      </c>
    </row>
    <row r="2713" spans="1:10">
      <c r="A2713" t="s">
        <v>2795</v>
      </c>
      <c r="B2713">
        <v>55</v>
      </c>
      <c r="C2713" t="s">
        <v>7</v>
      </c>
      <c r="D2713">
        <v>7</v>
      </c>
      <c r="E2713">
        <v>61</v>
      </c>
      <c r="F2713">
        <v>3.8899999999999998E-3</v>
      </c>
      <c r="G2713">
        <v>0</v>
      </c>
      <c r="H2713" t="str">
        <f t="shared" si="126"/>
        <v>60-69</v>
      </c>
      <c r="I2713" t="str">
        <f t="shared" si="127"/>
        <v>0-9</v>
      </c>
      <c r="J2713">
        <f t="shared" si="128"/>
        <v>3.8899999999999998E-3</v>
      </c>
    </row>
    <row r="2714" spans="1:10">
      <c r="A2714" t="s">
        <v>2796</v>
      </c>
      <c r="B2714">
        <v>37</v>
      </c>
      <c r="C2714" t="s">
        <v>7</v>
      </c>
      <c r="D2714">
        <v>7</v>
      </c>
      <c r="E2714">
        <v>43</v>
      </c>
      <c r="F2714">
        <v>7.6000000000000004E-4</v>
      </c>
      <c r="G2714">
        <v>0</v>
      </c>
      <c r="H2714" t="str">
        <f t="shared" si="126"/>
        <v>40-49</v>
      </c>
      <c r="I2714" t="str">
        <f t="shared" si="127"/>
        <v>0-9</v>
      </c>
      <c r="J2714">
        <f t="shared" si="128"/>
        <v>7.6000000000000004E-4</v>
      </c>
    </row>
    <row r="2715" spans="1:10">
      <c r="A2715" t="s">
        <v>2797</v>
      </c>
      <c r="B2715">
        <v>45</v>
      </c>
      <c r="C2715" t="s">
        <v>9</v>
      </c>
      <c r="D2715">
        <v>5</v>
      </c>
      <c r="E2715">
        <v>49</v>
      </c>
      <c r="F2715">
        <v>1.5200000000000001E-3</v>
      </c>
      <c r="G2715">
        <v>0</v>
      </c>
      <c r="H2715" t="str">
        <f t="shared" si="126"/>
        <v>40-49</v>
      </c>
      <c r="I2715" t="str">
        <f t="shared" si="127"/>
        <v>0-9</v>
      </c>
      <c r="J2715">
        <f t="shared" si="128"/>
        <v>1.5200000000000001E-3</v>
      </c>
    </row>
    <row r="2716" spans="1:10">
      <c r="A2716" t="s">
        <v>2798</v>
      </c>
      <c r="B2716">
        <v>47</v>
      </c>
      <c r="C2716" t="s">
        <v>9</v>
      </c>
      <c r="D2716">
        <v>12</v>
      </c>
      <c r="E2716">
        <v>58</v>
      </c>
      <c r="F2716">
        <v>4.79E-3</v>
      </c>
      <c r="G2716">
        <v>0</v>
      </c>
      <c r="H2716" t="str">
        <f t="shared" si="126"/>
        <v>50-59</v>
      </c>
      <c r="I2716" t="str">
        <f t="shared" si="127"/>
        <v>10-19</v>
      </c>
      <c r="J2716">
        <f t="shared" si="128"/>
        <v>4.79E-3</v>
      </c>
    </row>
    <row r="2717" spans="1:10">
      <c r="A2717" t="s">
        <v>2799</v>
      </c>
      <c r="B2717">
        <v>51</v>
      </c>
      <c r="C2717" t="s">
        <v>9</v>
      </c>
      <c r="D2717">
        <v>6</v>
      </c>
      <c r="E2717">
        <v>56</v>
      </c>
      <c r="F2717">
        <v>3.2699999999999999E-3</v>
      </c>
      <c r="G2717">
        <v>0</v>
      </c>
      <c r="H2717" t="str">
        <f t="shared" si="126"/>
        <v>50-59</v>
      </c>
      <c r="I2717" t="str">
        <f t="shared" si="127"/>
        <v>0-9</v>
      </c>
      <c r="J2717">
        <f t="shared" si="128"/>
        <v>3.2699999999999999E-3</v>
      </c>
    </row>
    <row r="2718" spans="1:10">
      <c r="A2718" t="s">
        <v>2800</v>
      </c>
      <c r="B2718">
        <v>31</v>
      </c>
      <c r="C2718" t="s">
        <v>7</v>
      </c>
      <c r="D2718">
        <v>7</v>
      </c>
      <c r="E2718">
        <v>37</v>
      </c>
      <c r="F2718">
        <v>4.8000000000000001E-4</v>
      </c>
      <c r="G2718">
        <v>0</v>
      </c>
      <c r="H2718" t="str">
        <f t="shared" si="126"/>
        <v>30-39</v>
      </c>
      <c r="I2718" t="str">
        <f t="shared" si="127"/>
        <v>0-9</v>
      </c>
      <c r="J2718">
        <f t="shared" si="128"/>
        <v>4.8000000000000001E-4</v>
      </c>
    </row>
    <row r="2719" spans="1:10">
      <c r="A2719" t="s">
        <v>2801</v>
      </c>
      <c r="B2719">
        <v>31</v>
      </c>
      <c r="C2719" t="s">
        <v>9</v>
      </c>
      <c r="D2719">
        <v>21</v>
      </c>
      <c r="E2719">
        <v>51</v>
      </c>
      <c r="F2719">
        <v>2.7399999999999998E-3</v>
      </c>
      <c r="G2719">
        <v>0</v>
      </c>
      <c r="H2719" t="str">
        <f t="shared" si="126"/>
        <v>50-59</v>
      </c>
      <c r="I2719" t="str">
        <f t="shared" si="127"/>
        <v>20-29</v>
      </c>
      <c r="J2719">
        <f t="shared" si="128"/>
        <v>2.7399999999999998E-3</v>
      </c>
    </row>
    <row r="2720" spans="1:10">
      <c r="A2720" t="s">
        <v>2802</v>
      </c>
      <c r="B2720">
        <v>31</v>
      </c>
      <c r="C2720" t="s">
        <v>9</v>
      </c>
      <c r="D2720">
        <v>27</v>
      </c>
      <c r="E2720">
        <v>57</v>
      </c>
      <c r="F2720">
        <v>4.3899999999999998E-3</v>
      </c>
      <c r="G2720">
        <v>0</v>
      </c>
      <c r="H2720" t="str">
        <f t="shared" si="126"/>
        <v>50-59</v>
      </c>
      <c r="I2720" t="str">
        <f t="shared" si="127"/>
        <v>20-29</v>
      </c>
      <c r="J2720">
        <f t="shared" si="128"/>
        <v>4.3899999999999998E-3</v>
      </c>
    </row>
    <row r="2721" spans="1:10">
      <c r="A2721" t="s">
        <v>2803</v>
      </c>
      <c r="B2721">
        <v>24</v>
      </c>
      <c r="C2721" t="s">
        <v>9</v>
      </c>
      <c r="D2721">
        <v>5</v>
      </c>
      <c r="E2721">
        <v>28</v>
      </c>
      <c r="F2721">
        <v>4.6999999999999999E-4</v>
      </c>
      <c r="G2721">
        <v>0</v>
      </c>
      <c r="H2721" t="str">
        <f t="shared" si="126"/>
        <v>20-29</v>
      </c>
      <c r="I2721" t="str">
        <f t="shared" si="127"/>
        <v>0-9</v>
      </c>
      <c r="J2721">
        <f t="shared" si="128"/>
        <v>4.6999999999999999E-4</v>
      </c>
    </row>
    <row r="2722" spans="1:10">
      <c r="A2722" t="s">
        <v>2804</v>
      </c>
      <c r="B2722">
        <v>61</v>
      </c>
      <c r="C2722" t="s">
        <v>9</v>
      </c>
      <c r="D2722">
        <v>13</v>
      </c>
      <c r="E2722">
        <v>73</v>
      </c>
      <c r="F2722">
        <v>2.2499999999999999E-2</v>
      </c>
      <c r="G2722">
        <v>0</v>
      </c>
      <c r="H2722" t="str">
        <f t="shared" si="126"/>
        <v>70-79</v>
      </c>
      <c r="I2722" t="str">
        <f t="shared" si="127"/>
        <v>10-19</v>
      </c>
      <c r="J2722">
        <f t="shared" si="128"/>
        <v>2.2499999999999999E-2</v>
      </c>
    </row>
    <row r="2723" spans="1:10">
      <c r="A2723" t="s">
        <v>2805</v>
      </c>
      <c r="B2723">
        <v>20</v>
      </c>
      <c r="C2723" t="s">
        <v>9</v>
      </c>
      <c r="D2723">
        <v>20</v>
      </c>
      <c r="E2723">
        <v>39</v>
      </c>
      <c r="F2723">
        <v>1.58E-3</v>
      </c>
      <c r="G2723">
        <v>0</v>
      </c>
      <c r="H2723" t="str">
        <f t="shared" si="126"/>
        <v>30-39</v>
      </c>
      <c r="I2723" t="str">
        <f t="shared" si="127"/>
        <v>20-29</v>
      </c>
      <c r="J2723">
        <f t="shared" si="128"/>
        <v>1.58E-3</v>
      </c>
    </row>
    <row r="2724" spans="1:10">
      <c r="A2724" t="s">
        <v>2806</v>
      </c>
      <c r="B2724">
        <v>27</v>
      </c>
      <c r="C2724" t="s">
        <v>9</v>
      </c>
      <c r="D2724">
        <v>27</v>
      </c>
      <c r="E2724">
        <v>53</v>
      </c>
      <c r="F2724">
        <v>3.2799999999999999E-3</v>
      </c>
      <c r="G2724">
        <v>0</v>
      </c>
      <c r="H2724" t="str">
        <f t="shared" si="126"/>
        <v>50-59</v>
      </c>
      <c r="I2724" t="str">
        <f t="shared" si="127"/>
        <v>20-29</v>
      </c>
      <c r="J2724">
        <f t="shared" si="128"/>
        <v>3.2799999999999999E-3</v>
      </c>
    </row>
    <row r="2725" spans="1:10">
      <c r="A2725" t="s">
        <v>2807</v>
      </c>
      <c r="B2725">
        <v>22</v>
      </c>
      <c r="C2725" t="s">
        <v>9</v>
      </c>
      <c r="D2725">
        <v>5</v>
      </c>
      <c r="E2725">
        <v>26</v>
      </c>
      <c r="F2725">
        <v>5.9000000000000003E-4</v>
      </c>
      <c r="G2725">
        <v>0</v>
      </c>
      <c r="H2725" t="str">
        <f t="shared" si="126"/>
        <v>20-29</v>
      </c>
      <c r="I2725" t="str">
        <f t="shared" si="127"/>
        <v>0-9</v>
      </c>
      <c r="J2725">
        <f t="shared" si="128"/>
        <v>5.9000000000000003E-4</v>
      </c>
    </row>
    <row r="2726" spans="1:10">
      <c r="A2726" t="s">
        <v>2808</v>
      </c>
      <c r="B2726">
        <v>29</v>
      </c>
      <c r="C2726" t="s">
        <v>7</v>
      </c>
      <c r="D2726">
        <v>21</v>
      </c>
      <c r="E2726">
        <v>49</v>
      </c>
      <c r="F2726">
        <v>1.8699999999999999E-3</v>
      </c>
      <c r="G2726">
        <v>0</v>
      </c>
      <c r="H2726" t="str">
        <f t="shared" si="126"/>
        <v>40-49</v>
      </c>
      <c r="I2726" t="str">
        <f t="shared" si="127"/>
        <v>20-29</v>
      </c>
      <c r="J2726">
        <f t="shared" si="128"/>
        <v>1.8699999999999999E-3</v>
      </c>
    </row>
    <row r="2727" spans="1:10">
      <c r="A2727" t="s">
        <v>2809</v>
      </c>
      <c r="B2727">
        <v>20</v>
      </c>
      <c r="C2727" t="s">
        <v>9</v>
      </c>
      <c r="D2727">
        <v>26</v>
      </c>
      <c r="E2727">
        <v>45</v>
      </c>
      <c r="F2727">
        <v>2.5400000000000002E-3</v>
      </c>
      <c r="G2727">
        <v>0</v>
      </c>
      <c r="H2727" t="str">
        <f t="shared" si="126"/>
        <v>40-49</v>
      </c>
      <c r="I2727" t="str">
        <f t="shared" si="127"/>
        <v>20-29</v>
      </c>
      <c r="J2727">
        <f t="shared" si="128"/>
        <v>2.5400000000000002E-3</v>
      </c>
    </row>
    <row r="2728" spans="1:10">
      <c r="A2728" t="s">
        <v>2810</v>
      </c>
      <c r="B2728">
        <v>41</v>
      </c>
      <c r="C2728" t="s">
        <v>7</v>
      </c>
      <c r="D2728">
        <v>28</v>
      </c>
      <c r="E2728">
        <v>68</v>
      </c>
      <c r="F2728">
        <v>9.2399999999999999E-3</v>
      </c>
      <c r="G2728">
        <v>0</v>
      </c>
      <c r="H2728" t="str">
        <f t="shared" si="126"/>
        <v>60-69</v>
      </c>
      <c r="I2728" t="str">
        <f t="shared" si="127"/>
        <v>20-29</v>
      </c>
      <c r="J2728">
        <f t="shared" si="128"/>
        <v>9.2399999999999999E-3</v>
      </c>
    </row>
    <row r="2729" spans="1:10">
      <c r="A2729" t="s">
        <v>2811</v>
      </c>
      <c r="B2729">
        <v>50</v>
      </c>
      <c r="C2729" t="s">
        <v>7</v>
      </c>
      <c r="D2729">
        <v>25</v>
      </c>
      <c r="E2729">
        <v>74</v>
      </c>
      <c r="F2729">
        <v>2.0979999999999999E-2</v>
      </c>
      <c r="G2729">
        <v>0</v>
      </c>
      <c r="H2729" t="str">
        <f t="shared" si="126"/>
        <v>70-79</v>
      </c>
      <c r="I2729" t="str">
        <f t="shared" si="127"/>
        <v>20-29</v>
      </c>
      <c r="J2729">
        <f t="shared" si="128"/>
        <v>2.0979999999999999E-2</v>
      </c>
    </row>
    <row r="2730" spans="1:10">
      <c r="A2730" t="s">
        <v>2812</v>
      </c>
      <c r="B2730">
        <v>30</v>
      </c>
      <c r="C2730" t="s">
        <v>9</v>
      </c>
      <c r="D2730">
        <v>10</v>
      </c>
      <c r="E2730">
        <v>39</v>
      </c>
      <c r="F2730">
        <v>8.8999999999999995E-4</v>
      </c>
      <c r="G2730">
        <v>0</v>
      </c>
      <c r="H2730" t="str">
        <f t="shared" si="126"/>
        <v>30-39</v>
      </c>
      <c r="I2730" t="str">
        <f t="shared" si="127"/>
        <v>10-19</v>
      </c>
      <c r="J2730">
        <f t="shared" si="128"/>
        <v>8.8999999999999995E-4</v>
      </c>
    </row>
    <row r="2731" spans="1:10">
      <c r="A2731" t="s">
        <v>2813</v>
      </c>
      <c r="B2731">
        <v>23</v>
      </c>
      <c r="C2731" t="s">
        <v>7</v>
      </c>
      <c r="D2731">
        <v>18</v>
      </c>
      <c r="E2731">
        <v>40</v>
      </c>
      <c r="F2731">
        <v>1.0499999999999999E-3</v>
      </c>
      <c r="G2731">
        <v>0</v>
      </c>
      <c r="H2731" t="str">
        <f t="shared" si="126"/>
        <v>40-49</v>
      </c>
      <c r="I2731" t="str">
        <f t="shared" si="127"/>
        <v>10-19</v>
      </c>
      <c r="J2731">
        <f t="shared" si="128"/>
        <v>1.0499999999999999E-3</v>
      </c>
    </row>
    <row r="2732" spans="1:10">
      <c r="A2732" t="s">
        <v>2814</v>
      </c>
      <c r="B2732">
        <v>27</v>
      </c>
      <c r="C2732" t="s">
        <v>7</v>
      </c>
      <c r="D2732">
        <v>1</v>
      </c>
      <c r="E2732">
        <v>27</v>
      </c>
      <c r="F2732">
        <v>1.2E-4</v>
      </c>
      <c r="G2732">
        <v>0</v>
      </c>
      <c r="H2732" t="str">
        <f t="shared" si="126"/>
        <v>20-29</v>
      </c>
      <c r="I2732" t="str">
        <f t="shared" si="127"/>
        <v>0-9</v>
      </c>
      <c r="J2732">
        <f t="shared" si="128"/>
        <v>1.2E-4</v>
      </c>
    </row>
    <row r="2733" spans="1:10">
      <c r="A2733" t="s">
        <v>2815</v>
      </c>
      <c r="B2733">
        <v>38</v>
      </c>
      <c r="C2733" t="s">
        <v>7</v>
      </c>
      <c r="D2733">
        <v>4</v>
      </c>
      <c r="E2733">
        <v>41</v>
      </c>
      <c r="F2733">
        <v>5.9000000000000003E-4</v>
      </c>
      <c r="G2733">
        <v>0</v>
      </c>
      <c r="H2733" t="str">
        <f t="shared" si="126"/>
        <v>40-49</v>
      </c>
      <c r="I2733" t="str">
        <f t="shared" si="127"/>
        <v>0-9</v>
      </c>
      <c r="J2733">
        <f t="shared" si="128"/>
        <v>5.9000000000000003E-4</v>
      </c>
    </row>
    <row r="2734" spans="1:10">
      <c r="A2734" t="s">
        <v>2816</v>
      </c>
      <c r="B2734">
        <v>29</v>
      </c>
      <c r="C2734" t="s">
        <v>7</v>
      </c>
      <c r="D2734">
        <v>1</v>
      </c>
      <c r="E2734">
        <v>29</v>
      </c>
      <c r="F2734">
        <v>1.1E-4</v>
      </c>
      <c r="G2734">
        <v>0</v>
      </c>
      <c r="H2734" t="str">
        <f t="shared" si="126"/>
        <v>20-29</v>
      </c>
      <c r="I2734" t="str">
        <f t="shared" si="127"/>
        <v>0-9</v>
      </c>
      <c r="J2734">
        <f t="shared" si="128"/>
        <v>1.1E-4</v>
      </c>
    </row>
    <row r="2735" spans="1:10">
      <c r="A2735" t="s">
        <v>2817</v>
      </c>
      <c r="B2735">
        <v>47</v>
      </c>
      <c r="C2735" t="s">
        <v>9</v>
      </c>
      <c r="D2735">
        <v>13</v>
      </c>
      <c r="E2735">
        <v>59</v>
      </c>
      <c r="F2735">
        <v>5.3800000000000002E-3</v>
      </c>
      <c r="G2735">
        <v>0</v>
      </c>
      <c r="H2735" t="str">
        <f t="shared" si="126"/>
        <v>50-59</v>
      </c>
      <c r="I2735" t="str">
        <f t="shared" si="127"/>
        <v>10-19</v>
      </c>
      <c r="J2735">
        <f t="shared" si="128"/>
        <v>5.3800000000000002E-3</v>
      </c>
    </row>
    <row r="2736" spans="1:10">
      <c r="A2736" t="s">
        <v>2818</v>
      </c>
      <c r="B2736">
        <v>34</v>
      </c>
      <c r="C2736" t="s">
        <v>7</v>
      </c>
      <c r="D2736">
        <v>30</v>
      </c>
      <c r="E2736">
        <v>63</v>
      </c>
      <c r="F2736">
        <v>4.4600000000000004E-3</v>
      </c>
      <c r="G2736">
        <v>0</v>
      </c>
      <c r="H2736" t="str">
        <f t="shared" si="126"/>
        <v>60-69</v>
      </c>
      <c r="I2736" t="str">
        <f t="shared" si="127"/>
        <v>30-39</v>
      </c>
      <c r="J2736">
        <f t="shared" si="128"/>
        <v>4.4600000000000004E-3</v>
      </c>
    </row>
    <row r="2737" spans="1:10">
      <c r="A2737" t="s">
        <v>2819</v>
      </c>
      <c r="B2737">
        <v>65</v>
      </c>
      <c r="C2737" t="s">
        <v>7</v>
      </c>
      <c r="D2737">
        <v>27</v>
      </c>
      <c r="E2737">
        <v>91</v>
      </c>
      <c r="F2737">
        <v>0.13125000000000001</v>
      </c>
      <c r="G2737">
        <v>0</v>
      </c>
      <c r="H2737" t="str">
        <f t="shared" si="126"/>
        <v>90-99</v>
      </c>
      <c r="I2737" t="str">
        <f t="shared" si="127"/>
        <v>20-29</v>
      </c>
      <c r="J2737">
        <f t="shared" si="128"/>
        <v>0.13125000000000001</v>
      </c>
    </row>
    <row r="2738" spans="1:10">
      <c r="A2738" t="s">
        <v>2820</v>
      </c>
      <c r="B2738">
        <v>27</v>
      </c>
      <c r="C2738" t="s">
        <v>9</v>
      </c>
      <c r="D2738">
        <v>8</v>
      </c>
      <c r="E2738">
        <v>34</v>
      </c>
      <c r="F2738">
        <v>5.5999999999999995E-4</v>
      </c>
      <c r="G2738">
        <v>0</v>
      </c>
      <c r="H2738" t="str">
        <f t="shared" si="126"/>
        <v>30-39</v>
      </c>
      <c r="I2738" t="str">
        <f t="shared" si="127"/>
        <v>0-9</v>
      </c>
      <c r="J2738">
        <f t="shared" si="128"/>
        <v>5.5999999999999995E-4</v>
      </c>
    </row>
    <row r="2739" spans="1:10">
      <c r="A2739" t="s">
        <v>2821</v>
      </c>
      <c r="B2739">
        <v>42</v>
      </c>
      <c r="C2739" t="s">
        <v>7</v>
      </c>
      <c r="D2739">
        <v>3</v>
      </c>
      <c r="E2739">
        <v>44</v>
      </c>
      <c r="F2739">
        <v>5.4000000000000001E-4</v>
      </c>
      <c r="G2739">
        <v>0</v>
      </c>
      <c r="H2739" t="str">
        <f t="shared" si="126"/>
        <v>40-49</v>
      </c>
      <c r="I2739" t="str">
        <f t="shared" si="127"/>
        <v>0-9</v>
      </c>
      <c r="J2739">
        <f t="shared" si="128"/>
        <v>5.4000000000000001E-4</v>
      </c>
    </row>
    <row r="2740" spans="1:10">
      <c r="A2740" t="s">
        <v>2822</v>
      </c>
      <c r="B2740">
        <v>25</v>
      </c>
      <c r="C2740" t="s">
        <v>9</v>
      </c>
      <c r="D2740">
        <v>29</v>
      </c>
      <c r="E2740">
        <v>53</v>
      </c>
      <c r="F2740">
        <v>2.9299999999999999E-3</v>
      </c>
      <c r="G2740">
        <v>0</v>
      </c>
      <c r="H2740" t="str">
        <f t="shared" si="126"/>
        <v>50-59</v>
      </c>
      <c r="I2740" t="str">
        <f t="shared" si="127"/>
        <v>20-29</v>
      </c>
      <c r="J2740">
        <f t="shared" si="128"/>
        <v>2.9299999999999999E-3</v>
      </c>
    </row>
    <row r="2741" spans="1:10">
      <c r="A2741" t="s">
        <v>2823</v>
      </c>
      <c r="B2741">
        <v>47</v>
      </c>
      <c r="C2741" t="s">
        <v>9</v>
      </c>
      <c r="D2741">
        <v>17</v>
      </c>
      <c r="E2741">
        <v>63</v>
      </c>
      <c r="F2741">
        <v>8.4899999999999993E-3</v>
      </c>
      <c r="G2741">
        <v>0</v>
      </c>
      <c r="H2741" t="str">
        <f t="shared" si="126"/>
        <v>60-69</v>
      </c>
      <c r="I2741" t="str">
        <f t="shared" si="127"/>
        <v>10-19</v>
      </c>
      <c r="J2741">
        <f t="shared" si="128"/>
        <v>8.4899999999999993E-3</v>
      </c>
    </row>
    <row r="2742" spans="1:10">
      <c r="A2742" t="s">
        <v>2824</v>
      </c>
      <c r="B2742">
        <v>47</v>
      </c>
      <c r="C2742" t="s">
        <v>7</v>
      </c>
      <c r="D2742">
        <v>5</v>
      </c>
      <c r="E2742">
        <v>51</v>
      </c>
      <c r="F2742">
        <v>1.33E-3</v>
      </c>
      <c r="G2742">
        <v>0</v>
      </c>
      <c r="H2742" t="str">
        <f t="shared" si="126"/>
        <v>50-59</v>
      </c>
      <c r="I2742" t="str">
        <f t="shared" si="127"/>
        <v>0-9</v>
      </c>
      <c r="J2742">
        <f t="shared" si="128"/>
        <v>1.33E-3</v>
      </c>
    </row>
    <row r="2743" spans="1:10">
      <c r="A2743" t="s">
        <v>2825</v>
      </c>
      <c r="B2743">
        <v>59</v>
      </c>
      <c r="C2743" t="s">
        <v>9</v>
      </c>
      <c r="D2743">
        <v>27</v>
      </c>
      <c r="E2743">
        <v>85</v>
      </c>
      <c r="F2743">
        <v>8.0629999999999993E-2</v>
      </c>
      <c r="G2743">
        <v>0</v>
      </c>
      <c r="H2743" t="str">
        <f t="shared" si="126"/>
        <v>80-89</v>
      </c>
      <c r="I2743" t="str">
        <f t="shared" si="127"/>
        <v>20-29</v>
      </c>
      <c r="J2743">
        <f t="shared" si="128"/>
        <v>8.0629999999999993E-2</v>
      </c>
    </row>
    <row r="2744" spans="1:10">
      <c r="A2744" t="s">
        <v>2826</v>
      </c>
      <c r="B2744">
        <v>37</v>
      </c>
      <c r="C2744" t="s">
        <v>9</v>
      </c>
      <c r="D2744">
        <v>30</v>
      </c>
      <c r="E2744">
        <v>66</v>
      </c>
      <c r="F2744">
        <v>7.79E-3</v>
      </c>
      <c r="G2744">
        <v>0</v>
      </c>
      <c r="H2744" t="str">
        <f t="shared" si="126"/>
        <v>60-69</v>
      </c>
      <c r="I2744" t="str">
        <f t="shared" si="127"/>
        <v>30-39</v>
      </c>
      <c r="J2744">
        <f t="shared" si="128"/>
        <v>7.79E-3</v>
      </c>
    </row>
    <row r="2745" spans="1:10">
      <c r="A2745" t="s">
        <v>2827</v>
      </c>
      <c r="B2745">
        <v>36</v>
      </c>
      <c r="C2745" t="s">
        <v>7</v>
      </c>
      <c r="D2745">
        <v>26</v>
      </c>
      <c r="E2745">
        <v>61</v>
      </c>
      <c r="F2745">
        <v>5.4599999999999996E-3</v>
      </c>
      <c r="G2745">
        <v>0</v>
      </c>
      <c r="H2745" t="str">
        <f t="shared" si="126"/>
        <v>60-69</v>
      </c>
      <c r="I2745" t="str">
        <f t="shared" si="127"/>
        <v>20-29</v>
      </c>
      <c r="J2745">
        <f t="shared" si="128"/>
        <v>5.4599999999999996E-3</v>
      </c>
    </row>
    <row r="2746" spans="1:10">
      <c r="A2746" t="s">
        <v>2828</v>
      </c>
      <c r="B2746">
        <v>20</v>
      </c>
      <c r="C2746" t="s">
        <v>7</v>
      </c>
      <c r="D2746">
        <v>28</v>
      </c>
      <c r="E2746">
        <v>47</v>
      </c>
      <c r="F2746">
        <v>1.3799999999999999E-3</v>
      </c>
      <c r="G2746">
        <v>0</v>
      </c>
      <c r="H2746" t="str">
        <f t="shared" si="126"/>
        <v>40-49</v>
      </c>
      <c r="I2746" t="str">
        <f t="shared" si="127"/>
        <v>20-29</v>
      </c>
      <c r="J2746">
        <f t="shared" si="128"/>
        <v>1.3799999999999999E-3</v>
      </c>
    </row>
    <row r="2747" spans="1:10">
      <c r="A2747" t="s">
        <v>2829</v>
      </c>
      <c r="B2747">
        <v>61</v>
      </c>
      <c r="C2747" t="s">
        <v>9</v>
      </c>
      <c r="D2747">
        <v>5</v>
      </c>
      <c r="E2747">
        <v>65</v>
      </c>
      <c r="F2747">
        <v>7.3899999999999999E-3</v>
      </c>
      <c r="G2747">
        <v>0</v>
      </c>
      <c r="H2747" t="str">
        <f t="shared" si="126"/>
        <v>60-69</v>
      </c>
      <c r="I2747" t="str">
        <f t="shared" si="127"/>
        <v>0-9</v>
      </c>
      <c r="J2747">
        <f t="shared" si="128"/>
        <v>7.3899999999999999E-3</v>
      </c>
    </row>
    <row r="2748" spans="1:10">
      <c r="A2748" t="s">
        <v>2830</v>
      </c>
      <c r="B2748">
        <v>50</v>
      </c>
      <c r="C2748" t="s">
        <v>9</v>
      </c>
      <c r="D2748">
        <v>27</v>
      </c>
      <c r="E2748">
        <v>76</v>
      </c>
      <c r="F2748">
        <v>3.006E-2</v>
      </c>
      <c r="G2748">
        <v>0</v>
      </c>
      <c r="H2748" t="str">
        <f t="shared" si="126"/>
        <v>70-79</v>
      </c>
      <c r="I2748" t="str">
        <f t="shared" si="127"/>
        <v>20-29</v>
      </c>
      <c r="J2748">
        <f t="shared" si="128"/>
        <v>3.006E-2</v>
      </c>
    </row>
    <row r="2749" spans="1:10">
      <c r="A2749" t="s">
        <v>2831</v>
      </c>
      <c r="B2749">
        <v>37</v>
      </c>
      <c r="C2749" t="s">
        <v>9</v>
      </c>
      <c r="D2749">
        <v>5</v>
      </c>
      <c r="E2749">
        <v>41</v>
      </c>
      <c r="F2749">
        <v>8.0000000000000004E-4</v>
      </c>
      <c r="G2749">
        <v>0</v>
      </c>
      <c r="H2749" t="str">
        <f t="shared" si="126"/>
        <v>40-49</v>
      </c>
      <c r="I2749" t="str">
        <f t="shared" si="127"/>
        <v>0-9</v>
      </c>
      <c r="J2749">
        <f t="shared" si="128"/>
        <v>8.0000000000000004E-4</v>
      </c>
    </row>
    <row r="2750" spans="1:10">
      <c r="A2750" t="s">
        <v>2832</v>
      </c>
      <c r="B2750">
        <v>31</v>
      </c>
      <c r="C2750" t="s">
        <v>9</v>
      </c>
      <c r="D2750">
        <v>25</v>
      </c>
      <c r="E2750">
        <v>55</v>
      </c>
      <c r="F2750">
        <v>4.0499999999999998E-3</v>
      </c>
      <c r="G2750">
        <v>0</v>
      </c>
      <c r="H2750" t="str">
        <f t="shared" si="126"/>
        <v>50-59</v>
      </c>
      <c r="I2750" t="str">
        <f t="shared" si="127"/>
        <v>20-29</v>
      </c>
      <c r="J2750">
        <f t="shared" si="128"/>
        <v>4.0499999999999998E-3</v>
      </c>
    </row>
    <row r="2751" spans="1:10">
      <c r="A2751" t="s">
        <v>2833</v>
      </c>
      <c r="B2751">
        <v>47</v>
      </c>
      <c r="C2751" t="s">
        <v>7</v>
      </c>
      <c r="D2751">
        <v>16</v>
      </c>
      <c r="E2751">
        <v>62</v>
      </c>
      <c r="F2751">
        <v>5.7299999999999999E-3</v>
      </c>
      <c r="G2751">
        <v>0</v>
      </c>
      <c r="H2751" t="str">
        <f t="shared" si="126"/>
        <v>60-69</v>
      </c>
      <c r="I2751" t="str">
        <f t="shared" si="127"/>
        <v>10-19</v>
      </c>
      <c r="J2751">
        <f t="shared" si="128"/>
        <v>5.7299999999999999E-3</v>
      </c>
    </row>
    <row r="2752" spans="1:10">
      <c r="A2752" t="s">
        <v>2834</v>
      </c>
      <c r="B2752">
        <v>60</v>
      </c>
      <c r="C2752" t="s">
        <v>9</v>
      </c>
      <c r="D2752">
        <v>11</v>
      </c>
      <c r="E2752">
        <v>70</v>
      </c>
      <c r="F2752">
        <v>1.5789999999999998E-2</v>
      </c>
      <c r="G2752">
        <v>0</v>
      </c>
      <c r="H2752" t="str">
        <f t="shared" si="126"/>
        <v>70-79</v>
      </c>
      <c r="I2752" t="str">
        <f t="shared" si="127"/>
        <v>10-19</v>
      </c>
      <c r="J2752">
        <f t="shared" si="128"/>
        <v>1.5789999999999998E-2</v>
      </c>
    </row>
    <row r="2753" spans="1:10">
      <c r="A2753" t="s">
        <v>2835</v>
      </c>
      <c r="B2753">
        <v>35</v>
      </c>
      <c r="C2753" t="s">
        <v>9</v>
      </c>
      <c r="D2753">
        <v>13</v>
      </c>
      <c r="E2753">
        <v>47</v>
      </c>
      <c r="F2753">
        <v>1.6900000000000001E-3</v>
      </c>
      <c r="G2753">
        <v>0</v>
      </c>
      <c r="H2753" t="str">
        <f t="shared" si="126"/>
        <v>40-49</v>
      </c>
      <c r="I2753" t="str">
        <f t="shared" si="127"/>
        <v>10-19</v>
      </c>
      <c r="J2753">
        <f t="shared" si="128"/>
        <v>1.6900000000000001E-3</v>
      </c>
    </row>
    <row r="2754" spans="1:10">
      <c r="A2754" t="s">
        <v>2836</v>
      </c>
      <c r="B2754">
        <v>54</v>
      </c>
      <c r="C2754" t="s">
        <v>7</v>
      </c>
      <c r="D2754">
        <v>16</v>
      </c>
      <c r="E2754">
        <v>69</v>
      </c>
      <c r="F2754">
        <v>1.1350000000000001E-2</v>
      </c>
      <c r="G2754">
        <v>0</v>
      </c>
      <c r="H2754" t="str">
        <f t="shared" si="126"/>
        <v>60-69</v>
      </c>
      <c r="I2754" t="str">
        <f t="shared" si="127"/>
        <v>10-19</v>
      </c>
      <c r="J2754">
        <f t="shared" si="128"/>
        <v>1.1350000000000001E-2</v>
      </c>
    </row>
    <row r="2755" spans="1:10">
      <c r="A2755" t="s">
        <v>2837</v>
      </c>
      <c r="B2755">
        <v>44</v>
      </c>
      <c r="C2755" t="s">
        <v>7</v>
      </c>
      <c r="D2755">
        <v>3</v>
      </c>
      <c r="E2755">
        <v>46</v>
      </c>
      <c r="F2755">
        <v>6.2E-4</v>
      </c>
      <c r="G2755">
        <v>0</v>
      </c>
      <c r="H2755" t="str">
        <f t="shared" ref="H2755:H2818" si="129">FLOOR(E2755,10) &amp; "-" &amp; FLOOR(E2755,10)+9</f>
        <v>40-49</v>
      </c>
      <c r="I2755" t="str">
        <f t="shared" ref="I2755:I2818" si="130">FLOOR(D2755, 10) &amp; "-"&amp;FLOOR(D2755, 10)+9</f>
        <v>0-9</v>
      </c>
      <c r="J2755">
        <f t="shared" ref="J2755:J2818" si="131">F2755</f>
        <v>6.2E-4</v>
      </c>
    </row>
    <row r="2756" spans="1:10">
      <c r="A2756" t="s">
        <v>2838</v>
      </c>
      <c r="B2756">
        <v>56</v>
      </c>
      <c r="C2756" t="s">
        <v>7</v>
      </c>
      <c r="D2756">
        <v>25</v>
      </c>
      <c r="E2756">
        <v>80</v>
      </c>
      <c r="F2756">
        <v>3.986E-2</v>
      </c>
      <c r="G2756">
        <v>0</v>
      </c>
      <c r="H2756" t="str">
        <f t="shared" si="129"/>
        <v>80-89</v>
      </c>
      <c r="I2756" t="str">
        <f t="shared" si="130"/>
        <v>20-29</v>
      </c>
      <c r="J2756">
        <f t="shared" si="131"/>
        <v>3.986E-2</v>
      </c>
    </row>
    <row r="2757" spans="1:10">
      <c r="A2757" t="s">
        <v>2839</v>
      </c>
      <c r="B2757">
        <v>64</v>
      </c>
      <c r="C2757" t="s">
        <v>9</v>
      </c>
      <c r="D2757">
        <v>3</v>
      </c>
      <c r="E2757">
        <v>66</v>
      </c>
      <c r="F2757">
        <v>5.8999999999999999E-3</v>
      </c>
      <c r="G2757">
        <v>1</v>
      </c>
      <c r="H2757" t="str">
        <f t="shared" si="129"/>
        <v>60-69</v>
      </c>
      <c r="I2757" t="str">
        <f t="shared" si="130"/>
        <v>0-9</v>
      </c>
      <c r="J2757">
        <f t="shared" si="131"/>
        <v>5.8999999999999999E-3</v>
      </c>
    </row>
    <row r="2758" spans="1:10">
      <c r="A2758" t="s">
        <v>2840</v>
      </c>
      <c r="B2758">
        <v>21</v>
      </c>
      <c r="C2758" t="s">
        <v>7</v>
      </c>
      <c r="D2758">
        <v>12</v>
      </c>
      <c r="E2758">
        <v>32</v>
      </c>
      <c r="F2758">
        <v>4.2999999999999999E-4</v>
      </c>
      <c r="G2758">
        <v>0</v>
      </c>
      <c r="H2758" t="str">
        <f t="shared" si="129"/>
        <v>30-39</v>
      </c>
      <c r="I2758" t="str">
        <f t="shared" si="130"/>
        <v>10-19</v>
      </c>
      <c r="J2758">
        <f t="shared" si="131"/>
        <v>4.2999999999999999E-4</v>
      </c>
    </row>
    <row r="2759" spans="1:10">
      <c r="A2759" t="s">
        <v>2841</v>
      </c>
      <c r="B2759">
        <v>27</v>
      </c>
      <c r="C2759" t="s">
        <v>7</v>
      </c>
      <c r="D2759">
        <v>2</v>
      </c>
      <c r="E2759">
        <v>28</v>
      </c>
      <c r="F2759">
        <v>1.7000000000000001E-4</v>
      </c>
      <c r="G2759">
        <v>0</v>
      </c>
      <c r="H2759" t="str">
        <f t="shared" si="129"/>
        <v>20-29</v>
      </c>
      <c r="I2759" t="str">
        <f t="shared" si="130"/>
        <v>0-9</v>
      </c>
      <c r="J2759">
        <f t="shared" si="131"/>
        <v>1.7000000000000001E-4</v>
      </c>
    </row>
    <row r="2760" spans="1:10">
      <c r="A2760" t="s">
        <v>2842</v>
      </c>
      <c r="B2760">
        <v>28</v>
      </c>
      <c r="C2760" t="s">
        <v>9</v>
      </c>
      <c r="D2760">
        <v>10</v>
      </c>
      <c r="E2760">
        <v>37</v>
      </c>
      <c r="F2760">
        <v>7.6999999999999996E-4</v>
      </c>
      <c r="G2760">
        <v>0</v>
      </c>
      <c r="H2760" t="str">
        <f t="shared" si="129"/>
        <v>30-39</v>
      </c>
      <c r="I2760" t="str">
        <f t="shared" si="130"/>
        <v>10-19</v>
      </c>
      <c r="J2760">
        <f t="shared" si="131"/>
        <v>7.6999999999999996E-4</v>
      </c>
    </row>
    <row r="2761" spans="1:10">
      <c r="A2761" t="s">
        <v>2843</v>
      </c>
      <c r="B2761">
        <v>55</v>
      </c>
      <c r="C2761" t="s">
        <v>7</v>
      </c>
      <c r="D2761">
        <v>30</v>
      </c>
      <c r="E2761">
        <v>84</v>
      </c>
      <c r="F2761">
        <v>3.986E-2</v>
      </c>
      <c r="G2761">
        <v>0</v>
      </c>
      <c r="H2761" t="str">
        <f t="shared" si="129"/>
        <v>80-89</v>
      </c>
      <c r="I2761" t="str">
        <f t="shared" si="130"/>
        <v>30-39</v>
      </c>
      <c r="J2761">
        <f t="shared" si="131"/>
        <v>3.986E-2</v>
      </c>
    </row>
    <row r="2762" spans="1:10">
      <c r="A2762" t="s">
        <v>2844</v>
      </c>
      <c r="B2762">
        <v>34</v>
      </c>
      <c r="C2762" t="s">
        <v>7</v>
      </c>
      <c r="D2762">
        <v>2</v>
      </c>
      <c r="E2762">
        <v>35</v>
      </c>
      <c r="F2762">
        <v>2.3000000000000001E-4</v>
      </c>
      <c r="G2762">
        <v>0</v>
      </c>
      <c r="H2762" t="str">
        <f t="shared" si="129"/>
        <v>30-39</v>
      </c>
      <c r="I2762" t="str">
        <f t="shared" si="130"/>
        <v>0-9</v>
      </c>
      <c r="J2762">
        <f t="shared" si="131"/>
        <v>2.3000000000000001E-4</v>
      </c>
    </row>
    <row r="2763" spans="1:10">
      <c r="A2763" t="s">
        <v>2845</v>
      </c>
      <c r="B2763">
        <v>64</v>
      </c>
      <c r="C2763" t="s">
        <v>9</v>
      </c>
      <c r="D2763">
        <v>23</v>
      </c>
      <c r="E2763">
        <v>86</v>
      </c>
      <c r="F2763">
        <v>0.10346</v>
      </c>
      <c r="G2763">
        <v>0</v>
      </c>
      <c r="H2763" t="str">
        <f t="shared" si="129"/>
        <v>80-89</v>
      </c>
      <c r="I2763" t="str">
        <f t="shared" si="130"/>
        <v>20-29</v>
      </c>
      <c r="J2763">
        <f t="shared" si="131"/>
        <v>0.10346</v>
      </c>
    </row>
    <row r="2764" spans="1:10">
      <c r="A2764" t="s">
        <v>2846</v>
      </c>
      <c r="B2764">
        <v>64</v>
      </c>
      <c r="C2764" t="s">
        <v>9</v>
      </c>
      <c r="D2764">
        <v>14</v>
      </c>
      <c r="E2764">
        <v>77</v>
      </c>
      <c r="F2764">
        <v>3.1980000000000001E-2</v>
      </c>
      <c r="G2764">
        <v>0</v>
      </c>
      <c r="H2764" t="str">
        <f t="shared" si="129"/>
        <v>70-79</v>
      </c>
      <c r="I2764" t="str">
        <f t="shared" si="130"/>
        <v>10-19</v>
      </c>
      <c r="J2764">
        <f t="shared" si="131"/>
        <v>3.1980000000000001E-2</v>
      </c>
    </row>
    <row r="2765" spans="1:10">
      <c r="A2765" t="s">
        <v>2847</v>
      </c>
      <c r="B2765">
        <v>62</v>
      </c>
      <c r="C2765" t="s">
        <v>9</v>
      </c>
      <c r="D2765">
        <v>19</v>
      </c>
      <c r="E2765">
        <v>80</v>
      </c>
      <c r="F2765">
        <v>5.0849999999999999E-2</v>
      </c>
      <c r="G2765">
        <v>0</v>
      </c>
      <c r="H2765" t="str">
        <f t="shared" si="129"/>
        <v>80-89</v>
      </c>
      <c r="I2765" t="str">
        <f t="shared" si="130"/>
        <v>10-19</v>
      </c>
      <c r="J2765">
        <f t="shared" si="131"/>
        <v>5.0849999999999999E-2</v>
      </c>
    </row>
    <row r="2766" spans="1:10">
      <c r="A2766" t="s">
        <v>2848</v>
      </c>
      <c r="B2766">
        <v>30</v>
      </c>
      <c r="C2766" t="s">
        <v>9</v>
      </c>
      <c r="D2766">
        <v>1</v>
      </c>
      <c r="E2766">
        <v>30</v>
      </c>
      <c r="F2766">
        <v>2.5000000000000001E-4</v>
      </c>
      <c r="G2766">
        <v>0</v>
      </c>
      <c r="H2766" t="str">
        <f t="shared" si="129"/>
        <v>30-39</v>
      </c>
      <c r="I2766" t="str">
        <f t="shared" si="130"/>
        <v>0-9</v>
      </c>
      <c r="J2766">
        <f t="shared" si="131"/>
        <v>2.5000000000000001E-4</v>
      </c>
    </row>
    <row r="2767" spans="1:10">
      <c r="A2767" t="s">
        <v>2849</v>
      </c>
      <c r="B2767">
        <v>35</v>
      </c>
      <c r="C2767" t="s">
        <v>9</v>
      </c>
      <c r="D2767">
        <v>3</v>
      </c>
      <c r="E2767">
        <v>37</v>
      </c>
      <c r="F2767">
        <v>5.0000000000000001E-4</v>
      </c>
      <c r="G2767">
        <v>0</v>
      </c>
      <c r="H2767" t="str">
        <f t="shared" si="129"/>
        <v>30-39</v>
      </c>
      <c r="I2767" t="str">
        <f t="shared" si="130"/>
        <v>0-9</v>
      </c>
      <c r="J2767">
        <f t="shared" si="131"/>
        <v>5.0000000000000001E-4</v>
      </c>
    </row>
    <row r="2768" spans="1:10">
      <c r="A2768" t="s">
        <v>2850</v>
      </c>
      <c r="B2768">
        <v>46</v>
      </c>
      <c r="C2768" t="s">
        <v>7</v>
      </c>
      <c r="D2768">
        <v>5</v>
      </c>
      <c r="E2768">
        <v>50</v>
      </c>
      <c r="F2768">
        <v>1.2199999999999999E-3</v>
      </c>
      <c r="G2768">
        <v>0</v>
      </c>
      <c r="H2768" t="str">
        <f t="shared" si="129"/>
        <v>50-59</v>
      </c>
      <c r="I2768" t="str">
        <f t="shared" si="130"/>
        <v>0-9</v>
      </c>
      <c r="J2768">
        <f t="shared" si="131"/>
        <v>1.2199999999999999E-3</v>
      </c>
    </row>
    <row r="2769" spans="1:10">
      <c r="A2769" t="s">
        <v>2851</v>
      </c>
      <c r="B2769">
        <v>28</v>
      </c>
      <c r="C2769" t="s">
        <v>7</v>
      </c>
      <c r="D2769">
        <v>24</v>
      </c>
      <c r="E2769">
        <v>51</v>
      </c>
      <c r="F2769">
        <v>2.1900000000000001E-3</v>
      </c>
      <c r="G2769">
        <v>0</v>
      </c>
      <c r="H2769" t="str">
        <f t="shared" si="129"/>
        <v>50-59</v>
      </c>
      <c r="I2769" t="str">
        <f t="shared" si="130"/>
        <v>20-29</v>
      </c>
      <c r="J2769">
        <f t="shared" si="131"/>
        <v>2.1900000000000001E-3</v>
      </c>
    </row>
    <row r="2770" spans="1:10">
      <c r="A2770" t="s">
        <v>2852</v>
      </c>
      <c r="B2770">
        <v>50</v>
      </c>
      <c r="C2770" t="s">
        <v>7</v>
      </c>
      <c r="D2770">
        <v>14</v>
      </c>
      <c r="E2770">
        <v>63</v>
      </c>
      <c r="F2770">
        <v>6.0699999999999999E-3</v>
      </c>
      <c r="G2770">
        <v>0</v>
      </c>
      <c r="H2770" t="str">
        <f t="shared" si="129"/>
        <v>60-69</v>
      </c>
      <c r="I2770" t="str">
        <f t="shared" si="130"/>
        <v>10-19</v>
      </c>
      <c r="J2770">
        <f t="shared" si="131"/>
        <v>6.0699999999999999E-3</v>
      </c>
    </row>
    <row r="2771" spans="1:10">
      <c r="A2771" t="s">
        <v>2853</v>
      </c>
      <c r="B2771">
        <v>61</v>
      </c>
      <c r="C2771" t="s">
        <v>9</v>
      </c>
      <c r="D2771">
        <v>23</v>
      </c>
      <c r="E2771">
        <v>83</v>
      </c>
      <c r="F2771">
        <v>7.1389999999999995E-2</v>
      </c>
      <c r="G2771">
        <v>0</v>
      </c>
      <c r="H2771" t="str">
        <f t="shared" si="129"/>
        <v>80-89</v>
      </c>
      <c r="I2771" t="str">
        <f t="shared" si="130"/>
        <v>20-29</v>
      </c>
      <c r="J2771">
        <f t="shared" si="131"/>
        <v>7.1389999999999995E-2</v>
      </c>
    </row>
    <row r="2772" spans="1:10">
      <c r="A2772" t="s">
        <v>2854</v>
      </c>
      <c r="B2772">
        <v>23</v>
      </c>
      <c r="C2772" t="s">
        <v>7</v>
      </c>
      <c r="D2772">
        <v>29</v>
      </c>
      <c r="E2772">
        <v>51</v>
      </c>
      <c r="F2772">
        <v>1.73E-3</v>
      </c>
      <c r="G2772">
        <v>0</v>
      </c>
      <c r="H2772" t="str">
        <f t="shared" si="129"/>
        <v>50-59</v>
      </c>
      <c r="I2772" t="str">
        <f t="shared" si="130"/>
        <v>20-29</v>
      </c>
      <c r="J2772">
        <f t="shared" si="131"/>
        <v>1.73E-3</v>
      </c>
    </row>
    <row r="2773" spans="1:10">
      <c r="A2773" t="s">
        <v>2855</v>
      </c>
      <c r="B2773">
        <v>31</v>
      </c>
      <c r="C2773" t="s">
        <v>9</v>
      </c>
      <c r="D2773">
        <v>17</v>
      </c>
      <c r="E2773">
        <v>47</v>
      </c>
      <c r="F2773">
        <v>1.97E-3</v>
      </c>
      <c r="G2773">
        <v>0</v>
      </c>
      <c r="H2773" t="str">
        <f t="shared" si="129"/>
        <v>40-49</v>
      </c>
      <c r="I2773" t="str">
        <f t="shared" si="130"/>
        <v>10-19</v>
      </c>
      <c r="J2773">
        <f t="shared" si="131"/>
        <v>1.97E-3</v>
      </c>
    </row>
    <row r="2774" spans="1:10">
      <c r="A2774" t="s">
        <v>2856</v>
      </c>
      <c r="B2774">
        <v>47</v>
      </c>
      <c r="C2774" t="s">
        <v>7</v>
      </c>
      <c r="D2774">
        <v>22</v>
      </c>
      <c r="E2774">
        <v>68</v>
      </c>
      <c r="F2774">
        <v>1.141E-2</v>
      </c>
      <c r="G2774">
        <v>0</v>
      </c>
      <c r="H2774" t="str">
        <f t="shared" si="129"/>
        <v>60-69</v>
      </c>
      <c r="I2774" t="str">
        <f t="shared" si="130"/>
        <v>20-29</v>
      </c>
      <c r="J2774">
        <f t="shared" si="131"/>
        <v>1.141E-2</v>
      </c>
    </row>
    <row r="2775" spans="1:10">
      <c r="A2775" t="s">
        <v>2857</v>
      </c>
      <c r="B2775">
        <v>65</v>
      </c>
      <c r="C2775" t="s">
        <v>9</v>
      </c>
      <c r="D2775">
        <v>27</v>
      </c>
      <c r="E2775">
        <v>91</v>
      </c>
      <c r="F2775">
        <v>0.16611999999999999</v>
      </c>
      <c r="G2775">
        <v>0</v>
      </c>
      <c r="H2775" t="str">
        <f t="shared" si="129"/>
        <v>90-99</v>
      </c>
      <c r="I2775" t="str">
        <f t="shared" si="130"/>
        <v>20-29</v>
      </c>
      <c r="J2775">
        <f t="shared" si="131"/>
        <v>0.16611999999999999</v>
      </c>
    </row>
    <row r="2776" spans="1:10">
      <c r="A2776" t="s">
        <v>2858</v>
      </c>
      <c r="B2776">
        <v>39</v>
      </c>
      <c r="C2776" t="s">
        <v>9</v>
      </c>
      <c r="D2776">
        <v>23</v>
      </c>
      <c r="E2776">
        <v>61</v>
      </c>
      <c r="F2776">
        <v>7.0200000000000002E-3</v>
      </c>
      <c r="G2776">
        <v>0</v>
      </c>
      <c r="H2776" t="str">
        <f t="shared" si="129"/>
        <v>60-69</v>
      </c>
      <c r="I2776" t="str">
        <f t="shared" si="130"/>
        <v>20-29</v>
      </c>
      <c r="J2776">
        <f t="shared" si="131"/>
        <v>7.0200000000000002E-3</v>
      </c>
    </row>
    <row r="2777" spans="1:10">
      <c r="A2777" t="s">
        <v>2859</v>
      </c>
      <c r="B2777">
        <v>37</v>
      </c>
      <c r="C2777" t="s">
        <v>7</v>
      </c>
      <c r="D2777">
        <v>3</v>
      </c>
      <c r="E2777">
        <v>39</v>
      </c>
      <c r="F2777">
        <v>4.2999999999999999E-4</v>
      </c>
      <c r="G2777">
        <v>0</v>
      </c>
      <c r="H2777" t="str">
        <f t="shared" si="129"/>
        <v>30-39</v>
      </c>
      <c r="I2777" t="str">
        <f t="shared" si="130"/>
        <v>0-9</v>
      </c>
      <c r="J2777">
        <f t="shared" si="131"/>
        <v>4.2999999999999999E-4</v>
      </c>
    </row>
    <row r="2778" spans="1:10">
      <c r="A2778" t="s">
        <v>2860</v>
      </c>
      <c r="B2778">
        <v>28</v>
      </c>
      <c r="C2778" t="s">
        <v>9</v>
      </c>
      <c r="D2778">
        <v>24</v>
      </c>
      <c r="E2778">
        <v>51</v>
      </c>
      <c r="F2778">
        <v>2.8900000000000002E-3</v>
      </c>
      <c r="G2778">
        <v>0</v>
      </c>
      <c r="H2778" t="str">
        <f t="shared" si="129"/>
        <v>50-59</v>
      </c>
      <c r="I2778" t="str">
        <f t="shared" si="130"/>
        <v>20-29</v>
      </c>
      <c r="J2778">
        <f t="shared" si="131"/>
        <v>2.8900000000000002E-3</v>
      </c>
    </row>
    <row r="2779" spans="1:10">
      <c r="A2779" t="s">
        <v>2861</v>
      </c>
      <c r="B2779">
        <v>34</v>
      </c>
      <c r="C2779" t="s">
        <v>9</v>
      </c>
      <c r="D2779">
        <v>13</v>
      </c>
      <c r="E2779">
        <v>46</v>
      </c>
      <c r="F2779">
        <v>1.56E-3</v>
      </c>
      <c r="G2779">
        <v>0</v>
      </c>
      <c r="H2779" t="str">
        <f t="shared" si="129"/>
        <v>40-49</v>
      </c>
      <c r="I2779" t="str">
        <f t="shared" si="130"/>
        <v>10-19</v>
      </c>
      <c r="J2779">
        <f t="shared" si="131"/>
        <v>1.56E-3</v>
      </c>
    </row>
    <row r="2780" spans="1:10">
      <c r="A2780" t="s">
        <v>2862</v>
      </c>
      <c r="B2780">
        <v>55</v>
      </c>
      <c r="C2780" t="s">
        <v>7</v>
      </c>
      <c r="D2780">
        <v>20</v>
      </c>
      <c r="E2780">
        <v>74</v>
      </c>
      <c r="F2780">
        <v>2.0740000000000001E-2</v>
      </c>
      <c r="G2780">
        <v>0</v>
      </c>
      <c r="H2780" t="str">
        <f t="shared" si="129"/>
        <v>70-79</v>
      </c>
      <c r="I2780" t="str">
        <f t="shared" si="130"/>
        <v>20-29</v>
      </c>
      <c r="J2780">
        <f t="shared" si="131"/>
        <v>2.0740000000000001E-2</v>
      </c>
    </row>
    <row r="2781" spans="1:10">
      <c r="A2781" t="s">
        <v>2863</v>
      </c>
      <c r="B2781">
        <v>49</v>
      </c>
      <c r="C2781" t="s">
        <v>9</v>
      </c>
      <c r="D2781">
        <v>16</v>
      </c>
      <c r="E2781">
        <v>64</v>
      </c>
      <c r="F2781">
        <v>9.2800000000000001E-3</v>
      </c>
      <c r="G2781">
        <v>0</v>
      </c>
      <c r="H2781" t="str">
        <f t="shared" si="129"/>
        <v>60-69</v>
      </c>
      <c r="I2781" t="str">
        <f t="shared" si="130"/>
        <v>10-19</v>
      </c>
      <c r="J2781">
        <f t="shared" si="131"/>
        <v>9.2800000000000001E-3</v>
      </c>
    </row>
    <row r="2782" spans="1:10">
      <c r="A2782" t="s">
        <v>2864</v>
      </c>
      <c r="B2782">
        <v>44</v>
      </c>
      <c r="C2782" t="s">
        <v>9</v>
      </c>
      <c r="D2782">
        <v>6</v>
      </c>
      <c r="E2782">
        <v>49</v>
      </c>
      <c r="F2782">
        <v>1.5900000000000001E-3</v>
      </c>
      <c r="G2782">
        <v>0</v>
      </c>
      <c r="H2782" t="str">
        <f t="shared" si="129"/>
        <v>40-49</v>
      </c>
      <c r="I2782" t="str">
        <f t="shared" si="130"/>
        <v>0-9</v>
      </c>
      <c r="J2782">
        <f t="shared" si="131"/>
        <v>1.5900000000000001E-3</v>
      </c>
    </row>
    <row r="2783" spans="1:10">
      <c r="A2783" t="s">
        <v>2865</v>
      </c>
      <c r="B2783">
        <v>47</v>
      </c>
      <c r="C2783" t="s">
        <v>9</v>
      </c>
      <c r="D2783">
        <v>7</v>
      </c>
      <c r="E2783">
        <v>53</v>
      </c>
      <c r="F2783">
        <v>2.5000000000000001E-3</v>
      </c>
      <c r="G2783">
        <v>0</v>
      </c>
      <c r="H2783" t="str">
        <f t="shared" si="129"/>
        <v>50-59</v>
      </c>
      <c r="I2783" t="str">
        <f t="shared" si="130"/>
        <v>0-9</v>
      </c>
      <c r="J2783">
        <f t="shared" si="131"/>
        <v>2.5000000000000001E-3</v>
      </c>
    </row>
    <row r="2784" spans="1:10">
      <c r="A2784" t="s">
        <v>2866</v>
      </c>
      <c r="B2784">
        <v>43</v>
      </c>
      <c r="C2784" t="s">
        <v>7</v>
      </c>
      <c r="D2784">
        <v>20</v>
      </c>
      <c r="E2784">
        <v>62</v>
      </c>
      <c r="F2784">
        <v>5.9800000000000001E-3</v>
      </c>
      <c r="G2784">
        <v>0</v>
      </c>
      <c r="H2784" t="str">
        <f t="shared" si="129"/>
        <v>60-69</v>
      </c>
      <c r="I2784" t="str">
        <f t="shared" si="130"/>
        <v>20-29</v>
      </c>
      <c r="J2784">
        <f t="shared" si="131"/>
        <v>5.9800000000000001E-3</v>
      </c>
    </row>
    <row r="2785" spans="1:10">
      <c r="A2785" t="s">
        <v>2867</v>
      </c>
      <c r="B2785">
        <v>35</v>
      </c>
      <c r="C2785" t="s">
        <v>9</v>
      </c>
      <c r="D2785">
        <v>10</v>
      </c>
      <c r="E2785">
        <v>44</v>
      </c>
      <c r="F2785">
        <v>1.2600000000000001E-3</v>
      </c>
      <c r="G2785">
        <v>0</v>
      </c>
      <c r="H2785" t="str">
        <f t="shared" si="129"/>
        <v>40-49</v>
      </c>
      <c r="I2785" t="str">
        <f t="shared" si="130"/>
        <v>10-19</v>
      </c>
      <c r="J2785">
        <f t="shared" si="131"/>
        <v>1.2600000000000001E-3</v>
      </c>
    </row>
    <row r="2786" spans="1:10">
      <c r="A2786" t="s">
        <v>2868</v>
      </c>
      <c r="B2786">
        <v>33</v>
      </c>
      <c r="C2786" t="s">
        <v>9</v>
      </c>
      <c r="D2786">
        <v>20</v>
      </c>
      <c r="E2786">
        <v>52</v>
      </c>
      <c r="F2786">
        <v>2.97E-3</v>
      </c>
      <c r="G2786">
        <v>0</v>
      </c>
      <c r="H2786" t="str">
        <f t="shared" si="129"/>
        <v>50-59</v>
      </c>
      <c r="I2786" t="str">
        <f t="shared" si="130"/>
        <v>20-29</v>
      </c>
      <c r="J2786">
        <f t="shared" si="131"/>
        <v>2.97E-3</v>
      </c>
    </row>
    <row r="2787" spans="1:10">
      <c r="A2787" t="s">
        <v>2869</v>
      </c>
      <c r="B2787">
        <v>32</v>
      </c>
      <c r="C2787" t="s">
        <v>9</v>
      </c>
      <c r="D2787">
        <v>18</v>
      </c>
      <c r="E2787">
        <v>49</v>
      </c>
      <c r="F2787">
        <v>2.3E-3</v>
      </c>
      <c r="G2787">
        <v>0</v>
      </c>
      <c r="H2787" t="str">
        <f t="shared" si="129"/>
        <v>40-49</v>
      </c>
      <c r="I2787" t="str">
        <f t="shared" si="130"/>
        <v>10-19</v>
      </c>
      <c r="J2787">
        <f t="shared" si="131"/>
        <v>2.3E-3</v>
      </c>
    </row>
    <row r="2788" spans="1:10">
      <c r="A2788" t="s">
        <v>2870</v>
      </c>
      <c r="B2788">
        <v>35</v>
      </c>
      <c r="C2788" t="s">
        <v>9</v>
      </c>
      <c r="D2788">
        <v>9</v>
      </c>
      <c r="E2788">
        <v>43</v>
      </c>
      <c r="F2788">
        <v>1.16E-3</v>
      </c>
      <c r="G2788">
        <v>0</v>
      </c>
      <c r="H2788" t="str">
        <f t="shared" si="129"/>
        <v>40-49</v>
      </c>
      <c r="I2788" t="str">
        <f t="shared" si="130"/>
        <v>0-9</v>
      </c>
      <c r="J2788">
        <f t="shared" si="131"/>
        <v>1.16E-3</v>
      </c>
    </row>
    <row r="2789" spans="1:10">
      <c r="A2789" t="s">
        <v>2871</v>
      </c>
      <c r="B2789">
        <v>22</v>
      </c>
      <c r="C2789" t="s">
        <v>7</v>
      </c>
      <c r="D2789">
        <v>19</v>
      </c>
      <c r="E2789">
        <v>40</v>
      </c>
      <c r="F2789">
        <v>1.1000000000000001E-3</v>
      </c>
      <c r="G2789">
        <v>0</v>
      </c>
      <c r="H2789" t="str">
        <f t="shared" si="129"/>
        <v>40-49</v>
      </c>
      <c r="I2789" t="str">
        <f t="shared" si="130"/>
        <v>10-19</v>
      </c>
      <c r="J2789">
        <f t="shared" si="131"/>
        <v>1.1000000000000001E-3</v>
      </c>
    </row>
    <row r="2790" spans="1:10">
      <c r="A2790" t="s">
        <v>2872</v>
      </c>
      <c r="B2790">
        <v>23</v>
      </c>
      <c r="C2790" t="s">
        <v>9</v>
      </c>
      <c r="D2790">
        <v>11</v>
      </c>
      <c r="E2790">
        <v>33</v>
      </c>
      <c r="F2790">
        <v>6.8999999999999997E-4</v>
      </c>
      <c r="G2790">
        <v>0</v>
      </c>
      <c r="H2790" t="str">
        <f t="shared" si="129"/>
        <v>30-39</v>
      </c>
      <c r="I2790" t="str">
        <f t="shared" si="130"/>
        <v>10-19</v>
      </c>
      <c r="J2790">
        <f t="shared" si="131"/>
        <v>6.8999999999999997E-4</v>
      </c>
    </row>
    <row r="2791" spans="1:10">
      <c r="A2791" t="s">
        <v>2873</v>
      </c>
      <c r="B2791">
        <v>42</v>
      </c>
      <c r="C2791" t="s">
        <v>9</v>
      </c>
      <c r="D2791">
        <v>25</v>
      </c>
      <c r="E2791">
        <v>66</v>
      </c>
      <c r="F2791">
        <v>1.162E-2</v>
      </c>
      <c r="G2791">
        <v>0</v>
      </c>
      <c r="H2791" t="str">
        <f t="shared" si="129"/>
        <v>60-69</v>
      </c>
      <c r="I2791" t="str">
        <f t="shared" si="130"/>
        <v>20-29</v>
      </c>
      <c r="J2791">
        <f t="shared" si="131"/>
        <v>1.162E-2</v>
      </c>
    </row>
    <row r="2792" spans="1:10">
      <c r="A2792" t="s">
        <v>2874</v>
      </c>
      <c r="B2792">
        <v>32</v>
      </c>
      <c r="C2792" t="s">
        <v>7</v>
      </c>
      <c r="D2792">
        <v>11</v>
      </c>
      <c r="E2792">
        <v>42</v>
      </c>
      <c r="F2792">
        <v>8.5999999999999998E-4</v>
      </c>
      <c r="G2792">
        <v>0</v>
      </c>
      <c r="H2792" t="str">
        <f t="shared" si="129"/>
        <v>40-49</v>
      </c>
      <c r="I2792" t="str">
        <f t="shared" si="130"/>
        <v>10-19</v>
      </c>
      <c r="J2792">
        <f t="shared" si="131"/>
        <v>8.5999999999999998E-4</v>
      </c>
    </row>
    <row r="2793" spans="1:10">
      <c r="A2793" t="s">
        <v>2875</v>
      </c>
      <c r="B2793">
        <v>28</v>
      </c>
      <c r="C2793" t="s">
        <v>7</v>
      </c>
      <c r="D2793">
        <v>23</v>
      </c>
      <c r="E2793">
        <v>50</v>
      </c>
      <c r="F2793">
        <v>2.0200000000000001E-3</v>
      </c>
      <c r="G2793">
        <v>0</v>
      </c>
      <c r="H2793" t="str">
        <f t="shared" si="129"/>
        <v>50-59</v>
      </c>
      <c r="I2793" t="str">
        <f t="shared" si="130"/>
        <v>20-29</v>
      </c>
      <c r="J2793">
        <f t="shared" si="131"/>
        <v>2.0200000000000001E-3</v>
      </c>
    </row>
    <row r="2794" spans="1:10">
      <c r="A2794" t="s">
        <v>2876</v>
      </c>
      <c r="B2794">
        <v>52</v>
      </c>
      <c r="C2794" t="s">
        <v>7</v>
      </c>
      <c r="D2794">
        <v>4</v>
      </c>
      <c r="E2794">
        <v>55</v>
      </c>
      <c r="F2794">
        <v>1.8699999999999999E-3</v>
      </c>
      <c r="G2794">
        <v>0</v>
      </c>
      <c r="H2794" t="str">
        <f t="shared" si="129"/>
        <v>50-59</v>
      </c>
      <c r="I2794" t="str">
        <f t="shared" si="130"/>
        <v>0-9</v>
      </c>
      <c r="J2794">
        <f t="shared" si="131"/>
        <v>1.8699999999999999E-3</v>
      </c>
    </row>
    <row r="2795" spans="1:10">
      <c r="A2795" t="s">
        <v>2877</v>
      </c>
      <c r="B2795">
        <v>21</v>
      </c>
      <c r="C2795" t="s">
        <v>7</v>
      </c>
      <c r="D2795">
        <v>19</v>
      </c>
      <c r="E2795">
        <v>39</v>
      </c>
      <c r="F2795">
        <v>1.06E-3</v>
      </c>
      <c r="G2795">
        <v>0</v>
      </c>
      <c r="H2795" t="str">
        <f t="shared" si="129"/>
        <v>30-39</v>
      </c>
      <c r="I2795" t="str">
        <f t="shared" si="130"/>
        <v>10-19</v>
      </c>
      <c r="J2795">
        <f t="shared" si="131"/>
        <v>1.06E-3</v>
      </c>
    </row>
    <row r="2796" spans="1:10">
      <c r="A2796" t="s">
        <v>2878</v>
      </c>
      <c r="B2796">
        <v>22</v>
      </c>
      <c r="C2796" t="s">
        <v>9</v>
      </c>
      <c r="D2796">
        <v>10</v>
      </c>
      <c r="E2796">
        <v>31</v>
      </c>
      <c r="F2796">
        <v>6.4000000000000005E-4</v>
      </c>
      <c r="G2796">
        <v>0</v>
      </c>
      <c r="H2796" t="str">
        <f t="shared" si="129"/>
        <v>30-39</v>
      </c>
      <c r="I2796" t="str">
        <f t="shared" si="130"/>
        <v>10-19</v>
      </c>
      <c r="J2796">
        <f t="shared" si="131"/>
        <v>6.4000000000000005E-4</v>
      </c>
    </row>
    <row r="2797" spans="1:10">
      <c r="A2797" t="s">
        <v>2879</v>
      </c>
      <c r="B2797">
        <v>25</v>
      </c>
      <c r="C2797" t="s">
        <v>7</v>
      </c>
      <c r="D2797">
        <v>29</v>
      </c>
      <c r="E2797">
        <v>53</v>
      </c>
      <c r="F2797">
        <v>2.0200000000000001E-3</v>
      </c>
      <c r="G2797">
        <v>0</v>
      </c>
      <c r="H2797" t="str">
        <f t="shared" si="129"/>
        <v>50-59</v>
      </c>
      <c r="I2797" t="str">
        <f t="shared" si="130"/>
        <v>20-29</v>
      </c>
      <c r="J2797">
        <f t="shared" si="131"/>
        <v>2.0200000000000001E-3</v>
      </c>
    </row>
    <row r="2798" spans="1:10">
      <c r="A2798" t="s">
        <v>2880</v>
      </c>
      <c r="B2798">
        <v>34</v>
      </c>
      <c r="C2798" t="s">
        <v>9</v>
      </c>
      <c r="D2798">
        <v>29</v>
      </c>
      <c r="E2798">
        <v>62</v>
      </c>
      <c r="F2798">
        <v>5.7400000000000003E-3</v>
      </c>
      <c r="G2798">
        <v>0</v>
      </c>
      <c r="H2798" t="str">
        <f t="shared" si="129"/>
        <v>60-69</v>
      </c>
      <c r="I2798" t="str">
        <f t="shared" si="130"/>
        <v>20-29</v>
      </c>
      <c r="J2798">
        <f t="shared" si="131"/>
        <v>5.7400000000000003E-3</v>
      </c>
    </row>
    <row r="2799" spans="1:10">
      <c r="A2799" t="s">
        <v>2881</v>
      </c>
      <c r="B2799">
        <v>29</v>
      </c>
      <c r="C2799" t="s">
        <v>7</v>
      </c>
      <c r="D2799">
        <v>25</v>
      </c>
      <c r="E2799">
        <v>53</v>
      </c>
      <c r="F2799">
        <v>2.5899999999999999E-3</v>
      </c>
      <c r="G2799">
        <v>0</v>
      </c>
      <c r="H2799" t="str">
        <f t="shared" si="129"/>
        <v>50-59</v>
      </c>
      <c r="I2799" t="str">
        <f t="shared" si="130"/>
        <v>20-29</v>
      </c>
      <c r="J2799">
        <f t="shared" si="131"/>
        <v>2.5899999999999999E-3</v>
      </c>
    </row>
    <row r="2800" spans="1:10">
      <c r="A2800" t="s">
        <v>2882</v>
      </c>
      <c r="B2800">
        <v>52</v>
      </c>
      <c r="C2800" t="s">
        <v>7</v>
      </c>
      <c r="D2800">
        <v>17</v>
      </c>
      <c r="E2800">
        <v>68</v>
      </c>
      <c r="F2800">
        <v>1.056E-2</v>
      </c>
      <c r="G2800">
        <v>0</v>
      </c>
      <c r="H2800" t="str">
        <f t="shared" si="129"/>
        <v>60-69</v>
      </c>
      <c r="I2800" t="str">
        <f t="shared" si="130"/>
        <v>10-19</v>
      </c>
      <c r="J2800">
        <f t="shared" si="131"/>
        <v>1.056E-2</v>
      </c>
    </row>
    <row r="2801" spans="1:10">
      <c r="A2801" t="s">
        <v>2883</v>
      </c>
      <c r="B2801">
        <v>53</v>
      </c>
      <c r="C2801" t="s">
        <v>7</v>
      </c>
      <c r="D2801">
        <v>30</v>
      </c>
      <c r="E2801">
        <v>82</v>
      </c>
      <c r="F2801">
        <v>3.1989999999999998E-2</v>
      </c>
      <c r="G2801">
        <v>0</v>
      </c>
      <c r="H2801" t="str">
        <f t="shared" si="129"/>
        <v>80-89</v>
      </c>
      <c r="I2801" t="str">
        <f t="shared" si="130"/>
        <v>30-39</v>
      </c>
      <c r="J2801">
        <f t="shared" si="131"/>
        <v>3.1989999999999998E-2</v>
      </c>
    </row>
    <row r="2802" spans="1:10">
      <c r="A2802" t="s">
        <v>2884</v>
      </c>
      <c r="B2802">
        <v>28</v>
      </c>
      <c r="C2802" t="s">
        <v>9</v>
      </c>
      <c r="D2802">
        <v>11</v>
      </c>
      <c r="E2802">
        <v>38</v>
      </c>
      <c r="F2802">
        <v>8.7000000000000001E-4</v>
      </c>
      <c r="G2802">
        <v>0</v>
      </c>
      <c r="H2802" t="str">
        <f t="shared" si="129"/>
        <v>30-39</v>
      </c>
      <c r="I2802" t="str">
        <f t="shared" si="130"/>
        <v>10-19</v>
      </c>
      <c r="J2802">
        <f t="shared" si="131"/>
        <v>8.7000000000000001E-4</v>
      </c>
    </row>
    <row r="2803" spans="1:10">
      <c r="A2803" t="s">
        <v>2885</v>
      </c>
      <c r="B2803">
        <v>47</v>
      </c>
      <c r="C2803" t="s">
        <v>7</v>
      </c>
      <c r="D2803">
        <v>2</v>
      </c>
      <c r="E2803">
        <v>48</v>
      </c>
      <c r="F2803">
        <v>4.8999999999999998E-4</v>
      </c>
      <c r="G2803">
        <v>0</v>
      </c>
      <c r="H2803" t="str">
        <f t="shared" si="129"/>
        <v>40-49</v>
      </c>
      <c r="I2803" t="str">
        <f t="shared" si="130"/>
        <v>0-9</v>
      </c>
      <c r="J2803">
        <f t="shared" si="131"/>
        <v>4.8999999999999998E-4</v>
      </c>
    </row>
    <row r="2804" spans="1:10">
      <c r="A2804" t="s">
        <v>2886</v>
      </c>
      <c r="B2804">
        <v>44</v>
      </c>
      <c r="C2804" t="s">
        <v>9</v>
      </c>
      <c r="D2804">
        <v>8</v>
      </c>
      <c r="E2804">
        <v>51</v>
      </c>
      <c r="F2804">
        <v>2.1099999999999999E-3</v>
      </c>
      <c r="G2804">
        <v>0</v>
      </c>
      <c r="H2804" t="str">
        <f t="shared" si="129"/>
        <v>50-59</v>
      </c>
      <c r="I2804" t="str">
        <f t="shared" si="130"/>
        <v>0-9</v>
      </c>
      <c r="J2804">
        <f t="shared" si="131"/>
        <v>2.1099999999999999E-3</v>
      </c>
    </row>
    <row r="2805" spans="1:10">
      <c r="A2805" t="s">
        <v>2887</v>
      </c>
      <c r="B2805">
        <v>24</v>
      </c>
      <c r="C2805" t="s">
        <v>7</v>
      </c>
      <c r="D2805">
        <v>5</v>
      </c>
      <c r="E2805">
        <v>28</v>
      </c>
      <c r="F2805">
        <v>2.4000000000000001E-4</v>
      </c>
      <c r="G2805">
        <v>0</v>
      </c>
      <c r="H2805" t="str">
        <f t="shared" si="129"/>
        <v>20-29</v>
      </c>
      <c r="I2805" t="str">
        <f t="shared" si="130"/>
        <v>0-9</v>
      </c>
      <c r="J2805">
        <f t="shared" si="131"/>
        <v>2.4000000000000001E-4</v>
      </c>
    </row>
    <row r="2806" spans="1:10">
      <c r="A2806" t="s">
        <v>2888</v>
      </c>
      <c r="B2806">
        <v>26</v>
      </c>
      <c r="C2806" t="s">
        <v>9</v>
      </c>
      <c r="D2806">
        <v>26</v>
      </c>
      <c r="E2806">
        <v>51</v>
      </c>
      <c r="F2806">
        <v>3.0899999999999999E-3</v>
      </c>
      <c r="G2806">
        <v>0</v>
      </c>
      <c r="H2806" t="str">
        <f t="shared" si="129"/>
        <v>50-59</v>
      </c>
      <c r="I2806" t="str">
        <f t="shared" si="130"/>
        <v>20-29</v>
      </c>
      <c r="J2806">
        <f t="shared" si="131"/>
        <v>3.0899999999999999E-3</v>
      </c>
    </row>
    <row r="2807" spans="1:10">
      <c r="A2807" t="s">
        <v>2889</v>
      </c>
      <c r="B2807">
        <v>39</v>
      </c>
      <c r="C2807" t="s">
        <v>7</v>
      </c>
      <c r="D2807">
        <v>18</v>
      </c>
      <c r="E2807">
        <v>56</v>
      </c>
      <c r="F2807">
        <v>3.1800000000000001E-3</v>
      </c>
      <c r="G2807">
        <v>0</v>
      </c>
      <c r="H2807" t="str">
        <f t="shared" si="129"/>
        <v>50-59</v>
      </c>
      <c r="I2807" t="str">
        <f t="shared" si="130"/>
        <v>10-19</v>
      </c>
      <c r="J2807">
        <f t="shared" si="131"/>
        <v>3.1800000000000001E-3</v>
      </c>
    </row>
    <row r="2808" spans="1:10">
      <c r="A2808" t="s">
        <v>2890</v>
      </c>
      <c r="B2808">
        <v>25</v>
      </c>
      <c r="C2808" t="s">
        <v>9</v>
      </c>
      <c r="D2808">
        <v>16</v>
      </c>
      <c r="E2808">
        <v>40</v>
      </c>
      <c r="F2808">
        <v>1.2800000000000001E-3</v>
      </c>
      <c r="G2808">
        <v>0</v>
      </c>
      <c r="H2808" t="str">
        <f t="shared" si="129"/>
        <v>40-49</v>
      </c>
      <c r="I2808" t="str">
        <f t="shared" si="130"/>
        <v>10-19</v>
      </c>
      <c r="J2808">
        <f t="shared" si="131"/>
        <v>1.2800000000000001E-3</v>
      </c>
    </row>
    <row r="2809" spans="1:10">
      <c r="A2809" t="s">
        <v>2891</v>
      </c>
      <c r="B2809">
        <v>38</v>
      </c>
      <c r="C2809" t="s">
        <v>9</v>
      </c>
      <c r="D2809">
        <v>6</v>
      </c>
      <c r="E2809">
        <v>43</v>
      </c>
      <c r="F2809">
        <v>9.8999999999999999E-4</v>
      </c>
      <c r="G2809">
        <v>0</v>
      </c>
      <c r="H2809" t="str">
        <f t="shared" si="129"/>
        <v>40-49</v>
      </c>
      <c r="I2809" t="str">
        <f t="shared" si="130"/>
        <v>0-9</v>
      </c>
      <c r="J2809">
        <f t="shared" si="131"/>
        <v>9.8999999999999999E-4</v>
      </c>
    </row>
    <row r="2810" spans="1:10">
      <c r="A2810" t="s">
        <v>2892</v>
      </c>
      <c r="B2810">
        <v>42</v>
      </c>
      <c r="C2810" t="s">
        <v>9</v>
      </c>
      <c r="D2810">
        <v>3</v>
      </c>
      <c r="E2810">
        <v>44</v>
      </c>
      <c r="F2810">
        <v>8.7000000000000001E-4</v>
      </c>
      <c r="G2810">
        <v>0</v>
      </c>
      <c r="H2810" t="str">
        <f t="shared" si="129"/>
        <v>40-49</v>
      </c>
      <c r="I2810" t="str">
        <f t="shared" si="130"/>
        <v>0-9</v>
      </c>
      <c r="J2810">
        <f t="shared" si="131"/>
        <v>8.7000000000000001E-4</v>
      </c>
    </row>
    <row r="2811" spans="1:10">
      <c r="A2811" t="s">
        <v>2893</v>
      </c>
      <c r="B2811">
        <v>49</v>
      </c>
      <c r="C2811" t="s">
        <v>7</v>
      </c>
      <c r="D2811">
        <v>9</v>
      </c>
      <c r="E2811">
        <v>57</v>
      </c>
      <c r="F2811">
        <v>2.7499999999999998E-3</v>
      </c>
      <c r="G2811">
        <v>0</v>
      </c>
      <c r="H2811" t="str">
        <f t="shared" si="129"/>
        <v>50-59</v>
      </c>
      <c r="I2811" t="str">
        <f t="shared" si="130"/>
        <v>0-9</v>
      </c>
      <c r="J2811">
        <f t="shared" si="131"/>
        <v>2.7499999999999998E-3</v>
      </c>
    </row>
    <row r="2812" spans="1:10">
      <c r="A2812" t="s">
        <v>2894</v>
      </c>
      <c r="B2812">
        <v>48</v>
      </c>
      <c r="C2812" t="s">
        <v>7</v>
      </c>
      <c r="D2812">
        <v>21</v>
      </c>
      <c r="E2812">
        <v>68</v>
      </c>
      <c r="F2812">
        <v>1.141E-2</v>
      </c>
      <c r="G2812">
        <v>0</v>
      </c>
      <c r="H2812" t="str">
        <f t="shared" si="129"/>
        <v>60-69</v>
      </c>
      <c r="I2812" t="str">
        <f t="shared" si="130"/>
        <v>20-29</v>
      </c>
      <c r="J2812">
        <f t="shared" si="131"/>
        <v>1.141E-2</v>
      </c>
    </row>
    <row r="2813" spans="1:10">
      <c r="A2813" t="s">
        <v>2895</v>
      </c>
      <c r="B2813">
        <v>56</v>
      </c>
      <c r="C2813" t="s">
        <v>9</v>
      </c>
      <c r="D2813">
        <v>16</v>
      </c>
      <c r="E2813">
        <v>71</v>
      </c>
      <c r="F2813">
        <v>1.8769999999999998E-2</v>
      </c>
      <c r="G2813">
        <v>0</v>
      </c>
      <c r="H2813" t="str">
        <f t="shared" si="129"/>
        <v>70-79</v>
      </c>
      <c r="I2813" t="str">
        <f t="shared" si="130"/>
        <v>10-19</v>
      </c>
      <c r="J2813">
        <f t="shared" si="131"/>
        <v>1.8769999999999998E-2</v>
      </c>
    </row>
    <row r="2814" spans="1:10">
      <c r="A2814" t="s">
        <v>2896</v>
      </c>
      <c r="B2814">
        <v>45</v>
      </c>
      <c r="C2814" t="s">
        <v>7</v>
      </c>
      <c r="D2814">
        <v>14</v>
      </c>
      <c r="E2814">
        <v>58</v>
      </c>
      <c r="F2814">
        <v>3.6800000000000001E-3</v>
      </c>
      <c r="G2814">
        <v>0</v>
      </c>
      <c r="H2814" t="str">
        <f t="shared" si="129"/>
        <v>50-59</v>
      </c>
      <c r="I2814" t="str">
        <f t="shared" si="130"/>
        <v>10-19</v>
      </c>
      <c r="J2814">
        <f t="shared" si="131"/>
        <v>3.6800000000000001E-3</v>
      </c>
    </row>
    <row r="2815" spans="1:10">
      <c r="A2815" t="s">
        <v>2897</v>
      </c>
      <c r="B2815">
        <v>28</v>
      </c>
      <c r="C2815" t="s">
        <v>9</v>
      </c>
      <c r="D2815">
        <v>15</v>
      </c>
      <c r="E2815">
        <v>42</v>
      </c>
      <c r="F2815">
        <v>1.41E-3</v>
      </c>
      <c r="G2815">
        <v>0</v>
      </c>
      <c r="H2815" t="str">
        <f t="shared" si="129"/>
        <v>40-49</v>
      </c>
      <c r="I2815" t="str">
        <f t="shared" si="130"/>
        <v>10-19</v>
      </c>
      <c r="J2815">
        <f t="shared" si="131"/>
        <v>1.41E-3</v>
      </c>
    </row>
    <row r="2816" spans="1:10">
      <c r="A2816" t="s">
        <v>2898</v>
      </c>
      <c r="B2816">
        <v>40</v>
      </c>
      <c r="C2816" t="s">
        <v>9</v>
      </c>
      <c r="D2816">
        <v>12</v>
      </c>
      <c r="E2816">
        <v>51</v>
      </c>
      <c r="F2816">
        <v>2.3400000000000001E-3</v>
      </c>
      <c r="G2816">
        <v>0</v>
      </c>
      <c r="H2816" t="str">
        <f t="shared" si="129"/>
        <v>50-59</v>
      </c>
      <c r="I2816" t="str">
        <f t="shared" si="130"/>
        <v>10-19</v>
      </c>
      <c r="J2816">
        <f t="shared" si="131"/>
        <v>2.3400000000000001E-3</v>
      </c>
    </row>
    <row r="2817" spans="1:10">
      <c r="A2817" t="s">
        <v>2899</v>
      </c>
      <c r="B2817">
        <v>48</v>
      </c>
      <c r="C2817" t="s">
        <v>7</v>
      </c>
      <c r="D2817">
        <v>9</v>
      </c>
      <c r="E2817">
        <v>56</v>
      </c>
      <c r="F2817">
        <v>2.5100000000000001E-3</v>
      </c>
      <c r="G2817">
        <v>0</v>
      </c>
      <c r="H2817" t="str">
        <f t="shared" si="129"/>
        <v>50-59</v>
      </c>
      <c r="I2817" t="str">
        <f t="shared" si="130"/>
        <v>0-9</v>
      </c>
      <c r="J2817">
        <f t="shared" si="131"/>
        <v>2.5100000000000001E-3</v>
      </c>
    </row>
    <row r="2818" spans="1:10">
      <c r="A2818" t="s">
        <v>2900</v>
      </c>
      <c r="B2818">
        <v>22</v>
      </c>
      <c r="C2818" t="s">
        <v>7</v>
      </c>
      <c r="D2818">
        <v>20</v>
      </c>
      <c r="E2818">
        <v>41</v>
      </c>
      <c r="F2818">
        <v>1.1900000000000001E-3</v>
      </c>
      <c r="G2818">
        <v>0</v>
      </c>
      <c r="H2818" t="str">
        <f t="shared" si="129"/>
        <v>40-49</v>
      </c>
      <c r="I2818" t="str">
        <f t="shared" si="130"/>
        <v>20-29</v>
      </c>
      <c r="J2818">
        <f t="shared" si="131"/>
        <v>1.1900000000000001E-3</v>
      </c>
    </row>
    <row r="2819" spans="1:10">
      <c r="A2819" t="s">
        <v>2901</v>
      </c>
      <c r="B2819">
        <v>35</v>
      </c>
      <c r="C2819" t="s">
        <v>7</v>
      </c>
      <c r="D2819">
        <v>23</v>
      </c>
      <c r="E2819">
        <v>57</v>
      </c>
      <c r="F2819">
        <v>3.6900000000000001E-3</v>
      </c>
      <c r="G2819">
        <v>0</v>
      </c>
      <c r="H2819" t="str">
        <f t="shared" ref="H2819:H2882" si="132">FLOOR(E2819,10) &amp; "-" &amp; FLOOR(E2819,10)+9</f>
        <v>50-59</v>
      </c>
      <c r="I2819" t="str">
        <f t="shared" ref="I2819:I2882" si="133">FLOOR(D2819, 10) &amp; "-"&amp;FLOOR(D2819, 10)+9</f>
        <v>20-29</v>
      </c>
      <c r="J2819">
        <f t="shared" ref="J2819:J2882" si="134">F2819</f>
        <v>3.6900000000000001E-3</v>
      </c>
    </row>
    <row r="2820" spans="1:10">
      <c r="A2820" t="s">
        <v>2902</v>
      </c>
      <c r="B2820">
        <v>26</v>
      </c>
      <c r="C2820" t="s">
        <v>9</v>
      </c>
      <c r="D2820">
        <v>10</v>
      </c>
      <c r="E2820">
        <v>35</v>
      </c>
      <c r="F2820">
        <v>6.8999999999999997E-4</v>
      </c>
      <c r="G2820">
        <v>0</v>
      </c>
      <c r="H2820" t="str">
        <f t="shared" si="132"/>
        <v>30-39</v>
      </c>
      <c r="I2820" t="str">
        <f t="shared" si="133"/>
        <v>10-19</v>
      </c>
      <c r="J2820">
        <f t="shared" si="134"/>
        <v>6.8999999999999997E-4</v>
      </c>
    </row>
    <row r="2821" spans="1:10">
      <c r="A2821" t="s">
        <v>2903</v>
      </c>
      <c r="B2821">
        <v>24</v>
      </c>
      <c r="C2821" t="s">
        <v>9</v>
      </c>
      <c r="D2821">
        <v>8</v>
      </c>
      <c r="E2821">
        <v>31</v>
      </c>
      <c r="F2821">
        <v>5.2999999999999998E-4</v>
      </c>
      <c r="G2821">
        <v>0</v>
      </c>
      <c r="H2821" t="str">
        <f t="shared" si="132"/>
        <v>30-39</v>
      </c>
      <c r="I2821" t="str">
        <f t="shared" si="133"/>
        <v>0-9</v>
      </c>
      <c r="J2821">
        <f t="shared" si="134"/>
        <v>5.2999999999999998E-4</v>
      </c>
    </row>
    <row r="2822" spans="1:10">
      <c r="A2822" t="s">
        <v>2904</v>
      </c>
      <c r="B2822">
        <v>25</v>
      </c>
      <c r="C2822" t="s">
        <v>9</v>
      </c>
      <c r="D2822">
        <v>12</v>
      </c>
      <c r="E2822">
        <v>36</v>
      </c>
      <c r="F2822">
        <v>8.0999999999999996E-4</v>
      </c>
      <c r="G2822">
        <v>0</v>
      </c>
      <c r="H2822" t="str">
        <f t="shared" si="132"/>
        <v>30-39</v>
      </c>
      <c r="I2822" t="str">
        <f t="shared" si="133"/>
        <v>10-19</v>
      </c>
      <c r="J2822">
        <f t="shared" si="134"/>
        <v>8.0999999999999996E-4</v>
      </c>
    </row>
    <row r="2823" spans="1:10">
      <c r="A2823" t="s">
        <v>2905</v>
      </c>
      <c r="B2823">
        <v>49</v>
      </c>
      <c r="C2823" t="s">
        <v>9</v>
      </c>
      <c r="D2823">
        <v>4</v>
      </c>
      <c r="E2823">
        <v>52</v>
      </c>
      <c r="F2823">
        <v>1.9400000000000001E-3</v>
      </c>
      <c r="G2823">
        <v>0</v>
      </c>
      <c r="H2823" t="str">
        <f t="shared" si="132"/>
        <v>50-59</v>
      </c>
      <c r="I2823" t="str">
        <f t="shared" si="133"/>
        <v>0-9</v>
      </c>
      <c r="J2823">
        <f t="shared" si="134"/>
        <v>1.9400000000000001E-3</v>
      </c>
    </row>
    <row r="2824" spans="1:10">
      <c r="A2824" t="s">
        <v>2906</v>
      </c>
      <c r="B2824">
        <v>45</v>
      </c>
      <c r="C2824" t="s">
        <v>9</v>
      </c>
      <c r="D2824">
        <v>25</v>
      </c>
      <c r="E2824">
        <v>69</v>
      </c>
      <c r="F2824">
        <v>1.5509999999999999E-2</v>
      </c>
      <c r="G2824">
        <v>0</v>
      </c>
      <c r="H2824" t="str">
        <f t="shared" si="132"/>
        <v>60-69</v>
      </c>
      <c r="I2824" t="str">
        <f t="shared" si="133"/>
        <v>20-29</v>
      </c>
      <c r="J2824">
        <f t="shared" si="134"/>
        <v>1.5509999999999999E-2</v>
      </c>
    </row>
    <row r="2825" spans="1:10">
      <c r="A2825" t="s">
        <v>2907</v>
      </c>
      <c r="B2825">
        <v>24</v>
      </c>
      <c r="C2825" t="s">
        <v>9</v>
      </c>
      <c r="D2825">
        <v>11</v>
      </c>
      <c r="E2825">
        <v>34</v>
      </c>
      <c r="F2825">
        <v>7.1000000000000002E-4</v>
      </c>
      <c r="G2825">
        <v>0</v>
      </c>
      <c r="H2825" t="str">
        <f t="shared" si="132"/>
        <v>30-39</v>
      </c>
      <c r="I2825" t="str">
        <f t="shared" si="133"/>
        <v>10-19</v>
      </c>
      <c r="J2825">
        <f t="shared" si="134"/>
        <v>7.1000000000000002E-4</v>
      </c>
    </row>
    <row r="2826" spans="1:10">
      <c r="A2826" t="s">
        <v>2908</v>
      </c>
      <c r="B2826">
        <v>33</v>
      </c>
      <c r="C2826" t="s">
        <v>7</v>
      </c>
      <c r="D2826">
        <v>23</v>
      </c>
      <c r="E2826">
        <v>55</v>
      </c>
      <c r="F2826">
        <v>3.0799999999999998E-3</v>
      </c>
      <c r="G2826">
        <v>0</v>
      </c>
      <c r="H2826" t="str">
        <f t="shared" si="132"/>
        <v>50-59</v>
      </c>
      <c r="I2826" t="str">
        <f t="shared" si="133"/>
        <v>20-29</v>
      </c>
      <c r="J2826">
        <f t="shared" si="134"/>
        <v>3.0799999999999998E-3</v>
      </c>
    </row>
    <row r="2827" spans="1:10">
      <c r="A2827" t="s">
        <v>2909</v>
      </c>
      <c r="B2827">
        <v>49</v>
      </c>
      <c r="C2827" t="s">
        <v>7</v>
      </c>
      <c r="D2827">
        <v>2</v>
      </c>
      <c r="E2827">
        <v>50</v>
      </c>
      <c r="F2827">
        <v>5.9999999999999995E-4</v>
      </c>
      <c r="G2827">
        <v>0</v>
      </c>
      <c r="H2827" t="str">
        <f t="shared" si="132"/>
        <v>50-59</v>
      </c>
      <c r="I2827" t="str">
        <f t="shared" si="133"/>
        <v>0-9</v>
      </c>
      <c r="J2827">
        <f t="shared" si="134"/>
        <v>5.9999999999999995E-4</v>
      </c>
    </row>
    <row r="2828" spans="1:10">
      <c r="A2828" t="s">
        <v>2910</v>
      </c>
      <c r="B2828">
        <v>29</v>
      </c>
      <c r="C2828" t="s">
        <v>9</v>
      </c>
      <c r="D2828">
        <v>21</v>
      </c>
      <c r="E2828">
        <v>49</v>
      </c>
      <c r="F2828">
        <v>2.33E-3</v>
      </c>
      <c r="G2828">
        <v>0</v>
      </c>
      <c r="H2828" t="str">
        <f t="shared" si="132"/>
        <v>40-49</v>
      </c>
      <c r="I2828" t="str">
        <f t="shared" si="133"/>
        <v>20-29</v>
      </c>
      <c r="J2828">
        <f t="shared" si="134"/>
        <v>2.33E-3</v>
      </c>
    </row>
    <row r="2829" spans="1:10">
      <c r="A2829" t="s">
        <v>2911</v>
      </c>
      <c r="B2829">
        <v>58</v>
      </c>
      <c r="C2829" t="s">
        <v>9</v>
      </c>
      <c r="D2829">
        <v>25</v>
      </c>
      <c r="E2829">
        <v>82</v>
      </c>
      <c r="F2829">
        <v>6.3329999999999997E-2</v>
      </c>
      <c r="G2829">
        <v>0</v>
      </c>
      <c r="H2829" t="str">
        <f t="shared" si="132"/>
        <v>80-89</v>
      </c>
      <c r="I2829" t="str">
        <f t="shared" si="133"/>
        <v>20-29</v>
      </c>
      <c r="J2829">
        <f t="shared" si="134"/>
        <v>6.3329999999999997E-2</v>
      </c>
    </row>
    <row r="2830" spans="1:10">
      <c r="A2830" t="s">
        <v>2912</v>
      </c>
      <c r="B2830">
        <v>43</v>
      </c>
      <c r="C2830" t="s">
        <v>9</v>
      </c>
      <c r="D2830">
        <v>26</v>
      </c>
      <c r="E2830">
        <v>68</v>
      </c>
      <c r="F2830">
        <v>1.413E-2</v>
      </c>
      <c r="G2830">
        <v>0</v>
      </c>
      <c r="H2830" t="str">
        <f t="shared" si="132"/>
        <v>60-69</v>
      </c>
      <c r="I2830" t="str">
        <f t="shared" si="133"/>
        <v>20-29</v>
      </c>
      <c r="J2830">
        <f t="shared" si="134"/>
        <v>1.413E-2</v>
      </c>
    </row>
    <row r="2831" spans="1:10">
      <c r="A2831" t="s">
        <v>2913</v>
      </c>
      <c r="B2831">
        <v>23</v>
      </c>
      <c r="C2831" t="s">
        <v>7</v>
      </c>
      <c r="D2831">
        <v>7</v>
      </c>
      <c r="E2831">
        <v>29</v>
      </c>
      <c r="F2831">
        <v>2.9999999999999997E-4</v>
      </c>
      <c r="G2831">
        <v>0</v>
      </c>
      <c r="H2831" t="str">
        <f t="shared" si="132"/>
        <v>20-29</v>
      </c>
      <c r="I2831" t="str">
        <f t="shared" si="133"/>
        <v>0-9</v>
      </c>
      <c r="J2831">
        <f t="shared" si="134"/>
        <v>2.9999999999999997E-4</v>
      </c>
    </row>
    <row r="2832" spans="1:10">
      <c r="A2832" t="s">
        <v>2914</v>
      </c>
      <c r="B2832">
        <v>63</v>
      </c>
      <c r="C2832" t="s">
        <v>9</v>
      </c>
      <c r="D2832">
        <v>14</v>
      </c>
      <c r="E2832">
        <v>76</v>
      </c>
      <c r="F2832">
        <v>2.9659999999999999E-2</v>
      </c>
      <c r="G2832">
        <v>0</v>
      </c>
      <c r="H2832" t="str">
        <f t="shared" si="132"/>
        <v>70-79</v>
      </c>
      <c r="I2832" t="str">
        <f t="shared" si="133"/>
        <v>10-19</v>
      </c>
      <c r="J2832">
        <f t="shared" si="134"/>
        <v>2.9659999999999999E-2</v>
      </c>
    </row>
    <row r="2833" spans="1:10">
      <c r="A2833" t="s">
        <v>2915</v>
      </c>
      <c r="B2833">
        <v>25</v>
      </c>
      <c r="C2833" t="s">
        <v>9</v>
      </c>
      <c r="D2833">
        <v>5</v>
      </c>
      <c r="E2833">
        <v>29</v>
      </c>
      <c r="F2833">
        <v>4.2999999999999999E-4</v>
      </c>
      <c r="G2833">
        <v>0</v>
      </c>
      <c r="H2833" t="str">
        <f t="shared" si="132"/>
        <v>20-29</v>
      </c>
      <c r="I2833" t="str">
        <f t="shared" si="133"/>
        <v>0-9</v>
      </c>
      <c r="J2833">
        <f t="shared" si="134"/>
        <v>4.2999999999999999E-4</v>
      </c>
    </row>
    <row r="2834" spans="1:10">
      <c r="A2834" t="s">
        <v>2916</v>
      </c>
      <c r="B2834">
        <v>39</v>
      </c>
      <c r="C2834" t="s">
        <v>7</v>
      </c>
      <c r="D2834">
        <v>28</v>
      </c>
      <c r="E2834">
        <v>66</v>
      </c>
      <c r="F2834">
        <v>7.4700000000000001E-3</v>
      </c>
      <c r="G2834">
        <v>0</v>
      </c>
      <c r="H2834" t="str">
        <f t="shared" si="132"/>
        <v>60-69</v>
      </c>
      <c r="I2834" t="str">
        <f t="shared" si="133"/>
        <v>20-29</v>
      </c>
      <c r="J2834">
        <f t="shared" si="134"/>
        <v>7.4700000000000001E-3</v>
      </c>
    </row>
    <row r="2835" spans="1:10">
      <c r="A2835" t="s">
        <v>2917</v>
      </c>
      <c r="B2835">
        <v>53</v>
      </c>
      <c r="C2835" t="s">
        <v>7</v>
      </c>
      <c r="D2835">
        <v>7</v>
      </c>
      <c r="E2835">
        <v>59</v>
      </c>
      <c r="F2835">
        <v>3.13E-3</v>
      </c>
      <c r="G2835">
        <v>0</v>
      </c>
      <c r="H2835" t="str">
        <f t="shared" si="132"/>
        <v>50-59</v>
      </c>
      <c r="I2835" t="str">
        <f t="shared" si="133"/>
        <v>0-9</v>
      </c>
      <c r="J2835">
        <f t="shared" si="134"/>
        <v>3.13E-3</v>
      </c>
    </row>
    <row r="2836" spans="1:10">
      <c r="A2836" t="s">
        <v>2918</v>
      </c>
      <c r="B2836">
        <v>23</v>
      </c>
      <c r="C2836" t="s">
        <v>7</v>
      </c>
      <c r="D2836">
        <v>3</v>
      </c>
      <c r="E2836">
        <v>25</v>
      </c>
      <c r="F2836">
        <v>2.5000000000000001E-4</v>
      </c>
      <c r="G2836">
        <v>0</v>
      </c>
      <c r="H2836" t="str">
        <f t="shared" si="132"/>
        <v>20-29</v>
      </c>
      <c r="I2836" t="str">
        <f t="shared" si="133"/>
        <v>0-9</v>
      </c>
      <c r="J2836">
        <f t="shared" si="134"/>
        <v>2.5000000000000001E-4</v>
      </c>
    </row>
    <row r="2837" spans="1:10">
      <c r="A2837" t="s">
        <v>2919</v>
      </c>
      <c r="B2837">
        <v>39</v>
      </c>
      <c r="C2837" t="s">
        <v>9</v>
      </c>
      <c r="D2837">
        <v>6</v>
      </c>
      <c r="E2837">
        <v>44</v>
      </c>
      <c r="F2837">
        <v>1.06E-3</v>
      </c>
      <c r="G2837">
        <v>0</v>
      </c>
      <c r="H2837" t="str">
        <f t="shared" si="132"/>
        <v>40-49</v>
      </c>
      <c r="I2837" t="str">
        <f t="shared" si="133"/>
        <v>0-9</v>
      </c>
      <c r="J2837">
        <f t="shared" si="134"/>
        <v>1.06E-3</v>
      </c>
    </row>
    <row r="2838" spans="1:10">
      <c r="A2838" t="s">
        <v>2920</v>
      </c>
      <c r="B2838">
        <v>50</v>
      </c>
      <c r="C2838" t="s">
        <v>7</v>
      </c>
      <c r="D2838">
        <v>16</v>
      </c>
      <c r="E2838">
        <v>65</v>
      </c>
      <c r="F2838">
        <v>7.7999999999999996E-3</v>
      </c>
      <c r="G2838">
        <v>0</v>
      </c>
      <c r="H2838" t="str">
        <f t="shared" si="132"/>
        <v>60-69</v>
      </c>
      <c r="I2838" t="str">
        <f t="shared" si="133"/>
        <v>10-19</v>
      </c>
      <c r="J2838">
        <f t="shared" si="134"/>
        <v>7.7999999999999996E-3</v>
      </c>
    </row>
    <row r="2839" spans="1:10">
      <c r="A2839" t="s">
        <v>2921</v>
      </c>
      <c r="B2839">
        <v>64</v>
      </c>
      <c r="C2839" t="s">
        <v>9</v>
      </c>
      <c r="D2839">
        <v>14</v>
      </c>
      <c r="E2839">
        <v>77</v>
      </c>
      <c r="F2839">
        <v>3.1980000000000001E-2</v>
      </c>
      <c r="G2839">
        <v>0</v>
      </c>
      <c r="H2839" t="str">
        <f t="shared" si="132"/>
        <v>70-79</v>
      </c>
      <c r="I2839" t="str">
        <f t="shared" si="133"/>
        <v>10-19</v>
      </c>
      <c r="J2839">
        <f t="shared" si="134"/>
        <v>3.1980000000000001E-2</v>
      </c>
    </row>
    <row r="2840" spans="1:10">
      <c r="A2840" t="s">
        <v>2922</v>
      </c>
      <c r="B2840">
        <v>44</v>
      </c>
      <c r="C2840" t="s">
        <v>9</v>
      </c>
      <c r="D2840">
        <v>27</v>
      </c>
      <c r="E2840">
        <v>70</v>
      </c>
      <c r="F2840">
        <v>1.553E-2</v>
      </c>
      <c r="G2840">
        <v>0</v>
      </c>
      <c r="H2840" t="str">
        <f t="shared" si="132"/>
        <v>70-79</v>
      </c>
      <c r="I2840" t="str">
        <f t="shared" si="133"/>
        <v>20-29</v>
      </c>
      <c r="J2840">
        <f t="shared" si="134"/>
        <v>1.553E-2</v>
      </c>
    </row>
    <row r="2841" spans="1:10">
      <c r="A2841" t="s">
        <v>2923</v>
      </c>
      <c r="B2841">
        <v>58</v>
      </c>
      <c r="C2841" t="s">
        <v>9</v>
      </c>
      <c r="D2841">
        <v>7</v>
      </c>
      <c r="E2841">
        <v>64</v>
      </c>
      <c r="F2841">
        <v>8.0099999999999998E-3</v>
      </c>
      <c r="G2841">
        <v>0</v>
      </c>
      <c r="H2841" t="str">
        <f t="shared" si="132"/>
        <v>60-69</v>
      </c>
      <c r="I2841" t="str">
        <f t="shared" si="133"/>
        <v>0-9</v>
      </c>
      <c r="J2841">
        <f t="shared" si="134"/>
        <v>8.0099999999999998E-3</v>
      </c>
    </row>
    <row r="2842" spans="1:10">
      <c r="A2842" t="s">
        <v>2924</v>
      </c>
      <c r="B2842">
        <v>59</v>
      </c>
      <c r="C2842" t="s">
        <v>9</v>
      </c>
      <c r="D2842">
        <v>5</v>
      </c>
      <c r="E2842">
        <v>63</v>
      </c>
      <c r="F2842">
        <v>6.3200000000000001E-3</v>
      </c>
      <c r="G2842">
        <v>0</v>
      </c>
      <c r="H2842" t="str">
        <f t="shared" si="132"/>
        <v>60-69</v>
      </c>
      <c r="I2842" t="str">
        <f t="shared" si="133"/>
        <v>0-9</v>
      </c>
      <c r="J2842">
        <f t="shared" si="134"/>
        <v>6.3200000000000001E-3</v>
      </c>
    </row>
    <row r="2843" spans="1:10">
      <c r="A2843" t="s">
        <v>2925</v>
      </c>
      <c r="B2843">
        <v>40</v>
      </c>
      <c r="C2843" t="s">
        <v>9</v>
      </c>
      <c r="D2843">
        <v>1</v>
      </c>
      <c r="E2843">
        <v>40</v>
      </c>
      <c r="F2843">
        <v>3.1E-4</v>
      </c>
      <c r="G2843">
        <v>0</v>
      </c>
      <c r="H2843" t="str">
        <f t="shared" si="132"/>
        <v>40-49</v>
      </c>
      <c r="I2843" t="str">
        <f t="shared" si="133"/>
        <v>0-9</v>
      </c>
      <c r="J2843">
        <f t="shared" si="134"/>
        <v>3.1E-4</v>
      </c>
    </row>
    <row r="2844" spans="1:10">
      <c r="A2844" t="s">
        <v>2926</v>
      </c>
      <c r="B2844">
        <v>29</v>
      </c>
      <c r="C2844" t="s">
        <v>7</v>
      </c>
      <c r="D2844">
        <v>16</v>
      </c>
      <c r="E2844">
        <v>44</v>
      </c>
      <c r="F2844">
        <v>1.15E-3</v>
      </c>
      <c r="G2844">
        <v>0</v>
      </c>
      <c r="H2844" t="str">
        <f t="shared" si="132"/>
        <v>40-49</v>
      </c>
      <c r="I2844" t="str">
        <f t="shared" si="133"/>
        <v>10-19</v>
      </c>
      <c r="J2844">
        <f t="shared" si="134"/>
        <v>1.15E-3</v>
      </c>
    </row>
    <row r="2845" spans="1:10">
      <c r="A2845" t="s">
        <v>2927</v>
      </c>
      <c r="B2845">
        <v>63</v>
      </c>
      <c r="C2845" t="s">
        <v>9</v>
      </c>
      <c r="D2845">
        <v>14</v>
      </c>
      <c r="E2845">
        <v>76</v>
      </c>
      <c r="F2845">
        <v>2.9659999999999999E-2</v>
      </c>
      <c r="G2845">
        <v>0</v>
      </c>
      <c r="H2845" t="str">
        <f t="shared" si="132"/>
        <v>70-79</v>
      </c>
      <c r="I2845" t="str">
        <f t="shared" si="133"/>
        <v>10-19</v>
      </c>
      <c r="J2845">
        <f t="shared" si="134"/>
        <v>2.9659999999999999E-2</v>
      </c>
    </row>
    <row r="2846" spans="1:10">
      <c r="A2846" t="s">
        <v>2928</v>
      </c>
      <c r="B2846">
        <v>48</v>
      </c>
      <c r="C2846" t="s">
        <v>7</v>
      </c>
      <c r="D2846">
        <v>27</v>
      </c>
      <c r="E2846">
        <v>74</v>
      </c>
      <c r="F2846">
        <v>1.8970000000000001E-2</v>
      </c>
      <c r="G2846">
        <v>0</v>
      </c>
      <c r="H2846" t="str">
        <f t="shared" si="132"/>
        <v>70-79</v>
      </c>
      <c r="I2846" t="str">
        <f t="shared" si="133"/>
        <v>20-29</v>
      </c>
      <c r="J2846">
        <f t="shared" si="134"/>
        <v>1.8970000000000001E-2</v>
      </c>
    </row>
    <row r="2847" spans="1:10">
      <c r="A2847" t="s">
        <v>2929</v>
      </c>
      <c r="B2847">
        <v>60</v>
      </c>
      <c r="C2847" t="s">
        <v>9</v>
      </c>
      <c r="D2847">
        <v>19</v>
      </c>
      <c r="E2847">
        <v>78</v>
      </c>
      <c r="F2847">
        <v>4.0669999999999998E-2</v>
      </c>
      <c r="G2847">
        <v>0</v>
      </c>
      <c r="H2847" t="str">
        <f t="shared" si="132"/>
        <v>70-79</v>
      </c>
      <c r="I2847" t="str">
        <f t="shared" si="133"/>
        <v>10-19</v>
      </c>
      <c r="J2847">
        <f t="shared" si="134"/>
        <v>4.0669999999999998E-2</v>
      </c>
    </row>
    <row r="2848" spans="1:10">
      <c r="A2848" t="s">
        <v>2930</v>
      </c>
      <c r="B2848">
        <v>32</v>
      </c>
      <c r="C2848" t="s">
        <v>7</v>
      </c>
      <c r="D2848">
        <v>14</v>
      </c>
      <c r="E2848">
        <v>45</v>
      </c>
      <c r="F2848">
        <v>1.15E-3</v>
      </c>
      <c r="G2848">
        <v>0</v>
      </c>
      <c r="H2848" t="str">
        <f t="shared" si="132"/>
        <v>40-49</v>
      </c>
      <c r="I2848" t="str">
        <f t="shared" si="133"/>
        <v>10-19</v>
      </c>
      <c r="J2848">
        <f t="shared" si="134"/>
        <v>1.15E-3</v>
      </c>
    </row>
    <row r="2849" spans="1:10">
      <c r="A2849" t="s">
        <v>2931</v>
      </c>
      <c r="B2849">
        <v>58</v>
      </c>
      <c r="C2849" t="s">
        <v>9</v>
      </c>
      <c r="D2849">
        <v>13</v>
      </c>
      <c r="E2849">
        <v>70</v>
      </c>
      <c r="F2849">
        <v>1.6709999999999999E-2</v>
      </c>
      <c r="G2849">
        <v>0</v>
      </c>
      <c r="H2849" t="str">
        <f t="shared" si="132"/>
        <v>70-79</v>
      </c>
      <c r="I2849" t="str">
        <f t="shared" si="133"/>
        <v>10-19</v>
      </c>
      <c r="J2849">
        <f t="shared" si="134"/>
        <v>1.6709999999999999E-2</v>
      </c>
    </row>
    <row r="2850" spans="1:10">
      <c r="A2850" t="s">
        <v>2932</v>
      </c>
      <c r="B2850">
        <v>32</v>
      </c>
      <c r="C2850" t="s">
        <v>7</v>
      </c>
      <c r="D2850">
        <v>22</v>
      </c>
      <c r="E2850">
        <v>53</v>
      </c>
      <c r="F2850">
        <v>2.5899999999999999E-3</v>
      </c>
      <c r="G2850">
        <v>0</v>
      </c>
      <c r="H2850" t="str">
        <f t="shared" si="132"/>
        <v>50-59</v>
      </c>
      <c r="I2850" t="str">
        <f t="shared" si="133"/>
        <v>20-29</v>
      </c>
      <c r="J2850">
        <f t="shared" si="134"/>
        <v>2.5899999999999999E-3</v>
      </c>
    </row>
    <row r="2851" spans="1:10">
      <c r="A2851" t="s">
        <v>2933</v>
      </c>
      <c r="B2851">
        <v>43</v>
      </c>
      <c r="C2851" t="s">
        <v>9</v>
      </c>
      <c r="D2851">
        <v>1</v>
      </c>
      <c r="E2851">
        <v>43</v>
      </c>
      <c r="F2851">
        <v>4.4000000000000002E-4</v>
      </c>
      <c r="G2851">
        <v>0</v>
      </c>
      <c r="H2851" t="str">
        <f t="shared" si="132"/>
        <v>40-49</v>
      </c>
      <c r="I2851" t="str">
        <f t="shared" si="133"/>
        <v>0-9</v>
      </c>
      <c r="J2851">
        <f t="shared" si="134"/>
        <v>4.4000000000000002E-4</v>
      </c>
    </row>
    <row r="2852" spans="1:10">
      <c r="A2852" t="s">
        <v>2934</v>
      </c>
      <c r="B2852">
        <v>27</v>
      </c>
      <c r="C2852" t="s">
        <v>9</v>
      </c>
      <c r="D2852">
        <v>23</v>
      </c>
      <c r="E2852">
        <v>49</v>
      </c>
      <c r="F2852">
        <v>2.49E-3</v>
      </c>
      <c r="G2852">
        <v>0</v>
      </c>
      <c r="H2852" t="str">
        <f t="shared" si="132"/>
        <v>40-49</v>
      </c>
      <c r="I2852" t="str">
        <f t="shared" si="133"/>
        <v>20-29</v>
      </c>
      <c r="J2852">
        <f t="shared" si="134"/>
        <v>2.49E-3</v>
      </c>
    </row>
    <row r="2853" spans="1:10">
      <c r="A2853" t="s">
        <v>2935</v>
      </c>
      <c r="B2853">
        <v>46</v>
      </c>
      <c r="C2853" t="s">
        <v>9</v>
      </c>
      <c r="D2853">
        <v>14</v>
      </c>
      <c r="E2853">
        <v>59</v>
      </c>
      <c r="F2853">
        <v>5.4299999999999999E-3</v>
      </c>
      <c r="G2853">
        <v>0</v>
      </c>
      <c r="H2853" t="str">
        <f t="shared" si="132"/>
        <v>50-59</v>
      </c>
      <c r="I2853" t="str">
        <f t="shared" si="133"/>
        <v>10-19</v>
      </c>
      <c r="J2853">
        <f t="shared" si="134"/>
        <v>5.4299999999999999E-3</v>
      </c>
    </row>
    <row r="2854" spans="1:10">
      <c r="A2854" t="s">
        <v>2936</v>
      </c>
      <c r="B2854">
        <v>47</v>
      </c>
      <c r="C2854" t="s">
        <v>7</v>
      </c>
      <c r="D2854">
        <v>17</v>
      </c>
      <c r="E2854">
        <v>63</v>
      </c>
      <c r="F2854">
        <v>6.45E-3</v>
      </c>
      <c r="G2854">
        <v>0</v>
      </c>
      <c r="H2854" t="str">
        <f t="shared" si="132"/>
        <v>60-69</v>
      </c>
      <c r="I2854" t="str">
        <f t="shared" si="133"/>
        <v>10-19</v>
      </c>
      <c r="J2854">
        <f t="shared" si="134"/>
        <v>6.45E-3</v>
      </c>
    </row>
    <row r="2855" spans="1:10">
      <c r="A2855" t="s">
        <v>2937</v>
      </c>
      <c r="B2855">
        <v>31</v>
      </c>
      <c r="C2855" t="s">
        <v>9</v>
      </c>
      <c r="D2855">
        <v>15</v>
      </c>
      <c r="E2855">
        <v>45</v>
      </c>
      <c r="F2855">
        <v>1.58E-3</v>
      </c>
      <c r="G2855">
        <v>0</v>
      </c>
      <c r="H2855" t="str">
        <f t="shared" si="132"/>
        <v>40-49</v>
      </c>
      <c r="I2855" t="str">
        <f t="shared" si="133"/>
        <v>10-19</v>
      </c>
      <c r="J2855">
        <f t="shared" si="134"/>
        <v>1.58E-3</v>
      </c>
    </row>
    <row r="2856" spans="1:10">
      <c r="A2856" t="s">
        <v>2938</v>
      </c>
      <c r="B2856">
        <v>58</v>
      </c>
      <c r="C2856" t="s">
        <v>7</v>
      </c>
      <c r="D2856">
        <v>6</v>
      </c>
      <c r="E2856">
        <v>63</v>
      </c>
      <c r="F2856">
        <v>4.6699999999999997E-3</v>
      </c>
      <c r="G2856">
        <v>0</v>
      </c>
      <c r="H2856" t="str">
        <f t="shared" si="132"/>
        <v>60-69</v>
      </c>
      <c r="I2856" t="str">
        <f t="shared" si="133"/>
        <v>0-9</v>
      </c>
      <c r="J2856">
        <f t="shared" si="134"/>
        <v>4.6699999999999997E-3</v>
      </c>
    </row>
    <row r="2857" spans="1:10">
      <c r="A2857" t="s">
        <v>2939</v>
      </c>
      <c r="B2857">
        <v>62</v>
      </c>
      <c r="C2857" t="s">
        <v>7</v>
      </c>
      <c r="D2857">
        <v>23</v>
      </c>
      <c r="E2857">
        <v>84</v>
      </c>
      <c r="F2857">
        <v>6.4490000000000006E-2</v>
      </c>
      <c r="G2857">
        <v>0</v>
      </c>
      <c r="H2857" t="str">
        <f t="shared" si="132"/>
        <v>80-89</v>
      </c>
      <c r="I2857" t="str">
        <f t="shared" si="133"/>
        <v>20-29</v>
      </c>
      <c r="J2857">
        <f t="shared" si="134"/>
        <v>6.4490000000000006E-2</v>
      </c>
    </row>
    <row r="2858" spans="1:10">
      <c r="A2858" t="s">
        <v>2940</v>
      </c>
      <c r="B2858">
        <v>64</v>
      </c>
      <c r="C2858" t="s">
        <v>7</v>
      </c>
      <c r="D2858">
        <v>20</v>
      </c>
      <c r="E2858">
        <v>83</v>
      </c>
      <c r="F2858">
        <v>5.6770000000000001E-2</v>
      </c>
      <c r="G2858">
        <v>0</v>
      </c>
      <c r="H2858" t="str">
        <f t="shared" si="132"/>
        <v>80-89</v>
      </c>
      <c r="I2858" t="str">
        <f t="shared" si="133"/>
        <v>20-29</v>
      </c>
      <c r="J2858">
        <f t="shared" si="134"/>
        <v>5.6770000000000001E-2</v>
      </c>
    </row>
    <row r="2859" spans="1:10">
      <c r="A2859" t="s">
        <v>2941</v>
      </c>
      <c r="B2859">
        <v>26</v>
      </c>
      <c r="C2859" t="s">
        <v>7</v>
      </c>
      <c r="D2859">
        <v>3</v>
      </c>
      <c r="E2859">
        <v>28</v>
      </c>
      <c r="F2859">
        <v>1.9000000000000001E-4</v>
      </c>
      <c r="G2859">
        <v>0</v>
      </c>
      <c r="H2859" t="str">
        <f t="shared" si="132"/>
        <v>20-29</v>
      </c>
      <c r="I2859" t="str">
        <f t="shared" si="133"/>
        <v>0-9</v>
      </c>
      <c r="J2859">
        <f t="shared" si="134"/>
        <v>1.9000000000000001E-4</v>
      </c>
    </row>
    <row r="2860" spans="1:10">
      <c r="A2860" t="s">
        <v>2942</v>
      </c>
      <c r="B2860">
        <v>61</v>
      </c>
      <c r="C2860" t="s">
        <v>7</v>
      </c>
      <c r="D2860">
        <v>1</v>
      </c>
      <c r="E2860">
        <v>61</v>
      </c>
      <c r="F2860">
        <v>8.3000000000000001E-4</v>
      </c>
      <c r="G2860">
        <v>0</v>
      </c>
      <c r="H2860" t="str">
        <f t="shared" si="132"/>
        <v>60-69</v>
      </c>
      <c r="I2860" t="str">
        <f t="shared" si="133"/>
        <v>0-9</v>
      </c>
      <c r="J2860">
        <f t="shared" si="134"/>
        <v>8.3000000000000001E-4</v>
      </c>
    </row>
    <row r="2861" spans="1:10">
      <c r="A2861" t="s">
        <v>2943</v>
      </c>
      <c r="B2861">
        <v>51</v>
      </c>
      <c r="C2861" t="s">
        <v>7</v>
      </c>
      <c r="D2861">
        <v>24</v>
      </c>
      <c r="E2861">
        <v>74</v>
      </c>
      <c r="F2861">
        <v>2.0979999999999999E-2</v>
      </c>
      <c r="G2861">
        <v>0</v>
      </c>
      <c r="H2861" t="str">
        <f t="shared" si="132"/>
        <v>70-79</v>
      </c>
      <c r="I2861" t="str">
        <f t="shared" si="133"/>
        <v>20-29</v>
      </c>
      <c r="J2861">
        <f t="shared" si="134"/>
        <v>2.0979999999999999E-2</v>
      </c>
    </row>
    <row r="2862" spans="1:10">
      <c r="A2862" t="s">
        <v>2944</v>
      </c>
      <c r="B2862">
        <v>26</v>
      </c>
      <c r="C2862" t="s">
        <v>9</v>
      </c>
      <c r="D2862">
        <v>21</v>
      </c>
      <c r="E2862">
        <v>46</v>
      </c>
      <c r="F2862">
        <v>2.0100000000000001E-3</v>
      </c>
      <c r="G2862">
        <v>0</v>
      </c>
      <c r="H2862" t="str">
        <f t="shared" si="132"/>
        <v>40-49</v>
      </c>
      <c r="I2862" t="str">
        <f t="shared" si="133"/>
        <v>20-29</v>
      </c>
      <c r="J2862">
        <f t="shared" si="134"/>
        <v>2.0100000000000001E-3</v>
      </c>
    </row>
    <row r="2863" spans="1:10">
      <c r="A2863" t="s">
        <v>2945</v>
      </c>
      <c r="B2863">
        <v>22</v>
      </c>
      <c r="C2863" t="s">
        <v>9</v>
      </c>
      <c r="D2863">
        <v>22</v>
      </c>
      <c r="E2863">
        <v>43</v>
      </c>
      <c r="F2863">
        <v>2.0400000000000001E-3</v>
      </c>
      <c r="G2863">
        <v>0</v>
      </c>
      <c r="H2863" t="str">
        <f t="shared" si="132"/>
        <v>40-49</v>
      </c>
      <c r="I2863" t="str">
        <f t="shared" si="133"/>
        <v>20-29</v>
      </c>
      <c r="J2863">
        <f t="shared" si="134"/>
        <v>2.0400000000000001E-3</v>
      </c>
    </row>
    <row r="2864" spans="1:10">
      <c r="A2864" t="s">
        <v>2946</v>
      </c>
      <c r="B2864">
        <v>34</v>
      </c>
      <c r="C2864" t="s">
        <v>9</v>
      </c>
      <c r="D2864">
        <v>25</v>
      </c>
      <c r="E2864">
        <v>58</v>
      </c>
      <c r="F2864">
        <v>5.2199999999999998E-3</v>
      </c>
      <c r="G2864">
        <v>0</v>
      </c>
      <c r="H2864" t="str">
        <f t="shared" si="132"/>
        <v>50-59</v>
      </c>
      <c r="I2864" t="str">
        <f t="shared" si="133"/>
        <v>20-29</v>
      </c>
      <c r="J2864">
        <f t="shared" si="134"/>
        <v>5.2199999999999998E-3</v>
      </c>
    </row>
    <row r="2865" spans="1:10">
      <c r="A2865" t="s">
        <v>2947</v>
      </c>
      <c r="B2865">
        <v>32</v>
      </c>
      <c r="C2865" t="s">
        <v>9</v>
      </c>
      <c r="D2865">
        <v>28</v>
      </c>
      <c r="E2865">
        <v>59</v>
      </c>
      <c r="F2865">
        <v>4.7800000000000004E-3</v>
      </c>
      <c r="G2865">
        <v>0</v>
      </c>
      <c r="H2865" t="str">
        <f t="shared" si="132"/>
        <v>50-59</v>
      </c>
      <c r="I2865" t="str">
        <f t="shared" si="133"/>
        <v>20-29</v>
      </c>
      <c r="J2865">
        <f t="shared" si="134"/>
        <v>4.7800000000000004E-3</v>
      </c>
    </row>
    <row r="2866" spans="1:10">
      <c r="A2866" t="s">
        <v>2948</v>
      </c>
      <c r="B2866">
        <v>49</v>
      </c>
      <c r="C2866" t="s">
        <v>7</v>
      </c>
      <c r="D2866">
        <v>14</v>
      </c>
      <c r="E2866">
        <v>62</v>
      </c>
      <c r="F2866">
        <v>5.5599999999999998E-3</v>
      </c>
      <c r="G2866">
        <v>0</v>
      </c>
      <c r="H2866" t="str">
        <f t="shared" si="132"/>
        <v>60-69</v>
      </c>
      <c r="I2866" t="str">
        <f t="shared" si="133"/>
        <v>10-19</v>
      </c>
      <c r="J2866">
        <f t="shared" si="134"/>
        <v>5.5599999999999998E-3</v>
      </c>
    </row>
    <row r="2867" spans="1:10">
      <c r="A2867" t="s">
        <v>2949</v>
      </c>
      <c r="B2867">
        <v>45</v>
      </c>
      <c r="C2867" t="s">
        <v>7</v>
      </c>
      <c r="D2867">
        <v>1</v>
      </c>
      <c r="E2867">
        <v>45</v>
      </c>
      <c r="F2867">
        <v>3.1E-4</v>
      </c>
      <c r="G2867">
        <v>0</v>
      </c>
      <c r="H2867" t="str">
        <f t="shared" si="132"/>
        <v>40-49</v>
      </c>
      <c r="I2867" t="str">
        <f t="shared" si="133"/>
        <v>0-9</v>
      </c>
      <c r="J2867">
        <f t="shared" si="134"/>
        <v>3.1E-4</v>
      </c>
    </row>
    <row r="2868" spans="1:10">
      <c r="A2868" t="s">
        <v>2950</v>
      </c>
      <c r="B2868">
        <v>52</v>
      </c>
      <c r="C2868" t="s">
        <v>9</v>
      </c>
      <c r="D2868">
        <v>10</v>
      </c>
      <c r="E2868">
        <v>61</v>
      </c>
      <c r="F2868">
        <v>6.5500000000000003E-3</v>
      </c>
      <c r="G2868">
        <v>0</v>
      </c>
      <c r="H2868" t="str">
        <f t="shared" si="132"/>
        <v>60-69</v>
      </c>
      <c r="I2868" t="str">
        <f t="shared" si="133"/>
        <v>10-19</v>
      </c>
      <c r="J2868">
        <f t="shared" si="134"/>
        <v>6.5500000000000003E-3</v>
      </c>
    </row>
    <row r="2869" spans="1:10">
      <c r="A2869" t="s">
        <v>2951</v>
      </c>
      <c r="B2869">
        <v>39</v>
      </c>
      <c r="C2869" t="s">
        <v>7</v>
      </c>
      <c r="D2869">
        <v>27</v>
      </c>
      <c r="E2869">
        <v>65</v>
      </c>
      <c r="F2869">
        <v>7.4700000000000001E-3</v>
      </c>
      <c r="G2869">
        <v>0</v>
      </c>
      <c r="H2869" t="str">
        <f t="shared" si="132"/>
        <v>60-69</v>
      </c>
      <c r="I2869" t="str">
        <f t="shared" si="133"/>
        <v>20-29</v>
      </c>
      <c r="J2869">
        <f t="shared" si="134"/>
        <v>7.4700000000000001E-3</v>
      </c>
    </row>
    <row r="2870" spans="1:10">
      <c r="A2870" t="s">
        <v>2952</v>
      </c>
      <c r="B2870">
        <v>63</v>
      </c>
      <c r="C2870" t="s">
        <v>9</v>
      </c>
      <c r="D2870">
        <v>8</v>
      </c>
      <c r="E2870">
        <v>70</v>
      </c>
      <c r="F2870">
        <v>1.2489999999999999E-2</v>
      </c>
      <c r="G2870">
        <v>0</v>
      </c>
      <c r="H2870" t="str">
        <f t="shared" si="132"/>
        <v>70-79</v>
      </c>
      <c r="I2870" t="str">
        <f t="shared" si="133"/>
        <v>0-9</v>
      </c>
      <c r="J2870">
        <f t="shared" si="134"/>
        <v>1.2489999999999999E-2</v>
      </c>
    </row>
    <row r="2871" spans="1:10">
      <c r="A2871" t="s">
        <v>2953</v>
      </c>
      <c r="B2871">
        <v>22</v>
      </c>
      <c r="C2871" t="s">
        <v>9</v>
      </c>
      <c r="D2871">
        <v>1</v>
      </c>
      <c r="E2871">
        <v>22</v>
      </c>
      <c r="F2871">
        <v>5.8E-4</v>
      </c>
      <c r="G2871">
        <v>0</v>
      </c>
      <c r="H2871" t="str">
        <f t="shared" si="132"/>
        <v>20-29</v>
      </c>
      <c r="I2871" t="str">
        <f t="shared" si="133"/>
        <v>0-9</v>
      </c>
      <c r="J2871">
        <f t="shared" si="134"/>
        <v>5.8E-4</v>
      </c>
    </row>
    <row r="2872" spans="1:10">
      <c r="A2872" t="s">
        <v>2954</v>
      </c>
      <c r="B2872">
        <v>53</v>
      </c>
      <c r="C2872" t="s">
        <v>7</v>
      </c>
      <c r="D2872">
        <v>27</v>
      </c>
      <c r="E2872">
        <v>79</v>
      </c>
      <c r="F2872">
        <v>3.1989999999999998E-2</v>
      </c>
      <c r="G2872">
        <v>0</v>
      </c>
      <c r="H2872" t="str">
        <f t="shared" si="132"/>
        <v>70-79</v>
      </c>
      <c r="I2872" t="str">
        <f t="shared" si="133"/>
        <v>20-29</v>
      </c>
      <c r="J2872">
        <f t="shared" si="134"/>
        <v>3.1989999999999998E-2</v>
      </c>
    </row>
    <row r="2873" spans="1:10">
      <c r="A2873" t="s">
        <v>2955</v>
      </c>
      <c r="B2873">
        <v>30</v>
      </c>
      <c r="C2873" t="s">
        <v>7</v>
      </c>
      <c r="D2873">
        <v>19</v>
      </c>
      <c r="E2873">
        <v>48</v>
      </c>
      <c r="F2873">
        <v>1.64E-3</v>
      </c>
      <c r="G2873">
        <v>0</v>
      </c>
      <c r="H2873" t="str">
        <f t="shared" si="132"/>
        <v>40-49</v>
      </c>
      <c r="I2873" t="str">
        <f t="shared" si="133"/>
        <v>10-19</v>
      </c>
      <c r="J2873">
        <f t="shared" si="134"/>
        <v>1.64E-3</v>
      </c>
    </row>
    <row r="2874" spans="1:10">
      <c r="A2874" t="s">
        <v>2956</v>
      </c>
      <c r="B2874">
        <v>45</v>
      </c>
      <c r="C2874" t="s">
        <v>7</v>
      </c>
      <c r="D2874">
        <v>7</v>
      </c>
      <c r="E2874">
        <v>51</v>
      </c>
      <c r="F2874">
        <v>1.4499999999999999E-3</v>
      </c>
      <c r="G2874">
        <v>0</v>
      </c>
      <c r="H2874" t="str">
        <f t="shared" si="132"/>
        <v>50-59</v>
      </c>
      <c r="I2874" t="str">
        <f t="shared" si="133"/>
        <v>0-9</v>
      </c>
      <c r="J2874">
        <f t="shared" si="134"/>
        <v>1.4499999999999999E-3</v>
      </c>
    </row>
    <row r="2875" spans="1:10">
      <c r="A2875" t="s">
        <v>2957</v>
      </c>
      <c r="B2875">
        <v>23</v>
      </c>
      <c r="C2875" t="s">
        <v>7</v>
      </c>
      <c r="D2875">
        <v>26</v>
      </c>
      <c r="E2875">
        <v>48</v>
      </c>
      <c r="F2875">
        <v>1.73E-3</v>
      </c>
      <c r="G2875">
        <v>0</v>
      </c>
      <c r="H2875" t="str">
        <f t="shared" si="132"/>
        <v>40-49</v>
      </c>
      <c r="I2875" t="str">
        <f t="shared" si="133"/>
        <v>20-29</v>
      </c>
      <c r="J2875">
        <f t="shared" si="134"/>
        <v>1.73E-3</v>
      </c>
    </row>
    <row r="2876" spans="1:10">
      <c r="A2876" t="s">
        <v>2958</v>
      </c>
      <c r="B2876">
        <v>60</v>
      </c>
      <c r="C2876" t="s">
        <v>7</v>
      </c>
      <c r="D2876">
        <v>13</v>
      </c>
      <c r="E2876">
        <v>72</v>
      </c>
      <c r="F2876">
        <v>1.3100000000000001E-2</v>
      </c>
      <c r="G2876">
        <v>0</v>
      </c>
      <c r="H2876" t="str">
        <f t="shared" si="132"/>
        <v>70-79</v>
      </c>
      <c r="I2876" t="str">
        <f t="shared" si="133"/>
        <v>10-19</v>
      </c>
      <c r="J2876">
        <f t="shared" si="134"/>
        <v>1.3100000000000001E-2</v>
      </c>
    </row>
    <row r="2877" spans="1:10">
      <c r="A2877" t="s">
        <v>2959</v>
      </c>
      <c r="B2877">
        <v>40</v>
      </c>
      <c r="C2877" t="s">
        <v>9</v>
      </c>
      <c r="D2877">
        <v>17</v>
      </c>
      <c r="E2877">
        <v>56</v>
      </c>
      <c r="F2877">
        <v>4.0800000000000003E-3</v>
      </c>
      <c r="G2877">
        <v>0</v>
      </c>
      <c r="H2877" t="str">
        <f t="shared" si="132"/>
        <v>50-59</v>
      </c>
      <c r="I2877" t="str">
        <f t="shared" si="133"/>
        <v>10-19</v>
      </c>
      <c r="J2877">
        <f t="shared" si="134"/>
        <v>4.0800000000000003E-3</v>
      </c>
    </row>
    <row r="2878" spans="1:10">
      <c r="A2878" t="s">
        <v>2960</v>
      </c>
      <c r="B2878">
        <v>65</v>
      </c>
      <c r="C2878" t="s">
        <v>9</v>
      </c>
      <c r="D2878">
        <v>26</v>
      </c>
      <c r="E2878">
        <v>90</v>
      </c>
      <c r="F2878">
        <v>0.16611999999999999</v>
      </c>
      <c r="G2878">
        <v>1</v>
      </c>
      <c r="H2878" t="str">
        <f t="shared" si="132"/>
        <v>90-99</v>
      </c>
      <c r="I2878" t="str">
        <f t="shared" si="133"/>
        <v>20-29</v>
      </c>
      <c r="J2878">
        <f t="shared" si="134"/>
        <v>0.16611999999999999</v>
      </c>
    </row>
    <row r="2879" spans="1:10">
      <c r="A2879" t="s">
        <v>2961</v>
      </c>
      <c r="B2879">
        <v>56</v>
      </c>
      <c r="C2879" t="s">
        <v>9</v>
      </c>
      <c r="D2879">
        <v>26</v>
      </c>
      <c r="E2879">
        <v>81</v>
      </c>
      <c r="F2879">
        <v>5.6829999999999999E-2</v>
      </c>
      <c r="G2879">
        <v>0</v>
      </c>
      <c r="H2879" t="str">
        <f t="shared" si="132"/>
        <v>80-89</v>
      </c>
      <c r="I2879" t="str">
        <f t="shared" si="133"/>
        <v>20-29</v>
      </c>
      <c r="J2879">
        <f t="shared" si="134"/>
        <v>5.6829999999999999E-2</v>
      </c>
    </row>
    <row r="2880" spans="1:10">
      <c r="A2880" t="s">
        <v>2962</v>
      </c>
      <c r="B2880">
        <v>36</v>
      </c>
      <c r="C2880" t="s">
        <v>7</v>
      </c>
      <c r="D2880">
        <v>27</v>
      </c>
      <c r="E2880">
        <v>62</v>
      </c>
      <c r="F2880">
        <v>5.4599999999999996E-3</v>
      </c>
      <c r="G2880">
        <v>0</v>
      </c>
      <c r="H2880" t="str">
        <f t="shared" si="132"/>
        <v>60-69</v>
      </c>
      <c r="I2880" t="str">
        <f t="shared" si="133"/>
        <v>20-29</v>
      </c>
      <c r="J2880">
        <f t="shared" si="134"/>
        <v>5.4599999999999996E-3</v>
      </c>
    </row>
    <row r="2881" spans="1:10">
      <c r="A2881" t="s">
        <v>2963</v>
      </c>
      <c r="B2881">
        <v>33</v>
      </c>
      <c r="C2881" t="s">
        <v>9</v>
      </c>
      <c r="D2881">
        <v>3</v>
      </c>
      <c r="E2881">
        <v>35</v>
      </c>
      <c r="F2881">
        <v>4.4000000000000002E-4</v>
      </c>
      <c r="G2881">
        <v>0</v>
      </c>
      <c r="H2881" t="str">
        <f t="shared" si="132"/>
        <v>30-39</v>
      </c>
      <c r="I2881" t="str">
        <f t="shared" si="133"/>
        <v>0-9</v>
      </c>
      <c r="J2881">
        <f t="shared" si="134"/>
        <v>4.4000000000000002E-4</v>
      </c>
    </row>
    <row r="2882" spans="1:10">
      <c r="A2882" t="s">
        <v>2964</v>
      </c>
      <c r="B2882">
        <v>60</v>
      </c>
      <c r="C2882" t="s">
        <v>7</v>
      </c>
      <c r="D2882">
        <v>25</v>
      </c>
      <c r="E2882">
        <v>84</v>
      </c>
      <c r="F2882">
        <v>6.4490000000000006E-2</v>
      </c>
      <c r="G2882">
        <v>1</v>
      </c>
      <c r="H2882" t="str">
        <f t="shared" si="132"/>
        <v>80-89</v>
      </c>
      <c r="I2882" t="str">
        <f t="shared" si="133"/>
        <v>20-29</v>
      </c>
      <c r="J2882">
        <f t="shared" si="134"/>
        <v>6.4490000000000006E-2</v>
      </c>
    </row>
    <row r="2883" spans="1:10">
      <c r="A2883" t="s">
        <v>2965</v>
      </c>
      <c r="B2883">
        <v>65</v>
      </c>
      <c r="C2883" t="s">
        <v>7</v>
      </c>
      <c r="D2883">
        <v>18</v>
      </c>
      <c r="E2883">
        <v>82</v>
      </c>
      <c r="F2883">
        <v>4.897E-2</v>
      </c>
      <c r="G2883">
        <v>0</v>
      </c>
      <c r="H2883" t="str">
        <f t="shared" ref="H2883:H2946" si="135">FLOOR(E2883,10) &amp; "-" &amp; FLOOR(E2883,10)+9</f>
        <v>80-89</v>
      </c>
      <c r="I2883" t="str">
        <f t="shared" ref="I2883:I2946" si="136">FLOOR(D2883, 10) &amp; "-"&amp;FLOOR(D2883, 10)+9</f>
        <v>10-19</v>
      </c>
      <c r="J2883">
        <f t="shared" ref="J2883:J2946" si="137">F2883</f>
        <v>4.897E-2</v>
      </c>
    </row>
    <row r="2884" spans="1:10">
      <c r="A2884" t="s">
        <v>2966</v>
      </c>
      <c r="B2884">
        <v>44</v>
      </c>
      <c r="C2884" t="s">
        <v>7</v>
      </c>
      <c r="D2884">
        <v>1</v>
      </c>
      <c r="E2884">
        <v>44</v>
      </c>
      <c r="F2884">
        <v>2.7999999999999998E-4</v>
      </c>
      <c r="G2884">
        <v>0</v>
      </c>
      <c r="H2884" t="str">
        <f t="shared" si="135"/>
        <v>40-49</v>
      </c>
      <c r="I2884" t="str">
        <f t="shared" si="136"/>
        <v>0-9</v>
      </c>
      <c r="J2884">
        <f t="shared" si="137"/>
        <v>2.7999999999999998E-4</v>
      </c>
    </row>
    <row r="2885" spans="1:10">
      <c r="A2885" t="s">
        <v>2967</v>
      </c>
      <c r="B2885">
        <v>49</v>
      </c>
      <c r="C2885" t="s">
        <v>7</v>
      </c>
      <c r="D2885">
        <v>21</v>
      </c>
      <c r="E2885">
        <v>69</v>
      </c>
      <c r="F2885">
        <v>1.2659999999999999E-2</v>
      </c>
      <c r="G2885">
        <v>0</v>
      </c>
      <c r="H2885" t="str">
        <f t="shared" si="135"/>
        <v>60-69</v>
      </c>
      <c r="I2885" t="str">
        <f t="shared" si="136"/>
        <v>20-29</v>
      </c>
      <c r="J2885">
        <f t="shared" si="137"/>
        <v>1.2659999999999999E-2</v>
      </c>
    </row>
    <row r="2886" spans="1:10">
      <c r="A2886" t="s">
        <v>2968</v>
      </c>
      <c r="B2886">
        <v>35</v>
      </c>
      <c r="C2886" t="s">
        <v>7</v>
      </c>
      <c r="D2886">
        <v>21</v>
      </c>
      <c r="E2886">
        <v>55</v>
      </c>
      <c r="F2886">
        <v>3.0799999999999998E-3</v>
      </c>
      <c r="G2886">
        <v>0</v>
      </c>
      <c r="H2886" t="str">
        <f t="shared" si="135"/>
        <v>50-59</v>
      </c>
      <c r="I2886" t="str">
        <f t="shared" si="136"/>
        <v>20-29</v>
      </c>
      <c r="J2886">
        <f t="shared" si="137"/>
        <v>3.0799999999999998E-3</v>
      </c>
    </row>
    <row r="2887" spans="1:10">
      <c r="A2887" t="s">
        <v>2969</v>
      </c>
      <c r="B2887">
        <v>54</v>
      </c>
      <c r="C2887" t="s">
        <v>9</v>
      </c>
      <c r="D2887">
        <v>27</v>
      </c>
      <c r="E2887">
        <v>80</v>
      </c>
      <c r="F2887">
        <v>4.5769999999999998E-2</v>
      </c>
      <c r="G2887">
        <v>0</v>
      </c>
      <c r="H2887" t="str">
        <f t="shared" si="135"/>
        <v>80-89</v>
      </c>
      <c r="I2887" t="str">
        <f t="shared" si="136"/>
        <v>20-29</v>
      </c>
      <c r="J2887">
        <f t="shared" si="137"/>
        <v>4.5769999999999998E-2</v>
      </c>
    </row>
    <row r="2888" spans="1:10">
      <c r="A2888" t="s">
        <v>2970</v>
      </c>
      <c r="B2888">
        <v>44</v>
      </c>
      <c r="C2888" t="s">
        <v>9</v>
      </c>
      <c r="D2888">
        <v>25</v>
      </c>
      <c r="E2888">
        <v>68</v>
      </c>
      <c r="F2888">
        <v>1.405E-2</v>
      </c>
      <c r="G2888">
        <v>0</v>
      </c>
      <c r="H2888" t="str">
        <f t="shared" si="135"/>
        <v>60-69</v>
      </c>
      <c r="I2888" t="str">
        <f t="shared" si="136"/>
        <v>20-29</v>
      </c>
      <c r="J2888">
        <f t="shared" si="137"/>
        <v>1.405E-2</v>
      </c>
    </row>
    <row r="2889" spans="1:10">
      <c r="A2889" t="s">
        <v>2971</v>
      </c>
      <c r="B2889">
        <v>25</v>
      </c>
      <c r="C2889" t="s">
        <v>9</v>
      </c>
      <c r="D2889">
        <v>30</v>
      </c>
      <c r="E2889">
        <v>54</v>
      </c>
      <c r="F2889">
        <v>2.9299999999999999E-3</v>
      </c>
      <c r="G2889">
        <v>0</v>
      </c>
      <c r="H2889" t="str">
        <f t="shared" si="135"/>
        <v>50-59</v>
      </c>
      <c r="I2889" t="str">
        <f t="shared" si="136"/>
        <v>30-39</v>
      </c>
      <c r="J2889">
        <f t="shared" si="137"/>
        <v>2.9299999999999999E-3</v>
      </c>
    </row>
    <row r="2890" spans="1:10">
      <c r="A2890" t="s">
        <v>2972</v>
      </c>
      <c r="B2890">
        <v>57</v>
      </c>
      <c r="C2890" t="s">
        <v>9</v>
      </c>
      <c r="D2890">
        <v>28</v>
      </c>
      <c r="E2890">
        <v>84</v>
      </c>
      <c r="F2890">
        <v>6.3329999999999997E-2</v>
      </c>
      <c r="G2890">
        <v>0</v>
      </c>
      <c r="H2890" t="str">
        <f t="shared" si="135"/>
        <v>80-89</v>
      </c>
      <c r="I2890" t="str">
        <f t="shared" si="136"/>
        <v>20-29</v>
      </c>
      <c r="J2890">
        <f t="shared" si="137"/>
        <v>6.3329999999999997E-2</v>
      </c>
    </row>
    <row r="2891" spans="1:10">
      <c r="A2891" t="s">
        <v>2973</v>
      </c>
      <c r="B2891">
        <v>58</v>
      </c>
      <c r="C2891" t="s">
        <v>9</v>
      </c>
      <c r="D2891">
        <v>4</v>
      </c>
      <c r="E2891">
        <v>61</v>
      </c>
      <c r="F2891">
        <v>5.11E-3</v>
      </c>
      <c r="G2891">
        <v>0</v>
      </c>
      <c r="H2891" t="str">
        <f t="shared" si="135"/>
        <v>60-69</v>
      </c>
      <c r="I2891" t="str">
        <f t="shared" si="136"/>
        <v>0-9</v>
      </c>
      <c r="J2891">
        <f t="shared" si="137"/>
        <v>5.11E-3</v>
      </c>
    </row>
    <row r="2892" spans="1:10">
      <c r="A2892" t="s">
        <v>2974</v>
      </c>
      <c r="B2892">
        <v>31</v>
      </c>
      <c r="C2892" t="s">
        <v>9</v>
      </c>
      <c r="D2892">
        <v>3</v>
      </c>
      <c r="E2892">
        <v>33</v>
      </c>
      <c r="F2892">
        <v>3.8999999999999999E-4</v>
      </c>
      <c r="G2892">
        <v>0</v>
      </c>
      <c r="H2892" t="str">
        <f t="shared" si="135"/>
        <v>30-39</v>
      </c>
      <c r="I2892" t="str">
        <f t="shared" si="136"/>
        <v>0-9</v>
      </c>
      <c r="J2892">
        <f t="shared" si="137"/>
        <v>3.8999999999999999E-4</v>
      </c>
    </row>
    <row r="2893" spans="1:10">
      <c r="A2893" t="s">
        <v>2975</v>
      </c>
      <c r="B2893">
        <v>33</v>
      </c>
      <c r="C2893" t="s">
        <v>9</v>
      </c>
      <c r="D2893">
        <v>13</v>
      </c>
      <c r="E2893">
        <v>45</v>
      </c>
      <c r="F2893">
        <v>1.4499999999999999E-3</v>
      </c>
      <c r="G2893">
        <v>0</v>
      </c>
      <c r="H2893" t="str">
        <f t="shared" si="135"/>
        <v>40-49</v>
      </c>
      <c r="I2893" t="str">
        <f t="shared" si="136"/>
        <v>10-19</v>
      </c>
      <c r="J2893">
        <f t="shared" si="137"/>
        <v>1.4499999999999999E-3</v>
      </c>
    </row>
    <row r="2894" spans="1:10">
      <c r="A2894" t="s">
        <v>2976</v>
      </c>
      <c r="B2894">
        <v>46</v>
      </c>
      <c r="C2894" t="s">
        <v>9</v>
      </c>
      <c r="D2894">
        <v>3</v>
      </c>
      <c r="E2894">
        <v>48</v>
      </c>
      <c r="F2894">
        <v>1.17E-3</v>
      </c>
      <c r="G2894">
        <v>0</v>
      </c>
      <c r="H2894" t="str">
        <f t="shared" si="135"/>
        <v>40-49</v>
      </c>
      <c r="I2894" t="str">
        <f t="shared" si="136"/>
        <v>0-9</v>
      </c>
      <c r="J2894">
        <f t="shared" si="137"/>
        <v>1.17E-3</v>
      </c>
    </row>
    <row r="2895" spans="1:10">
      <c r="A2895" t="s">
        <v>2977</v>
      </c>
      <c r="B2895">
        <v>33</v>
      </c>
      <c r="C2895" t="s">
        <v>9</v>
      </c>
      <c r="D2895">
        <v>22</v>
      </c>
      <c r="E2895">
        <v>54</v>
      </c>
      <c r="F2895">
        <v>3.65E-3</v>
      </c>
      <c r="G2895">
        <v>0</v>
      </c>
      <c r="H2895" t="str">
        <f t="shared" si="135"/>
        <v>50-59</v>
      </c>
      <c r="I2895" t="str">
        <f t="shared" si="136"/>
        <v>20-29</v>
      </c>
      <c r="J2895">
        <f t="shared" si="137"/>
        <v>3.65E-3</v>
      </c>
    </row>
    <row r="2896" spans="1:10">
      <c r="A2896" t="s">
        <v>2978</v>
      </c>
      <c r="B2896">
        <v>60</v>
      </c>
      <c r="C2896" t="s">
        <v>9</v>
      </c>
      <c r="D2896">
        <v>30</v>
      </c>
      <c r="E2896">
        <v>89</v>
      </c>
      <c r="F2896">
        <v>9.1270000000000004E-2</v>
      </c>
      <c r="G2896">
        <v>0</v>
      </c>
      <c r="H2896" t="str">
        <f t="shared" si="135"/>
        <v>80-89</v>
      </c>
      <c r="I2896" t="str">
        <f t="shared" si="136"/>
        <v>30-39</v>
      </c>
      <c r="J2896">
        <f t="shared" si="137"/>
        <v>9.1270000000000004E-2</v>
      </c>
    </row>
    <row r="2897" spans="1:10">
      <c r="A2897" t="s">
        <v>2979</v>
      </c>
      <c r="B2897">
        <v>39</v>
      </c>
      <c r="C2897" t="s">
        <v>7</v>
      </c>
      <c r="D2897">
        <v>1</v>
      </c>
      <c r="E2897">
        <v>39</v>
      </c>
      <c r="F2897">
        <v>2.2000000000000001E-4</v>
      </c>
      <c r="G2897">
        <v>0</v>
      </c>
      <c r="H2897" t="str">
        <f t="shared" si="135"/>
        <v>30-39</v>
      </c>
      <c r="I2897" t="str">
        <f t="shared" si="136"/>
        <v>0-9</v>
      </c>
      <c r="J2897">
        <f t="shared" si="137"/>
        <v>2.2000000000000001E-4</v>
      </c>
    </row>
    <row r="2898" spans="1:10">
      <c r="A2898" t="s">
        <v>2980</v>
      </c>
      <c r="B2898">
        <v>60</v>
      </c>
      <c r="C2898" t="s">
        <v>7</v>
      </c>
      <c r="D2898">
        <v>20</v>
      </c>
      <c r="E2898">
        <v>79</v>
      </c>
      <c r="F2898">
        <v>3.4779999999999998E-2</v>
      </c>
      <c r="G2898">
        <v>0</v>
      </c>
      <c r="H2898" t="str">
        <f t="shared" si="135"/>
        <v>70-79</v>
      </c>
      <c r="I2898" t="str">
        <f t="shared" si="136"/>
        <v>20-29</v>
      </c>
      <c r="J2898">
        <f t="shared" si="137"/>
        <v>3.4779999999999998E-2</v>
      </c>
    </row>
    <row r="2899" spans="1:10">
      <c r="A2899" t="s">
        <v>2981</v>
      </c>
      <c r="B2899">
        <v>41</v>
      </c>
      <c r="C2899" t="s">
        <v>9</v>
      </c>
      <c r="D2899">
        <v>12</v>
      </c>
      <c r="E2899">
        <v>52</v>
      </c>
      <c r="F2899">
        <v>2.5799999999999998E-3</v>
      </c>
      <c r="G2899">
        <v>0</v>
      </c>
      <c r="H2899" t="str">
        <f t="shared" si="135"/>
        <v>50-59</v>
      </c>
      <c r="I2899" t="str">
        <f t="shared" si="136"/>
        <v>10-19</v>
      </c>
      <c r="J2899">
        <f t="shared" si="137"/>
        <v>2.5799999999999998E-3</v>
      </c>
    </row>
    <row r="2900" spans="1:10">
      <c r="A2900" t="s">
        <v>2982</v>
      </c>
      <c r="B2900">
        <v>54</v>
      </c>
      <c r="C2900" t="s">
        <v>9</v>
      </c>
      <c r="D2900">
        <v>1</v>
      </c>
      <c r="E2900">
        <v>54</v>
      </c>
      <c r="F2900">
        <v>1.01E-3</v>
      </c>
      <c r="G2900">
        <v>0</v>
      </c>
      <c r="H2900" t="str">
        <f t="shared" si="135"/>
        <v>50-59</v>
      </c>
      <c r="I2900" t="str">
        <f t="shared" si="136"/>
        <v>0-9</v>
      </c>
      <c r="J2900">
        <f t="shared" si="137"/>
        <v>1.01E-3</v>
      </c>
    </row>
    <row r="2901" spans="1:10">
      <c r="A2901" t="s">
        <v>2983</v>
      </c>
      <c r="B2901">
        <v>27</v>
      </c>
      <c r="C2901" t="s">
        <v>7</v>
      </c>
      <c r="D2901">
        <v>7</v>
      </c>
      <c r="E2901">
        <v>33</v>
      </c>
      <c r="F2901">
        <v>3.4000000000000002E-4</v>
      </c>
      <c r="G2901">
        <v>0</v>
      </c>
      <c r="H2901" t="str">
        <f t="shared" si="135"/>
        <v>30-39</v>
      </c>
      <c r="I2901" t="str">
        <f t="shared" si="136"/>
        <v>0-9</v>
      </c>
      <c r="J2901">
        <f t="shared" si="137"/>
        <v>3.4000000000000002E-4</v>
      </c>
    </row>
    <row r="2902" spans="1:10">
      <c r="A2902" t="s">
        <v>2984</v>
      </c>
      <c r="B2902">
        <v>53</v>
      </c>
      <c r="C2902" t="s">
        <v>7</v>
      </c>
      <c r="D2902">
        <v>17</v>
      </c>
      <c r="E2902">
        <v>69</v>
      </c>
      <c r="F2902">
        <v>1.159E-2</v>
      </c>
      <c r="G2902">
        <v>0</v>
      </c>
      <c r="H2902" t="str">
        <f t="shared" si="135"/>
        <v>60-69</v>
      </c>
      <c r="I2902" t="str">
        <f t="shared" si="136"/>
        <v>10-19</v>
      </c>
      <c r="J2902">
        <f t="shared" si="137"/>
        <v>1.159E-2</v>
      </c>
    </row>
    <row r="2903" spans="1:10">
      <c r="A2903" t="s">
        <v>2985</v>
      </c>
      <c r="B2903">
        <v>43</v>
      </c>
      <c r="C2903" t="s">
        <v>7</v>
      </c>
      <c r="D2903">
        <v>4</v>
      </c>
      <c r="E2903">
        <v>46</v>
      </c>
      <c r="F2903">
        <v>7.9000000000000001E-4</v>
      </c>
      <c r="G2903">
        <v>0</v>
      </c>
      <c r="H2903" t="str">
        <f t="shared" si="135"/>
        <v>40-49</v>
      </c>
      <c r="I2903" t="str">
        <f t="shared" si="136"/>
        <v>0-9</v>
      </c>
      <c r="J2903">
        <f t="shared" si="137"/>
        <v>7.9000000000000001E-4</v>
      </c>
    </row>
    <row r="2904" spans="1:10">
      <c r="A2904" t="s">
        <v>2986</v>
      </c>
      <c r="B2904">
        <v>28</v>
      </c>
      <c r="C2904" t="s">
        <v>9</v>
      </c>
      <c r="D2904">
        <v>8</v>
      </c>
      <c r="E2904">
        <v>35</v>
      </c>
      <c r="F2904">
        <v>5.9000000000000003E-4</v>
      </c>
      <c r="G2904">
        <v>0</v>
      </c>
      <c r="H2904" t="str">
        <f t="shared" si="135"/>
        <v>30-39</v>
      </c>
      <c r="I2904" t="str">
        <f t="shared" si="136"/>
        <v>0-9</v>
      </c>
      <c r="J2904">
        <f t="shared" si="137"/>
        <v>5.9000000000000003E-4</v>
      </c>
    </row>
    <row r="2905" spans="1:10">
      <c r="A2905" t="s">
        <v>2987</v>
      </c>
      <c r="B2905">
        <v>28</v>
      </c>
      <c r="C2905" t="s">
        <v>9</v>
      </c>
      <c r="D2905">
        <v>9</v>
      </c>
      <c r="E2905">
        <v>36</v>
      </c>
      <c r="F2905">
        <v>6.4999999999999997E-4</v>
      </c>
      <c r="G2905">
        <v>0</v>
      </c>
      <c r="H2905" t="str">
        <f t="shared" si="135"/>
        <v>30-39</v>
      </c>
      <c r="I2905" t="str">
        <f t="shared" si="136"/>
        <v>0-9</v>
      </c>
      <c r="J2905">
        <f t="shared" si="137"/>
        <v>6.4999999999999997E-4</v>
      </c>
    </row>
    <row r="2906" spans="1:10">
      <c r="A2906" t="s">
        <v>2988</v>
      </c>
      <c r="B2906">
        <v>25</v>
      </c>
      <c r="C2906" t="s">
        <v>7</v>
      </c>
      <c r="D2906">
        <v>12</v>
      </c>
      <c r="E2906">
        <v>36</v>
      </c>
      <c r="F2906">
        <v>5.9000000000000003E-4</v>
      </c>
      <c r="G2906">
        <v>0</v>
      </c>
      <c r="H2906" t="str">
        <f t="shared" si="135"/>
        <v>30-39</v>
      </c>
      <c r="I2906" t="str">
        <f t="shared" si="136"/>
        <v>10-19</v>
      </c>
      <c r="J2906">
        <f t="shared" si="137"/>
        <v>5.9000000000000003E-4</v>
      </c>
    </row>
    <row r="2907" spans="1:10">
      <c r="A2907" t="s">
        <v>2989</v>
      </c>
      <c r="B2907">
        <v>49</v>
      </c>
      <c r="C2907" t="s">
        <v>7</v>
      </c>
      <c r="D2907">
        <v>24</v>
      </c>
      <c r="E2907">
        <v>72</v>
      </c>
      <c r="F2907">
        <v>1.7170000000000001E-2</v>
      </c>
      <c r="G2907">
        <v>0</v>
      </c>
      <c r="H2907" t="str">
        <f t="shared" si="135"/>
        <v>70-79</v>
      </c>
      <c r="I2907" t="str">
        <f t="shared" si="136"/>
        <v>20-29</v>
      </c>
      <c r="J2907">
        <f t="shared" si="137"/>
        <v>1.7170000000000001E-2</v>
      </c>
    </row>
    <row r="2908" spans="1:10">
      <c r="A2908" t="s">
        <v>2990</v>
      </c>
      <c r="B2908">
        <v>45</v>
      </c>
      <c r="C2908" t="s">
        <v>9</v>
      </c>
      <c r="D2908">
        <v>30</v>
      </c>
      <c r="E2908">
        <v>74</v>
      </c>
      <c r="F2908">
        <v>1.7160000000000002E-2</v>
      </c>
      <c r="G2908">
        <v>0</v>
      </c>
      <c r="H2908" t="str">
        <f t="shared" si="135"/>
        <v>70-79</v>
      </c>
      <c r="I2908" t="str">
        <f t="shared" si="136"/>
        <v>30-39</v>
      </c>
      <c r="J2908">
        <f t="shared" si="137"/>
        <v>1.7160000000000002E-2</v>
      </c>
    </row>
    <row r="2909" spans="1:10">
      <c r="A2909" t="s">
        <v>2991</v>
      </c>
      <c r="B2909">
        <v>63</v>
      </c>
      <c r="C2909" t="s">
        <v>7</v>
      </c>
      <c r="D2909">
        <v>28</v>
      </c>
      <c r="E2909">
        <v>90</v>
      </c>
      <c r="F2909">
        <v>0.10484</v>
      </c>
      <c r="G2909">
        <v>0</v>
      </c>
      <c r="H2909" t="str">
        <f t="shared" si="135"/>
        <v>90-99</v>
      </c>
      <c r="I2909" t="str">
        <f t="shared" si="136"/>
        <v>20-29</v>
      </c>
      <c r="J2909">
        <f t="shared" si="137"/>
        <v>0.10484</v>
      </c>
    </row>
    <row r="2910" spans="1:10">
      <c r="A2910" t="s">
        <v>2992</v>
      </c>
      <c r="B2910">
        <v>45</v>
      </c>
      <c r="C2910" t="s">
        <v>7</v>
      </c>
      <c r="D2910">
        <v>4</v>
      </c>
      <c r="E2910">
        <v>48</v>
      </c>
      <c r="F2910">
        <v>9.7999999999999997E-4</v>
      </c>
      <c r="G2910">
        <v>0</v>
      </c>
      <c r="H2910" t="str">
        <f t="shared" si="135"/>
        <v>40-49</v>
      </c>
      <c r="I2910" t="str">
        <f t="shared" si="136"/>
        <v>0-9</v>
      </c>
      <c r="J2910">
        <f t="shared" si="137"/>
        <v>9.7999999999999997E-4</v>
      </c>
    </row>
    <row r="2911" spans="1:10">
      <c r="A2911" t="s">
        <v>2993</v>
      </c>
      <c r="B2911">
        <v>39</v>
      </c>
      <c r="C2911" t="s">
        <v>7</v>
      </c>
      <c r="D2911">
        <v>6</v>
      </c>
      <c r="E2911">
        <v>44</v>
      </c>
      <c r="F2911">
        <v>7.9000000000000001E-4</v>
      </c>
      <c r="G2911">
        <v>0</v>
      </c>
      <c r="H2911" t="str">
        <f t="shared" si="135"/>
        <v>40-49</v>
      </c>
      <c r="I2911" t="str">
        <f t="shared" si="136"/>
        <v>0-9</v>
      </c>
      <c r="J2911">
        <f t="shared" si="137"/>
        <v>7.9000000000000001E-4</v>
      </c>
    </row>
    <row r="2912" spans="1:10">
      <c r="A2912" t="s">
        <v>2994</v>
      </c>
      <c r="B2912">
        <v>51</v>
      </c>
      <c r="C2912" t="s">
        <v>7</v>
      </c>
      <c r="D2912">
        <v>14</v>
      </c>
      <c r="E2912">
        <v>64</v>
      </c>
      <c r="F2912">
        <v>6.6100000000000004E-3</v>
      </c>
      <c r="G2912">
        <v>0</v>
      </c>
      <c r="H2912" t="str">
        <f t="shared" si="135"/>
        <v>60-69</v>
      </c>
      <c r="I2912" t="str">
        <f t="shared" si="136"/>
        <v>10-19</v>
      </c>
      <c r="J2912">
        <f t="shared" si="137"/>
        <v>6.6100000000000004E-3</v>
      </c>
    </row>
    <row r="2913" spans="1:10">
      <c r="A2913" t="s">
        <v>2995</v>
      </c>
      <c r="B2913">
        <v>37</v>
      </c>
      <c r="C2913" t="s">
        <v>9</v>
      </c>
      <c r="D2913">
        <v>27</v>
      </c>
      <c r="E2913">
        <v>63</v>
      </c>
      <c r="F2913">
        <v>7.79E-3</v>
      </c>
      <c r="G2913">
        <v>0</v>
      </c>
      <c r="H2913" t="str">
        <f t="shared" si="135"/>
        <v>60-69</v>
      </c>
      <c r="I2913" t="str">
        <f t="shared" si="136"/>
        <v>20-29</v>
      </c>
      <c r="J2913">
        <f t="shared" si="137"/>
        <v>7.79E-3</v>
      </c>
    </row>
    <row r="2914" spans="1:10">
      <c r="A2914" t="s">
        <v>2996</v>
      </c>
      <c r="B2914">
        <v>44</v>
      </c>
      <c r="C2914" t="s">
        <v>9</v>
      </c>
      <c r="D2914">
        <v>14</v>
      </c>
      <c r="E2914">
        <v>57</v>
      </c>
      <c r="F2914">
        <v>4.4000000000000003E-3</v>
      </c>
      <c r="G2914">
        <v>0</v>
      </c>
      <c r="H2914" t="str">
        <f t="shared" si="135"/>
        <v>50-59</v>
      </c>
      <c r="I2914" t="str">
        <f t="shared" si="136"/>
        <v>10-19</v>
      </c>
      <c r="J2914">
        <f t="shared" si="137"/>
        <v>4.4000000000000003E-3</v>
      </c>
    </row>
    <row r="2915" spans="1:10">
      <c r="A2915" t="s">
        <v>2997</v>
      </c>
      <c r="B2915">
        <v>60</v>
      </c>
      <c r="C2915" t="s">
        <v>9</v>
      </c>
      <c r="D2915">
        <v>27</v>
      </c>
      <c r="E2915">
        <v>86</v>
      </c>
      <c r="F2915">
        <v>9.1270000000000004E-2</v>
      </c>
      <c r="G2915">
        <v>0</v>
      </c>
      <c r="H2915" t="str">
        <f t="shared" si="135"/>
        <v>80-89</v>
      </c>
      <c r="I2915" t="str">
        <f t="shared" si="136"/>
        <v>20-29</v>
      </c>
      <c r="J2915">
        <f t="shared" si="137"/>
        <v>9.1270000000000004E-2</v>
      </c>
    </row>
    <row r="2916" spans="1:10">
      <c r="A2916" t="s">
        <v>2998</v>
      </c>
      <c r="B2916">
        <v>22</v>
      </c>
      <c r="C2916" t="s">
        <v>9</v>
      </c>
      <c r="D2916">
        <v>17</v>
      </c>
      <c r="E2916">
        <v>38</v>
      </c>
      <c r="F2916">
        <v>1.2099999999999999E-3</v>
      </c>
      <c r="G2916">
        <v>0</v>
      </c>
      <c r="H2916" t="str">
        <f t="shared" si="135"/>
        <v>30-39</v>
      </c>
      <c r="I2916" t="str">
        <f t="shared" si="136"/>
        <v>10-19</v>
      </c>
      <c r="J2916">
        <f t="shared" si="137"/>
        <v>1.2099999999999999E-3</v>
      </c>
    </row>
    <row r="2917" spans="1:10">
      <c r="A2917" t="s">
        <v>2999</v>
      </c>
      <c r="B2917">
        <v>58</v>
      </c>
      <c r="C2917" t="s">
        <v>7</v>
      </c>
      <c r="D2917">
        <v>27</v>
      </c>
      <c r="E2917">
        <v>84</v>
      </c>
      <c r="F2917">
        <v>5.704E-2</v>
      </c>
      <c r="G2917">
        <v>0</v>
      </c>
      <c r="H2917" t="str">
        <f t="shared" si="135"/>
        <v>80-89</v>
      </c>
      <c r="I2917" t="str">
        <f t="shared" si="136"/>
        <v>20-29</v>
      </c>
      <c r="J2917">
        <f t="shared" si="137"/>
        <v>5.704E-2</v>
      </c>
    </row>
    <row r="2918" spans="1:10">
      <c r="A2918" t="s">
        <v>3000</v>
      </c>
      <c r="B2918">
        <v>53</v>
      </c>
      <c r="C2918" t="s">
        <v>9</v>
      </c>
      <c r="D2918">
        <v>12</v>
      </c>
      <c r="E2918">
        <v>64</v>
      </c>
      <c r="F2918">
        <v>8.8699999999999994E-3</v>
      </c>
      <c r="G2918">
        <v>0</v>
      </c>
      <c r="H2918" t="str">
        <f t="shared" si="135"/>
        <v>60-69</v>
      </c>
      <c r="I2918" t="str">
        <f t="shared" si="136"/>
        <v>10-19</v>
      </c>
      <c r="J2918">
        <f t="shared" si="137"/>
        <v>8.8699999999999994E-3</v>
      </c>
    </row>
    <row r="2919" spans="1:10">
      <c r="A2919" t="s">
        <v>3001</v>
      </c>
      <c r="B2919">
        <v>40</v>
      </c>
      <c r="C2919" t="s">
        <v>7</v>
      </c>
      <c r="D2919">
        <v>14</v>
      </c>
      <c r="E2919">
        <v>53</v>
      </c>
      <c r="F2919">
        <v>2.2799999999999999E-3</v>
      </c>
      <c r="G2919">
        <v>0</v>
      </c>
      <c r="H2919" t="str">
        <f t="shared" si="135"/>
        <v>50-59</v>
      </c>
      <c r="I2919" t="str">
        <f t="shared" si="136"/>
        <v>10-19</v>
      </c>
      <c r="J2919">
        <f t="shared" si="137"/>
        <v>2.2799999999999999E-3</v>
      </c>
    </row>
    <row r="2920" spans="1:10">
      <c r="A2920" t="s">
        <v>3002</v>
      </c>
      <c r="B2920">
        <v>24</v>
      </c>
      <c r="C2920" t="s">
        <v>7</v>
      </c>
      <c r="D2920">
        <v>7</v>
      </c>
      <c r="E2920">
        <v>30</v>
      </c>
      <c r="F2920">
        <v>3.1E-4</v>
      </c>
      <c r="G2920">
        <v>0</v>
      </c>
      <c r="H2920" t="str">
        <f t="shared" si="135"/>
        <v>30-39</v>
      </c>
      <c r="I2920" t="str">
        <f t="shared" si="136"/>
        <v>0-9</v>
      </c>
      <c r="J2920">
        <f t="shared" si="137"/>
        <v>3.1E-4</v>
      </c>
    </row>
    <row r="2921" spans="1:10">
      <c r="A2921" t="s">
        <v>3003</v>
      </c>
      <c r="B2921">
        <v>40</v>
      </c>
      <c r="C2921" t="s">
        <v>9</v>
      </c>
      <c r="D2921">
        <v>4</v>
      </c>
      <c r="E2921">
        <v>43</v>
      </c>
      <c r="F2921">
        <v>8.8000000000000003E-4</v>
      </c>
      <c r="G2921">
        <v>0</v>
      </c>
      <c r="H2921" t="str">
        <f t="shared" si="135"/>
        <v>40-49</v>
      </c>
      <c r="I2921" t="str">
        <f t="shared" si="136"/>
        <v>0-9</v>
      </c>
      <c r="J2921">
        <f t="shared" si="137"/>
        <v>8.8000000000000003E-4</v>
      </c>
    </row>
    <row r="2922" spans="1:10">
      <c r="A2922" t="s">
        <v>3004</v>
      </c>
      <c r="B2922">
        <v>65</v>
      </c>
      <c r="C2922" t="s">
        <v>9</v>
      </c>
      <c r="D2922">
        <v>11</v>
      </c>
      <c r="E2922">
        <v>75</v>
      </c>
      <c r="F2922">
        <v>2.2440000000000002E-2</v>
      </c>
      <c r="G2922">
        <v>0</v>
      </c>
      <c r="H2922" t="str">
        <f t="shared" si="135"/>
        <v>70-79</v>
      </c>
      <c r="I2922" t="str">
        <f t="shared" si="136"/>
        <v>10-19</v>
      </c>
      <c r="J2922">
        <f t="shared" si="137"/>
        <v>2.2440000000000002E-2</v>
      </c>
    </row>
    <row r="2923" spans="1:10">
      <c r="A2923" t="s">
        <v>3005</v>
      </c>
      <c r="B2923">
        <v>40</v>
      </c>
      <c r="C2923" t="s">
        <v>9</v>
      </c>
      <c r="D2923">
        <v>29</v>
      </c>
      <c r="E2923">
        <v>68</v>
      </c>
      <c r="F2923">
        <v>1.064E-2</v>
      </c>
      <c r="G2923">
        <v>0</v>
      </c>
      <c r="H2923" t="str">
        <f t="shared" si="135"/>
        <v>60-69</v>
      </c>
      <c r="I2923" t="str">
        <f t="shared" si="136"/>
        <v>20-29</v>
      </c>
      <c r="J2923">
        <f t="shared" si="137"/>
        <v>1.064E-2</v>
      </c>
    </row>
    <row r="2924" spans="1:10">
      <c r="A2924" t="s">
        <v>3006</v>
      </c>
      <c r="B2924">
        <v>38</v>
      </c>
      <c r="C2924" t="s">
        <v>9</v>
      </c>
      <c r="D2924">
        <v>20</v>
      </c>
      <c r="E2924">
        <v>57</v>
      </c>
      <c r="F2924">
        <v>4.7299999999999998E-3</v>
      </c>
      <c r="G2924">
        <v>0</v>
      </c>
      <c r="H2924" t="str">
        <f t="shared" si="135"/>
        <v>50-59</v>
      </c>
      <c r="I2924" t="str">
        <f t="shared" si="136"/>
        <v>20-29</v>
      </c>
      <c r="J2924">
        <f t="shared" si="137"/>
        <v>4.7299999999999998E-3</v>
      </c>
    </row>
    <row r="2925" spans="1:10">
      <c r="A2925" t="s">
        <v>3007</v>
      </c>
      <c r="B2925">
        <v>55</v>
      </c>
      <c r="C2925" t="s">
        <v>7</v>
      </c>
      <c r="D2925">
        <v>9</v>
      </c>
      <c r="E2925">
        <v>63</v>
      </c>
      <c r="F2925">
        <v>5.11E-3</v>
      </c>
      <c r="G2925">
        <v>0</v>
      </c>
      <c r="H2925" t="str">
        <f t="shared" si="135"/>
        <v>60-69</v>
      </c>
      <c r="I2925" t="str">
        <f t="shared" si="136"/>
        <v>0-9</v>
      </c>
      <c r="J2925">
        <f t="shared" si="137"/>
        <v>5.11E-3</v>
      </c>
    </row>
    <row r="2926" spans="1:10">
      <c r="A2926" t="s">
        <v>3008</v>
      </c>
      <c r="B2926">
        <v>62</v>
      </c>
      <c r="C2926" t="s">
        <v>7</v>
      </c>
      <c r="D2926">
        <v>3</v>
      </c>
      <c r="E2926">
        <v>64</v>
      </c>
      <c r="F2926">
        <v>3.3300000000000001E-3</v>
      </c>
      <c r="G2926">
        <v>0</v>
      </c>
      <c r="H2926" t="str">
        <f t="shared" si="135"/>
        <v>60-69</v>
      </c>
      <c r="I2926" t="str">
        <f t="shared" si="136"/>
        <v>0-9</v>
      </c>
      <c r="J2926">
        <f t="shared" si="137"/>
        <v>3.3300000000000001E-3</v>
      </c>
    </row>
    <row r="2927" spans="1:10">
      <c r="A2927" t="s">
        <v>3009</v>
      </c>
      <c r="B2927">
        <v>63</v>
      </c>
      <c r="C2927" t="s">
        <v>9</v>
      </c>
      <c r="D2927">
        <v>25</v>
      </c>
      <c r="E2927">
        <v>87</v>
      </c>
      <c r="F2927">
        <v>0.11724</v>
      </c>
      <c r="G2927">
        <v>0</v>
      </c>
      <c r="H2927" t="str">
        <f t="shared" si="135"/>
        <v>80-89</v>
      </c>
      <c r="I2927" t="str">
        <f t="shared" si="136"/>
        <v>20-29</v>
      </c>
      <c r="J2927">
        <f t="shared" si="137"/>
        <v>0.11724</v>
      </c>
    </row>
    <row r="2928" spans="1:10">
      <c r="A2928" t="s">
        <v>3010</v>
      </c>
      <c r="B2928">
        <v>32</v>
      </c>
      <c r="C2928" t="s">
        <v>9</v>
      </c>
      <c r="D2928">
        <v>7</v>
      </c>
      <c r="E2928">
        <v>38</v>
      </c>
      <c r="F2928">
        <v>6.6E-4</v>
      </c>
      <c r="G2928">
        <v>0</v>
      </c>
      <c r="H2928" t="str">
        <f t="shared" si="135"/>
        <v>30-39</v>
      </c>
      <c r="I2928" t="str">
        <f t="shared" si="136"/>
        <v>0-9</v>
      </c>
      <c r="J2928">
        <f t="shared" si="137"/>
        <v>6.6E-4</v>
      </c>
    </row>
    <row r="2929" spans="1:10">
      <c r="A2929" t="s">
        <v>3011</v>
      </c>
      <c r="B2929">
        <v>22</v>
      </c>
      <c r="C2929" t="s">
        <v>9</v>
      </c>
      <c r="D2929">
        <v>9</v>
      </c>
      <c r="E2929">
        <v>30</v>
      </c>
      <c r="F2929">
        <v>5.9000000000000003E-4</v>
      </c>
      <c r="G2929">
        <v>0</v>
      </c>
      <c r="H2929" t="str">
        <f t="shared" si="135"/>
        <v>30-39</v>
      </c>
      <c r="I2929" t="str">
        <f t="shared" si="136"/>
        <v>0-9</v>
      </c>
      <c r="J2929">
        <f t="shared" si="137"/>
        <v>5.9000000000000003E-4</v>
      </c>
    </row>
    <row r="2930" spans="1:10">
      <c r="A2930" t="s">
        <v>3012</v>
      </c>
      <c r="B2930">
        <v>30</v>
      </c>
      <c r="C2930" t="s">
        <v>9</v>
      </c>
      <c r="D2930">
        <v>20</v>
      </c>
      <c r="E2930">
        <v>49</v>
      </c>
      <c r="F2930">
        <v>2.3E-3</v>
      </c>
      <c r="G2930">
        <v>0</v>
      </c>
      <c r="H2930" t="str">
        <f t="shared" si="135"/>
        <v>40-49</v>
      </c>
      <c r="I2930" t="str">
        <f t="shared" si="136"/>
        <v>20-29</v>
      </c>
      <c r="J2930">
        <f t="shared" si="137"/>
        <v>2.3E-3</v>
      </c>
    </row>
    <row r="2931" spans="1:10">
      <c r="A2931" t="s">
        <v>3013</v>
      </c>
      <c r="B2931">
        <v>56</v>
      </c>
      <c r="C2931" t="s">
        <v>9</v>
      </c>
      <c r="D2931">
        <v>1</v>
      </c>
      <c r="E2931">
        <v>56</v>
      </c>
      <c r="F2931">
        <v>1.1900000000000001E-3</v>
      </c>
      <c r="G2931">
        <v>0</v>
      </c>
      <c r="H2931" t="str">
        <f t="shared" si="135"/>
        <v>50-59</v>
      </c>
      <c r="I2931" t="str">
        <f t="shared" si="136"/>
        <v>0-9</v>
      </c>
      <c r="J2931">
        <f t="shared" si="137"/>
        <v>1.1900000000000001E-3</v>
      </c>
    </row>
    <row r="2932" spans="1:10">
      <c r="A2932" t="s">
        <v>3014</v>
      </c>
      <c r="B2932">
        <v>56</v>
      </c>
      <c r="C2932" t="s">
        <v>7</v>
      </c>
      <c r="D2932">
        <v>1</v>
      </c>
      <c r="E2932">
        <v>56</v>
      </c>
      <c r="F2932">
        <v>5.5999999999999995E-4</v>
      </c>
      <c r="G2932">
        <v>0</v>
      </c>
      <c r="H2932" t="str">
        <f t="shared" si="135"/>
        <v>50-59</v>
      </c>
      <c r="I2932" t="str">
        <f t="shared" si="136"/>
        <v>0-9</v>
      </c>
      <c r="J2932">
        <f t="shared" si="137"/>
        <v>5.5999999999999995E-4</v>
      </c>
    </row>
    <row r="2933" spans="1:10">
      <c r="A2933" t="s">
        <v>3015</v>
      </c>
      <c r="B2933">
        <v>45</v>
      </c>
      <c r="C2933" t="s">
        <v>7</v>
      </c>
      <c r="D2933">
        <v>2</v>
      </c>
      <c r="E2933">
        <v>46</v>
      </c>
      <c r="F2933">
        <v>4.4000000000000002E-4</v>
      </c>
      <c r="G2933">
        <v>0</v>
      </c>
      <c r="H2933" t="str">
        <f t="shared" si="135"/>
        <v>40-49</v>
      </c>
      <c r="I2933" t="str">
        <f t="shared" si="136"/>
        <v>0-9</v>
      </c>
      <c r="J2933">
        <f t="shared" si="137"/>
        <v>4.4000000000000002E-4</v>
      </c>
    </row>
    <row r="2934" spans="1:10">
      <c r="A2934" t="s">
        <v>3016</v>
      </c>
      <c r="B2934">
        <v>22</v>
      </c>
      <c r="C2934" t="s">
        <v>7</v>
      </c>
      <c r="D2934">
        <v>11</v>
      </c>
      <c r="E2934">
        <v>32</v>
      </c>
      <c r="F2934">
        <v>4.2000000000000002E-4</v>
      </c>
      <c r="G2934">
        <v>0</v>
      </c>
      <c r="H2934" t="str">
        <f t="shared" si="135"/>
        <v>30-39</v>
      </c>
      <c r="I2934" t="str">
        <f t="shared" si="136"/>
        <v>10-19</v>
      </c>
      <c r="J2934">
        <f t="shared" si="137"/>
        <v>4.2000000000000002E-4</v>
      </c>
    </row>
    <row r="2935" spans="1:10">
      <c r="A2935" t="s">
        <v>3017</v>
      </c>
      <c r="B2935">
        <v>26</v>
      </c>
      <c r="C2935" t="s">
        <v>7</v>
      </c>
      <c r="D2935">
        <v>27</v>
      </c>
      <c r="E2935">
        <v>52</v>
      </c>
      <c r="F2935">
        <v>2.1900000000000001E-3</v>
      </c>
      <c r="G2935">
        <v>0</v>
      </c>
      <c r="H2935" t="str">
        <f t="shared" si="135"/>
        <v>50-59</v>
      </c>
      <c r="I2935" t="str">
        <f t="shared" si="136"/>
        <v>20-29</v>
      </c>
      <c r="J2935">
        <f t="shared" si="137"/>
        <v>2.1900000000000001E-3</v>
      </c>
    </row>
    <row r="2936" spans="1:10">
      <c r="A2936" t="s">
        <v>3018</v>
      </c>
      <c r="B2936">
        <v>37</v>
      </c>
      <c r="C2936" t="s">
        <v>7</v>
      </c>
      <c r="D2936">
        <v>11</v>
      </c>
      <c r="E2936">
        <v>47</v>
      </c>
      <c r="F2936">
        <v>1.2199999999999999E-3</v>
      </c>
      <c r="G2936">
        <v>0</v>
      </c>
      <c r="H2936" t="str">
        <f t="shared" si="135"/>
        <v>40-49</v>
      </c>
      <c r="I2936" t="str">
        <f t="shared" si="136"/>
        <v>10-19</v>
      </c>
      <c r="J2936">
        <f t="shared" si="137"/>
        <v>1.2199999999999999E-3</v>
      </c>
    </row>
    <row r="2937" spans="1:10">
      <c r="A2937" t="s">
        <v>3019</v>
      </c>
      <c r="B2937">
        <v>55</v>
      </c>
      <c r="C2937" t="s">
        <v>9</v>
      </c>
      <c r="D2937">
        <v>25</v>
      </c>
      <c r="E2937">
        <v>79</v>
      </c>
      <c r="F2937">
        <v>4.5769999999999998E-2</v>
      </c>
      <c r="G2937">
        <v>0</v>
      </c>
      <c r="H2937" t="str">
        <f t="shared" si="135"/>
        <v>70-79</v>
      </c>
      <c r="I2937" t="str">
        <f t="shared" si="136"/>
        <v>20-29</v>
      </c>
      <c r="J2937">
        <f t="shared" si="137"/>
        <v>4.5769999999999998E-2</v>
      </c>
    </row>
    <row r="2938" spans="1:10">
      <c r="A2938" t="s">
        <v>3020</v>
      </c>
      <c r="B2938">
        <v>45</v>
      </c>
      <c r="C2938" t="s">
        <v>7</v>
      </c>
      <c r="D2938">
        <v>10</v>
      </c>
      <c r="E2938">
        <v>54</v>
      </c>
      <c r="F2938">
        <v>2.2300000000000002E-3</v>
      </c>
      <c r="G2938">
        <v>0</v>
      </c>
      <c r="H2938" t="str">
        <f t="shared" si="135"/>
        <v>50-59</v>
      </c>
      <c r="I2938" t="str">
        <f t="shared" si="136"/>
        <v>10-19</v>
      </c>
      <c r="J2938">
        <f t="shared" si="137"/>
        <v>2.2300000000000002E-3</v>
      </c>
    </row>
    <row r="2939" spans="1:10">
      <c r="A2939" t="s">
        <v>3021</v>
      </c>
      <c r="B2939">
        <v>61</v>
      </c>
      <c r="C2939" t="s">
        <v>9</v>
      </c>
      <c r="D2939">
        <v>30</v>
      </c>
      <c r="E2939">
        <v>90</v>
      </c>
      <c r="F2939">
        <v>0.10347000000000001</v>
      </c>
      <c r="G2939">
        <v>0</v>
      </c>
      <c r="H2939" t="str">
        <f t="shared" si="135"/>
        <v>90-99</v>
      </c>
      <c r="I2939" t="str">
        <f t="shared" si="136"/>
        <v>30-39</v>
      </c>
      <c r="J2939">
        <f t="shared" si="137"/>
        <v>0.10347000000000001</v>
      </c>
    </row>
    <row r="2940" spans="1:10">
      <c r="A2940" t="s">
        <v>3022</v>
      </c>
      <c r="B2940">
        <v>59</v>
      </c>
      <c r="C2940" t="s">
        <v>9</v>
      </c>
      <c r="D2940">
        <v>4</v>
      </c>
      <c r="E2940">
        <v>62</v>
      </c>
      <c r="F2940">
        <v>5.5500000000000002E-3</v>
      </c>
      <c r="G2940">
        <v>0</v>
      </c>
      <c r="H2940" t="str">
        <f t="shared" si="135"/>
        <v>60-69</v>
      </c>
      <c r="I2940" t="str">
        <f t="shared" si="136"/>
        <v>0-9</v>
      </c>
      <c r="J2940">
        <f t="shared" si="137"/>
        <v>5.5500000000000002E-3</v>
      </c>
    </row>
    <row r="2941" spans="1:10">
      <c r="A2941" t="s">
        <v>3023</v>
      </c>
      <c r="B2941">
        <v>20</v>
      </c>
      <c r="C2941" t="s">
        <v>9</v>
      </c>
      <c r="D2941">
        <v>5</v>
      </c>
      <c r="E2941">
        <v>24</v>
      </c>
      <c r="F2941">
        <v>7.6999999999999996E-4</v>
      </c>
      <c r="G2941">
        <v>0</v>
      </c>
      <c r="H2941" t="str">
        <f t="shared" si="135"/>
        <v>20-29</v>
      </c>
      <c r="I2941" t="str">
        <f t="shared" si="136"/>
        <v>0-9</v>
      </c>
      <c r="J2941">
        <f t="shared" si="137"/>
        <v>7.6999999999999996E-4</v>
      </c>
    </row>
    <row r="2942" spans="1:10">
      <c r="A2942" t="s">
        <v>3024</v>
      </c>
      <c r="B2942">
        <v>64</v>
      </c>
      <c r="C2942" t="s">
        <v>9</v>
      </c>
      <c r="D2942">
        <v>24</v>
      </c>
      <c r="E2942">
        <v>87</v>
      </c>
      <c r="F2942">
        <v>0.11718000000000001</v>
      </c>
      <c r="G2942">
        <v>0</v>
      </c>
      <c r="H2942" t="str">
        <f t="shared" si="135"/>
        <v>80-89</v>
      </c>
      <c r="I2942" t="str">
        <f t="shared" si="136"/>
        <v>20-29</v>
      </c>
      <c r="J2942">
        <f t="shared" si="137"/>
        <v>0.11718000000000001</v>
      </c>
    </row>
    <row r="2943" spans="1:10">
      <c r="A2943" t="s">
        <v>3025</v>
      </c>
      <c r="B2943">
        <v>32</v>
      </c>
      <c r="C2943" t="s">
        <v>7</v>
      </c>
      <c r="D2943">
        <v>24</v>
      </c>
      <c r="E2943">
        <v>55</v>
      </c>
      <c r="F2943">
        <v>3.0799999999999998E-3</v>
      </c>
      <c r="G2943">
        <v>0</v>
      </c>
      <c r="H2943" t="str">
        <f t="shared" si="135"/>
        <v>50-59</v>
      </c>
      <c r="I2943" t="str">
        <f t="shared" si="136"/>
        <v>20-29</v>
      </c>
      <c r="J2943">
        <f t="shared" si="137"/>
        <v>3.0799999999999998E-3</v>
      </c>
    </row>
    <row r="2944" spans="1:10">
      <c r="A2944" t="s">
        <v>3026</v>
      </c>
      <c r="B2944">
        <v>54</v>
      </c>
      <c r="C2944" t="s">
        <v>7</v>
      </c>
      <c r="D2944">
        <v>1</v>
      </c>
      <c r="E2944">
        <v>54</v>
      </c>
      <c r="F2944">
        <v>5.1000000000000004E-4</v>
      </c>
      <c r="G2944">
        <v>0</v>
      </c>
      <c r="H2944" t="str">
        <f t="shared" si="135"/>
        <v>50-59</v>
      </c>
      <c r="I2944" t="str">
        <f t="shared" si="136"/>
        <v>0-9</v>
      </c>
      <c r="J2944">
        <f t="shared" si="137"/>
        <v>5.1000000000000004E-4</v>
      </c>
    </row>
    <row r="2945" spans="1:10">
      <c r="A2945" t="s">
        <v>3027</v>
      </c>
      <c r="B2945">
        <v>36</v>
      </c>
      <c r="C2945" t="s">
        <v>7</v>
      </c>
      <c r="D2945">
        <v>29</v>
      </c>
      <c r="E2945">
        <v>64</v>
      </c>
      <c r="F2945">
        <v>5.4599999999999996E-3</v>
      </c>
      <c r="G2945">
        <v>0</v>
      </c>
      <c r="H2945" t="str">
        <f t="shared" si="135"/>
        <v>60-69</v>
      </c>
      <c r="I2945" t="str">
        <f t="shared" si="136"/>
        <v>20-29</v>
      </c>
      <c r="J2945">
        <f t="shared" si="137"/>
        <v>5.4599999999999996E-3</v>
      </c>
    </row>
    <row r="2946" spans="1:10">
      <c r="A2946" t="s">
        <v>3028</v>
      </c>
      <c r="B2946">
        <v>39</v>
      </c>
      <c r="C2946" t="s">
        <v>9</v>
      </c>
      <c r="D2946">
        <v>3</v>
      </c>
      <c r="E2946">
        <v>41</v>
      </c>
      <c r="F2946">
        <v>6.8999999999999997E-4</v>
      </c>
      <c r="G2946">
        <v>0</v>
      </c>
      <c r="H2946" t="str">
        <f t="shared" si="135"/>
        <v>40-49</v>
      </c>
      <c r="I2946" t="str">
        <f t="shared" si="136"/>
        <v>0-9</v>
      </c>
      <c r="J2946">
        <f t="shared" si="137"/>
        <v>6.8999999999999997E-4</v>
      </c>
    </row>
    <row r="2947" spans="1:10">
      <c r="A2947" t="s">
        <v>3029</v>
      </c>
      <c r="B2947">
        <v>44</v>
      </c>
      <c r="C2947" t="s">
        <v>7</v>
      </c>
      <c r="D2947">
        <v>9</v>
      </c>
      <c r="E2947">
        <v>52</v>
      </c>
      <c r="F2947">
        <v>1.7899999999999999E-3</v>
      </c>
      <c r="G2947">
        <v>0</v>
      </c>
      <c r="H2947" t="str">
        <f t="shared" ref="H2947:H3010" si="138">FLOOR(E2947,10) &amp; "-" &amp; FLOOR(E2947,10)+9</f>
        <v>50-59</v>
      </c>
      <c r="I2947" t="str">
        <f t="shared" ref="I2947:I3010" si="139">FLOOR(D2947, 10) &amp; "-"&amp;FLOOR(D2947, 10)+9</f>
        <v>0-9</v>
      </c>
      <c r="J2947">
        <f t="shared" ref="J2947:J3010" si="140">F2947</f>
        <v>1.7899999999999999E-3</v>
      </c>
    </row>
    <row r="2948" spans="1:10">
      <c r="A2948" t="s">
        <v>3030</v>
      </c>
      <c r="B2948">
        <v>57</v>
      </c>
      <c r="C2948" t="s">
        <v>9</v>
      </c>
      <c r="D2948">
        <v>15</v>
      </c>
      <c r="E2948">
        <v>71</v>
      </c>
      <c r="F2948">
        <v>1.8769999999999998E-2</v>
      </c>
      <c r="G2948">
        <v>0</v>
      </c>
      <c r="H2948" t="str">
        <f t="shared" si="138"/>
        <v>70-79</v>
      </c>
      <c r="I2948" t="str">
        <f t="shared" si="139"/>
        <v>10-19</v>
      </c>
      <c r="J2948">
        <f t="shared" si="140"/>
        <v>1.8769999999999998E-2</v>
      </c>
    </row>
    <row r="2949" spans="1:10">
      <c r="A2949" t="s">
        <v>3031</v>
      </c>
      <c r="B2949">
        <v>29</v>
      </c>
      <c r="C2949" t="s">
        <v>7</v>
      </c>
      <c r="D2949">
        <v>25</v>
      </c>
      <c r="E2949">
        <v>53</v>
      </c>
      <c r="F2949">
        <v>2.5899999999999999E-3</v>
      </c>
      <c r="G2949">
        <v>0</v>
      </c>
      <c r="H2949" t="str">
        <f t="shared" si="138"/>
        <v>50-59</v>
      </c>
      <c r="I2949" t="str">
        <f t="shared" si="139"/>
        <v>20-29</v>
      </c>
      <c r="J2949">
        <f t="shared" si="140"/>
        <v>2.5899999999999999E-3</v>
      </c>
    </row>
    <row r="2950" spans="1:10">
      <c r="A2950" t="s">
        <v>3032</v>
      </c>
      <c r="B2950">
        <v>46</v>
      </c>
      <c r="C2950" t="s">
        <v>9</v>
      </c>
      <c r="D2950">
        <v>21</v>
      </c>
      <c r="E2950">
        <v>66</v>
      </c>
      <c r="F2950">
        <v>1.132E-2</v>
      </c>
      <c r="G2950">
        <v>0</v>
      </c>
      <c r="H2950" t="str">
        <f t="shared" si="138"/>
        <v>60-69</v>
      </c>
      <c r="I2950" t="str">
        <f t="shared" si="139"/>
        <v>20-29</v>
      </c>
      <c r="J2950">
        <f t="shared" si="140"/>
        <v>1.132E-2</v>
      </c>
    </row>
    <row r="2951" spans="1:10">
      <c r="A2951" t="s">
        <v>3033</v>
      </c>
      <c r="B2951">
        <v>53</v>
      </c>
      <c r="C2951" t="s">
        <v>7</v>
      </c>
      <c r="D2951">
        <v>8</v>
      </c>
      <c r="E2951">
        <v>60</v>
      </c>
      <c r="F2951">
        <v>3.5699999999999998E-3</v>
      </c>
      <c r="G2951">
        <v>0</v>
      </c>
      <c r="H2951" t="str">
        <f t="shared" si="138"/>
        <v>60-69</v>
      </c>
      <c r="I2951" t="str">
        <f t="shared" si="139"/>
        <v>0-9</v>
      </c>
      <c r="J2951">
        <f t="shared" si="140"/>
        <v>3.5699999999999998E-3</v>
      </c>
    </row>
    <row r="2952" spans="1:10">
      <c r="A2952" t="s">
        <v>3034</v>
      </c>
      <c r="B2952">
        <v>37</v>
      </c>
      <c r="C2952" t="s">
        <v>7</v>
      </c>
      <c r="D2952">
        <v>11</v>
      </c>
      <c r="E2952">
        <v>47</v>
      </c>
      <c r="F2952">
        <v>1.2199999999999999E-3</v>
      </c>
      <c r="G2952">
        <v>0</v>
      </c>
      <c r="H2952" t="str">
        <f t="shared" si="138"/>
        <v>40-49</v>
      </c>
      <c r="I2952" t="str">
        <f t="shared" si="139"/>
        <v>10-19</v>
      </c>
      <c r="J2952">
        <f t="shared" si="140"/>
        <v>1.2199999999999999E-3</v>
      </c>
    </row>
    <row r="2953" spans="1:10">
      <c r="A2953" t="s">
        <v>3035</v>
      </c>
      <c r="B2953">
        <v>25</v>
      </c>
      <c r="C2953" t="s">
        <v>7</v>
      </c>
      <c r="D2953">
        <v>9</v>
      </c>
      <c r="E2953">
        <v>33</v>
      </c>
      <c r="F2953">
        <v>4.0000000000000002E-4</v>
      </c>
      <c r="G2953">
        <v>0</v>
      </c>
      <c r="H2953" t="str">
        <f t="shared" si="138"/>
        <v>30-39</v>
      </c>
      <c r="I2953" t="str">
        <f t="shared" si="139"/>
        <v>0-9</v>
      </c>
      <c r="J2953">
        <f t="shared" si="140"/>
        <v>4.0000000000000002E-4</v>
      </c>
    </row>
    <row r="2954" spans="1:10">
      <c r="A2954" t="s">
        <v>3036</v>
      </c>
      <c r="B2954">
        <v>42</v>
      </c>
      <c r="C2954" t="s">
        <v>7</v>
      </c>
      <c r="D2954">
        <v>18</v>
      </c>
      <c r="E2954">
        <v>59</v>
      </c>
      <c r="F2954">
        <v>4.2500000000000003E-3</v>
      </c>
      <c r="G2954">
        <v>0</v>
      </c>
      <c r="H2954" t="str">
        <f t="shared" si="138"/>
        <v>50-59</v>
      </c>
      <c r="I2954" t="str">
        <f t="shared" si="139"/>
        <v>10-19</v>
      </c>
      <c r="J2954">
        <f t="shared" si="140"/>
        <v>4.2500000000000003E-3</v>
      </c>
    </row>
    <row r="2955" spans="1:10">
      <c r="A2955" t="s">
        <v>3037</v>
      </c>
      <c r="B2955">
        <v>61</v>
      </c>
      <c r="C2955" t="s">
        <v>7</v>
      </c>
      <c r="D2955">
        <v>24</v>
      </c>
      <c r="E2955">
        <v>84</v>
      </c>
      <c r="F2955">
        <v>6.4490000000000006E-2</v>
      </c>
      <c r="G2955">
        <v>0</v>
      </c>
      <c r="H2955" t="str">
        <f t="shared" si="138"/>
        <v>80-89</v>
      </c>
      <c r="I2955" t="str">
        <f t="shared" si="139"/>
        <v>20-29</v>
      </c>
      <c r="J2955">
        <f t="shared" si="140"/>
        <v>6.4490000000000006E-2</v>
      </c>
    </row>
    <row r="2956" spans="1:10">
      <c r="A2956" t="s">
        <v>3038</v>
      </c>
      <c r="B2956">
        <v>24</v>
      </c>
      <c r="C2956" t="s">
        <v>9</v>
      </c>
      <c r="D2956">
        <v>16</v>
      </c>
      <c r="E2956">
        <v>39</v>
      </c>
      <c r="F2956">
        <v>1.1999999999999999E-3</v>
      </c>
      <c r="G2956">
        <v>0</v>
      </c>
      <c r="H2956" t="str">
        <f t="shared" si="138"/>
        <v>30-39</v>
      </c>
      <c r="I2956" t="str">
        <f t="shared" si="139"/>
        <v>10-19</v>
      </c>
      <c r="J2956">
        <f t="shared" si="140"/>
        <v>1.1999999999999999E-3</v>
      </c>
    </row>
    <row r="2957" spans="1:10">
      <c r="A2957" t="s">
        <v>3039</v>
      </c>
      <c r="B2957">
        <v>33</v>
      </c>
      <c r="C2957" t="s">
        <v>7</v>
      </c>
      <c r="D2957">
        <v>15</v>
      </c>
      <c r="E2957">
        <v>47</v>
      </c>
      <c r="F2957">
        <v>1.3600000000000001E-3</v>
      </c>
      <c r="G2957">
        <v>0</v>
      </c>
      <c r="H2957" t="str">
        <f t="shared" si="138"/>
        <v>40-49</v>
      </c>
      <c r="I2957" t="str">
        <f t="shared" si="139"/>
        <v>10-19</v>
      </c>
      <c r="J2957">
        <f t="shared" si="140"/>
        <v>1.3600000000000001E-3</v>
      </c>
    </row>
    <row r="2958" spans="1:10">
      <c r="A2958" t="s">
        <v>3040</v>
      </c>
      <c r="B2958">
        <v>26</v>
      </c>
      <c r="C2958" t="s">
        <v>9</v>
      </c>
      <c r="D2958">
        <v>11</v>
      </c>
      <c r="E2958">
        <v>36</v>
      </c>
      <c r="F2958">
        <v>7.6999999999999996E-4</v>
      </c>
      <c r="G2958">
        <v>0</v>
      </c>
      <c r="H2958" t="str">
        <f t="shared" si="138"/>
        <v>30-39</v>
      </c>
      <c r="I2958" t="str">
        <f t="shared" si="139"/>
        <v>10-19</v>
      </c>
      <c r="J2958">
        <f t="shared" si="140"/>
        <v>7.6999999999999996E-4</v>
      </c>
    </row>
    <row r="2959" spans="1:10">
      <c r="A2959" t="s">
        <v>3041</v>
      </c>
      <c r="B2959">
        <v>53</v>
      </c>
      <c r="C2959" t="s">
        <v>7</v>
      </c>
      <c r="D2959">
        <v>17</v>
      </c>
      <c r="E2959">
        <v>69</v>
      </c>
      <c r="F2959">
        <v>1.159E-2</v>
      </c>
      <c r="G2959">
        <v>0</v>
      </c>
      <c r="H2959" t="str">
        <f t="shared" si="138"/>
        <v>60-69</v>
      </c>
      <c r="I2959" t="str">
        <f t="shared" si="139"/>
        <v>10-19</v>
      </c>
      <c r="J2959">
        <f t="shared" si="140"/>
        <v>1.159E-2</v>
      </c>
    </row>
    <row r="2960" spans="1:10">
      <c r="A2960" t="s">
        <v>3042</v>
      </c>
      <c r="B2960">
        <v>39</v>
      </c>
      <c r="C2960" t="s">
        <v>9</v>
      </c>
      <c r="D2960">
        <v>23</v>
      </c>
      <c r="E2960">
        <v>61</v>
      </c>
      <c r="F2960">
        <v>7.0200000000000002E-3</v>
      </c>
      <c r="G2960">
        <v>0</v>
      </c>
      <c r="H2960" t="str">
        <f t="shared" si="138"/>
        <v>60-69</v>
      </c>
      <c r="I2960" t="str">
        <f t="shared" si="139"/>
        <v>20-29</v>
      </c>
      <c r="J2960">
        <f t="shared" si="140"/>
        <v>7.0200000000000002E-3</v>
      </c>
    </row>
    <row r="2961" spans="1:10">
      <c r="A2961" t="s">
        <v>3043</v>
      </c>
      <c r="B2961">
        <v>52</v>
      </c>
      <c r="C2961" t="s">
        <v>7</v>
      </c>
      <c r="D2961">
        <v>4</v>
      </c>
      <c r="E2961">
        <v>55</v>
      </c>
      <c r="F2961">
        <v>1.8699999999999999E-3</v>
      </c>
      <c r="G2961">
        <v>0</v>
      </c>
      <c r="H2961" t="str">
        <f t="shared" si="138"/>
        <v>50-59</v>
      </c>
      <c r="I2961" t="str">
        <f t="shared" si="139"/>
        <v>0-9</v>
      </c>
      <c r="J2961">
        <f t="shared" si="140"/>
        <v>1.8699999999999999E-3</v>
      </c>
    </row>
    <row r="2962" spans="1:10">
      <c r="A2962" t="s">
        <v>3044</v>
      </c>
      <c r="B2962">
        <v>43</v>
      </c>
      <c r="C2962" t="s">
        <v>7</v>
      </c>
      <c r="D2962">
        <v>13</v>
      </c>
      <c r="E2962">
        <v>55</v>
      </c>
      <c r="F2962">
        <v>2.6800000000000001E-3</v>
      </c>
      <c r="G2962">
        <v>0</v>
      </c>
      <c r="H2962" t="str">
        <f t="shared" si="138"/>
        <v>50-59</v>
      </c>
      <c r="I2962" t="str">
        <f t="shared" si="139"/>
        <v>10-19</v>
      </c>
      <c r="J2962">
        <f t="shared" si="140"/>
        <v>2.6800000000000001E-3</v>
      </c>
    </row>
    <row r="2963" spans="1:10">
      <c r="A2963" t="s">
        <v>3045</v>
      </c>
      <c r="B2963">
        <v>52</v>
      </c>
      <c r="C2963" t="s">
        <v>7</v>
      </c>
      <c r="D2963">
        <v>7</v>
      </c>
      <c r="E2963">
        <v>58</v>
      </c>
      <c r="F2963">
        <v>2.8400000000000001E-3</v>
      </c>
      <c r="G2963">
        <v>0</v>
      </c>
      <c r="H2963" t="str">
        <f t="shared" si="138"/>
        <v>50-59</v>
      </c>
      <c r="I2963" t="str">
        <f t="shared" si="139"/>
        <v>0-9</v>
      </c>
      <c r="J2963">
        <f t="shared" si="140"/>
        <v>2.8400000000000001E-3</v>
      </c>
    </row>
    <row r="2964" spans="1:10">
      <c r="A2964" t="s">
        <v>3046</v>
      </c>
      <c r="B2964">
        <v>37</v>
      </c>
      <c r="C2964" t="s">
        <v>9</v>
      </c>
      <c r="D2964">
        <v>14</v>
      </c>
      <c r="E2964">
        <v>50</v>
      </c>
      <c r="F2964">
        <v>2.2399999999999998E-3</v>
      </c>
      <c r="G2964">
        <v>0</v>
      </c>
      <c r="H2964" t="str">
        <f t="shared" si="138"/>
        <v>50-59</v>
      </c>
      <c r="I2964" t="str">
        <f t="shared" si="139"/>
        <v>10-19</v>
      </c>
      <c r="J2964">
        <f t="shared" si="140"/>
        <v>2.2399999999999998E-3</v>
      </c>
    </row>
    <row r="2965" spans="1:10">
      <c r="A2965" t="s">
        <v>3047</v>
      </c>
      <c r="B2965">
        <v>56</v>
      </c>
      <c r="C2965" t="s">
        <v>9</v>
      </c>
      <c r="D2965">
        <v>21</v>
      </c>
      <c r="E2965">
        <v>76</v>
      </c>
      <c r="F2965">
        <v>3.32E-2</v>
      </c>
      <c r="G2965">
        <v>0</v>
      </c>
      <c r="H2965" t="str">
        <f t="shared" si="138"/>
        <v>70-79</v>
      </c>
      <c r="I2965" t="str">
        <f t="shared" si="139"/>
        <v>20-29</v>
      </c>
      <c r="J2965">
        <f t="shared" si="140"/>
        <v>3.32E-2</v>
      </c>
    </row>
    <row r="2966" spans="1:10">
      <c r="A2966" t="s">
        <v>3048</v>
      </c>
      <c r="B2966">
        <v>26</v>
      </c>
      <c r="C2966" t="s">
        <v>9</v>
      </c>
      <c r="D2966">
        <v>24</v>
      </c>
      <c r="E2966">
        <v>49</v>
      </c>
      <c r="F2966">
        <v>2.5999999999999999E-3</v>
      </c>
      <c r="G2966">
        <v>0</v>
      </c>
      <c r="H2966" t="str">
        <f t="shared" si="138"/>
        <v>40-49</v>
      </c>
      <c r="I2966" t="str">
        <f t="shared" si="139"/>
        <v>20-29</v>
      </c>
      <c r="J2966">
        <f t="shared" si="140"/>
        <v>2.5999999999999999E-3</v>
      </c>
    </row>
    <row r="2967" spans="1:10">
      <c r="A2967" t="s">
        <v>3049</v>
      </c>
      <c r="B2967">
        <v>49</v>
      </c>
      <c r="C2967" t="s">
        <v>9</v>
      </c>
      <c r="D2967">
        <v>6</v>
      </c>
      <c r="E2967">
        <v>54</v>
      </c>
      <c r="F2967">
        <v>2.7000000000000001E-3</v>
      </c>
      <c r="G2967">
        <v>0</v>
      </c>
      <c r="H2967" t="str">
        <f t="shared" si="138"/>
        <v>50-59</v>
      </c>
      <c r="I2967" t="str">
        <f t="shared" si="139"/>
        <v>0-9</v>
      </c>
      <c r="J2967">
        <f t="shared" si="140"/>
        <v>2.7000000000000001E-3</v>
      </c>
    </row>
    <row r="2968" spans="1:10">
      <c r="A2968" t="s">
        <v>3050</v>
      </c>
      <c r="B2968">
        <v>53</v>
      </c>
      <c r="C2968" t="s">
        <v>9</v>
      </c>
      <c r="D2968">
        <v>15</v>
      </c>
      <c r="E2968">
        <v>67</v>
      </c>
      <c r="F2968">
        <v>1.2460000000000001E-2</v>
      </c>
      <c r="G2968">
        <v>0</v>
      </c>
      <c r="H2968" t="str">
        <f t="shared" si="138"/>
        <v>60-69</v>
      </c>
      <c r="I2968" t="str">
        <f t="shared" si="139"/>
        <v>10-19</v>
      </c>
      <c r="J2968">
        <f t="shared" si="140"/>
        <v>1.2460000000000001E-2</v>
      </c>
    </row>
    <row r="2969" spans="1:10">
      <c r="A2969" t="s">
        <v>3051</v>
      </c>
      <c r="B2969">
        <v>55</v>
      </c>
      <c r="C2969" t="s">
        <v>9</v>
      </c>
      <c r="D2969">
        <v>3</v>
      </c>
      <c r="E2969">
        <v>57</v>
      </c>
      <c r="F2969">
        <v>3.0699999999999998E-3</v>
      </c>
      <c r="G2969">
        <v>0</v>
      </c>
      <c r="H2969" t="str">
        <f t="shared" si="138"/>
        <v>50-59</v>
      </c>
      <c r="I2969" t="str">
        <f t="shared" si="139"/>
        <v>0-9</v>
      </c>
      <c r="J2969">
        <f t="shared" si="140"/>
        <v>3.0699999999999998E-3</v>
      </c>
    </row>
    <row r="2970" spans="1:10">
      <c r="A2970" t="s">
        <v>3052</v>
      </c>
      <c r="B2970">
        <v>45</v>
      </c>
      <c r="C2970" t="s">
        <v>9</v>
      </c>
      <c r="D2970">
        <v>17</v>
      </c>
      <c r="E2970">
        <v>61</v>
      </c>
      <c r="F2970">
        <v>7.0200000000000002E-3</v>
      </c>
      <c r="G2970">
        <v>0</v>
      </c>
      <c r="H2970" t="str">
        <f t="shared" si="138"/>
        <v>60-69</v>
      </c>
      <c r="I2970" t="str">
        <f t="shared" si="139"/>
        <v>10-19</v>
      </c>
      <c r="J2970">
        <f t="shared" si="140"/>
        <v>7.0200000000000002E-3</v>
      </c>
    </row>
    <row r="2971" spans="1:10">
      <c r="A2971" t="s">
        <v>3053</v>
      </c>
      <c r="B2971">
        <v>48</v>
      </c>
      <c r="C2971" t="s">
        <v>9</v>
      </c>
      <c r="D2971">
        <v>9</v>
      </c>
      <c r="E2971">
        <v>56</v>
      </c>
      <c r="F2971">
        <v>3.5300000000000002E-3</v>
      </c>
      <c r="G2971">
        <v>0</v>
      </c>
      <c r="H2971" t="str">
        <f t="shared" si="138"/>
        <v>50-59</v>
      </c>
      <c r="I2971" t="str">
        <f t="shared" si="139"/>
        <v>0-9</v>
      </c>
      <c r="J2971">
        <f t="shared" si="140"/>
        <v>3.5300000000000002E-3</v>
      </c>
    </row>
    <row r="2972" spans="1:10">
      <c r="A2972" t="s">
        <v>3054</v>
      </c>
      <c r="B2972">
        <v>44</v>
      </c>
      <c r="C2972" t="s">
        <v>7</v>
      </c>
      <c r="D2972">
        <v>24</v>
      </c>
      <c r="E2972">
        <v>67</v>
      </c>
      <c r="F2972">
        <v>1.027E-2</v>
      </c>
      <c r="G2972">
        <v>0</v>
      </c>
      <c r="H2972" t="str">
        <f t="shared" si="138"/>
        <v>60-69</v>
      </c>
      <c r="I2972" t="str">
        <f t="shared" si="139"/>
        <v>20-29</v>
      </c>
      <c r="J2972">
        <f t="shared" si="140"/>
        <v>1.027E-2</v>
      </c>
    </row>
    <row r="2973" spans="1:10">
      <c r="A2973" t="s">
        <v>3055</v>
      </c>
      <c r="B2973">
        <v>32</v>
      </c>
      <c r="C2973" t="s">
        <v>9</v>
      </c>
      <c r="D2973">
        <v>13</v>
      </c>
      <c r="E2973">
        <v>44</v>
      </c>
      <c r="F2973">
        <v>1.39E-3</v>
      </c>
      <c r="G2973">
        <v>0</v>
      </c>
      <c r="H2973" t="str">
        <f t="shared" si="138"/>
        <v>40-49</v>
      </c>
      <c r="I2973" t="str">
        <f t="shared" si="139"/>
        <v>10-19</v>
      </c>
      <c r="J2973">
        <f t="shared" si="140"/>
        <v>1.39E-3</v>
      </c>
    </row>
    <row r="2974" spans="1:10">
      <c r="A2974" t="s">
        <v>3056</v>
      </c>
      <c r="B2974">
        <v>58</v>
      </c>
      <c r="C2974" t="s">
        <v>7</v>
      </c>
      <c r="D2974">
        <v>16</v>
      </c>
      <c r="E2974">
        <v>73</v>
      </c>
      <c r="F2974">
        <v>1.6809999999999999E-2</v>
      </c>
      <c r="G2974">
        <v>0</v>
      </c>
      <c r="H2974" t="str">
        <f t="shared" si="138"/>
        <v>70-79</v>
      </c>
      <c r="I2974" t="str">
        <f t="shared" si="139"/>
        <v>10-19</v>
      </c>
      <c r="J2974">
        <f t="shared" si="140"/>
        <v>1.6809999999999999E-2</v>
      </c>
    </row>
    <row r="2975" spans="1:10">
      <c r="A2975" t="s">
        <v>3057</v>
      </c>
      <c r="B2975">
        <v>23</v>
      </c>
      <c r="C2975" t="s">
        <v>9</v>
      </c>
      <c r="D2975">
        <v>21</v>
      </c>
      <c r="E2975">
        <v>43</v>
      </c>
      <c r="F2975">
        <v>1.9499999999999999E-3</v>
      </c>
      <c r="G2975">
        <v>0</v>
      </c>
      <c r="H2975" t="str">
        <f t="shared" si="138"/>
        <v>40-49</v>
      </c>
      <c r="I2975" t="str">
        <f t="shared" si="139"/>
        <v>20-29</v>
      </c>
      <c r="J2975">
        <f t="shared" si="140"/>
        <v>1.9499999999999999E-3</v>
      </c>
    </row>
    <row r="2976" spans="1:10">
      <c r="A2976" t="s">
        <v>3058</v>
      </c>
      <c r="B2976">
        <v>27</v>
      </c>
      <c r="C2976" t="s">
        <v>7</v>
      </c>
      <c r="D2976">
        <v>2</v>
      </c>
      <c r="E2976">
        <v>28</v>
      </c>
      <c r="F2976">
        <v>1.7000000000000001E-4</v>
      </c>
      <c r="G2976">
        <v>0</v>
      </c>
      <c r="H2976" t="str">
        <f t="shared" si="138"/>
        <v>20-29</v>
      </c>
      <c r="I2976" t="str">
        <f t="shared" si="139"/>
        <v>0-9</v>
      </c>
      <c r="J2976">
        <f t="shared" si="140"/>
        <v>1.7000000000000001E-4</v>
      </c>
    </row>
    <row r="2977" spans="1:10">
      <c r="A2977" t="s">
        <v>3059</v>
      </c>
      <c r="B2977">
        <v>35</v>
      </c>
      <c r="C2977" t="s">
        <v>7</v>
      </c>
      <c r="D2977">
        <v>3</v>
      </c>
      <c r="E2977">
        <v>37</v>
      </c>
      <c r="F2977">
        <v>3.5E-4</v>
      </c>
      <c r="G2977">
        <v>0</v>
      </c>
      <c r="H2977" t="str">
        <f t="shared" si="138"/>
        <v>30-39</v>
      </c>
      <c r="I2977" t="str">
        <f t="shared" si="139"/>
        <v>0-9</v>
      </c>
      <c r="J2977">
        <f t="shared" si="140"/>
        <v>3.5E-4</v>
      </c>
    </row>
    <row r="2978" spans="1:10">
      <c r="A2978" t="s">
        <v>3060</v>
      </c>
      <c r="B2978">
        <v>59</v>
      </c>
      <c r="C2978" t="s">
        <v>7</v>
      </c>
      <c r="D2978">
        <v>23</v>
      </c>
      <c r="E2978">
        <v>81</v>
      </c>
      <c r="F2978">
        <v>4.4880000000000003E-2</v>
      </c>
      <c r="G2978">
        <v>0</v>
      </c>
      <c r="H2978" t="str">
        <f t="shared" si="138"/>
        <v>80-89</v>
      </c>
      <c r="I2978" t="str">
        <f t="shared" si="139"/>
        <v>20-29</v>
      </c>
      <c r="J2978">
        <f t="shared" si="140"/>
        <v>4.4880000000000003E-2</v>
      </c>
    </row>
    <row r="2979" spans="1:10">
      <c r="A2979" t="s">
        <v>3061</v>
      </c>
      <c r="B2979">
        <v>26</v>
      </c>
      <c r="C2979" t="s">
        <v>7</v>
      </c>
      <c r="D2979">
        <v>8</v>
      </c>
      <c r="E2979">
        <v>33</v>
      </c>
      <c r="F2979">
        <v>3.8000000000000002E-4</v>
      </c>
      <c r="G2979">
        <v>0</v>
      </c>
      <c r="H2979" t="str">
        <f t="shared" si="138"/>
        <v>30-39</v>
      </c>
      <c r="I2979" t="str">
        <f t="shared" si="139"/>
        <v>0-9</v>
      </c>
      <c r="J2979">
        <f t="shared" si="140"/>
        <v>3.8000000000000002E-4</v>
      </c>
    </row>
    <row r="2980" spans="1:10">
      <c r="A2980" t="s">
        <v>3062</v>
      </c>
      <c r="B2980">
        <v>37</v>
      </c>
      <c r="C2980" t="s">
        <v>9</v>
      </c>
      <c r="D2980">
        <v>16</v>
      </c>
      <c r="E2980">
        <v>52</v>
      </c>
      <c r="F2980">
        <v>2.7799999999999999E-3</v>
      </c>
      <c r="G2980">
        <v>0</v>
      </c>
      <c r="H2980" t="str">
        <f t="shared" si="138"/>
        <v>50-59</v>
      </c>
      <c r="I2980" t="str">
        <f t="shared" si="139"/>
        <v>10-19</v>
      </c>
      <c r="J2980">
        <f t="shared" si="140"/>
        <v>2.7799999999999999E-3</v>
      </c>
    </row>
    <row r="2981" spans="1:10">
      <c r="A2981" t="s">
        <v>3063</v>
      </c>
      <c r="B2981">
        <v>42</v>
      </c>
      <c r="C2981" t="s">
        <v>9</v>
      </c>
      <c r="D2981">
        <v>21</v>
      </c>
      <c r="E2981">
        <v>62</v>
      </c>
      <c r="F2981">
        <v>7.7400000000000004E-3</v>
      </c>
      <c r="G2981">
        <v>0</v>
      </c>
      <c r="H2981" t="str">
        <f t="shared" si="138"/>
        <v>60-69</v>
      </c>
      <c r="I2981" t="str">
        <f t="shared" si="139"/>
        <v>20-29</v>
      </c>
      <c r="J2981">
        <f t="shared" si="140"/>
        <v>7.7400000000000004E-3</v>
      </c>
    </row>
    <row r="2982" spans="1:10">
      <c r="A2982" t="s">
        <v>3064</v>
      </c>
      <c r="B2982">
        <v>20</v>
      </c>
      <c r="C2982" t="s">
        <v>9</v>
      </c>
      <c r="D2982">
        <v>4</v>
      </c>
      <c r="E2982">
        <v>23</v>
      </c>
      <c r="F2982">
        <v>7.7999999999999999E-4</v>
      </c>
      <c r="G2982">
        <v>0</v>
      </c>
      <c r="H2982" t="str">
        <f t="shared" si="138"/>
        <v>20-29</v>
      </c>
      <c r="I2982" t="str">
        <f t="shared" si="139"/>
        <v>0-9</v>
      </c>
      <c r="J2982">
        <f t="shared" si="140"/>
        <v>7.7999999999999999E-4</v>
      </c>
    </row>
    <row r="2983" spans="1:10">
      <c r="A2983" t="s">
        <v>3065</v>
      </c>
      <c r="B2983">
        <v>59</v>
      </c>
      <c r="C2983" t="s">
        <v>7</v>
      </c>
      <c r="D2983">
        <v>16</v>
      </c>
      <c r="E2983">
        <v>74</v>
      </c>
      <c r="F2983">
        <v>1.865E-2</v>
      </c>
      <c r="G2983">
        <v>0</v>
      </c>
      <c r="H2983" t="str">
        <f t="shared" si="138"/>
        <v>70-79</v>
      </c>
      <c r="I2983" t="str">
        <f t="shared" si="139"/>
        <v>10-19</v>
      </c>
      <c r="J2983">
        <f t="shared" si="140"/>
        <v>1.865E-2</v>
      </c>
    </row>
    <row r="2984" spans="1:10">
      <c r="A2984" t="s">
        <v>3066</v>
      </c>
      <c r="B2984">
        <v>64</v>
      </c>
      <c r="C2984" t="s">
        <v>9</v>
      </c>
      <c r="D2984">
        <v>8</v>
      </c>
      <c r="E2984">
        <v>71</v>
      </c>
      <c r="F2984">
        <v>1.3429999999999999E-2</v>
      </c>
      <c r="G2984">
        <v>0</v>
      </c>
      <c r="H2984" t="str">
        <f t="shared" si="138"/>
        <v>70-79</v>
      </c>
      <c r="I2984" t="str">
        <f t="shared" si="139"/>
        <v>0-9</v>
      </c>
      <c r="J2984">
        <f t="shared" si="140"/>
        <v>1.3429999999999999E-2</v>
      </c>
    </row>
    <row r="2985" spans="1:10">
      <c r="A2985" t="s">
        <v>3067</v>
      </c>
      <c r="B2985">
        <v>30</v>
      </c>
      <c r="C2985" t="s">
        <v>9</v>
      </c>
      <c r="D2985">
        <v>6</v>
      </c>
      <c r="E2985">
        <v>35</v>
      </c>
      <c r="F2985">
        <v>5.2999999999999998E-4</v>
      </c>
      <c r="G2985">
        <v>0</v>
      </c>
      <c r="H2985" t="str">
        <f t="shared" si="138"/>
        <v>30-39</v>
      </c>
      <c r="I2985" t="str">
        <f t="shared" si="139"/>
        <v>0-9</v>
      </c>
      <c r="J2985">
        <f t="shared" si="140"/>
        <v>5.2999999999999998E-4</v>
      </c>
    </row>
    <row r="2986" spans="1:10">
      <c r="A2986" t="s">
        <v>3068</v>
      </c>
      <c r="B2986">
        <v>20</v>
      </c>
      <c r="C2986" t="s">
        <v>9</v>
      </c>
      <c r="D2986">
        <v>22</v>
      </c>
      <c r="E2986">
        <v>41</v>
      </c>
      <c r="F2986">
        <v>1.92E-3</v>
      </c>
      <c r="G2986">
        <v>0</v>
      </c>
      <c r="H2986" t="str">
        <f t="shared" si="138"/>
        <v>40-49</v>
      </c>
      <c r="I2986" t="str">
        <f t="shared" si="139"/>
        <v>20-29</v>
      </c>
      <c r="J2986">
        <f t="shared" si="140"/>
        <v>1.92E-3</v>
      </c>
    </row>
    <row r="2987" spans="1:10">
      <c r="A2987" t="s">
        <v>3069</v>
      </c>
      <c r="B2987">
        <v>31</v>
      </c>
      <c r="C2987" t="s">
        <v>7</v>
      </c>
      <c r="D2987">
        <v>9</v>
      </c>
      <c r="E2987">
        <v>39</v>
      </c>
      <c r="F2987">
        <v>6.6E-4</v>
      </c>
      <c r="G2987">
        <v>0</v>
      </c>
      <c r="H2987" t="str">
        <f t="shared" si="138"/>
        <v>30-39</v>
      </c>
      <c r="I2987" t="str">
        <f t="shared" si="139"/>
        <v>0-9</v>
      </c>
      <c r="J2987">
        <f t="shared" si="140"/>
        <v>6.6E-4</v>
      </c>
    </row>
    <row r="2988" spans="1:10">
      <c r="A2988" t="s">
        <v>3070</v>
      </c>
      <c r="B2988">
        <v>20</v>
      </c>
      <c r="C2988" t="s">
        <v>9</v>
      </c>
      <c r="D2988">
        <v>20</v>
      </c>
      <c r="E2988">
        <v>39</v>
      </c>
      <c r="F2988">
        <v>1.58E-3</v>
      </c>
      <c r="G2988">
        <v>0</v>
      </c>
      <c r="H2988" t="str">
        <f t="shared" si="138"/>
        <v>30-39</v>
      </c>
      <c r="I2988" t="str">
        <f t="shared" si="139"/>
        <v>20-29</v>
      </c>
      <c r="J2988">
        <f t="shared" si="140"/>
        <v>1.58E-3</v>
      </c>
    </row>
    <row r="2989" spans="1:10">
      <c r="A2989" t="s">
        <v>3071</v>
      </c>
      <c r="B2989">
        <v>20</v>
      </c>
      <c r="C2989" t="s">
        <v>7</v>
      </c>
      <c r="D2989">
        <v>16</v>
      </c>
      <c r="E2989">
        <v>35</v>
      </c>
      <c r="F2989">
        <v>6.6E-4</v>
      </c>
      <c r="G2989">
        <v>0</v>
      </c>
      <c r="H2989" t="str">
        <f t="shared" si="138"/>
        <v>30-39</v>
      </c>
      <c r="I2989" t="str">
        <f t="shared" si="139"/>
        <v>10-19</v>
      </c>
      <c r="J2989">
        <f t="shared" si="140"/>
        <v>6.6E-4</v>
      </c>
    </row>
    <row r="2990" spans="1:10">
      <c r="A2990" t="s">
        <v>3072</v>
      </c>
      <c r="B2990">
        <v>22</v>
      </c>
      <c r="C2990" t="s">
        <v>9</v>
      </c>
      <c r="D2990">
        <v>27</v>
      </c>
      <c r="E2990">
        <v>48</v>
      </c>
      <c r="F2990">
        <v>2.6700000000000001E-3</v>
      </c>
      <c r="G2990">
        <v>0</v>
      </c>
      <c r="H2990" t="str">
        <f t="shared" si="138"/>
        <v>40-49</v>
      </c>
      <c r="I2990" t="str">
        <f t="shared" si="139"/>
        <v>20-29</v>
      </c>
      <c r="J2990">
        <f t="shared" si="140"/>
        <v>2.6700000000000001E-3</v>
      </c>
    </row>
    <row r="2991" spans="1:10">
      <c r="A2991" t="s">
        <v>3073</v>
      </c>
      <c r="B2991">
        <v>38</v>
      </c>
      <c r="C2991" t="s">
        <v>9</v>
      </c>
      <c r="D2991">
        <v>27</v>
      </c>
      <c r="E2991">
        <v>64</v>
      </c>
      <c r="F2991">
        <v>8.6599999999999993E-3</v>
      </c>
      <c r="G2991">
        <v>0</v>
      </c>
      <c r="H2991" t="str">
        <f t="shared" si="138"/>
        <v>60-69</v>
      </c>
      <c r="I2991" t="str">
        <f t="shared" si="139"/>
        <v>20-29</v>
      </c>
      <c r="J2991">
        <f t="shared" si="140"/>
        <v>8.6599999999999993E-3</v>
      </c>
    </row>
    <row r="2992" spans="1:10">
      <c r="A2992" t="s">
        <v>3074</v>
      </c>
      <c r="B2992">
        <v>29</v>
      </c>
      <c r="C2992" t="s">
        <v>9</v>
      </c>
      <c r="D2992">
        <v>25</v>
      </c>
      <c r="E2992">
        <v>53</v>
      </c>
      <c r="F2992">
        <v>3.4199999999999999E-3</v>
      </c>
      <c r="G2992">
        <v>0</v>
      </c>
      <c r="H2992" t="str">
        <f t="shared" si="138"/>
        <v>50-59</v>
      </c>
      <c r="I2992" t="str">
        <f t="shared" si="139"/>
        <v>20-29</v>
      </c>
      <c r="J2992">
        <f t="shared" si="140"/>
        <v>3.4199999999999999E-3</v>
      </c>
    </row>
    <row r="2993" spans="1:10">
      <c r="A2993" t="s">
        <v>3075</v>
      </c>
      <c r="B2993">
        <v>41</v>
      </c>
      <c r="C2993" t="s">
        <v>9</v>
      </c>
      <c r="D2993">
        <v>15</v>
      </c>
      <c r="E2993">
        <v>55</v>
      </c>
      <c r="F2993">
        <v>3.6099999999999999E-3</v>
      </c>
      <c r="G2993">
        <v>0</v>
      </c>
      <c r="H2993" t="str">
        <f t="shared" si="138"/>
        <v>50-59</v>
      </c>
      <c r="I2993" t="str">
        <f t="shared" si="139"/>
        <v>10-19</v>
      </c>
      <c r="J2993">
        <f t="shared" si="140"/>
        <v>3.6099999999999999E-3</v>
      </c>
    </row>
    <row r="2994" spans="1:10">
      <c r="A2994" t="s">
        <v>3076</v>
      </c>
      <c r="B2994">
        <v>54</v>
      </c>
      <c r="C2994" t="s">
        <v>7</v>
      </c>
      <c r="D2994">
        <v>9</v>
      </c>
      <c r="E2994">
        <v>62</v>
      </c>
      <c r="F2994">
        <v>4.5900000000000003E-3</v>
      </c>
      <c r="G2994">
        <v>0</v>
      </c>
      <c r="H2994" t="str">
        <f t="shared" si="138"/>
        <v>60-69</v>
      </c>
      <c r="I2994" t="str">
        <f t="shared" si="139"/>
        <v>0-9</v>
      </c>
      <c r="J2994">
        <f t="shared" si="140"/>
        <v>4.5900000000000003E-3</v>
      </c>
    </row>
    <row r="2995" spans="1:10">
      <c r="A2995" t="s">
        <v>3077</v>
      </c>
      <c r="B2995">
        <v>49</v>
      </c>
      <c r="C2995" t="s">
        <v>7</v>
      </c>
      <c r="D2995">
        <v>1</v>
      </c>
      <c r="E2995">
        <v>49</v>
      </c>
      <c r="F2995">
        <v>4.0000000000000002E-4</v>
      </c>
      <c r="G2995">
        <v>0</v>
      </c>
      <c r="H2995" t="str">
        <f t="shared" si="138"/>
        <v>40-49</v>
      </c>
      <c r="I2995" t="str">
        <f t="shared" si="139"/>
        <v>0-9</v>
      </c>
      <c r="J2995">
        <f t="shared" si="140"/>
        <v>4.0000000000000002E-4</v>
      </c>
    </row>
    <row r="2996" spans="1:10">
      <c r="A2996" t="s">
        <v>3078</v>
      </c>
      <c r="B2996">
        <v>41</v>
      </c>
      <c r="C2996" t="s">
        <v>7</v>
      </c>
      <c r="D2996">
        <v>29</v>
      </c>
      <c r="E2996">
        <v>69</v>
      </c>
      <c r="F2996">
        <v>9.2399999999999999E-3</v>
      </c>
      <c r="G2996">
        <v>0</v>
      </c>
      <c r="H2996" t="str">
        <f t="shared" si="138"/>
        <v>60-69</v>
      </c>
      <c r="I2996" t="str">
        <f t="shared" si="139"/>
        <v>20-29</v>
      </c>
      <c r="J2996">
        <f t="shared" si="140"/>
        <v>9.2399999999999999E-3</v>
      </c>
    </row>
    <row r="2997" spans="1:10">
      <c r="A2997" t="s">
        <v>3079</v>
      </c>
      <c r="B2997">
        <v>58</v>
      </c>
      <c r="C2997" t="s">
        <v>9</v>
      </c>
      <c r="D2997">
        <v>16</v>
      </c>
      <c r="E2997">
        <v>73</v>
      </c>
      <c r="F2997">
        <v>2.367E-2</v>
      </c>
      <c r="G2997">
        <v>0</v>
      </c>
      <c r="H2997" t="str">
        <f t="shared" si="138"/>
        <v>70-79</v>
      </c>
      <c r="I2997" t="str">
        <f t="shared" si="139"/>
        <v>10-19</v>
      </c>
      <c r="J2997">
        <f t="shared" si="140"/>
        <v>2.367E-2</v>
      </c>
    </row>
    <row r="2998" spans="1:10">
      <c r="A2998" t="s">
        <v>3080</v>
      </c>
      <c r="B2998">
        <v>60</v>
      </c>
      <c r="C2998" t="s">
        <v>9</v>
      </c>
      <c r="D2998">
        <v>1</v>
      </c>
      <c r="E2998">
        <v>60</v>
      </c>
      <c r="F2998">
        <v>2.0500000000000002E-3</v>
      </c>
      <c r="G2998">
        <v>0</v>
      </c>
      <c r="H2998" t="str">
        <f t="shared" si="138"/>
        <v>60-69</v>
      </c>
      <c r="I2998" t="str">
        <f t="shared" si="139"/>
        <v>0-9</v>
      </c>
      <c r="J2998">
        <f t="shared" si="140"/>
        <v>2.0500000000000002E-3</v>
      </c>
    </row>
    <row r="2999" spans="1:10">
      <c r="A2999" t="s">
        <v>3081</v>
      </c>
      <c r="B2999">
        <v>34</v>
      </c>
      <c r="C2999" t="s">
        <v>7</v>
      </c>
      <c r="D2999">
        <v>22</v>
      </c>
      <c r="E2999">
        <v>55</v>
      </c>
      <c r="F2999">
        <v>3.0799999999999998E-3</v>
      </c>
      <c r="G2999">
        <v>0</v>
      </c>
      <c r="H2999" t="str">
        <f t="shared" si="138"/>
        <v>50-59</v>
      </c>
      <c r="I2999" t="str">
        <f t="shared" si="139"/>
        <v>20-29</v>
      </c>
      <c r="J2999">
        <f t="shared" si="140"/>
        <v>3.0799999999999998E-3</v>
      </c>
    </row>
    <row r="3000" spans="1:10">
      <c r="A3000" t="s">
        <v>3082</v>
      </c>
      <c r="B3000">
        <v>21</v>
      </c>
      <c r="C3000" t="s">
        <v>7</v>
      </c>
      <c r="D3000">
        <v>8</v>
      </c>
      <c r="E3000">
        <v>28</v>
      </c>
      <c r="F3000">
        <v>3.2000000000000003E-4</v>
      </c>
      <c r="G3000">
        <v>0</v>
      </c>
      <c r="H3000" t="str">
        <f t="shared" si="138"/>
        <v>20-29</v>
      </c>
      <c r="I3000" t="str">
        <f t="shared" si="139"/>
        <v>0-9</v>
      </c>
      <c r="J3000">
        <f t="shared" si="140"/>
        <v>3.2000000000000003E-4</v>
      </c>
    </row>
    <row r="3001" spans="1:10">
      <c r="A3001" t="s">
        <v>3083</v>
      </c>
      <c r="B3001">
        <v>47</v>
      </c>
      <c r="C3001" t="s">
        <v>9</v>
      </c>
      <c r="D3001">
        <v>12</v>
      </c>
      <c r="E3001">
        <v>58</v>
      </c>
      <c r="F3001">
        <v>4.79E-3</v>
      </c>
      <c r="G3001">
        <v>0</v>
      </c>
      <c r="H3001" t="str">
        <f t="shared" si="138"/>
        <v>50-59</v>
      </c>
      <c r="I3001" t="str">
        <f t="shared" si="139"/>
        <v>10-19</v>
      </c>
      <c r="J3001">
        <f t="shared" si="140"/>
        <v>4.79E-3</v>
      </c>
    </row>
    <row r="3002" spans="1:10">
      <c r="A3002" t="s">
        <v>3084</v>
      </c>
      <c r="B3002">
        <v>44</v>
      </c>
      <c r="C3002" t="s">
        <v>9</v>
      </c>
      <c r="D3002">
        <v>21</v>
      </c>
      <c r="E3002">
        <v>64</v>
      </c>
      <c r="F3002">
        <v>9.2899999999999996E-3</v>
      </c>
      <c r="G3002">
        <v>0</v>
      </c>
      <c r="H3002" t="str">
        <f t="shared" si="138"/>
        <v>60-69</v>
      </c>
      <c r="I3002" t="str">
        <f t="shared" si="139"/>
        <v>20-29</v>
      </c>
      <c r="J3002">
        <f t="shared" si="140"/>
        <v>9.2899999999999996E-3</v>
      </c>
    </row>
    <row r="3003" spans="1:10">
      <c r="A3003" t="s">
        <v>3085</v>
      </c>
      <c r="B3003">
        <v>60</v>
      </c>
      <c r="C3003" t="s">
        <v>7</v>
      </c>
      <c r="D3003">
        <v>22</v>
      </c>
      <c r="E3003">
        <v>81</v>
      </c>
      <c r="F3003">
        <v>4.4880000000000003E-2</v>
      </c>
      <c r="G3003">
        <v>0</v>
      </c>
      <c r="H3003" t="str">
        <f t="shared" si="138"/>
        <v>80-89</v>
      </c>
      <c r="I3003" t="str">
        <f t="shared" si="139"/>
        <v>20-29</v>
      </c>
      <c r="J3003">
        <f t="shared" si="140"/>
        <v>4.4880000000000003E-2</v>
      </c>
    </row>
    <row r="3004" spans="1:10">
      <c r="A3004" t="s">
        <v>3086</v>
      </c>
      <c r="B3004">
        <v>53</v>
      </c>
      <c r="C3004" t="s">
        <v>9</v>
      </c>
      <c r="D3004">
        <v>6</v>
      </c>
      <c r="E3004">
        <v>58</v>
      </c>
      <c r="F3004">
        <v>4.1399999999999996E-3</v>
      </c>
      <c r="G3004">
        <v>0</v>
      </c>
      <c r="H3004" t="str">
        <f t="shared" si="138"/>
        <v>50-59</v>
      </c>
      <c r="I3004" t="str">
        <f t="shared" si="139"/>
        <v>0-9</v>
      </c>
      <c r="J3004">
        <f t="shared" si="140"/>
        <v>4.1399999999999996E-3</v>
      </c>
    </row>
    <row r="3005" spans="1:10">
      <c r="A3005" t="s">
        <v>3087</v>
      </c>
      <c r="B3005">
        <v>41</v>
      </c>
      <c r="C3005" t="s">
        <v>7</v>
      </c>
      <c r="D3005">
        <v>13</v>
      </c>
      <c r="E3005">
        <v>53</v>
      </c>
      <c r="F3005">
        <v>2.2499999999999998E-3</v>
      </c>
      <c r="G3005">
        <v>0</v>
      </c>
      <c r="H3005" t="str">
        <f t="shared" si="138"/>
        <v>50-59</v>
      </c>
      <c r="I3005" t="str">
        <f t="shared" si="139"/>
        <v>10-19</v>
      </c>
      <c r="J3005">
        <f t="shared" si="140"/>
        <v>2.2499999999999998E-3</v>
      </c>
    </row>
    <row r="3006" spans="1:10">
      <c r="A3006" t="s">
        <v>3088</v>
      </c>
      <c r="B3006">
        <v>37</v>
      </c>
      <c r="C3006" t="s">
        <v>9</v>
      </c>
      <c r="D3006">
        <v>10</v>
      </c>
      <c r="E3006">
        <v>46</v>
      </c>
      <c r="F3006">
        <v>1.42E-3</v>
      </c>
      <c r="G3006">
        <v>0</v>
      </c>
      <c r="H3006" t="str">
        <f t="shared" si="138"/>
        <v>40-49</v>
      </c>
      <c r="I3006" t="str">
        <f t="shared" si="139"/>
        <v>10-19</v>
      </c>
      <c r="J3006">
        <f t="shared" si="140"/>
        <v>1.42E-3</v>
      </c>
    </row>
    <row r="3007" spans="1:10">
      <c r="A3007" t="s">
        <v>3089</v>
      </c>
      <c r="B3007">
        <v>64</v>
      </c>
      <c r="C3007" t="s">
        <v>7</v>
      </c>
      <c r="D3007">
        <v>11</v>
      </c>
      <c r="E3007">
        <v>74</v>
      </c>
      <c r="F3007">
        <v>1.443E-2</v>
      </c>
      <c r="G3007">
        <v>0</v>
      </c>
      <c r="H3007" t="str">
        <f t="shared" si="138"/>
        <v>70-79</v>
      </c>
      <c r="I3007" t="str">
        <f t="shared" si="139"/>
        <v>10-19</v>
      </c>
      <c r="J3007">
        <f t="shared" si="140"/>
        <v>1.443E-2</v>
      </c>
    </row>
    <row r="3008" spans="1:10">
      <c r="A3008" t="s">
        <v>3090</v>
      </c>
      <c r="B3008">
        <v>49</v>
      </c>
      <c r="C3008" t="s">
        <v>7</v>
      </c>
      <c r="D3008">
        <v>19</v>
      </c>
      <c r="E3008">
        <v>67</v>
      </c>
      <c r="F3008">
        <v>1.001E-2</v>
      </c>
      <c r="G3008">
        <v>0</v>
      </c>
      <c r="H3008" t="str">
        <f t="shared" si="138"/>
        <v>60-69</v>
      </c>
      <c r="I3008" t="str">
        <f t="shared" si="139"/>
        <v>10-19</v>
      </c>
      <c r="J3008">
        <f t="shared" si="140"/>
        <v>1.001E-2</v>
      </c>
    </row>
    <row r="3009" spans="1:10">
      <c r="A3009" t="s">
        <v>3091</v>
      </c>
      <c r="B3009">
        <v>38</v>
      </c>
      <c r="C3009" t="s">
        <v>7</v>
      </c>
      <c r="D3009">
        <v>4</v>
      </c>
      <c r="E3009">
        <v>41</v>
      </c>
      <c r="F3009">
        <v>5.9000000000000003E-4</v>
      </c>
      <c r="G3009">
        <v>0</v>
      </c>
      <c r="H3009" t="str">
        <f t="shared" si="138"/>
        <v>40-49</v>
      </c>
      <c r="I3009" t="str">
        <f t="shared" si="139"/>
        <v>0-9</v>
      </c>
      <c r="J3009">
        <f t="shared" si="140"/>
        <v>5.9000000000000003E-4</v>
      </c>
    </row>
    <row r="3010" spans="1:10">
      <c r="A3010" t="s">
        <v>3092</v>
      </c>
      <c r="B3010">
        <v>63</v>
      </c>
      <c r="C3010" t="s">
        <v>9</v>
      </c>
      <c r="D3010">
        <v>5</v>
      </c>
      <c r="E3010">
        <v>67</v>
      </c>
      <c r="F3010">
        <v>8.5199999999999998E-3</v>
      </c>
      <c r="G3010">
        <v>0</v>
      </c>
      <c r="H3010" t="str">
        <f t="shared" si="138"/>
        <v>60-69</v>
      </c>
      <c r="I3010" t="str">
        <f t="shared" si="139"/>
        <v>0-9</v>
      </c>
      <c r="J3010">
        <f t="shared" si="140"/>
        <v>8.5199999999999998E-3</v>
      </c>
    </row>
    <row r="3011" spans="1:10">
      <c r="A3011" t="s">
        <v>3093</v>
      </c>
      <c r="B3011">
        <v>38</v>
      </c>
      <c r="C3011" t="s">
        <v>7</v>
      </c>
      <c r="D3011">
        <v>20</v>
      </c>
      <c r="E3011">
        <v>57</v>
      </c>
      <c r="F3011">
        <v>3.65E-3</v>
      </c>
      <c r="G3011">
        <v>0</v>
      </c>
      <c r="H3011" t="str">
        <f t="shared" ref="H3011:H3074" si="141">FLOOR(E3011,10) &amp; "-" &amp; FLOOR(E3011,10)+9</f>
        <v>50-59</v>
      </c>
      <c r="I3011" t="str">
        <f t="shared" ref="I3011:I3074" si="142">FLOOR(D3011, 10) &amp; "-"&amp;FLOOR(D3011, 10)+9</f>
        <v>20-29</v>
      </c>
      <c r="J3011">
        <f t="shared" ref="J3011:J3074" si="143">F3011</f>
        <v>3.65E-3</v>
      </c>
    </row>
    <row r="3012" spans="1:10">
      <c r="A3012" t="s">
        <v>3094</v>
      </c>
      <c r="B3012">
        <v>51</v>
      </c>
      <c r="C3012" t="s">
        <v>9</v>
      </c>
      <c r="D3012">
        <v>10</v>
      </c>
      <c r="E3012">
        <v>60</v>
      </c>
      <c r="F3012">
        <v>5.8999999999999999E-3</v>
      </c>
      <c r="G3012">
        <v>0</v>
      </c>
      <c r="H3012" t="str">
        <f t="shared" si="141"/>
        <v>60-69</v>
      </c>
      <c r="I3012" t="str">
        <f t="shared" si="142"/>
        <v>10-19</v>
      </c>
      <c r="J3012">
        <f t="shared" si="143"/>
        <v>5.8999999999999999E-3</v>
      </c>
    </row>
    <row r="3013" spans="1:10">
      <c r="A3013" t="s">
        <v>3095</v>
      </c>
      <c r="B3013">
        <v>49</v>
      </c>
      <c r="C3013" t="s">
        <v>9</v>
      </c>
      <c r="D3013">
        <v>2</v>
      </c>
      <c r="E3013">
        <v>50</v>
      </c>
      <c r="F3013">
        <v>1.09E-3</v>
      </c>
      <c r="G3013">
        <v>0</v>
      </c>
      <c r="H3013" t="str">
        <f t="shared" si="141"/>
        <v>50-59</v>
      </c>
      <c r="I3013" t="str">
        <f t="shared" si="142"/>
        <v>0-9</v>
      </c>
      <c r="J3013">
        <f t="shared" si="143"/>
        <v>1.09E-3</v>
      </c>
    </row>
    <row r="3014" spans="1:10">
      <c r="A3014" t="s">
        <v>3096</v>
      </c>
      <c r="B3014">
        <v>27</v>
      </c>
      <c r="C3014" t="s">
        <v>9</v>
      </c>
      <c r="D3014">
        <v>2</v>
      </c>
      <c r="E3014">
        <v>28</v>
      </c>
      <c r="F3014">
        <v>3.4000000000000002E-4</v>
      </c>
      <c r="G3014">
        <v>0</v>
      </c>
      <c r="H3014" t="str">
        <f t="shared" si="141"/>
        <v>20-29</v>
      </c>
      <c r="I3014" t="str">
        <f t="shared" si="142"/>
        <v>0-9</v>
      </c>
      <c r="J3014">
        <f t="shared" si="143"/>
        <v>3.4000000000000002E-4</v>
      </c>
    </row>
    <row r="3015" spans="1:10">
      <c r="A3015" t="s">
        <v>3097</v>
      </c>
      <c r="B3015">
        <v>42</v>
      </c>
      <c r="C3015" t="s">
        <v>7</v>
      </c>
      <c r="D3015">
        <v>22</v>
      </c>
      <c r="E3015">
        <v>63</v>
      </c>
      <c r="F3015">
        <v>6.7200000000000003E-3</v>
      </c>
      <c r="G3015">
        <v>0</v>
      </c>
      <c r="H3015" t="str">
        <f t="shared" si="141"/>
        <v>60-69</v>
      </c>
      <c r="I3015" t="str">
        <f t="shared" si="142"/>
        <v>20-29</v>
      </c>
      <c r="J3015">
        <f t="shared" si="143"/>
        <v>6.7200000000000003E-3</v>
      </c>
    </row>
    <row r="3016" spans="1:10">
      <c r="A3016" t="s">
        <v>3098</v>
      </c>
      <c r="B3016">
        <v>28</v>
      </c>
      <c r="C3016" t="s">
        <v>7</v>
      </c>
      <c r="D3016">
        <v>12</v>
      </c>
      <c r="E3016">
        <v>39</v>
      </c>
      <c r="F3016">
        <v>7.7999999999999999E-4</v>
      </c>
      <c r="G3016">
        <v>0</v>
      </c>
      <c r="H3016" t="str">
        <f t="shared" si="141"/>
        <v>30-39</v>
      </c>
      <c r="I3016" t="str">
        <f t="shared" si="142"/>
        <v>10-19</v>
      </c>
      <c r="J3016">
        <f t="shared" si="143"/>
        <v>7.7999999999999999E-4</v>
      </c>
    </row>
    <row r="3017" spans="1:10">
      <c r="A3017" t="s">
        <v>3099</v>
      </c>
      <c r="B3017">
        <v>52</v>
      </c>
      <c r="C3017" t="s">
        <v>7</v>
      </c>
      <c r="D3017">
        <v>22</v>
      </c>
      <c r="E3017">
        <v>73</v>
      </c>
      <c r="F3017">
        <v>1.8970000000000001E-2</v>
      </c>
      <c r="G3017">
        <v>0</v>
      </c>
      <c r="H3017" t="str">
        <f t="shared" si="141"/>
        <v>70-79</v>
      </c>
      <c r="I3017" t="str">
        <f t="shared" si="142"/>
        <v>20-29</v>
      </c>
      <c r="J3017">
        <f t="shared" si="143"/>
        <v>1.8970000000000001E-2</v>
      </c>
    </row>
    <row r="3018" spans="1:10">
      <c r="A3018" t="s">
        <v>3100</v>
      </c>
      <c r="B3018">
        <v>25</v>
      </c>
      <c r="C3018" t="s">
        <v>9</v>
      </c>
      <c r="D3018">
        <v>23</v>
      </c>
      <c r="E3018">
        <v>47</v>
      </c>
      <c r="F3018">
        <v>2.2599999999999999E-3</v>
      </c>
      <c r="G3018">
        <v>0</v>
      </c>
      <c r="H3018" t="str">
        <f t="shared" si="141"/>
        <v>40-49</v>
      </c>
      <c r="I3018" t="str">
        <f t="shared" si="142"/>
        <v>20-29</v>
      </c>
      <c r="J3018">
        <f t="shared" si="143"/>
        <v>2.2599999999999999E-3</v>
      </c>
    </row>
    <row r="3019" spans="1:10">
      <c r="A3019" t="s">
        <v>3101</v>
      </c>
      <c r="B3019">
        <v>32</v>
      </c>
      <c r="C3019" t="s">
        <v>7</v>
      </c>
      <c r="D3019">
        <v>14</v>
      </c>
      <c r="E3019">
        <v>45</v>
      </c>
      <c r="F3019">
        <v>1.15E-3</v>
      </c>
      <c r="G3019">
        <v>0</v>
      </c>
      <c r="H3019" t="str">
        <f t="shared" si="141"/>
        <v>40-49</v>
      </c>
      <c r="I3019" t="str">
        <f t="shared" si="142"/>
        <v>10-19</v>
      </c>
      <c r="J3019">
        <f t="shared" si="143"/>
        <v>1.15E-3</v>
      </c>
    </row>
    <row r="3020" spans="1:10">
      <c r="A3020" t="s">
        <v>3102</v>
      </c>
      <c r="B3020">
        <v>34</v>
      </c>
      <c r="C3020" t="s">
        <v>9</v>
      </c>
      <c r="D3020">
        <v>2</v>
      </c>
      <c r="E3020">
        <v>35</v>
      </c>
      <c r="F3020">
        <v>3.3E-4</v>
      </c>
      <c r="G3020">
        <v>0</v>
      </c>
      <c r="H3020" t="str">
        <f t="shared" si="141"/>
        <v>30-39</v>
      </c>
      <c r="I3020" t="str">
        <f t="shared" si="142"/>
        <v>0-9</v>
      </c>
      <c r="J3020">
        <f t="shared" si="143"/>
        <v>3.3E-4</v>
      </c>
    </row>
    <row r="3021" spans="1:10">
      <c r="A3021" t="s">
        <v>3103</v>
      </c>
      <c r="B3021">
        <v>63</v>
      </c>
      <c r="C3021" t="s">
        <v>9</v>
      </c>
      <c r="D3021">
        <v>21</v>
      </c>
      <c r="E3021">
        <v>83</v>
      </c>
      <c r="F3021">
        <v>7.1389999999999995E-2</v>
      </c>
      <c r="G3021">
        <v>0</v>
      </c>
      <c r="H3021" t="str">
        <f t="shared" si="141"/>
        <v>80-89</v>
      </c>
      <c r="I3021" t="str">
        <f t="shared" si="142"/>
        <v>20-29</v>
      </c>
      <c r="J3021">
        <f t="shared" si="143"/>
        <v>7.1389999999999995E-2</v>
      </c>
    </row>
    <row r="3022" spans="1:10">
      <c r="A3022" t="s">
        <v>3104</v>
      </c>
      <c r="B3022">
        <v>26</v>
      </c>
      <c r="C3022" t="s">
        <v>9</v>
      </c>
      <c r="D3022">
        <v>29</v>
      </c>
      <c r="E3022">
        <v>54</v>
      </c>
      <c r="F3022">
        <v>3.0899999999999999E-3</v>
      </c>
      <c r="G3022">
        <v>0</v>
      </c>
      <c r="H3022" t="str">
        <f t="shared" si="141"/>
        <v>50-59</v>
      </c>
      <c r="I3022" t="str">
        <f t="shared" si="142"/>
        <v>20-29</v>
      </c>
      <c r="J3022">
        <f t="shared" si="143"/>
        <v>3.0899999999999999E-3</v>
      </c>
    </row>
    <row r="3023" spans="1:10">
      <c r="A3023" t="s">
        <v>3105</v>
      </c>
      <c r="B3023">
        <v>39</v>
      </c>
      <c r="C3023" t="s">
        <v>7</v>
      </c>
      <c r="D3023">
        <v>6</v>
      </c>
      <c r="E3023">
        <v>44</v>
      </c>
      <c r="F3023">
        <v>7.9000000000000001E-4</v>
      </c>
      <c r="G3023">
        <v>0</v>
      </c>
      <c r="H3023" t="str">
        <f t="shared" si="141"/>
        <v>40-49</v>
      </c>
      <c r="I3023" t="str">
        <f t="shared" si="142"/>
        <v>0-9</v>
      </c>
      <c r="J3023">
        <f t="shared" si="143"/>
        <v>7.9000000000000001E-4</v>
      </c>
    </row>
    <row r="3024" spans="1:10">
      <c r="A3024" t="s">
        <v>3106</v>
      </c>
      <c r="B3024">
        <v>40</v>
      </c>
      <c r="C3024" t="s">
        <v>7</v>
      </c>
      <c r="D3024">
        <v>26</v>
      </c>
      <c r="E3024">
        <v>65</v>
      </c>
      <c r="F3024">
        <v>8.3099999999999997E-3</v>
      </c>
      <c r="G3024">
        <v>0</v>
      </c>
      <c r="H3024" t="str">
        <f t="shared" si="141"/>
        <v>60-69</v>
      </c>
      <c r="I3024" t="str">
        <f t="shared" si="142"/>
        <v>20-29</v>
      </c>
      <c r="J3024">
        <f t="shared" si="143"/>
        <v>8.3099999999999997E-3</v>
      </c>
    </row>
    <row r="3025" spans="1:10">
      <c r="A3025" t="s">
        <v>3107</v>
      </c>
      <c r="B3025">
        <v>32</v>
      </c>
      <c r="C3025" t="s">
        <v>9</v>
      </c>
      <c r="D3025">
        <v>9</v>
      </c>
      <c r="E3025">
        <v>40</v>
      </c>
      <c r="F3025">
        <v>9.1E-4</v>
      </c>
      <c r="G3025">
        <v>0</v>
      </c>
      <c r="H3025" t="str">
        <f t="shared" si="141"/>
        <v>40-49</v>
      </c>
      <c r="I3025" t="str">
        <f t="shared" si="142"/>
        <v>0-9</v>
      </c>
      <c r="J3025">
        <f t="shared" si="143"/>
        <v>9.1E-4</v>
      </c>
    </row>
    <row r="3026" spans="1:10">
      <c r="A3026" t="s">
        <v>3108</v>
      </c>
      <c r="B3026">
        <v>39</v>
      </c>
      <c r="C3026" t="s">
        <v>9</v>
      </c>
      <c r="D3026">
        <v>10</v>
      </c>
      <c r="E3026">
        <v>48</v>
      </c>
      <c r="F3026">
        <v>1.7099999999999999E-3</v>
      </c>
      <c r="G3026">
        <v>0</v>
      </c>
      <c r="H3026" t="str">
        <f t="shared" si="141"/>
        <v>40-49</v>
      </c>
      <c r="I3026" t="str">
        <f t="shared" si="142"/>
        <v>10-19</v>
      </c>
      <c r="J3026">
        <f t="shared" si="143"/>
        <v>1.7099999999999999E-3</v>
      </c>
    </row>
    <row r="3027" spans="1:10">
      <c r="A3027" t="s">
        <v>3109</v>
      </c>
      <c r="B3027">
        <v>60</v>
      </c>
      <c r="C3027" t="s">
        <v>7</v>
      </c>
      <c r="D3027">
        <v>15</v>
      </c>
      <c r="E3027">
        <v>74</v>
      </c>
      <c r="F3027">
        <v>1.7819999999999999E-2</v>
      </c>
      <c r="G3027">
        <v>0</v>
      </c>
      <c r="H3027" t="str">
        <f t="shared" si="141"/>
        <v>70-79</v>
      </c>
      <c r="I3027" t="str">
        <f t="shared" si="142"/>
        <v>10-19</v>
      </c>
      <c r="J3027">
        <f t="shared" si="143"/>
        <v>1.7819999999999999E-2</v>
      </c>
    </row>
    <row r="3028" spans="1:10">
      <c r="A3028" t="s">
        <v>3110</v>
      </c>
      <c r="B3028">
        <v>47</v>
      </c>
      <c r="C3028" t="s">
        <v>9</v>
      </c>
      <c r="D3028">
        <v>4</v>
      </c>
      <c r="E3028">
        <v>50</v>
      </c>
      <c r="F3028">
        <v>1.5900000000000001E-3</v>
      </c>
      <c r="G3028">
        <v>0</v>
      </c>
      <c r="H3028" t="str">
        <f t="shared" si="141"/>
        <v>50-59</v>
      </c>
      <c r="I3028" t="str">
        <f t="shared" si="142"/>
        <v>0-9</v>
      </c>
      <c r="J3028">
        <f t="shared" si="143"/>
        <v>1.5900000000000001E-3</v>
      </c>
    </row>
    <row r="3029" spans="1:10">
      <c r="A3029" t="s">
        <v>3111</v>
      </c>
      <c r="B3029">
        <v>40</v>
      </c>
      <c r="C3029" t="s">
        <v>7</v>
      </c>
      <c r="D3029">
        <v>17</v>
      </c>
      <c r="E3029">
        <v>56</v>
      </c>
      <c r="F3029">
        <v>3.13E-3</v>
      </c>
      <c r="G3029">
        <v>0</v>
      </c>
      <c r="H3029" t="str">
        <f t="shared" si="141"/>
        <v>50-59</v>
      </c>
      <c r="I3029" t="str">
        <f t="shared" si="142"/>
        <v>10-19</v>
      </c>
      <c r="J3029">
        <f t="shared" si="143"/>
        <v>3.13E-3</v>
      </c>
    </row>
    <row r="3030" spans="1:10">
      <c r="A3030" t="s">
        <v>3112</v>
      </c>
      <c r="B3030">
        <v>49</v>
      </c>
      <c r="C3030" t="s">
        <v>9</v>
      </c>
      <c r="D3030">
        <v>12</v>
      </c>
      <c r="E3030">
        <v>60</v>
      </c>
      <c r="F3030">
        <v>5.9199999999999999E-3</v>
      </c>
      <c r="G3030">
        <v>0</v>
      </c>
      <c r="H3030" t="str">
        <f t="shared" si="141"/>
        <v>60-69</v>
      </c>
      <c r="I3030" t="str">
        <f t="shared" si="142"/>
        <v>10-19</v>
      </c>
      <c r="J3030">
        <f t="shared" si="143"/>
        <v>5.9199999999999999E-3</v>
      </c>
    </row>
    <row r="3031" spans="1:10">
      <c r="A3031" t="s">
        <v>3113</v>
      </c>
      <c r="B3031">
        <v>46</v>
      </c>
      <c r="C3031" t="s">
        <v>9</v>
      </c>
      <c r="D3031">
        <v>15</v>
      </c>
      <c r="E3031">
        <v>60</v>
      </c>
      <c r="F3031">
        <v>6.11E-3</v>
      </c>
      <c r="G3031">
        <v>0</v>
      </c>
      <c r="H3031" t="str">
        <f t="shared" si="141"/>
        <v>60-69</v>
      </c>
      <c r="I3031" t="str">
        <f t="shared" si="142"/>
        <v>10-19</v>
      </c>
      <c r="J3031">
        <f t="shared" si="143"/>
        <v>6.11E-3</v>
      </c>
    </row>
    <row r="3032" spans="1:10">
      <c r="A3032" t="s">
        <v>3114</v>
      </c>
      <c r="B3032">
        <v>46</v>
      </c>
      <c r="C3032" t="s">
        <v>7</v>
      </c>
      <c r="D3032">
        <v>3</v>
      </c>
      <c r="E3032">
        <v>48</v>
      </c>
      <c r="F3032">
        <v>7.5000000000000002E-4</v>
      </c>
      <c r="G3032">
        <v>0</v>
      </c>
      <c r="H3032" t="str">
        <f t="shared" si="141"/>
        <v>40-49</v>
      </c>
      <c r="I3032" t="str">
        <f t="shared" si="142"/>
        <v>0-9</v>
      </c>
      <c r="J3032">
        <f t="shared" si="143"/>
        <v>7.5000000000000002E-4</v>
      </c>
    </row>
    <row r="3033" spans="1:10">
      <c r="A3033" t="s">
        <v>3115</v>
      </c>
      <c r="B3033">
        <v>39</v>
      </c>
      <c r="C3033" t="s">
        <v>9</v>
      </c>
      <c r="D3033">
        <v>26</v>
      </c>
      <c r="E3033">
        <v>64</v>
      </c>
      <c r="F3033">
        <v>9.6200000000000001E-3</v>
      </c>
      <c r="G3033">
        <v>0</v>
      </c>
      <c r="H3033" t="str">
        <f t="shared" si="141"/>
        <v>60-69</v>
      </c>
      <c r="I3033" t="str">
        <f t="shared" si="142"/>
        <v>20-29</v>
      </c>
      <c r="J3033">
        <f t="shared" si="143"/>
        <v>9.6200000000000001E-3</v>
      </c>
    </row>
    <row r="3034" spans="1:10">
      <c r="A3034" t="s">
        <v>3116</v>
      </c>
      <c r="B3034">
        <v>28</v>
      </c>
      <c r="C3034" t="s">
        <v>7</v>
      </c>
      <c r="D3034">
        <v>20</v>
      </c>
      <c r="E3034">
        <v>47</v>
      </c>
      <c r="F3034">
        <v>1.57E-3</v>
      </c>
      <c r="G3034">
        <v>0</v>
      </c>
      <c r="H3034" t="str">
        <f t="shared" si="141"/>
        <v>40-49</v>
      </c>
      <c r="I3034" t="str">
        <f t="shared" si="142"/>
        <v>20-29</v>
      </c>
      <c r="J3034">
        <f t="shared" si="143"/>
        <v>1.57E-3</v>
      </c>
    </row>
    <row r="3035" spans="1:10">
      <c r="A3035" t="s">
        <v>3117</v>
      </c>
      <c r="B3035">
        <v>38</v>
      </c>
      <c r="C3035" t="s">
        <v>7</v>
      </c>
      <c r="D3035">
        <v>2</v>
      </c>
      <c r="E3035">
        <v>39</v>
      </c>
      <c r="F3035">
        <v>3.1E-4</v>
      </c>
      <c r="G3035">
        <v>0</v>
      </c>
      <c r="H3035" t="str">
        <f t="shared" si="141"/>
        <v>30-39</v>
      </c>
      <c r="I3035" t="str">
        <f t="shared" si="142"/>
        <v>0-9</v>
      </c>
      <c r="J3035">
        <f t="shared" si="143"/>
        <v>3.1E-4</v>
      </c>
    </row>
    <row r="3036" spans="1:10">
      <c r="A3036" t="s">
        <v>3118</v>
      </c>
      <c r="B3036">
        <v>45</v>
      </c>
      <c r="C3036" t="s">
        <v>9</v>
      </c>
      <c r="D3036">
        <v>22</v>
      </c>
      <c r="E3036">
        <v>66</v>
      </c>
      <c r="F3036">
        <v>1.1440000000000001E-2</v>
      </c>
      <c r="G3036">
        <v>0</v>
      </c>
      <c r="H3036" t="str">
        <f t="shared" si="141"/>
        <v>60-69</v>
      </c>
      <c r="I3036" t="str">
        <f t="shared" si="142"/>
        <v>20-29</v>
      </c>
      <c r="J3036">
        <f t="shared" si="143"/>
        <v>1.1440000000000001E-2</v>
      </c>
    </row>
    <row r="3037" spans="1:10">
      <c r="A3037" t="s">
        <v>3119</v>
      </c>
      <c r="B3037">
        <v>53</v>
      </c>
      <c r="C3037" t="s">
        <v>7</v>
      </c>
      <c r="D3037">
        <v>15</v>
      </c>
      <c r="E3037">
        <v>67</v>
      </c>
      <c r="F3037">
        <v>9.0500000000000008E-3</v>
      </c>
      <c r="G3037">
        <v>0</v>
      </c>
      <c r="H3037" t="str">
        <f t="shared" si="141"/>
        <v>60-69</v>
      </c>
      <c r="I3037" t="str">
        <f t="shared" si="142"/>
        <v>10-19</v>
      </c>
      <c r="J3037">
        <f t="shared" si="143"/>
        <v>9.0500000000000008E-3</v>
      </c>
    </row>
    <row r="3038" spans="1:10">
      <c r="A3038" t="s">
        <v>3120</v>
      </c>
      <c r="B3038">
        <v>37</v>
      </c>
      <c r="C3038" t="s">
        <v>7</v>
      </c>
      <c r="D3038">
        <v>27</v>
      </c>
      <c r="E3038">
        <v>63</v>
      </c>
      <c r="F3038">
        <v>6.0499999999999998E-3</v>
      </c>
      <c r="G3038">
        <v>0</v>
      </c>
      <c r="H3038" t="str">
        <f t="shared" si="141"/>
        <v>60-69</v>
      </c>
      <c r="I3038" t="str">
        <f t="shared" si="142"/>
        <v>20-29</v>
      </c>
      <c r="J3038">
        <f t="shared" si="143"/>
        <v>6.0499999999999998E-3</v>
      </c>
    </row>
    <row r="3039" spans="1:10">
      <c r="A3039" t="s">
        <v>3121</v>
      </c>
      <c r="B3039">
        <v>58</v>
      </c>
      <c r="C3039" t="s">
        <v>7</v>
      </c>
      <c r="D3039">
        <v>4</v>
      </c>
      <c r="E3039">
        <v>61</v>
      </c>
      <c r="F3039">
        <v>3.0599999999999998E-3</v>
      </c>
      <c r="G3039">
        <v>0</v>
      </c>
      <c r="H3039" t="str">
        <f t="shared" si="141"/>
        <v>60-69</v>
      </c>
      <c r="I3039" t="str">
        <f t="shared" si="142"/>
        <v>0-9</v>
      </c>
      <c r="J3039">
        <f t="shared" si="143"/>
        <v>3.0599999999999998E-3</v>
      </c>
    </row>
    <row r="3040" spans="1:10">
      <c r="A3040" t="s">
        <v>3122</v>
      </c>
      <c r="B3040">
        <v>64</v>
      </c>
      <c r="C3040" t="s">
        <v>7</v>
      </c>
      <c r="D3040">
        <v>11</v>
      </c>
      <c r="E3040">
        <v>74</v>
      </c>
      <c r="F3040">
        <v>1.443E-2</v>
      </c>
      <c r="G3040">
        <v>0</v>
      </c>
      <c r="H3040" t="str">
        <f t="shared" si="141"/>
        <v>70-79</v>
      </c>
      <c r="I3040" t="str">
        <f t="shared" si="142"/>
        <v>10-19</v>
      </c>
      <c r="J3040">
        <f t="shared" si="143"/>
        <v>1.443E-2</v>
      </c>
    </row>
    <row r="3041" spans="1:10">
      <c r="A3041" t="s">
        <v>3123</v>
      </c>
      <c r="B3041">
        <v>57</v>
      </c>
      <c r="C3041" t="s">
        <v>7</v>
      </c>
      <c r="D3041">
        <v>22</v>
      </c>
      <c r="E3041">
        <v>78</v>
      </c>
      <c r="F3041">
        <v>3.1989999999999998E-2</v>
      </c>
      <c r="G3041">
        <v>0</v>
      </c>
      <c r="H3041" t="str">
        <f t="shared" si="141"/>
        <v>70-79</v>
      </c>
      <c r="I3041" t="str">
        <f t="shared" si="142"/>
        <v>20-29</v>
      </c>
      <c r="J3041">
        <f t="shared" si="143"/>
        <v>3.1989999999999998E-2</v>
      </c>
    </row>
    <row r="3042" spans="1:10">
      <c r="A3042" t="s">
        <v>3124</v>
      </c>
      <c r="B3042">
        <v>64</v>
      </c>
      <c r="C3042" t="s">
        <v>7</v>
      </c>
      <c r="D3042">
        <v>7</v>
      </c>
      <c r="E3042">
        <v>70</v>
      </c>
      <c r="F3042">
        <v>8.2500000000000004E-3</v>
      </c>
      <c r="G3042">
        <v>0</v>
      </c>
      <c r="H3042" t="str">
        <f t="shared" si="141"/>
        <v>70-79</v>
      </c>
      <c r="I3042" t="str">
        <f t="shared" si="142"/>
        <v>0-9</v>
      </c>
      <c r="J3042">
        <f t="shared" si="143"/>
        <v>8.2500000000000004E-3</v>
      </c>
    </row>
    <row r="3043" spans="1:10">
      <c r="A3043" t="s">
        <v>3125</v>
      </c>
      <c r="B3043">
        <v>51</v>
      </c>
      <c r="C3043" t="s">
        <v>9</v>
      </c>
      <c r="D3043">
        <v>5</v>
      </c>
      <c r="E3043">
        <v>55</v>
      </c>
      <c r="F3043">
        <v>2.8900000000000002E-3</v>
      </c>
      <c r="G3043">
        <v>0</v>
      </c>
      <c r="H3043" t="str">
        <f t="shared" si="141"/>
        <v>50-59</v>
      </c>
      <c r="I3043" t="str">
        <f t="shared" si="142"/>
        <v>0-9</v>
      </c>
      <c r="J3043">
        <f t="shared" si="143"/>
        <v>2.8900000000000002E-3</v>
      </c>
    </row>
    <row r="3044" spans="1:10">
      <c r="A3044" t="s">
        <v>3126</v>
      </c>
      <c r="B3044">
        <v>29</v>
      </c>
      <c r="C3044" t="s">
        <v>7</v>
      </c>
      <c r="D3044">
        <v>10</v>
      </c>
      <c r="E3044">
        <v>38</v>
      </c>
      <c r="F3044">
        <v>6.4000000000000005E-4</v>
      </c>
      <c r="G3044">
        <v>0</v>
      </c>
      <c r="H3044" t="str">
        <f t="shared" si="141"/>
        <v>30-39</v>
      </c>
      <c r="I3044" t="str">
        <f t="shared" si="142"/>
        <v>10-19</v>
      </c>
      <c r="J3044">
        <f t="shared" si="143"/>
        <v>6.4000000000000005E-4</v>
      </c>
    </row>
    <row r="3045" spans="1:10">
      <c r="A3045" t="s">
        <v>3127</v>
      </c>
      <c r="B3045">
        <v>20</v>
      </c>
      <c r="C3045" t="s">
        <v>9</v>
      </c>
      <c r="D3045">
        <v>26</v>
      </c>
      <c r="E3045">
        <v>45</v>
      </c>
      <c r="F3045">
        <v>2.5400000000000002E-3</v>
      </c>
      <c r="G3045">
        <v>0</v>
      </c>
      <c r="H3045" t="str">
        <f t="shared" si="141"/>
        <v>40-49</v>
      </c>
      <c r="I3045" t="str">
        <f t="shared" si="142"/>
        <v>20-29</v>
      </c>
      <c r="J3045">
        <f t="shared" si="143"/>
        <v>2.5400000000000002E-3</v>
      </c>
    </row>
    <row r="3046" spans="1:10">
      <c r="A3046" t="s">
        <v>3128</v>
      </c>
      <c r="B3046">
        <v>27</v>
      </c>
      <c r="C3046" t="s">
        <v>9</v>
      </c>
      <c r="D3046">
        <v>3</v>
      </c>
      <c r="E3046">
        <v>29</v>
      </c>
      <c r="F3046">
        <v>3.5E-4</v>
      </c>
      <c r="G3046">
        <v>0</v>
      </c>
      <c r="H3046" t="str">
        <f t="shared" si="141"/>
        <v>20-29</v>
      </c>
      <c r="I3046" t="str">
        <f t="shared" si="142"/>
        <v>0-9</v>
      </c>
      <c r="J3046">
        <f t="shared" si="143"/>
        <v>3.5E-4</v>
      </c>
    </row>
    <row r="3047" spans="1:10">
      <c r="A3047" t="s">
        <v>3129</v>
      </c>
      <c r="B3047">
        <v>27</v>
      </c>
      <c r="C3047" t="s">
        <v>9</v>
      </c>
      <c r="D3047">
        <v>17</v>
      </c>
      <c r="E3047">
        <v>43</v>
      </c>
      <c r="F3047">
        <v>1.6299999999999999E-3</v>
      </c>
      <c r="G3047">
        <v>0</v>
      </c>
      <c r="H3047" t="str">
        <f t="shared" si="141"/>
        <v>40-49</v>
      </c>
      <c r="I3047" t="str">
        <f t="shared" si="142"/>
        <v>10-19</v>
      </c>
      <c r="J3047">
        <f t="shared" si="143"/>
        <v>1.6299999999999999E-3</v>
      </c>
    </row>
    <row r="3048" spans="1:10">
      <c r="A3048" t="s">
        <v>3130</v>
      </c>
      <c r="B3048">
        <v>50</v>
      </c>
      <c r="C3048" t="s">
        <v>7</v>
      </c>
      <c r="D3048">
        <v>1</v>
      </c>
      <c r="E3048">
        <v>50</v>
      </c>
      <c r="F3048">
        <v>4.2000000000000002E-4</v>
      </c>
      <c r="G3048">
        <v>0</v>
      </c>
      <c r="H3048" t="str">
        <f t="shared" si="141"/>
        <v>50-59</v>
      </c>
      <c r="I3048" t="str">
        <f t="shared" si="142"/>
        <v>0-9</v>
      </c>
      <c r="J3048">
        <f t="shared" si="143"/>
        <v>4.2000000000000002E-4</v>
      </c>
    </row>
    <row r="3049" spans="1:10">
      <c r="A3049" t="s">
        <v>3131</v>
      </c>
      <c r="B3049">
        <v>23</v>
      </c>
      <c r="C3049" t="s">
        <v>9</v>
      </c>
      <c r="D3049">
        <v>30</v>
      </c>
      <c r="E3049">
        <v>52</v>
      </c>
      <c r="F3049">
        <v>2.7399999999999998E-3</v>
      </c>
      <c r="G3049">
        <v>0</v>
      </c>
      <c r="H3049" t="str">
        <f t="shared" si="141"/>
        <v>50-59</v>
      </c>
      <c r="I3049" t="str">
        <f t="shared" si="142"/>
        <v>30-39</v>
      </c>
      <c r="J3049">
        <f t="shared" si="143"/>
        <v>2.7399999999999998E-3</v>
      </c>
    </row>
    <row r="3050" spans="1:10">
      <c r="A3050" t="s">
        <v>3132</v>
      </c>
      <c r="B3050">
        <v>31</v>
      </c>
      <c r="C3050" t="s">
        <v>9</v>
      </c>
      <c r="D3050">
        <v>27</v>
      </c>
      <c r="E3050">
        <v>57</v>
      </c>
      <c r="F3050">
        <v>4.3899999999999998E-3</v>
      </c>
      <c r="G3050">
        <v>0</v>
      </c>
      <c r="H3050" t="str">
        <f t="shared" si="141"/>
        <v>50-59</v>
      </c>
      <c r="I3050" t="str">
        <f t="shared" si="142"/>
        <v>20-29</v>
      </c>
      <c r="J3050">
        <f t="shared" si="143"/>
        <v>4.3899999999999998E-3</v>
      </c>
    </row>
    <row r="3051" spans="1:10">
      <c r="A3051" t="s">
        <v>3133</v>
      </c>
      <c r="B3051">
        <v>36</v>
      </c>
      <c r="C3051" t="s">
        <v>7</v>
      </c>
      <c r="D3051">
        <v>27</v>
      </c>
      <c r="E3051">
        <v>62</v>
      </c>
      <c r="F3051">
        <v>5.4599999999999996E-3</v>
      </c>
      <c r="G3051">
        <v>0</v>
      </c>
      <c r="H3051" t="str">
        <f t="shared" si="141"/>
        <v>60-69</v>
      </c>
      <c r="I3051" t="str">
        <f t="shared" si="142"/>
        <v>20-29</v>
      </c>
      <c r="J3051">
        <f t="shared" si="143"/>
        <v>5.4599999999999996E-3</v>
      </c>
    </row>
    <row r="3052" spans="1:10">
      <c r="A3052" t="s">
        <v>3134</v>
      </c>
      <c r="B3052">
        <v>62</v>
      </c>
      <c r="C3052" t="s">
        <v>9</v>
      </c>
      <c r="D3052">
        <v>20</v>
      </c>
      <c r="E3052">
        <v>81</v>
      </c>
      <c r="F3052">
        <v>5.6829999999999999E-2</v>
      </c>
      <c r="G3052">
        <v>0</v>
      </c>
      <c r="H3052" t="str">
        <f t="shared" si="141"/>
        <v>80-89</v>
      </c>
      <c r="I3052" t="str">
        <f t="shared" si="142"/>
        <v>20-29</v>
      </c>
      <c r="J3052">
        <f t="shared" si="143"/>
        <v>5.6829999999999999E-2</v>
      </c>
    </row>
    <row r="3053" spans="1:10">
      <c r="A3053" t="s">
        <v>3135</v>
      </c>
      <c r="B3053">
        <v>21</v>
      </c>
      <c r="C3053" t="s">
        <v>9</v>
      </c>
      <c r="D3053">
        <v>6</v>
      </c>
      <c r="E3053">
        <v>26</v>
      </c>
      <c r="F3053">
        <v>6.8000000000000005E-4</v>
      </c>
      <c r="G3053">
        <v>0</v>
      </c>
      <c r="H3053" t="str">
        <f t="shared" si="141"/>
        <v>20-29</v>
      </c>
      <c r="I3053" t="str">
        <f t="shared" si="142"/>
        <v>0-9</v>
      </c>
      <c r="J3053">
        <f t="shared" si="143"/>
        <v>6.8000000000000005E-4</v>
      </c>
    </row>
    <row r="3054" spans="1:10">
      <c r="A3054" t="s">
        <v>3136</v>
      </c>
      <c r="B3054">
        <v>35</v>
      </c>
      <c r="C3054" t="s">
        <v>7</v>
      </c>
      <c r="D3054">
        <v>6</v>
      </c>
      <c r="E3054">
        <v>40</v>
      </c>
      <c r="F3054">
        <v>5.9000000000000003E-4</v>
      </c>
      <c r="G3054">
        <v>0</v>
      </c>
      <c r="H3054" t="str">
        <f t="shared" si="141"/>
        <v>40-49</v>
      </c>
      <c r="I3054" t="str">
        <f t="shared" si="142"/>
        <v>0-9</v>
      </c>
      <c r="J3054">
        <f t="shared" si="143"/>
        <v>5.9000000000000003E-4</v>
      </c>
    </row>
    <row r="3055" spans="1:10">
      <c r="A3055" t="s">
        <v>3137</v>
      </c>
      <c r="B3055">
        <v>32</v>
      </c>
      <c r="C3055" t="s">
        <v>9</v>
      </c>
      <c r="D3055">
        <v>16</v>
      </c>
      <c r="E3055">
        <v>47</v>
      </c>
      <c r="F3055">
        <v>1.91E-3</v>
      </c>
      <c r="G3055">
        <v>0</v>
      </c>
      <c r="H3055" t="str">
        <f t="shared" si="141"/>
        <v>40-49</v>
      </c>
      <c r="I3055" t="str">
        <f t="shared" si="142"/>
        <v>10-19</v>
      </c>
      <c r="J3055">
        <f t="shared" si="143"/>
        <v>1.91E-3</v>
      </c>
    </row>
    <row r="3056" spans="1:10">
      <c r="A3056" t="s">
        <v>3138</v>
      </c>
      <c r="B3056">
        <v>26</v>
      </c>
      <c r="C3056" t="s">
        <v>9</v>
      </c>
      <c r="D3056">
        <v>19</v>
      </c>
      <c r="E3056">
        <v>44</v>
      </c>
      <c r="F3056">
        <v>1.82E-3</v>
      </c>
      <c r="G3056">
        <v>0</v>
      </c>
      <c r="H3056" t="str">
        <f t="shared" si="141"/>
        <v>40-49</v>
      </c>
      <c r="I3056" t="str">
        <f t="shared" si="142"/>
        <v>10-19</v>
      </c>
      <c r="J3056">
        <f t="shared" si="143"/>
        <v>1.82E-3</v>
      </c>
    </row>
    <row r="3057" spans="1:10">
      <c r="A3057" t="s">
        <v>3139</v>
      </c>
      <c r="B3057">
        <v>45</v>
      </c>
      <c r="C3057" t="s">
        <v>7</v>
      </c>
      <c r="D3057">
        <v>13</v>
      </c>
      <c r="E3057">
        <v>57</v>
      </c>
      <c r="F3057">
        <v>3.2399999999999998E-3</v>
      </c>
      <c r="G3057">
        <v>0</v>
      </c>
      <c r="H3057" t="str">
        <f t="shared" si="141"/>
        <v>50-59</v>
      </c>
      <c r="I3057" t="str">
        <f t="shared" si="142"/>
        <v>10-19</v>
      </c>
      <c r="J3057">
        <f t="shared" si="143"/>
        <v>3.2399999999999998E-3</v>
      </c>
    </row>
    <row r="3058" spans="1:10">
      <c r="A3058" t="s">
        <v>3140</v>
      </c>
      <c r="B3058">
        <v>46</v>
      </c>
      <c r="C3058" t="s">
        <v>9</v>
      </c>
      <c r="D3058">
        <v>27</v>
      </c>
      <c r="E3058">
        <v>72</v>
      </c>
      <c r="F3058">
        <v>1.9089999999999999E-2</v>
      </c>
      <c r="G3058">
        <v>0</v>
      </c>
      <c r="H3058" t="str">
        <f t="shared" si="141"/>
        <v>70-79</v>
      </c>
      <c r="I3058" t="str">
        <f t="shared" si="142"/>
        <v>20-29</v>
      </c>
      <c r="J3058">
        <f t="shared" si="143"/>
        <v>1.9089999999999999E-2</v>
      </c>
    </row>
    <row r="3059" spans="1:10">
      <c r="A3059" t="s">
        <v>3141</v>
      </c>
      <c r="B3059">
        <v>49</v>
      </c>
      <c r="C3059" t="s">
        <v>7</v>
      </c>
      <c r="D3059">
        <v>4</v>
      </c>
      <c r="E3059">
        <v>52</v>
      </c>
      <c r="F3059">
        <v>1.4E-3</v>
      </c>
      <c r="G3059">
        <v>0</v>
      </c>
      <c r="H3059" t="str">
        <f t="shared" si="141"/>
        <v>50-59</v>
      </c>
      <c r="I3059" t="str">
        <f t="shared" si="142"/>
        <v>0-9</v>
      </c>
      <c r="J3059">
        <f t="shared" si="143"/>
        <v>1.4E-3</v>
      </c>
    </row>
    <row r="3060" spans="1:10">
      <c r="A3060" t="s">
        <v>3142</v>
      </c>
      <c r="B3060">
        <v>39</v>
      </c>
      <c r="C3060" t="s">
        <v>7</v>
      </c>
      <c r="D3060">
        <v>2</v>
      </c>
      <c r="E3060">
        <v>40</v>
      </c>
      <c r="F3060">
        <v>3.3E-4</v>
      </c>
      <c r="G3060">
        <v>0</v>
      </c>
      <c r="H3060" t="str">
        <f t="shared" si="141"/>
        <v>40-49</v>
      </c>
      <c r="I3060" t="str">
        <f t="shared" si="142"/>
        <v>0-9</v>
      </c>
      <c r="J3060">
        <f t="shared" si="143"/>
        <v>3.3E-4</v>
      </c>
    </row>
    <row r="3061" spans="1:10">
      <c r="A3061" t="s">
        <v>3143</v>
      </c>
      <c r="B3061">
        <v>59</v>
      </c>
      <c r="C3061" t="s">
        <v>9</v>
      </c>
      <c r="D3061">
        <v>15</v>
      </c>
      <c r="E3061">
        <v>73</v>
      </c>
      <c r="F3061">
        <v>2.3400000000000001E-2</v>
      </c>
      <c r="G3061">
        <v>0</v>
      </c>
      <c r="H3061" t="str">
        <f t="shared" si="141"/>
        <v>70-79</v>
      </c>
      <c r="I3061" t="str">
        <f t="shared" si="142"/>
        <v>10-19</v>
      </c>
      <c r="J3061">
        <f t="shared" si="143"/>
        <v>2.3400000000000001E-2</v>
      </c>
    </row>
    <row r="3062" spans="1:10">
      <c r="A3062" t="s">
        <v>3144</v>
      </c>
      <c r="B3062">
        <v>28</v>
      </c>
      <c r="C3062" t="s">
        <v>7</v>
      </c>
      <c r="D3062">
        <v>15</v>
      </c>
      <c r="E3062">
        <v>42</v>
      </c>
      <c r="F3062">
        <v>1.0200000000000001E-3</v>
      </c>
      <c r="G3062">
        <v>0</v>
      </c>
      <c r="H3062" t="str">
        <f t="shared" si="141"/>
        <v>40-49</v>
      </c>
      <c r="I3062" t="str">
        <f t="shared" si="142"/>
        <v>10-19</v>
      </c>
      <c r="J3062">
        <f t="shared" si="143"/>
        <v>1.0200000000000001E-3</v>
      </c>
    </row>
    <row r="3063" spans="1:10">
      <c r="A3063" t="s">
        <v>3145</v>
      </c>
      <c r="B3063">
        <v>20</v>
      </c>
      <c r="C3063" t="s">
        <v>9</v>
      </c>
      <c r="D3063">
        <v>6</v>
      </c>
      <c r="E3063">
        <v>25</v>
      </c>
      <c r="F3063">
        <v>7.7999999999999999E-4</v>
      </c>
      <c r="G3063">
        <v>0</v>
      </c>
      <c r="H3063" t="str">
        <f t="shared" si="141"/>
        <v>20-29</v>
      </c>
      <c r="I3063" t="str">
        <f t="shared" si="142"/>
        <v>0-9</v>
      </c>
      <c r="J3063">
        <f t="shared" si="143"/>
        <v>7.7999999999999999E-4</v>
      </c>
    </row>
    <row r="3064" spans="1:10">
      <c r="A3064" t="s">
        <v>3146</v>
      </c>
      <c r="B3064">
        <v>52</v>
      </c>
      <c r="C3064" t="s">
        <v>9</v>
      </c>
      <c r="D3064">
        <v>7</v>
      </c>
      <c r="E3064">
        <v>58</v>
      </c>
      <c r="F3064">
        <v>4.2599999999999999E-3</v>
      </c>
      <c r="G3064">
        <v>0</v>
      </c>
      <c r="H3064" t="str">
        <f t="shared" si="141"/>
        <v>50-59</v>
      </c>
      <c r="I3064" t="str">
        <f t="shared" si="142"/>
        <v>0-9</v>
      </c>
      <c r="J3064">
        <f t="shared" si="143"/>
        <v>4.2599999999999999E-3</v>
      </c>
    </row>
    <row r="3065" spans="1:10">
      <c r="A3065" t="s">
        <v>3147</v>
      </c>
      <c r="B3065">
        <v>44</v>
      </c>
      <c r="C3065" t="s">
        <v>9</v>
      </c>
      <c r="D3065">
        <v>17</v>
      </c>
      <c r="E3065">
        <v>60</v>
      </c>
      <c r="F3065">
        <v>6.3299999999999997E-3</v>
      </c>
      <c r="G3065">
        <v>0</v>
      </c>
      <c r="H3065" t="str">
        <f t="shared" si="141"/>
        <v>60-69</v>
      </c>
      <c r="I3065" t="str">
        <f t="shared" si="142"/>
        <v>10-19</v>
      </c>
      <c r="J3065">
        <f t="shared" si="143"/>
        <v>6.3299999999999997E-3</v>
      </c>
    </row>
    <row r="3066" spans="1:10">
      <c r="A3066" t="s">
        <v>3148</v>
      </c>
      <c r="B3066">
        <v>42</v>
      </c>
      <c r="C3066" t="s">
        <v>7</v>
      </c>
      <c r="D3066">
        <v>21</v>
      </c>
      <c r="E3066">
        <v>62</v>
      </c>
      <c r="F3066">
        <v>6.0499999999999998E-3</v>
      </c>
      <c r="G3066">
        <v>0</v>
      </c>
      <c r="H3066" t="str">
        <f t="shared" si="141"/>
        <v>60-69</v>
      </c>
      <c r="I3066" t="str">
        <f t="shared" si="142"/>
        <v>20-29</v>
      </c>
      <c r="J3066">
        <f t="shared" si="143"/>
        <v>6.0499999999999998E-3</v>
      </c>
    </row>
    <row r="3067" spans="1:10">
      <c r="A3067" t="s">
        <v>3149</v>
      </c>
      <c r="B3067">
        <v>65</v>
      </c>
      <c r="C3067" t="s">
        <v>7</v>
      </c>
      <c r="D3067">
        <v>28</v>
      </c>
      <c r="E3067">
        <v>92</v>
      </c>
      <c r="F3067">
        <v>0.13125000000000001</v>
      </c>
      <c r="G3067">
        <v>0</v>
      </c>
      <c r="H3067" t="str">
        <f t="shared" si="141"/>
        <v>90-99</v>
      </c>
      <c r="I3067" t="str">
        <f t="shared" si="142"/>
        <v>20-29</v>
      </c>
      <c r="J3067">
        <f t="shared" si="143"/>
        <v>0.13125000000000001</v>
      </c>
    </row>
    <row r="3068" spans="1:10">
      <c r="A3068" t="s">
        <v>3150</v>
      </c>
      <c r="B3068">
        <v>62</v>
      </c>
      <c r="C3068" t="s">
        <v>7</v>
      </c>
      <c r="D3068">
        <v>10</v>
      </c>
      <c r="E3068">
        <v>71</v>
      </c>
      <c r="F3068">
        <v>9.9100000000000004E-3</v>
      </c>
      <c r="G3068">
        <v>0</v>
      </c>
      <c r="H3068" t="str">
        <f t="shared" si="141"/>
        <v>70-79</v>
      </c>
      <c r="I3068" t="str">
        <f t="shared" si="142"/>
        <v>10-19</v>
      </c>
      <c r="J3068">
        <f t="shared" si="143"/>
        <v>9.9100000000000004E-3</v>
      </c>
    </row>
    <row r="3069" spans="1:10">
      <c r="A3069" t="s">
        <v>3151</v>
      </c>
      <c r="B3069">
        <v>61</v>
      </c>
      <c r="C3069" t="s">
        <v>9</v>
      </c>
      <c r="D3069">
        <v>16</v>
      </c>
      <c r="E3069">
        <v>76</v>
      </c>
      <c r="F3069">
        <v>3.1919999999999997E-2</v>
      </c>
      <c r="G3069">
        <v>0</v>
      </c>
      <c r="H3069" t="str">
        <f t="shared" si="141"/>
        <v>70-79</v>
      </c>
      <c r="I3069" t="str">
        <f t="shared" si="142"/>
        <v>10-19</v>
      </c>
      <c r="J3069">
        <f t="shared" si="143"/>
        <v>3.1919999999999997E-2</v>
      </c>
    </row>
    <row r="3070" spans="1:10">
      <c r="A3070" t="s">
        <v>3152</v>
      </c>
      <c r="B3070">
        <v>62</v>
      </c>
      <c r="C3070" t="s">
        <v>7</v>
      </c>
      <c r="D3070">
        <v>6</v>
      </c>
      <c r="E3070">
        <v>67</v>
      </c>
      <c r="F3070">
        <v>6.43E-3</v>
      </c>
      <c r="G3070">
        <v>0</v>
      </c>
      <c r="H3070" t="str">
        <f t="shared" si="141"/>
        <v>60-69</v>
      </c>
      <c r="I3070" t="str">
        <f t="shared" si="142"/>
        <v>0-9</v>
      </c>
      <c r="J3070">
        <f t="shared" si="143"/>
        <v>6.43E-3</v>
      </c>
    </row>
    <row r="3071" spans="1:10">
      <c r="A3071" t="s">
        <v>3153</v>
      </c>
      <c r="B3071">
        <v>62</v>
      </c>
      <c r="C3071" t="s">
        <v>9</v>
      </c>
      <c r="D3071">
        <v>17</v>
      </c>
      <c r="E3071">
        <v>78</v>
      </c>
      <c r="F3071">
        <v>3.943E-2</v>
      </c>
      <c r="G3071">
        <v>0</v>
      </c>
      <c r="H3071" t="str">
        <f t="shared" si="141"/>
        <v>70-79</v>
      </c>
      <c r="I3071" t="str">
        <f t="shared" si="142"/>
        <v>10-19</v>
      </c>
      <c r="J3071">
        <f t="shared" si="143"/>
        <v>3.943E-2</v>
      </c>
    </row>
    <row r="3072" spans="1:10">
      <c r="A3072" t="s">
        <v>3154</v>
      </c>
      <c r="B3072">
        <v>57</v>
      </c>
      <c r="C3072" t="s">
        <v>9</v>
      </c>
      <c r="D3072">
        <v>19</v>
      </c>
      <c r="E3072">
        <v>75</v>
      </c>
      <c r="F3072">
        <v>2.9780000000000001E-2</v>
      </c>
      <c r="G3072">
        <v>0</v>
      </c>
      <c r="H3072" t="str">
        <f t="shared" si="141"/>
        <v>70-79</v>
      </c>
      <c r="I3072" t="str">
        <f t="shared" si="142"/>
        <v>10-19</v>
      </c>
      <c r="J3072">
        <f t="shared" si="143"/>
        <v>2.9780000000000001E-2</v>
      </c>
    </row>
    <row r="3073" spans="1:10">
      <c r="A3073" t="s">
        <v>3155</v>
      </c>
      <c r="B3073">
        <v>45</v>
      </c>
      <c r="C3073" t="s">
        <v>9</v>
      </c>
      <c r="D3073">
        <v>3</v>
      </c>
      <c r="E3073">
        <v>47</v>
      </c>
      <c r="F3073">
        <v>1.08E-3</v>
      </c>
      <c r="G3073">
        <v>0</v>
      </c>
      <c r="H3073" t="str">
        <f t="shared" si="141"/>
        <v>40-49</v>
      </c>
      <c r="I3073" t="str">
        <f t="shared" si="142"/>
        <v>0-9</v>
      </c>
      <c r="J3073">
        <f t="shared" si="143"/>
        <v>1.08E-3</v>
      </c>
    </row>
    <row r="3074" spans="1:10">
      <c r="A3074" t="s">
        <v>3156</v>
      </c>
      <c r="B3074">
        <v>30</v>
      </c>
      <c r="C3074" t="s">
        <v>9</v>
      </c>
      <c r="D3074">
        <v>8</v>
      </c>
      <c r="E3074">
        <v>37</v>
      </c>
      <c r="F3074">
        <v>6.6E-4</v>
      </c>
      <c r="G3074">
        <v>0</v>
      </c>
      <c r="H3074" t="str">
        <f t="shared" si="141"/>
        <v>30-39</v>
      </c>
      <c r="I3074" t="str">
        <f t="shared" si="142"/>
        <v>0-9</v>
      </c>
      <c r="J3074">
        <f t="shared" si="143"/>
        <v>6.6E-4</v>
      </c>
    </row>
    <row r="3075" spans="1:10">
      <c r="A3075" t="s">
        <v>3157</v>
      </c>
      <c r="B3075">
        <v>63</v>
      </c>
      <c r="C3075" t="s">
        <v>9</v>
      </c>
      <c r="D3075">
        <v>16</v>
      </c>
      <c r="E3075">
        <v>78</v>
      </c>
      <c r="F3075">
        <v>3.8120000000000001E-2</v>
      </c>
      <c r="G3075">
        <v>0</v>
      </c>
      <c r="H3075" t="str">
        <f t="shared" ref="H3075:H3138" si="144">FLOOR(E3075,10) &amp; "-" &amp; FLOOR(E3075,10)+9</f>
        <v>70-79</v>
      </c>
      <c r="I3075" t="str">
        <f t="shared" ref="I3075:I3138" si="145">FLOOR(D3075, 10) &amp; "-"&amp;FLOOR(D3075, 10)+9</f>
        <v>10-19</v>
      </c>
      <c r="J3075">
        <f t="shared" ref="J3075:J3138" si="146">F3075</f>
        <v>3.8120000000000001E-2</v>
      </c>
    </row>
    <row r="3076" spans="1:10">
      <c r="A3076" t="s">
        <v>3158</v>
      </c>
      <c r="B3076">
        <v>35</v>
      </c>
      <c r="C3076" t="s">
        <v>7</v>
      </c>
      <c r="D3076">
        <v>4</v>
      </c>
      <c r="E3076">
        <v>38</v>
      </c>
      <c r="F3076">
        <v>4.4000000000000002E-4</v>
      </c>
      <c r="G3076">
        <v>0</v>
      </c>
      <c r="H3076" t="str">
        <f t="shared" si="144"/>
        <v>30-39</v>
      </c>
      <c r="I3076" t="str">
        <f t="shared" si="145"/>
        <v>0-9</v>
      </c>
      <c r="J3076">
        <f t="shared" si="146"/>
        <v>4.4000000000000002E-4</v>
      </c>
    </row>
    <row r="3077" spans="1:10">
      <c r="A3077" t="s">
        <v>3159</v>
      </c>
      <c r="B3077">
        <v>44</v>
      </c>
      <c r="C3077" t="s">
        <v>7</v>
      </c>
      <c r="D3077">
        <v>25</v>
      </c>
      <c r="E3077">
        <v>68</v>
      </c>
      <c r="F3077">
        <v>1.141E-2</v>
      </c>
      <c r="G3077">
        <v>0</v>
      </c>
      <c r="H3077" t="str">
        <f t="shared" si="144"/>
        <v>60-69</v>
      </c>
      <c r="I3077" t="str">
        <f t="shared" si="145"/>
        <v>20-29</v>
      </c>
      <c r="J3077">
        <f t="shared" si="146"/>
        <v>1.141E-2</v>
      </c>
    </row>
    <row r="3078" spans="1:10">
      <c r="A3078" t="s">
        <v>3160</v>
      </c>
      <c r="B3078">
        <v>23</v>
      </c>
      <c r="C3078" t="s">
        <v>9</v>
      </c>
      <c r="D3078">
        <v>20</v>
      </c>
      <c r="E3078">
        <v>42</v>
      </c>
      <c r="F3078">
        <v>1.82E-3</v>
      </c>
      <c r="G3078">
        <v>0</v>
      </c>
      <c r="H3078" t="str">
        <f t="shared" si="144"/>
        <v>40-49</v>
      </c>
      <c r="I3078" t="str">
        <f t="shared" si="145"/>
        <v>20-29</v>
      </c>
      <c r="J3078">
        <f t="shared" si="146"/>
        <v>1.82E-3</v>
      </c>
    </row>
    <row r="3079" spans="1:10">
      <c r="A3079" t="s">
        <v>3161</v>
      </c>
      <c r="B3079">
        <v>24</v>
      </c>
      <c r="C3079" t="s">
        <v>7</v>
      </c>
      <c r="D3079">
        <v>15</v>
      </c>
      <c r="E3079">
        <v>38</v>
      </c>
      <c r="F3079">
        <v>8.3000000000000001E-4</v>
      </c>
      <c r="G3079">
        <v>0</v>
      </c>
      <c r="H3079" t="str">
        <f t="shared" si="144"/>
        <v>30-39</v>
      </c>
      <c r="I3079" t="str">
        <f t="shared" si="145"/>
        <v>10-19</v>
      </c>
      <c r="J3079">
        <f t="shared" si="146"/>
        <v>8.3000000000000001E-4</v>
      </c>
    </row>
    <row r="3080" spans="1:10">
      <c r="A3080" t="s">
        <v>3162</v>
      </c>
      <c r="B3080">
        <v>21</v>
      </c>
      <c r="C3080" t="s">
        <v>9</v>
      </c>
      <c r="D3080">
        <v>30</v>
      </c>
      <c r="E3080">
        <v>50</v>
      </c>
      <c r="F3080">
        <v>2.6099999999999999E-3</v>
      </c>
      <c r="G3080">
        <v>0</v>
      </c>
      <c r="H3080" t="str">
        <f t="shared" si="144"/>
        <v>50-59</v>
      </c>
      <c r="I3080" t="str">
        <f t="shared" si="145"/>
        <v>30-39</v>
      </c>
      <c r="J3080">
        <f t="shared" si="146"/>
        <v>2.6099999999999999E-3</v>
      </c>
    </row>
    <row r="3081" spans="1:10">
      <c r="A3081" t="s">
        <v>3163</v>
      </c>
      <c r="B3081">
        <v>48</v>
      </c>
      <c r="C3081" t="s">
        <v>9</v>
      </c>
      <c r="D3081">
        <v>13</v>
      </c>
      <c r="E3081">
        <v>60</v>
      </c>
      <c r="F3081">
        <v>5.9699999999999996E-3</v>
      </c>
      <c r="G3081">
        <v>0</v>
      </c>
      <c r="H3081" t="str">
        <f t="shared" si="144"/>
        <v>60-69</v>
      </c>
      <c r="I3081" t="str">
        <f t="shared" si="145"/>
        <v>10-19</v>
      </c>
      <c r="J3081">
        <f t="shared" si="146"/>
        <v>5.9699999999999996E-3</v>
      </c>
    </row>
    <row r="3082" spans="1:10">
      <c r="A3082" t="s">
        <v>3164</v>
      </c>
      <c r="B3082">
        <v>55</v>
      </c>
      <c r="C3082" t="s">
        <v>9</v>
      </c>
      <c r="D3082">
        <v>7</v>
      </c>
      <c r="E3082">
        <v>61</v>
      </c>
      <c r="F3082">
        <v>5.8900000000000003E-3</v>
      </c>
      <c r="G3082">
        <v>0</v>
      </c>
      <c r="H3082" t="str">
        <f t="shared" si="144"/>
        <v>60-69</v>
      </c>
      <c r="I3082" t="str">
        <f t="shared" si="145"/>
        <v>0-9</v>
      </c>
      <c r="J3082">
        <f t="shared" si="146"/>
        <v>5.8900000000000003E-3</v>
      </c>
    </row>
    <row r="3083" spans="1:10">
      <c r="A3083" t="s">
        <v>3165</v>
      </c>
      <c r="B3083">
        <v>63</v>
      </c>
      <c r="C3083" t="s">
        <v>9</v>
      </c>
      <c r="D3083">
        <v>10</v>
      </c>
      <c r="E3083">
        <v>72</v>
      </c>
      <c r="F3083">
        <v>1.6930000000000001E-2</v>
      </c>
      <c r="G3083">
        <v>0</v>
      </c>
      <c r="H3083" t="str">
        <f t="shared" si="144"/>
        <v>70-79</v>
      </c>
      <c r="I3083" t="str">
        <f t="shared" si="145"/>
        <v>10-19</v>
      </c>
      <c r="J3083">
        <f t="shared" si="146"/>
        <v>1.6930000000000001E-2</v>
      </c>
    </row>
    <row r="3084" spans="1:10">
      <c r="A3084" t="s">
        <v>3166</v>
      </c>
      <c r="B3084">
        <v>47</v>
      </c>
      <c r="C3084" t="s">
        <v>7</v>
      </c>
      <c r="D3084">
        <v>27</v>
      </c>
      <c r="E3084">
        <v>73</v>
      </c>
      <c r="F3084">
        <v>1.7170000000000001E-2</v>
      </c>
      <c r="G3084">
        <v>0</v>
      </c>
      <c r="H3084" t="str">
        <f t="shared" si="144"/>
        <v>70-79</v>
      </c>
      <c r="I3084" t="str">
        <f t="shared" si="145"/>
        <v>20-29</v>
      </c>
      <c r="J3084">
        <f t="shared" si="146"/>
        <v>1.7170000000000001E-2</v>
      </c>
    </row>
    <row r="3085" spans="1:10">
      <c r="A3085" t="s">
        <v>3167</v>
      </c>
      <c r="B3085">
        <v>25</v>
      </c>
      <c r="C3085" t="s">
        <v>9</v>
      </c>
      <c r="D3085">
        <v>19</v>
      </c>
      <c r="E3085">
        <v>43</v>
      </c>
      <c r="F3085">
        <v>1.7799999999999999E-3</v>
      </c>
      <c r="G3085">
        <v>0</v>
      </c>
      <c r="H3085" t="str">
        <f t="shared" si="144"/>
        <v>40-49</v>
      </c>
      <c r="I3085" t="str">
        <f t="shared" si="145"/>
        <v>10-19</v>
      </c>
      <c r="J3085">
        <f t="shared" si="146"/>
        <v>1.7799999999999999E-3</v>
      </c>
    </row>
    <row r="3086" spans="1:10">
      <c r="A3086" t="s">
        <v>3168</v>
      </c>
      <c r="B3086">
        <v>26</v>
      </c>
      <c r="C3086" t="s">
        <v>9</v>
      </c>
      <c r="D3086">
        <v>7</v>
      </c>
      <c r="E3086">
        <v>32</v>
      </c>
      <c r="F3086">
        <v>4.8000000000000001E-4</v>
      </c>
      <c r="G3086">
        <v>0</v>
      </c>
      <c r="H3086" t="str">
        <f t="shared" si="144"/>
        <v>30-39</v>
      </c>
      <c r="I3086" t="str">
        <f t="shared" si="145"/>
        <v>0-9</v>
      </c>
      <c r="J3086">
        <f t="shared" si="146"/>
        <v>4.8000000000000001E-4</v>
      </c>
    </row>
    <row r="3087" spans="1:10">
      <c r="A3087" t="s">
        <v>3169</v>
      </c>
      <c r="B3087">
        <v>20</v>
      </c>
      <c r="C3087" t="s">
        <v>7</v>
      </c>
      <c r="D3087">
        <v>12</v>
      </c>
      <c r="E3087">
        <v>31</v>
      </c>
      <c r="F3087">
        <v>4.2000000000000002E-4</v>
      </c>
      <c r="G3087">
        <v>0</v>
      </c>
      <c r="H3087" t="str">
        <f t="shared" si="144"/>
        <v>30-39</v>
      </c>
      <c r="I3087" t="str">
        <f t="shared" si="145"/>
        <v>10-19</v>
      </c>
      <c r="J3087">
        <f t="shared" si="146"/>
        <v>4.2000000000000002E-4</v>
      </c>
    </row>
    <row r="3088" spans="1:10">
      <c r="A3088" t="s">
        <v>3170</v>
      </c>
      <c r="B3088">
        <v>24</v>
      </c>
      <c r="C3088" t="s">
        <v>9</v>
      </c>
      <c r="D3088">
        <v>11</v>
      </c>
      <c r="E3088">
        <v>34</v>
      </c>
      <c r="F3088">
        <v>7.1000000000000002E-4</v>
      </c>
      <c r="G3088">
        <v>0</v>
      </c>
      <c r="H3088" t="str">
        <f t="shared" si="144"/>
        <v>30-39</v>
      </c>
      <c r="I3088" t="str">
        <f t="shared" si="145"/>
        <v>10-19</v>
      </c>
      <c r="J3088">
        <f t="shared" si="146"/>
        <v>7.1000000000000002E-4</v>
      </c>
    </row>
    <row r="3089" spans="1:10">
      <c r="A3089" t="s">
        <v>3171</v>
      </c>
      <c r="B3089">
        <v>61</v>
      </c>
      <c r="C3089" t="s">
        <v>9</v>
      </c>
      <c r="D3089">
        <v>17</v>
      </c>
      <c r="E3089">
        <v>77</v>
      </c>
      <c r="F3089">
        <v>3.5990000000000001E-2</v>
      </c>
      <c r="G3089">
        <v>0</v>
      </c>
      <c r="H3089" t="str">
        <f t="shared" si="144"/>
        <v>70-79</v>
      </c>
      <c r="I3089" t="str">
        <f t="shared" si="145"/>
        <v>10-19</v>
      </c>
      <c r="J3089">
        <f t="shared" si="146"/>
        <v>3.5990000000000001E-2</v>
      </c>
    </row>
    <row r="3090" spans="1:10">
      <c r="A3090" t="s">
        <v>3172</v>
      </c>
      <c r="B3090">
        <v>56</v>
      </c>
      <c r="C3090" t="s">
        <v>9</v>
      </c>
      <c r="D3090">
        <v>27</v>
      </c>
      <c r="E3090">
        <v>82</v>
      </c>
      <c r="F3090">
        <v>5.6829999999999999E-2</v>
      </c>
      <c r="G3090">
        <v>0</v>
      </c>
      <c r="H3090" t="str">
        <f t="shared" si="144"/>
        <v>80-89</v>
      </c>
      <c r="I3090" t="str">
        <f t="shared" si="145"/>
        <v>20-29</v>
      </c>
      <c r="J3090">
        <f t="shared" si="146"/>
        <v>5.6829999999999999E-2</v>
      </c>
    </row>
    <row r="3091" spans="1:10">
      <c r="A3091" t="s">
        <v>3173</v>
      </c>
      <c r="B3091">
        <v>59</v>
      </c>
      <c r="C3091" t="s">
        <v>7</v>
      </c>
      <c r="D3091">
        <v>29</v>
      </c>
      <c r="E3091">
        <v>87</v>
      </c>
      <c r="F3091">
        <v>6.4490000000000006E-2</v>
      </c>
      <c r="G3091">
        <v>0</v>
      </c>
      <c r="H3091" t="str">
        <f t="shared" si="144"/>
        <v>80-89</v>
      </c>
      <c r="I3091" t="str">
        <f t="shared" si="145"/>
        <v>20-29</v>
      </c>
      <c r="J3091">
        <f t="shared" si="146"/>
        <v>6.4490000000000006E-2</v>
      </c>
    </row>
    <row r="3092" spans="1:10">
      <c r="A3092" t="s">
        <v>3174</v>
      </c>
      <c r="B3092">
        <v>24</v>
      </c>
      <c r="C3092" t="s">
        <v>9</v>
      </c>
      <c r="D3092">
        <v>15</v>
      </c>
      <c r="E3092">
        <v>38</v>
      </c>
      <c r="F3092">
        <v>1.09E-3</v>
      </c>
      <c r="G3092">
        <v>0</v>
      </c>
      <c r="H3092" t="str">
        <f t="shared" si="144"/>
        <v>30-39</v>
      </c>
      <c r="I3092" t="str">
        <f t="shared" si="145"/>
        <v>10-19</v>
      </c>
      <c r="J3092">
        <f t="shared" si="146"/>
        <v>1.09E-3</v>
      </c>
    </row>
    <row r="3093" spans="1:10">
      <c r="A3093" t="s">
        <v>3175</v>
      </c>
      <c r="B3093">
        <v>24</v>
      </c>
      <c r="C3093" t="s">
        <v>9</v>
      </c>
      <c r="D3093">
        <v>19</v>
      </c>
      <c r="E3093">
        <v>42</v>
      </c>
      <c r="F3093">
        <v>1.72E-3</v>
      </c>
      <c r="G3093">
        <v>0</v>
      </c>
      <c r="H3093" t="str">
        <f t="shared" si="144"/>
        <v>40-49</v>
      </c>
      <c r="I3093" t="str">
        <f t="shared" si="145"/>
        <v>10-19</v>
      </c>
      <c r="J3093">
        <f t="shared" si="146"/>
        <v>1.72E-3</v>
      </c>
    </row>
    <row r="3094" spans="1:10">
      <c r="A3094" t="s">
        <v>3176</v>
      </c>
      <c r="B3094">
        <v>39</v>
      </c>
      <c r="C3094" t="s">
        <v>9</v>
      </c>
      <c r="D3094">
        <v>4</v>
      </c>
      <c r="E3094">
        <v>42</v>
      </c>
      <c r="F3094">
        <v>8.0999999999999996E-4</v>
      </c>
      <c r="G3094">
        <v>0</v>
      </c>
      <c r="H3094" t="str">
        <f t="shared" si="144"/>
        <v>40-49</v>
      </c>
      <c r="I3094" t="str">
        <f t="shared" si="145"/>
        <v>0-9</v>
      </c>
      <c r="J3094">
        <f t="shared" si="146"/>
        <v>8.0999999999999996E-4</v>
      </c>
    </row>
    <row r="3095" spans="1:10">
      <c r="A3095" t="s">
        <v>3177</v>
      </c>
      <c r="B3095">
        <v>58</v>
      </c>
      <c r="C3095" t="s">
        <v>9</v>
      </c>
      <c r="D3095">
        <v>18</v>
      </c>
      <c r="E3095">
        <v>75</v>
      </c>
      <c r="F3095">
        <v>2.9780000000000001E-2</v>
      </c>
      <c r="G3095">
        <v>0</v>
      </c>
      <c r="H3095" t="str">
        <f t="shared" si="144"/>
        <v>70-79</v>
      </c>
      <c r="I3095" t="str">
        <f t="shared" si="145"/>
        <v>10-19</v>
      </c>
      <c r="J3095">
        <f t="shared" si="146"/>
        <v>2.9780000000000001E-2</v>
      </c>
    </row>
    <row r="3096" spans="1:10">
      <c r="A3096" t="s">
        <v>3178</v>
      </c>
      <c r="B3096">
        <v>38</v>
      </c>
      <c r="C3096" t="s">
        <v>7</v>
      </c>
      <c r="D3096">
        <v>30</v>
      </c>
      <c r="E3096">
        <v>67</v>
      </c>
      <c r="F3096">
        <v>6.7200000000000003E-3</v>
      </c>
      <c r="G3096">
        <v>0</v>
      </c>
      <c r="H3096" t="str">
        <f t="shared" si="144"/>
        <v>60-69</v>
      </c>
      <c r="I3096" t="str">
        <f t="shared" si="145"/>
        <v>30-39</v>
      </c>
      <c r="J3096">
        <f t="shared" si="146"/>
        <v>6.7200000000000003E-3</v>
      </c>
    </row>
    <row r="3097" spans="1:10">
      <c r="A3097" t="s">
        <v>3179</v>
      </c>
      <c r="B3097">
        <v>42</v>
      </c>
      <c r="C3097" t="s">
        <v>7</v>
      </c>
      <c r="D3097">
        <v>3</v>
      </c>
      <c r="E3097">
        <v>44</v>
      </c>
      <c r="F3097">
        <v>5.4000000000000001E-4</v>
      </c>
      <c r="G3097">
        <v>0</v>
      </c>
      <c r="H3097" t="str">
        <f t="shared" si="144"/>
        <v>40-49</v>
      </c>
      <c r="I3097" t="str">
        <f t="shared" si="145"/>
        <v>0-9</v>
      </c>
      <c r="J3097">
        <f t="shared" si="146"/>
        <v>5.4000000000000001E-4</v>
      </c>
    </row>
    <row r="3098" spans="1:10">
      <c r="A3098" t="s">
        <v>3180</v>
      </c>
      <c r="B3098">
        <v>38</v>
      </c>
      <c r="C3098" t="s">
        <v>7</v>
      </c>
      <c r="D3098">
        <v>3</v>
      </c>
      <c r="E3098">
        <v>40</v>
      </c>
      <c r="F3098">
        <v>4.6000000000000001E-4</v>
      </c>
      <c r="G3098">
        <v>0</v>
      </c>
      <c r="H3098" t="str">
        <f t="shared" si="144"/>
        <v>40-49</v>
      </c>
      <c r="I3098" t="str">
        <f t="shared" si="145"/>
        <v>0-9</v>
      </c>
      <c r="J3098">
        <f t="shared" si="146"/>
        <v>4.6000000000000001E-4</v>
      </c>
    </row>
    <row r="3099" spans="1:10">
      <c r="A3099" t="s">
        <v>3181</v>
      </c>
      <c r="B3099">
        <v>53</v>
      </c>
      <c r="C3099" t="s">
        <v>7</v>
      </c>
      <c r="D3099">
        <v>30</v>
      </c>
      <c r="E3099">
        <v>82</v>
      </c>
      <c r="F3099">
        <v>3.1989999999999998E-2</v>
      </c>
      <c r="G3099">
        <v>0</v>
      </c>
      <c r="H3099" t="str">
        <f t="shared" si="144"/>
        <v>80-89</v>
      </c>
      <c r="I3099" t="str">
        <f t="shared" si="145"/>
        <v>30-39</v>
      </c>
      <c r="J3099">
        <f t="shared" si="146"/>
        <v>3.1989999999999998E-2</v>
      </c>
    </row>
    <row r="3100" spans="1:10">
      <c r="A3100" t="s">
        <v>3182</v>
      </c>
      <c r="B3100">
        <v>59</v>
      </c>
      <c r="C3100" t="s">
        <v>7</v>
      </c>
      <c r="D3100">
        <v>2</v>
      </c>
      <c r="E3100">
        <v>60</v>
      </c>
      <c r="F3100">
        <v>1.5E-3</v>
      </c>
      <c r="G3100">
        <v>0</v>
      </c>
      <c r="H3100" t="str">
        <f t="shared" si="144"/>
        <v>60-69</v>
      </c>
      <c r="I3100" t="str">
        <f t="shared" si="145"/>
        <v>0-9</v>
      </c>
      <c r="J3100">
        <f t="shared" si="146"/>
        <v>1.5E-3</v>
      </c>
    </row>
    <row r="3101" spans="1:10">
      <c r="A3101" t="s">
        <v>3183</v>
      </c>
      <c r="B3101">
        <v>57</v>
      </c>
      <c r="C3101" t="s">
        <v>7</v>
      </c>
      <c r="D3101">
        <v>16</v>
      </c>
      <c r="E3101">
        <v>72</v>
      </c>
      <c r="F3101">
        <v>1.5219999999999999E-2</v>
      </c>
      <c r="G3101">
        <v>0</v>
      </c>
      <c r="H3101" t="str">
        <f t="shared" si="144"/>
        <v>70-79</v>
      </c>
      <c r="I3101" t="str">
        <f t="shared" si="145"/>
        <v>10-19</v>
      </c>
      <c r="J3101">
        <f t="shared" si="146"/>
        <v>1.5219999999999999E-2</v>
      </c>
    </row>
    <row r="3102" spans="1:10">
      <c r="A3102" t="s">
        <v>3184</v>
      </c>
      <c r="B3102">
        <v>61</v>
      </c>
      <c r="C3102" t="s">
        <v>9</v>
      </c>
      <c r="D3102">
        <v>1</v>
      </c>
      <c r="E3102">
        <v>61</v>
      </c>
      <c r="F3102">
        <v>2.2599999999999999E-3</v>
      </c>
      <c r="G3102">
        <v>0</v>
      </c>
      <c r="H3102" t="str">
        <f t="shared" si="144"/>
        <v>60-69</v>
      </c>
      <c r="I3102" t="str">
        <f t="shared" si="145"/>
        <v>0-9</v>
      </c>
      <c r="J3102">
        <f t="shared" si="146"/>
        <v>2.2599999999999999E-3</v>
      </c>
    </row>
    <row r="3103" spans="1:10">
      <c r="A3103" t="s">
        <v>3185</v>
      </c>
      <c r="B3103">
        <v>32</v>
      </c>
      <c r="C3103" t="s">
        <v>7</v>
      </c>
      <c r="D3103">
        <v>11</v>
      </c>
      <c r="E3103">
        <v>42</v>
      </c>
      <c r="F3103">
        <v>8.5999999999999998E-4</v>
      </c>
      <c r="G3103">
        <v>0</v>
      </c>
      <c r="H3103" t="str">
        <f t="shared" si="144"/>
        <v>40-49</v>
      </c>
      <c r="I3103" t="str">
        <f t="shared" si="145"/>
        <v>10-19</v>
      </c>
      <c r="J3103">
        <f t="shared" si="146"/>
        <v>8.5999999999999998E-4</v>
      </c>
    </row>
    <row r="3104" spans="1:10">
      <c r="A3104" t="s">
        <v>3186</v>
      </c>
      <c r="B3104">
        <v>33</v>
      </c>
      <c r="C3104" t="s">
        <v>7</v>
      </c>
      <c r="D3104">
        <v>18</v>
      </c>
      <c r="E3104">
        <v>50</v>
      </c>
      <c r="F3104">
        <v>1.8600000000000001E-3</v>
      </c>
      <c r="G3104">
        <v>0</v>
      </c>
      <c r="H3104" t="str">
        <f t="shared" si="144"/>
        <v>50-59</v>
      </c>
      <c r="I3104" t="str">
        <f t="shared" si="145"/>
        <v>10-19</v>
      </c>
      <c r="J3104">
        <f t="shared" si="146"/>
        <v>1.8600000000000001E-3</v>
      </c>
    </row>
    <row r="3105" spans="1:10">
      <c r="A3105" t="s">
        <v>3187</v>
      </c>
      <c r="B3105">
        <v>62</v>
      </c>
      <c r="C3105" t="s">
        <v>7</v>
      </c>
      <c r="D3105">
        <v>30</v>
      </c>
      <c r="E3105">
        <v>91</v>
      </c>
      <c r="F3105">
        <v>9.3240000000000003E-2</v>
      </c>
      <c r="G3105">
        <v>0</v>
      </c>
      <c r="H3105" t="str">
        <f t="shared" si="144"/>
        <v>90-99</v>
      </c>
      <c r="I3105" t="str">
        <f t="shared" si="145"/>
        <v>30-39</v>
      </c>
      <c r="J3105">
        <f t="shared" si="146"/>
        <v>9.3240000000000003E-2</v>
      </c>
    </row>
    <row r="3106" spans="1:10">
      <c r="A3106" t="s">
        <v>3188</v>
      </c>
      <c r="B3106">
        <v>24</v>
      </c>
      <c r="C3106" t="s">
        <v>7</v>
      </c>
      <c r="D3106">
        <v>26</v>
      </c>
      <c r="E3106">
        <v>49</v>
      </c>
      <c r="F3106">
        <v>1.8699999999999999E-3</v>
      </c>
      <c r="G3106">
        <v>0</v>
      </c>
      <c r="H3106" t="str">
        <f t="shared" si="144"/>
        <v>40-49</v>
      </c>
      <c r="I3106" t="str">
        <f t="shared" si="145"/>
        <v>20-29</v>
      </c>
      <c r="J3106">
        <f t="shared" si="146"/>
        <v>1.8699999999999999E-3</v>
      </c>
    </row>
    <row r="3107" spans="1:10">
      <c r="A3107" t="s">
        <v>3189</v>
      </c>
      <c r="B3107">
        <v>64</v>
      </c>
      <c r="C3107" t="s">
        <v>7</v>
      </c>
      <c r="D3107">
        <v>27</v>
      </c>
      <c r="E3107">
        <v>90</v>
      </c>
      <c r="F3107">
        <v>0.11754000000000001</v>
      </c>
      <c r="G3107">
        <v>1</v>
      </c>
      <c r="H3107" t="str">
        <f t="shared" si="144"/>
        <v>90-99</v>
      </c>
      <c r="I3107" t="str">
        <f t="shared" si="145"/>
        <v>20-29</v>
      </c>
      <c r="J3107">
        <f t="shared" si="146"/>
        <v>0.11754000000000001</v>
      </c>
    </row>
    <row r="3108" spans="1:10">
      <c r="A3108" t="s">
        <v>3190</v>
      </c>
      <c r="B3108">
        <v>24</v>
      </c>
      <c r="C3108" t="s">
        <v>7</v>
      </c>
      <c r="D3108">
        <v>14</v>
      </c>
      <c r="E3108">
        <v>37</v>
      </c>
      <c r="F3108">
        <v>7.2000000000000005E-4</v>
      </c>
      <c r="G3108">
        <v>0</v>
      </c>
      <c r="H3108" t="str">
        <f t="shared" si="144"/>
        <v>30-39</v>
      </c>
      <c r="I3108" t="str">
        <f t="shared" si="145"/>
        <v>10-19</v>
      </c>
      <c r="J3108">
        <f t="shared" si="146"/>
        <v>7.2000000000000005E-4</v>
      </c>
    </row>
    <row r="3109" spans="1:10">
      <c r="A3109" t="s">
        <v>3191</v>
      </c>
      <c r="B3109">
        <v>25</v>
      </c>
      <c r="C3109" t="s">
        <v>7</v>
      </c>
      <c r="D3109">
        <v>29</v>
      </c>
      <c r="E3109">
        <v>53</v>
      </c>
      <c r="F3109">
        <v>2.0200000000000001E-3</v>
      </c>
      <c r="G3109">
        <v>0</v>
      </c>
      <c r="H3109" t="str">
        <f t="shared" si="144"/>
        <v>50-59</v>
      </c>
      <c r="I3109" t="str">
        <f t="shared" si="145"/>
        <v>20-29</v>
      </c>
      <c r="J3109">
        <f t="shared" si="146"/>
        <v>2.0200000000000001E-3</v>
      </c>
    </row>
    <row r="3110" spans="1:10">
      <c r="A3110" t="s">
        <v>3192</v>
      </c>
      <c r="B3110">
        <v>37</v>
      </c>
      <c r="C3110" t="s">
        <v>9</v>
      </c>
      <c r="D3110">
        <v>24</v>
      </c>
      <c r="E3110">
        <v>60</v>
      </c>
      <c r="F3110">
        <v>6.3299999999999997E-3</v>
      </c>
      <c r="G3110">
        <v>0</v>
      </c>
      <c r="H3110" t="str">
        <f t="shared" si="144"/>
        <v>60-69</v>
      </c>
      <c r="I3110" t="str">
        <f t="shared" si="145"/>
        <v>20-29</v>
      </c>
      <c r="J3110">
        <f t="shared" si="146"/>
        <v>6.3299999999999997E-3</v>
      </c>
    </row>
    <row r="3111" spans="1:10">
      <c r="A3111" t="s">
        <v>3193</v>
      </c>
      <c r="B3111">
        <v>52</v>
      </c>
      <c r="C3111" t="s">
        <v>7</v>
      </c>
      <c r="D3111">
        <v>8</v>
      </c>
      <c r="E3111">
        <v>59</v>
      </c>
      <c r="F3111">
        <v>3.2200000000000002E-3</v>
      </c>
      <c r="G3111">
        <v>0</v>
      </c>
      <c r="H3111" t="str">
        <f t="shared" si="144"/>
        <v>50-59</v>
      </c>
      <c r="I3111" t="str">
        <f t="shared" si="145"/>
        <v>0-9</v>
      </c>
      <c r="J3111">
        <f t="shared" si="146"/>
        <v>3.2200000000000002E-3</v>
      </c>
    </row>
    <row r="3112" spans="1:10">
      <c r="A3112" t="s">
        <v>3194</v>
      </c>
      <c r="B3112">
        <v>39</v>
      </c>
      <c r="C3112" t="s">
        <v>7</v>
      </c>
      <c r="D3112">
        <v>26</v>
      </c>
      <c r="E3112">
        <v>64</v>
      </c>
      <c r="F3112">
        <v>7.4700000000000001E-3</v>
      </c>
      <c r="G3112">
        <v>0</v>
      </c>
      <c r="H3112" t="str">
        <f t="shared" si="144"/>
        <v>60-69</v>
      </c>
      <c r="I3112" t="str">
        <f t="shared" si="145"/>
        <v>20-29</v>
      </c>
      <c r="J3112">
        <f t="shared" si="146"/>
        <v>7.4700000000000001E-3</v>
      </c>
    </row>
    <row r="3113" spans="1:10">
      <c r="A3113" t="s">
        <v>3195</v>
      </c>
      <c r="B3113">
        <v>21</v>
      </c>
      <c r="C3113" t="s">
        <v>9</v>
      </c>
      <c r="D3113">
        <v>30</v>
      </c>
      <c r="E3113">
        <v>50</v>
      </c>
      <c r="F3113">
        <v>2.6099999999999999E-3</v>
      </c>
      <c r="G3113">
        <v>0</v>
      </c>
      <c r="H3113" t="str">
        <f t="shared" si="144"/>
        <v>50-59</v>
      </c>
      <c r="I3113" t="str">
        <f t="shared" si="145"/>
        <v>30-39</v>
      </c>
      <c r="J3113">
        <f t="shared" si="146"/>
        <v>2.6099999999999999E-3</v>
      </c>
    </row>
    <row r="3114" spans="1:10">
      <c r="A3114" t="s">
        <v>3196</v>
      </c>
      <c r="B3114">
        <v>32</v>
      </c>
      <c r="C3114" t="s">
        <v>7</v>
      </c>
      <c r="D3114">
        <v>18</v>
      </c>
      <c r="E3114">
        <v>49</v>
      </c>
      <c r="F3114">
        <v>1.73E-3</v>
      </c>
      <c r="G3114">
        <v>0</v>
      </c>
      <c r="H3114" t="str">
        <f t="shared" si="144"/>
        <v>40-49</v>
      </c>
      <c r="I3114" t="str">
        <f t="shared" si="145"/>
        <v>10-19</v>
      </c>
      <c r="J3114">
        <f t="shared" si="146"/>
        <v>1.73E-3</v>
      </c>
    </row>
    <row r="3115" spans="1:10">
      <c r="A3115" t="s">
        <v>3197</v>
      </c>
      <c r="B3115">
        <v>63</v>
      </c>
      <c r="C3115" t="s">
        <v>9</v>
      </c>
      <c r="D3115">
        <v>24</v>
      </c>
      <c r="E3115">
        <v>86</v>
      </c>
      <c r="F3115">
        <v>0.10347000000000001</v>
      </c>
      <c r="G3115">
        <v>0</v>
      </c>
      <c r="H3115" t="str">
        <f t="shared" si="144"/>
        <v>80-89</v>
      </c>
      <c r="I3115" t="str">
        <f t="shared" si="145"/>
        <v>20-29</v>
      </c>
      <c r="J3115">
        <f t="shared" si="146"/>
        <v>0.10347000000000001</v>
      </c>
    </row>
    <row r="3116" spans="1:10">
      <c r="A3116" t="s">
        <v>3198</v>
      </c>
      <c r="B3116">
        <v>44</v>
      </c>
      <c r="C3116" t="s">
        <v>9</v>
      </c>
      <c r="D3116">
        <v>25</v>
      </c>
      <c r="E3116">
        <v>68</v>
      </c>
      <c r="F3116">
        <v>1.405E-2</v>
      </c>
      <c r="G3116">
        <v>0</v>
      </c>
      <c r="H3116" t="str">
        <f t="shared" si="144"/>
        <v>60-69</v>
      </c>
      <c r="I3116" t="str">
        <f t="shared" si="145"/>
        <v>20-29</v>
      </c>
      <c r="J3116">
        <f t="shared" si="146"/>
        <v>1.405E-2</v>
      </c>
    </row>
    <row r="3117" spans="1:10">
      <c r="A3117" t="s">
        <v>3199</v>
      </c>
      <c r="B3117">
        <v>64</v>
      </c>
      <c r="C3117" t="s">
        <v>7</v>
      </c>
      <c r="D3117">
        <v>14</v>
      </c>
      <c r="E3117">
        <v>77</v>
      </c>
      <c r="F3117">
        <v>2.3390000000000001E-2</v>
      </c>
      <c r="G3117">
        <v>0</v>
      </c>
      <c r="H3117" t="str">
        <f t="shared" si="144"/>
        <v>70-79</v>
      </c>
      <c r="I3117" t="str">
        <f t="shared" si="145"/>
        <v>10-19</v>
      </c>
      <c r="J3117">
        <f t="shared" si="146"/>
        <v>2.3390000000000001E-2</v>
      </c>
    </row>
    <row r="3118" spans="1:10">
      <c r="A3118" t="s">
        <v>3200</v>
      </c>
      <c r="B3118">
        <v>27</v>
      </c>
      <c r="C3118" t="s">
        <v>7</v>
      </c>
      <c r="D3118">
        <v>29</v>
      </c>
      <c r="E3118">
        <v>55</v>
      </c>
      <c r="F3118">
        <v>2.3800000000000002E-3</v>
      </c>
      <c r="G3118">
        <v>0</v>
      </c>
      <c r="H3118" t="str">
        <f t="shared" si="144"/>
        <v>50-59</v>
      </c>
      <c r="I3118" t="str">
        <f t="shared" si="145"/>
        <v>20-29</v>
      </c>
      <c r="J3118">
        <f t="shared" si="146"/>
        <v>2.3800000000000002E-3</v>
      </c>
    </row>
    <row r="3119" spans="1:10">
      <c r="A3119" t="s">
        <v>3201</v>
      </c>
      <c r="B3119">
        <v>42</v>
      </c>
      <c r="C3119" t="s">
        <v>9</v>
      </c>
      <c r="D3119">
        <v>7</v>
      </c>
      <c r="E3119">
        <v>48</v>
      </c>
      <c r="F3119">
        <v>1.5200000000000001E-3</v>
      </c>
      <c r="G3119">
        <v>0</v>
      </c>
      <c r="H3119" t="str">
        <f t="shared" si="144"/>
        <v>40-49</v>
      </c>
      <c r="I3119" t="str">
        <f t="shared" si="145"/>
        <v>0-9</v>
      </c>
      <c r="J3119">
        <f t="shared" si="146"/>
        <v>1.5200000000000001E-3</v>
      </c>
    </row>
    <row r="3120" spans="1:10">
      <c r="A3120" t="s">
        <v>3202</v>
      </c>
      <c r="B3120">
        <v>35</v>
      </c>
      <c r="C3120" t="s">
        <v>9</v>
      </c>
      <c r="D3120">
        <v>8</v>
      </c>
      <c r="E3120">
        <v>42</v>
      </c>
      <c r="F3120">
        <v>1.0200000000000001E-3</v>
      </c>
      <c r="G3120">
        <v>0</v>
      </c>
      <c r="H3120" t="str">
        <f t="shared" si="144"/>
        <v>40-49</v>
      </c>
      <c r="I3120" t="str">
        <f t="shared" si="145"/>
        <v>0-9</v>
      </c>
      <c r="J3120">
        <f t="shared" si="146"/>
        <v>1.0200000000000001E-3</v>
      </c>
    </row>
    <row r="3121" spans="1:10">
      <c r="A3121" t="s">
        <v>3203</v>
      </c>
      <c r="B3121">
        <v>46</v>
      </c>
      <c r="C3121" t="s">
        <v>7</v>
      </c>
      <c r="D3121">
        <v>24</v>
      </c>
      <c r="E3121">
        <v>69</v>
      </c>
      <c r="F3121">
        <v>1.2659999999999999E-2</v>
      </c>
      <c r="G3121">
        <v>0</v>
      </c>
      <c r="H3121" t="str">
        <f t="shared" si="144"/>
        <v>60-69</v>
      </c>
      <c r="I3121" t="str">
        <f t="shared" si="145"/>
        <v>20-29</v>
      </c>
      <c r="J3121">
        <f t="shared" si="146"/>
        <v>1.2659999999999999E-2</v>
      </c>
    </row>
    <row r="3122" spans="1:10">
      <c r="A3122" t="s">
        <v>3204</v>
      </c>
      <c r="B3122">
        <v>54</v>
      </c>
      <c r="C3122" t="s">
        <v>9</v>
      </c>
      <c r="D3122">
        <v>19</v>
      </c>
      <c r="E3122">
        <v>72</v>
      </c>
      <c r="F3122">
        <v>2.1139999999999999E-2</v>
      </c>
      <c r="G3122">
        <v>0</v>
      </c>
      <c r="H3122" t="str">
        <f t="shared" si="144"/>
        <v>70-79</v>
      </c>
      <c r="I3122" t="str">
        <f t="shared" si="145"/>
        <v>10-19</v>
      </c>
      <c r="J3122">
        <f t="shared" si="146"/>
        <v>2.1139999999999999E-2</v>
      </c>
    </row>
    <row r="3123" spans="1:10">
      <c r="A3123" t="s">
        <v>3205</v>
      </c>
      <c r="B3123">
        <v>35</v>
      </c>
      <c r="C3123" t="s">
        <v>9</v>
      </c>
      <c r="D3123">
        <v>27</v>
      </c>
      <c r="E3123">
        <v>61</v>
      </c>
      <c r="F3123">
        <v>6.3299999999999997E-3</v>
      </c>
      <c r="G3123">
        <v>0</v>
      </c>
      <c r="H3123" t="str">
        <f t="shared" si="144"/>
        <v>60-69</v>
      </c>
      <c r="I3123" t="str">
        <f t="shared" si="145"/>
        <v>20-29</v>
      </c>
      <c r="J3123">
        <f t="shared" si="146"/>
        <v>6.3299999999999997E-3</v>
      </c>
    </row>
    <row r="3124" spans="1:10">
      <c r="A3124" t="s">
        <v>3206</v>
      </c>
      <c r="B3124">
        <v>48</v>
      </c>
      <c r="C3124" t="s">
        <v>9</v>
      </c>
      <c r="D3124">
        <v>6</v>
      </c>
      <c r="E3124">
        <v>53</v>
      </c>
      <c r="F3124">
        <v>2.4199999999999998E-3</v>
      </c>
      <c r="G3124">
        <v>0</v>
      </c>
      <c r="H3124" t="str">
        <f t="shared" si="144"/>
        <v>50-59</v>
      </c>
      <c r="I3124" t="str">
        <f t="shared" si="145"/>
        <v>0-9</v>
      </c>
      <c r="J3124">
        <f t="shared" si="146"/>
        <v>2.4199999999999998E-3</v>
      </c>
    </row>
    <row r="3125" spans="1:10">
      <c r="A3125" t="s">
        <v>3207</v>
      </c>
      <c r="B3125">
        <v>58</v>
      </c>
      <c r="C3125" t="s">
        <v>7</v>
      </c>
      <c r="D3125">
        <v>21</v>
      </c>
      <c r="E3125">
        <v>78</v>
      </c>
      <c r="F3125">
        <v>3.1989999999999998E-2</v>
      </c>
      <c r="G3125">
        <v>0</v>
      </c>
      <c r="H3125" t="str">
        <f t="shared" si="144"/>
        <v>70-79</v>
      </c>
      <c r="I3125" t="str">
        <f t="shared" si="145"/>
        <v>20-29</v>
      </c>
      <c r="J3125">
        <f t="shared" si="146"/>
        <v>3.1989999999999998E-2</v>
      </c>
    </row>
    <row r="3126" spans="1:10">
      <c r="A3126" t="s">
        <v>3208</v>
      </c>
      <c r="B3126">
        <v>28</v>
      </c>
      <c r="C3126" t="s">
        <v>9</v>
      </c>
      <c r="D3126">
        <v>20</v>
      </c>
      <c r="E3126">
        <v>47</v>
      </c>
      <c r="F3126">
        <v>2.0300000000000001E-3</v>
      </c>
      <c r="G3126">
        <v>0</v>
      </c>
      <c r="H3126" t="str">
        <f t="shared" si="144"/>
        <v>40-49</v>
      </c>
      <c r="I3126" t="str">
        <f t="shared" si="145"/>
        <v>20-29</v>
      </c>
      <c r="J3126">
        <f t="shared" si="146"/>
        <v>2.0300000000000001E-3</v>
      </c>
    </row>
    <row r="3127" spans="1:10">
      <c r="A3127" t="s">
        <v>3209</v>
      </c>
      <c r="B3127">
        <v>62</v>
      </c>
      <c r="C3127" t="s">
        <v>9</v>
      </c>
      <c r="D3127">
        <v>3</v>
      </c>
      <c r="E3127">
        <v>64</v>
      </c>
      <c r="F3127">
        <v>5.1900000000000002E-3</v>
      </c>
      <c r="G3127">
        <v>0</v>
      </c>
      <c r="H3127" t="str">
        <f t="shared" si="144"/>
        <v>60-69</v>
      </c>
      <c r="I3127" t="str">
        <f t="shared" si="145"/>
        <v>0-9</v>
      </c>
      <c r="J3127">
        <f t="shared" si="146"/>
        <v>5.1900000000000002E-3</v>
      </c>
    </row>
    <row r="3128" spans="1:10">
      <c r="A3128" t="s">
        <v>3210</v>
      </c>
      <c r="B3128">
        <v>33</v>
      </c>
      <c r="C3128" t="s">
        <v>7</v>
      </c>
      <c r="D3128">
        <v>16</v>
      </c>
      <c r="E3128">
        <v>48</v>
      </c>
      <c r="F3128">
        <v>1.5100000000000001E-3</v>
      </c>
      <c r="G3128">
        <v>0</v>
      </c>
      <c r="H3128" t="str">
        <f t="shared" si="144"/>
        <v>40-49</v>
      </c>
      <c r="I3128" t="str">
        <f t="shared" si="145"/>
        <v>10-19</v>
      </c>
      <c r="J3128">
        <f t="shared" si="146"/>
        <v>1.5100000000000001E-3</v>
      </c>
    </row>
    <row r="3129" spans="1:10">
      <c r="A3129" t="s">
        <v>3211</v>
      </c>
      <c r="B3129">
        <v>34</v>
      </c>
      <c r="C3129" t="s">
        <v>7</v>
      </c>
      <c r="D3129">
        <v>15</v>
      </c>
      <c r="E3129">
        <v>48</v>
      </c>
      <c r="F3129">
        <v>1.48E-3</v>
      </c>
      <c r="G3129">
        <v>0</v>
      </c>
      <c r="H3129" t="str">
        <f t="shared" si="144"/>
        <v>40-49</v>
      </c>
      <c r="I3129" t="str">
        <f t="shared" si="145"/>
        <v>10-19</v>
      </c>
      <c r="J3129">
        <f t="shared" si="146"/>
        <v>1.48E-3</v>
      </c>
    </row>
    <row r="3130" spans="1:10">
      <c r="A3130" t="s">
        <v>3212</v>
      </c>
      <c r="B3130">
        <v>55</v>
      </c>
      <c r="C3130" t="s">
        <v>7</v>
      </c>
      <c r="D3130">
        <v>10</v>
      </c>
      <c r="E3130">
        <v>64</v>
      </c>
      <c r="F3130">
        <v>5.7999999999999996E-3</v>
      </c>
      <c r="G3130">
        <v>0</v>
      </c>
      <c r="H3130" t="str">
        <f t="shared" si="144"/>
        <v>60-69</v>
      </c>
      <c r="I3130" t="str">
        <f t="shared" si="145"/>
        <v>10-19</v>
      </c>
      <c r="J3130">
        <f t="shared" si="146"/>
        <v>5.7999999999999996E-3</v>
      </c>
    </row>
    <row r="3131" spans="1:10">
      <c r="A3131" t="s">
        <v>3213</v>
      </c>
      <c r="B3131">
        <v>37</v>
      </c>
      <c r="C3131" t="s">
        <v>7</v>
      </c>
      <c r="D3131">
        <v>11</v>
      </c>
      <c r="E3131">
        <v>47</v>
      </c>
      <c r="F3131">
        <v>1.2199999999999999E-3</v>
      </c>
      <c r="G3131">
        <v>0</v>
      </c>
      <c r="H3131" t="str">
        <f t="shared" si="144"/>
        <v>40-49</v>
      </c>
      <c r="I3131" t="str">
        <f t="shared" si="145"/>
        <v>10-19</v>
      </c>
      <c r="J3131">
        <f t="shared" si="146"/>
        <v>1.2199999999999999E-3</v>
      </c>
    </row>
    <row r="3132" spans="1:10">
      <c r="A3132" t="s">
        <v>3214</v>
      </c>
      <c r="B3132">
        <v>23</v>
      </c>
      <c r="C3132" t="s">
        <v>7</v>
      </c>
      <c r="D3132">
        <v>12</v>
      </c>
      <c r="E3132">
        <v>34</v>
      </c>
      <c r="F3132">
        <v>5.0000000000000001E-4</v>
      </c>
      <c r="G3132">
        <v>0</v>
      </c>
      <c r="H3132" t="str">
        <f t="shared" si="144"/>
        <v>30-39</v>
      </c>
      <c r="I3132" t="str">
        <f t="shared" si="145"/>
        <v>10-19</v>
      </c>
      <c r="J3132">
        <f t="shared" si="146"/>
        <v>5.0000000000000001E-4</v>
      </c>
    </row>
    <row r="3133" spans="1:10">
      <c r="A3133" t="s">
        <v>3215</v>
      </c>
      <c r="B3133">
        <v>59</v>
      </c>
      <c r="C3133" t="s">
        <v>9</v>
      </c>
      <c r="D3133">
        <v>16</v>
      </c>
      <c r="E3133">
        <v>74</v>
      </c>
      <c r="F3133">
        <v>2.6040000000000001E-2</v>
      </c>
      <c r="G3133">
        <v>0</v>
      </c>
      <c r="H3133" t="str">
        <f t="shared" si="144"/>
        <v>70-79</v>
      </c>
      <c r="I3133" t="str">
        <f t="shared" si="145"/>
        <v>10-19</v>
      </c>
      <c r="J3133">
        <f t="shared" si="146"/>
        <v>2.6040000000000001E-2</v>
      </c>
    </row>
    <row r="3134" spans="1:10">
      <c r="A3134" t="s">
        <v>3216</v>
      </c>
      <c r="B3134">
        <v>28</v>
      </c>
      <c r="C3134" t="s">
        <v>7</v>
      </c>
      <c r="D3134">
        <v>27</v>
      </c>
      <c r="E3134">
        <v>54</v>
      </c>
      <c r="F3134">
        <v>2.5899999999999999E-3</v>
      </c>
      <c r="G3134">
        <v>0</v>
      </c>
      <c r="H3134" t="str">
        <f t="shared" si="144"/>
        <v>50-59</v>
      </c>
      <c r="I3134" t="str">
        <f t="shared" si="145"/>
        <v>20-29</v>
      </c>
      <c r="J3134">
        <f t="shared" si="146"/>
        <v>2.5899999999999999E-3</v>
      </c>
    </row>
    <row r="3135" spans="1:10">
      <c r="A3135" t="s">
        <v>3217</v>
      </c>
      <c r="B3135">
        <v>55</v>
      </c>
      <c r="C3135" t="s">
        <v>9</v>
      </c>
      <c r="D3135">
        <v>7</v>
      </c>
      <c r="E3135">
        <v>61</v>
      </c>
      <c r="F3135">
        <v>5.8900000000000003E-3</v>
      </c>
      <c r="G3135">
        <v>0</v>
      </c>
      <c r="H3135" t="str">
        <f t="shared" si="144"/>
        <v>60-69</v>
      </c>
      <c r="I3135" t="str">
        <f t="shared" si="145"/>
        <v>0-9</v>
      </c>
      <c r="J3135">
        <f t="shared" si="146"/>
        <v>5.8900000000000003E-3</v>
      </c>
    </row>
    <row r="3136" spans="1:10">
      <c r="A3136" t="s">
        <v>3218</v>
      </c>
      <c r="B3136">
        <v>29</v>
      </c>
      <c r="C3136" t="s">
        <v>7</v>
      </c>
      <c r="D3136">
        <v>2</v>
      </c>
      <c r="E3136">
        <v>30</v>
      </c>
      <c r="F3136">
        <v>1.7000000000000001E-4</v>
      </c>
      <c r="G3136">
        <v>0</v>
      </c>
      <c r="H3136" t="str">
        <f t="shared" si="144"/>
        <v>30-39</v>
      </c>
      <c r="I3136" t="str">
        <f t="shared" si="145"/>
        <v>0-9</v>
      </c>
      <c r="J3136">
        <f t="shared" si="146"/>
        <v>1.7000000000000001E-4</v>
      </c>
    </row>
    <row r="3137" spans="1:10">
      <c r="A3137" t="s">
        <v>3219</v>
      </c>
      <c r="B3137">
        <v>61</v>
      </c>
      <c r="C3137" t="s">
        <v>9</v>
      </c>
      <c r="D3137">
        <v>25</v>
      </c>
      <c r="E3137">
        <v>85</v>
      </c>
      <c r="F3137">
        <v>9.1270000000000004E-2</v>
      </c>
      <c r="G3137">
        <v>0</v>
      </c>
      <c r="H3137" t="str">
        <f t="shared" si="144"/>
        <v>80-89</v>
      </c>
      <c r="I3137" t="str">
        <f t="shared" si="145"/>
        <v>20-29</v>
      </c>
      <c r="J3137">
        <f t="shared" si="146"/>
        <v>9.1270000000000004E-2</v>
      </c>
    </row>
    <row r="3138" spans="1:10">
      <c r="A3138" t="s">
        <v>3220</v>
      </c>
      <c r="B3138">
        <v>51</v>
      </c>
      <c r="C3138" t="s">
        <v>9</v>
      </c>
      <c r="D3138">
        <v>27</v>
      </c>
      <c r="E3138">
        <v>77</v>
      </c>
      <c r="F3138">
        <v>3.3509999999999998E-2</v>
      </c>
      <c r="G3138">
        <v>0</v>
      </c>
      <c r="H3138" t="str">
        <f t="shared" si="144"/>
        <v>70-79</v>
      </c>
      <c r="I3138" t="str">
        <f t="shared" si="145"/>
        <v>20-29</v>
      </c>
      <c r="J3138">
        <f t="shared" si="146"/>
        <v>3.3509999999999998E-2</v>
      </c>
    </row>
    <row r="3139" spans="1:10">
      <c r="A3139" t="s">
        <v>3221</v>
      </c>
      <c r="B3139">
        <v>44</v>
      </c>
      <c r="C3139" t="s">
        <v>7</v>
      </c>
      <c r="D3139">
        <v>10</v>
      </c>
      <c r="E3139">
        <v>53</v>
      </c>
      <c r="F3139">
        <v>2.0600000000000002E-3</v>
      </c>
      <c r="G3139">
        <v>0</v>
      </c>
      <c r="H3139" t="str">
        <f t="shared" ref="H3139:H3202" si="147">FLOOR(E3139,10) &amp; "-" &amp; FLOOR(E3139,10)+9</f>
        <v>50-59</v>
      </c>
      <c r="I3139" t="str">
        <f t="shared" ref="I3139:I3202" si="148">FLOOR(D3139, 10) &amp; "-"&amp;FLOOR(D3139, 10)+9</f>
        <v>10-19</v>
      </c>
      <c r="J3139">
        <f t="shared" ref="J3139:J3202" si="149">F3139</f>
        <v>2.0600000000000002E-3</v>
      </c>
    </row>
    <row r="3140" spans="1:10">
      <c r="A3140" t="s">
        <v>3222</v>
      </c>
      <c r="B3140">
        <v>37</v>
      </c>
      <c r="C3140" t="s">
        <v>7</v>
      </c>
      <c r="D3140">
        <v>28</v>
      </c>
      <c r="E3140">
        <v>64</v>
      </c>
      <c r="F3140">
        <v>6.0499999999999998E-3</v>
      </c>
      <c r="G3140">
        <v>0</v>
      </c>
      <c r="H3140" t="str">
        <f t="shared" si="147"/>
        <v>60-69</v>
      </c>
      <c r="I3140" t="str">
        <f t="shared" si="148"/>
        <v>20-29</v>
      </c>
      <c r="J3140">
        <f t="shared" si="149"/>
        <v>6.0499999999999998E-3</v>
      </c>
    </row>
    <row r="3141" spans="1:10">
      <c r="A3141" t="s">
        <v>3223</v>
      </c>
      <c r="B3141">
        <v>44</v>
      </c>
      <c r="C3141" t="s">
        <v>9</v>
      </c>
      <c r="D3141">
        <v>13</v>
      </c>
      <c r="E3141">
        <v>56</v>
      </c>
      <c r="F3141">
        <v>3.9300000000000003E-3</v>
      </c>
      <c r="G3141">
        <v>0</v>
      </c>
      <c r="H3141" t="str">
        <f t="shared" si="147"/>
        <v>50-59</v>
      </c>
      <c r="I3141" t="str">
        <f t="shared" si="148"/>
        <v>10-19</v>
      </c>
      <c r="J3141">
        <f t="shared" si="149"/>
        <v>3.9300000000000003E-3</v>
      </c>
    </row>
    <row r="3142" spans="1:10">
      <c r="A3142" t="s">
        <v>3224</v>
      </c>
      <c r="B3142">
        <v>44</v>
      </c>
      <c r="C3142" t="s">
        <v>7</v>
      </c>
      <c r="D3142">
        <v>6</v>
      </c>
      <c r="E3142">
        <v>49</v>
      </c>
      <c r="F3142">
        <v>1.1800000000000001E-3</v>
      </c>
      <c r="G3142">
        <v>0</v>
      </c>
      <c r="H3142" t="str">
        <f t="shared" si="147"/>
        <v>40-49</v>
      </c>
      <c r="I3142" t="str">
        <f t="shared" si="148"/>
        <v>0-9</v>
      </c>
      <c r="J3142">
        <f t="shared" si="149"/>
        <v>1.1800000000000001E-3</v>
      </c>
    </row>
    <row r="3143" spans="1:10">
      <c r="A3143" t="s">
        <v>3225</v>
      </c>
      <c r="B3143">
        <v>62</v>
      </c>
      <c r="C3143" t="s">
        <v>9</v>
      </c>
      <c r="D3143">
        <v>10</v>
      </c>
      <c r="E3143">
        <v>71</v>
      </c>
      <c r="F3143">
        <v>1.5980000000000001E-2</v>
      </c>
      <c r="G3143">
        <v>0</v>
      </c>
      <c r="H3143" t="str">
        <f t="shared" si="147"/>
        <v>70-79</v>
      </c>
      <c r="I3143" t="str">
        <f t="shared" si="148"/>
        <v>10-19</v>
      </c>
      <c r="J3143">
        <f t="shared" si="149"/>
        <v>1.5980000000000001E-2</v>
      </c>
    </row>
    <row r="3144" spans="1:10">
      <c r="A3144" t="s">
        <v>3226</v>
      </c>
      <c r="B3144">
        <v>21</v>
      </c>
      <c r="C3144" t="s">
        <v>7</v>
      </c>
      <c r="D3144">
        <v>30</v>
      </c>
      <c r="E3144">
        <v>50</v>
      </c>
      <c r="F3144">
        <v>1.49E-3</v>
      </c>
      <c r="G3144">
        <v>0</v>
      </c>
      <c r="H3144" t="str">
        <f t="shared" si="147"/>
        <v>50-59</v>
      </c>
      <c r="I3144" t="str">
        <f t="shared" si="148"/>
        <v>30-39</v>
      </c>
      <c r="J3144">
        <f t="shared" si="149"/>
        <v>1.49E-3</v>
      </c>
    </row>
    <row r="3145" spans="1:10">
      <c r="A3145" t="s">
        <v>3227</v>
      </c>
      <c r="B3145">
        <v>36</v>
      </c>
      <c r="C3145" t="s">
        <v>7</v>
      </c>
      <c r="D3145">
        <v>26</v>
      </c>
      <c r="E3145">
        <v>61</v>
      </c>
      <c r="F3145">
        <v>5.4599999999999996E-3</v>
      </c>
      <c r="G3145">
        <v>0</v>
      </c>
      <c r="H3145" t="str">
        <f t="shared" si="147"/>
        <v>60-69</v>
      </c>
      <c r="I3145" t="str">
        <f t="shared" si="148"/>
        <v>20-29</v>
      </c>
      <c r="J3145">
        <f t="shared" si="149"/>
        <v>5.4599999999999996E-3</v>
      </c>
    </row>
    <row r="3146" spans="1:10">
      <c r="A3146" t="s">
        <v>3228</v>
      </c>
      <c r="B3146">
        <v>21</v>
      </c>
      <c r="C3146" t="s">
        <v>7</v>
      </c>
      <c r="D3146">
        <v>11</v>
      </c>
      <c r="E3146">
        <v>31</v>
      </c>
      <c r="F3146">
        <v>4.0999999999999999E-4</v>
      </c>
      <c r="G3146">
        <v>0</v>
      </c>
      <c r="H3146" t="str">
        <f t="shared" si="147"/>
        <v>30-39</v>
      </c>
      <c r="I3146" t="str">
        <f t="shared" si="148"/>
        <v>10-19</v>
      </c>
      <c r="J3146">
        <f t="shared" si="149"/>
        <v>4.0999999999999999E-4</v>
      </c>
    </row>
    <row r="3147" spans="1:10">
      <c r="A3147" t="s">
        <v>3229</v>
      </c>
      <c r="B3147">
        <v>47</v>
      </c>
      <c r="C3147" t="s">
        <v>7</v>
      </c>
      <c r="D3147">
        <v>26</v>
      </c>
      <c r="E3147">
        <v>72</v>
      </c>
      <c r="F3147">
        <v>1.7170000000000001E-2</v>
      </c>
      <c r="G3147">
        <v>0</v>
      </c>
      <c r="H3147" t="str">
        <f t="shared" si="147"/>
        <v>70-79</v>
      </c>
      <c r="I3147" t="str">
        <f t="shared" si="148"/>
        <v>20-29</v>
      </c>
      <c r="J3147">
        <f t="shared" si="149"/>
        <v>1.7170000000000001E-2</v>
      </c>
    </row>
    <row r="3148" spans="1:10">
      <c r="A3148" t="s">
        <v>3230</v>
      </c>
      <c r="B3148">
        <v>23</v>
      </c>
      <c r="C3148" t="s">
        <v>9</v>
      </c>
      <c r="D3148">
        <v>26</v>
      </c>
      <c r="E3148">
        <v>48</v>
      </c>
      <c r="F3148">
        <v>2.7399999999999998E-3</v>
      </c>
      <c r="G3148">
        <v>0</v>
      </c>
      <c r="H3148" t="str">
        <f t="shared" si="147"/>
        <v>40-49</v>
      </c>
      <c r="I3148" t="str">
        <f t="shared" si="148"/>
        <v>20-29</v>
      </c>
      <c r="J3148">
        <f t="shared" si="149"/>
        <v>2.7399999999999998E-3</v>
      </c>
    </row>
    <row r="3149" spans="1:10">
      <c r="A3149" t="s">
        <v>3231</v>
      </c>
      <c r="B3149">
        <v>63</v>
      </c>
      <c r="C3149" t="s">
        <v>7</v>
      </c>
      <c r="D3149">
        <v>10</v>
      </c>
      <c r="E3149">
        <v>72</v>
      </c>
      <c r="F3149">
        <v>1.095E-2</v>
      </c>
      <c r="G3149">
        <v>0</v>
      </c>
      <c r="H3149" t="str">
        <f t="shared" si="147"/>
        <v>70-79</v>
      </c>
      <c r="I3149" t="str">
        <f t="shared" si="148"/>
        <v>10-19</v>
      </c>
      <c r="J3149">
        <f t="shared" si="149"/>
        <v>1.095E-2</v>
      </c>
    </row>
    <row r="3150" spans="1:10">
      <c r="A3150" t="s">
        <v>3232</v>
      </c>
      <c r="B3150">
        <v>49</v>
      </c>
      <c r="C3150" t="s">
        <v>7</v>
      </c>
      <c r="D3150">
        <v>14</v>
      </c>
      <c r="E3150">
        <v>62</v>
      </c>
      <c r="F3150">
        <v>5.5599999999999998E-3</v>
      </c>
      <c r="G3150">
        <v>0</v>
      </c>
      <c r="H3150" t="str">
        <f t="shared" si="147"/>
        <v>60-69</v>
      </c>
      <c r="I3150" t="str">
        <f t="shared" si="148"/>
        <v>10-19</v>
      </c>
      <c r="J3150">
        <f t="shared" si="149"/>
        <v>5.5599999999999998E-3</v>
      </c>
    </row>
    <row r="3151" spans="1:10">
      <c r="A3151" t="s">
        <v>3233</v>
      </c>
      <c r="B3151">
        <v>53</v>
      </c>
      <c r="C3151" t="s">
        <v>9</v>
      </c>
      <c r="D3151">
        <v>9</v>
      </c>
      <c r="E3151">
        <v>61</v>
      </c>
      <c r="F3151">
        <v>6.4200000000000004E-3</v>
      </c>
      <c r="G3151">
        <v>0</v>
      </c>
      <c r="H3151" t="str">
        <f t="shared" si="147"/>
        <v>60-69</v>
      </c>
      <c r="I3151" t="str">
        <f t="shared" si="148"/>
        <v>0-9</v>
      </c>
      <c r="J3151">
        <f t="shared" si="149"/>
        <v>6.4200000000000004E-3</v>
      </c>
    </row>
    <row r="3152" spans="1:10">
      <c r="A3152" t="s">
        <v>3234</v>
      </c>
      <c r="B3152">
        <v>35</v>
      </c>
      <c r="C3152" t="s">
        <v>7</v>
      </c>
      <c r="D3152">
        <v>5</v>
      </c>
      <c r="E3152">
        <v>39</v>
      </c>
      <c r="F3152">
        <v>5.1999999999999995E-4</v>
      </c>
      <c r="G3152">
        <v>0</v>
      </c>
      <c r="H3152" t="str">
        <f t="shared" si="147"/>
        <v>30-39</v>
      </c>
      <c r="I3152" t="str">
        <f t="shared" si="148"/>
        <v>0-9</v>
      </c>
      <c r="J3152">
        <f t="shared" si="149"/>
        <v>5.1999999999999995E-4</v>
      </c>
    </row>
    <row r="3153" spans="1:10">
      <c r="A3153" t="s">
        <v>3235</v>
      </c>
      <c r="B3153">
        <v>63</v>
      </c>
      <c r="C3153" t="s">
        <v>9</v>
      </c>
      <c r="D3153">
        <v>9</v>
      </c>
      <c r="E3153">
        <v>71</v>
      </c>
      <c r="F3153">
        <v>1.451E-2</v>
      </c>
      <c r="G3153">
        <v>0</v>
      </c>
      <c r="H3153" t="str">
        <f t="shared" si="147"/>
        <v>70-79</v>
      </c>
      <c r="I3153" t="str">
        <f t="shared" si="148"/>
        <v>0-9</v>
      </c>
      <c r="J3153">
        <f t="shared" si="149"/>
        <v>1.451E-2</v>
      </c>
    </row>
    <row r="3154" spans="1:10">
      <c r="A3154" t="s">
        <v>3236</v>
      </c>
      <c r="B3154">
        <v>54</v>
      </c>
      <c r="C3154" t="s">
        <v>9</v>
      </c>
      <c r="D3154">
        <v>10</v>
      </c>
      <c r="E3154">
        <v>63</v>
      </c>
      <c r="F3154">
        <v>8.0300000000000007E-3</v>
      </c>
      <c r="G3154">
        <v>0</v>
      </c>
      <c r="H3154" t="str">
        <f t="shared" si="147"/>
        <v>60-69</v>
      </c>
      <c r="I3154" t="str">
        <f t="shared" si="148"/>
        <v>10-19</v>
      </c>
      <c r="J3154">
        <f t="shared" si="149"/>
        <v>8.0300000000000007E-3</v>
      </c>
    </row>
    <row r="3155" spans="1:10">
      <c r="A3155" t="s">
        <v>3237</v>
      </c>
      <c r="B3155">
        <v>59</v>
      </c>
      <c r="C3155" t="s">
        <v>9</v>
      </c>
      <c r="D3155">
        <v>9</v>
      </c>
      <c r="E3155">
        <v>67</v>
      </c>
      <c r="F3155">
        <v>1.128E-2</v>
      </c>
      <c r="G3155">
        <v>0</v>
      </c>
      <c r="H3155" t="str">
        <f t="shared" si="147"/>
        <v>60-69</v>
      </c>
      <c r="I3155" t="str">
        <f t="shared" si="148"/>
        <v>0-9</v>
      </c>
      <c r="J3155">
        <f t="shared" si="149"/>
        <v>1.128E-2</v>
      </c>
    </row>
    <row r="3156" spans="1:10">
      <c r="A3156" t="s">
        <v>3238</v>
      </c>
      <c r="B3156">
        <v>61</v>
      </c>
      <c r="C3156" t="s">
        <v>7</v>
      </c>
      <c r="D3156">
        <v>26</v>
      </c>
      <c r="E3156">
        <v>86</v>
      </c>
      <c r="F3156">
        <v>8.2710000000000006E-2</v>
      </c>
      <c r="G3156">
        <v>1</v>
      </c>
      <c r="H3156" t="str">
        <f t="shared" si="147"/>
        <v>80-89</v>
      </c>
      <c r="I3156" t="str">
        <f t="shared" si="148"/>
        <v>20-29</v>
      </c>
      <c r="J3156">
        <f t="shared" si="149"/>
        <v>8.2710000000000006E-2</v>
      </c>
    </row>
    <row r="3157" spans="1:10">
      <c r="A3157" t="s">
        <v>3239</v>
      </c>
      <c r="B3157">
        <v>39</v>
      </c>
      <c r="C3157" t="s">
        <v>7</v>
      </c>
      <c r="D3157">
        <v>19</v>
      </c>
      <c r="E3157">
        <v>57</v>
      </c>
      <c r="F3157">
        <v>3.5799999999999998E-3</v>
      </c>
      <c r="G3157">
        <v>0</v>
      </c>
      <c r="H3157" t="str">
        <f t="shared" si="147"/>
        <v>50-59</v>
      </c>
      <c r="I3157" t="str">
        <f t="shared" si="148"/>
        <v>10-19</v>
      </c>
      <c r="J3157">
        <f t="shared" si="149"/>
        <v>3.5799999999999998E-3</v>
      </c>
    </row>
    <row r="3158" spans="1:10">
      <c r="A3158" t="s">
        <v>3240</v>
      </c>
      <c r="B3158">
        <v>31</v>
      </c>
      <c r="C3158" t="s">
        <v>9</v>
      </c>
      <c r="D3158">
        <v>15</v>
      </c>
      <c r="E3158">
        <v>45</v>
      </c>
      <c r="F3158">
        <v>1.58E-3</v>
      </c>
      <c r="G3158">
        <v>0</v>
      </c>
      <c r="H3158" t="str">
        <f t="shared" si="147"/>
        <v>40-49</v>
      </c>
      <c r="I3158" t="str">
        <f t="shared" si="148"/>
        <v>10-19</v>
      </c>
      <c r="J3158">
        <f t="shared" si="149"/>
        <v>1.58E-3</v>
      </c>
    </row>
    <row r="3159" spans="1:10">
      <c r="A3159" t="s">
        <v>3241</v>
      </c>
      <c r="B3159">
        <v>49</v>
      </c>
      <c r="C3159" t="s">
        <v>7</v>
      </c>
      <c r="D3159">
        <v>2</v>
      </c>
      <c r="E3159">
        <v>50</v>
      </c>
      <c r="F3159">
        <v>5.9999999999999995E-4</v>
      </c>
      <c r="G3159">
        <v>0</v>
      </c>
      <c r="H3159" t="str">
        <f t="shared" si="147"/>
        <v>50-59</v>
      </c>
      <c r="I3159" t="str">
        <f t="shared" si="148"/>
        <v>0-9</v>
      </c>
      <c r="J3159">
        <f t="shared" si="149"/>
        <v>5.9999999999999995E-4</v>
      </c>
    </row>
    <row r="3160" spans="1:10">
      <c r="A3160" t="s">
        <v>3242</v>
      </c>
      <c r="B3160">
        <v>55</v>
      </c>
      <c r="C3160" t="s">
        <v>9</v>
      </c>
      <c r="D3160">
        <v>7</v>
      </c>
      <c r="E3160">
        <v>61</v>
      </c>
      <c r="F3160">
        <v>5.8900000000000003E-3</v>
      </c>
      <c r="G3160">
        <v>0</v>
      </c>
      <c r="H3160" t="str">
        <f t="shared" si="147"/>
        <v>60-69</v>
      </c>
      <c r="I3160" t="str">
        <f t="shared" si="148"/>
        <v>0-9</v>
      </c>
      <c r="J3160">
        <f t="shared" si="149"/>
        <v>5.8900000000000003E-3</v>
      </c>
    </row>
    <row r="3161" spans="1:10">
      <c r="A3161" t="s">
        <v>3243</v>
      </c>
      <c r="B3161">
        <v>25</v>
      </c>
      <c r="C3161" t="s">
        <v>7</v>
      </c>
      <c r="D3161">
        <v>9</v>
      </c>
      <c r="E3161">
        <v>33</v>
      </c>
      <c r="F3161">
        <v>4.0000000000000002E-4</v>
      </c>
      <c r="G3161">
        <v>0</v>
      </c>
      <c r="H3161" t="str">
        <f t="shared" si="147"/>
        <v>30-39</v>
      </c>
      <c r="I3161" t="str">
        <f t="shared" si="148"/>
        <v>0-9</v>
      </c>
      <c r="J3161">
        <f t="shared" si="149"/>
        <v>4.0000000000000002E-4</v>
      </c>
    </row>
    <row r="3162" spans="1:10">
      <c r="A3162" t="s">
        <v>3244</v>
      </c>
      <c r="B3162">
        <v>24</v>
      </c>
      <c r="C3162" t="s">
        <v>9</v>
      </c>
      <c r="D3162">
        <v>15</v>
      </c>
      <c r="E3162">
        <v>38</v>
      </c>
      <c r="F3162">
        <v>1.09E-3</v>
      </c>
      <c r="G3162">
        <v>0</v>
      </c>
      <c r="H3162" t="str">
        <f t="shared" si="147"/>
        <v>30-39</v>
      </c>
      <c r="I3162" t="str">
        <f t="shared" si="148"/>
        <v>10-19</v>
      </c>
      <c r="J3162">
        <f t="shared" si="149"/>
        <v>1.09E-3</v>
      </c>
    </row>
    <row r="3163" spans="1:10">
      <c r="A3163" t="s">
        <v>3245</v>
      </c>
      <c r="B3163">
        <v>37</v>
      </c>
      <c r="C3163" t="s">
        <v>7</v>
      </c>
      <c r="D3163">
        <v>9</v>
      </c>
      <c r="E3163">
        <v>45</v>
      </c>
      <c r="F3163">
        <v>8.8000000000000003E-4</v>
      </c>
      <c r="G3163">
        <v>0</v>
      </c>
      <c r="H3163" t="str">
        <f t="shared" si="147"/>
        <v>40-49</v>
      </c>
      <c r="I3163" t="str">
        <f t="shared" si="148"/>
        <v>0-9</v>
      </c>
      <c r="J3163">
        <f t="shared" si="149"/>
        <v>8.8000000000000003E-4</v>
      </c>
    </row>
    <row r="3164" spans="1:10">
      <c r="A3164" t="s">
        <v>3246</v>
      </c>
      <c r="B3164">
        <v>60</v>
      </c>
      <c r="C3164" t="s">
        <v>9</v>
      </c>
      <c r="D3164">
        <v>6</v>
      </c>
      <c r="E3164">
        <v>65</v>
      </c>
      <c r="F3164">
        <v>8.1399999999999997E-3</v>
      </c>
      <c r="G3164">
        <v>0</v>
      </c>
      <c r="H3164" t="str">
        <f t="shared" si="147"/>
        <v>60-69</v>
      </c>
      <c r="I3164" t="str">
        <f t="shared" si="148"/>
        <v>0-9</v>
      </c>
      <c r="J3164">
        <f t="shared" si="149"/>
        <v>8.1399999999999997E-3</v>
      </c>
    </row>
    <row r="3165" spans="1:10">
      <c r="A3165" t="s">
        <v>3247</v>
      </c>
      <c r="B3165">
        <v>23</v>
      </c>
      <c r="C3165" t="s">
        <v>9</v>
      </c>
      <c r="D3165">
        <v>8</v>
      </c>
      <c r="E3165">
        <v>30</v>
      </c>
      <c r="F3165">
        <v>5.5000000000000003E-4</v>
      </c>
      <c r="G3165">
        <v>0</v>
      </c>
      <c r="H3165" t="str">
        <f t="shared" si="147"/>
        <v>30-39</v>
      </c>
      <c r="I3165" t="str">
        <f t="shared" si="148"/>
        <v>0-9</v>
      </c>
      <c r="J3165">
        <f t="shared" si="149"/>
        <v>5.5000000000000003E-4</v>
      </c>
    </row>
    <row r="3166" spans="1:10">
      <c r="A3166" t="s">
        <v>3248</v>
      </c>
      <c r="B3166">
        <v>63</v>
      </c>
      <c r="C3166" t="s">
        <v>7</v>
      </c>
      <c r="D3166">
        <v>17</v>
      </c>
      <c r="E3166">
        <v>79</v>
      </c>
      <c r="F3166">
        <v>3.2660000000000002E-2</v>
      </c>
      <c r="G3166">
        <v>0</v>
      </c>
      <c r="H3166" t="str">
        <f t="shared" si="147"/>
        <v>70-79</v>
      </c>
      <c r="I3166" t="str">
        <f t="shared" si="148"/>
        <v>10-19</v>
      </c>
      <c r="J3166">
        <f t="shared" si="149"/>
        <v>3.2660000000000002E-2</v>
      </c>
    </row>
    <row r="3167" spans="1:10">
      <c r="A3167" t="s">
        <v>3249</v>
      </c>
      <c r="B3167">
        <v>22</v>
      </c>
      <c r="C3167" t="s">
        <v>7</v>
      </c>
      <c r="D3167">
        <v>18</v>
      </c>
      <c r="E3167">
        <v>39</v>
      </c>
      <c r="F3167">
        <v>1E-3</v>
      </c>
      <c r="G3167">
        <v>0</v>
      </c>
      <c r="H3167" t="str">
        <f t="shared" si="147"/>
        <v>30-39</v>
      </c>
      <c r="I3167" t="str">
        <f t="shared" si="148"/>
        <v>10-19</v>
      </c>
      <c r="J3167">
        <f t="shared" si="149"/>
        <v>1E-3</v>
      </c>
    </row>
    <row r="3168" spans="1:10">
      <c r="A3168" t="s">
        <v>3250</v>
      </c>
      <c r="B3168">
        <v>65</v>
      </c>
      <c r="C3168" t="s">
        <v>7</v>
      </c>
      <c r="D3168">
        <v>9</v>
      </c>
      <c r="E3168">
        <v>73</v>
      </c>
      <c r="F3168">
        <v>1.1780000000000001E-2</v>
      </c>
      <c r="G3168">
        <v>0</v>
      </c>
      <c r="H3168" t="str">
        <f t="shared" si="147"/>
        <v>70-79</v>
      </c>
      <c r="I3168" t="str">
        <f t="shared" si="148"/>
        <v>0-9</v>
      </c>
      <c r="J3168">
        <f t="shared" si="149"/>
        <v>1.1780000000000001E-2</v>
      </c>
    </row>
    <row r="3169" spans="1:10">
      <c r="A3169" t="s">
        <v>3251</v>
      </c>
      <c r="B3169">
        <v>42</v>
      </c>
      <c r="C3169" t="s">
        <v>7</v>
      </c>
      <c r="D3169">
        <v>18</v>
      </c>
      <c r="E3169">
        <v>59</v>
      </c>
      <c r="F3169">
        <v>4.2500000000000003E-3</v>
      </c>
      <c r="G3169">
        <v>0</v>
      </c>
      <c r="H3169" t="str">
        <f t="shared" si="147"/>
        <v>50-59</v>
      </c>
      <c r="I3169" t="str">
        <f t="shared" si="148"/>
        <v>10-19</v>
      </c>
      <c r="J3169">
        <f t="shared" si="149"/>
        <v>4.2500000000000003E-3</v>
      </c>
    </row>
    <row r="3170" spans="1:10">
      <c r="A3170" t="s">
        <v>3252</v>
      </c>
      <c r="B3170">
        <v>42</v>
      </c>
      <c r="C3170" t="s">
        <v>9</v>
      </c>
      <c r="D3170">
        <v>4</v>
      </c>
      <c r="E3170">
        <v>45</v>
      </c>
      <c r="F3170">
        <v>1.01E-3</v>
      </c>
      <c r="G3170">
        <v>0</v>
      </c>
      <c r="H3170" t="str">
        <f t="shared" si="147"/>
        <v>40-49</v>
      </c>
      <c r="I3170" t="str">
        <f t="shared" si="148"/>
        <v>0-9</v>
      </c>
      <c r="J3170">
        <f t="shared" si="149"/>
        <v>1.01E-3</v>
      </c>
    </row>
    <row r="3171" spans="1:10">
      <c r="A3171" t="s">
        <v>3253</v>
      </c>
      <c r="B3171">
        <v>52</v>
      </c>
      <c r="C3171" t="s">
        <v>9</v>
      </c>
      <c r="D3171">
        <v>3</v>
      </c>
      <c r="E3171">
        <v>54</v>
      </c>
      <c r="F3171">
        <v>2.15E-3</v>
      </c>
      <c r="G3171">
        <v>0</v>
      </c>
      <c r="H3171" t="str">
        <f t="shared" si="147"/>
        <v>50-59</v>
      </c>
      <c r="I3171" t="str">
        <f t="shared" si="148"/>
        <v>0-9</v>
      </c>
      <c r="J3171">
        <f t="shared" si="149"/>
        <v>2.15E-3</v>
      </c>
    </row>
    <row r="3172" spans="1:10">
      <c r="A3172" t="s">
        <v>3254</v>
      </c>
      <c r="B3172">
        <v>43</v>
      </c>
      <c r="C3172" t="s">
        <v>7</v>
      </c>
      <c r="D3172">
        <v>27</v>
      </c>
      <c r="E3172">
        <v>69</v>
      </c>
      <c r="F3172">
        <v>1.141E-2</v>
      </c>
      <c r="G3172">
        <v>0</v>
      </c>
      <c r="H3172" t="str">
        <f t="shared" si="147"/>
        <v>60-69</v>
      </c>
      <c r="I3172" t="str">
        <f t="shared" si="148"/>
        <v>20-29</v>
      </c>
      <c r="J3172">
        <f t="shared" si="149"/>
        <v>1.141E-2</v>
      </c>
    </row>
    <row r="3173" spans="1:10">
      <c r="A3173" t="s">
        <v>3255</v>
      </c>
      <c r="B3173">
        <v>61</v>
      </c>
      <c r="C3173" t="s">
        <v>7</v>
      </c>
      <c r="D3173">
        <v>14</v>
      </c>
      <c r="E3173">
        <v>74</v>
      </c>
      <c r="F3173">
        <v>1.704E-2</v>
      </c>
      <c r="G3173">
        <v>0</v>
      </c>
      <c r="H3173" t="str">
        <f t="shared" si="147"/>
        <v>70-79</v>
      </c>
      <c r="I3173" t="str">
        <f t="shared" si="148"/>
        <v>10-19</v>
      </c>
      <c r="J3173">
        <f t="shared" si="149"/>
        <v>1.704E-2</v>
      </c>
    </row>
    <row r="3174" spans="1:10">
      <c r="A3174" t="s">
        <v>3256</v>
      </c>
      <c r="B3174">
        <v>40</v>
      </c>
      <c r="C3174" t="s">
        <v>7</v>
      </c>
      <c r="D3174">
        <v>20</v>
      </c>
      <c r="E3174">
        <v>59</v>
      </c>
      <c r="F3174">
        <v>4.4200000000000003E-3</v>
      </c>
      <c r="G3174">
        <v>0</v>
      </c>
      <c r="H3174" t="str">
        <f t="shared" si="147"/>
        <v>50-59</v>
      </c>
      <c r="I3174" t="str">
        <f t="shared" si="148"/>
        <v>20-29</v>
      </c>
      <c r="J3174">
        <f t="shared" si="149"/>
        <v>4.4200000000000003E-3</v>
      </c>
    </row>
    <row r="3175" spans="1:10">
      <c r="A3175" t="s">
        <v>3257</v>
      </c>
      <c r="B3175">
        <v>46</v>
      </c>
      <c r="C3175" t="s">
        <v>7</v>
      </c>
      <c r="D3175">
        <v>29</v>
      </c>
      <c r="E3175">
        <v>74</v>
      </c>
      <c r="F3175">
        <v>1.553E-2</v>
      </c>
      <c r="G3175">
        <v>0</v>
      </c>
      <c r="H3175" t="str">
        <f t="shared" si="147"/>
        <v>70-79</v>
      </c>
      <c r="I3175" t="str">
        <f t="shared" si="148"/>
        <v>20-29</v>
      </c>
      <c r="J3175">
        <f t="shared" si="149"/>
        <v>1.553E-2</v>
      </c>
    </row>
    <row r="3176" spans="1:10">
      <c r="A3176" t="s">
        <v>3258</v>
      </c>
      <c r="B3176">
        <v>38</v>
      </c>
      <c r="C3176" t="s">
        <v>9</v>
      </c>
      <c r="D3176">
        <v>20</v>
      </c>
      <c r="E3176">
        <v>57</v>
      </c>
      <c r="F3176">
        <v>4.7299999999999998E-3</v>
      </c>
      <c r="G3176">
        <v>0</v>
      </c>
      <c r="H3176" t="str">
        <f t="shared" si="147"/>
        <v>50-59</v>
      </c>
      <c r="I3176" t="str">
        <f t="shared" si="148"/>
        <v>20-29</v>
      </c>
      <c r="J3176">
        <f t="shared" si="149"/>
        <v>4.7299999999999998E-3</v>
      </c>
    </row>
    <row r="3177" spans="1:10">
      <c r="A3177" t="s">
        <v>3259</v>
      </c>
      <c r="B3177">
        <v>38</v>
      </c>
      <c r="C3177" t="s">
        <v>9</v>
      </c>
      <c r="D3177">
        <v>30</v>
      </c>
      <c r="E3177">
        <v>67</v>
      </c>
      <c r="F3177">
        <v>8.6599999999999993E-3</v>
      </c>
      <c r="G3177">
        <v>0</v>
      </c>
      <c r="H3177" t="str">
        <f t="shared" si="147"/>
        <v>60-69</v>
      </c>
      <c r="I3177" t="str">
        <f t="shared" si="148"/>
        <v>30-39</v>
      </c>
      <c r="J3177">
        <f t="shared" si="149"/>
        <v>8.6599999999999993E-3</v>
      </c>
    </row>
    <row r="3178" spans="1:10">
      <c r="A3178" t="s">
        <v>3260</v>
      </c>
      <c r="B3178">
        <v>26</v>
      </c>
      <c r="C3178" t="s">
        <v>9</v>
      </c>
      <c r="D3178">
        <v>20</v>
      </c>
      <c r="E3178">
        <v>45</v>
      </c>
      <c r="F3178">
        <v>1.89E-3</v>
      </c>
      <c r="G3178">
        <v>0</v>
      </c>
      <c r="H3178" t="str">
        <f t="shared" si="147"/>
        <v>40-49</v>
      </c>
      <c r="I3178" t="str">
        <f t="shared" si="148"/>
        <v>20-29</v>
      </c>
      <c r="J3178">
        <f t="shared" si="149"/>
        <v>1.89E-3</v>
      </c>
    </row>
    <row r="3179" spans="1:10">
      <c r="A3179" t="s">
        <v>3261</v>
      </c>
      <c r="B3179">
        <v>65</v>
      </c>
      <c r="C3179" t="s">
        <v>7</v>
      </c>
      <c r="D3179">
        <v>25</v>
      </c>
      <c r="E3179">
        <v>89</v>
      </c>
      <c r="F3179">
        <v>0.11754000000000001</v>
      </c>
      <c r="G3179">
        <v>0</v>
      </c>
      <c r="H3179" t="str">
        <f t="shared" si="147"/>
        <v>80-89</v>
      </c>
      <c r="I3179" t="str">
        <f t="shared" si="148"/>
        <v>20-29</v>
      </c>
      <c r="J3179">
        <f t="shared" si="149"/>
        <v>0.11754000000000001</v>
      </c>
    </row>
    <row r="3180" spans="1:10">
      <c r="A3180" t="s">
        <v>3262</v>
      </c>
      <c r="B3180">
        <v>65</v>
      </c>
      <c r="C3180" t="s">
        <v>7</v>
      </c>
      <c r="D3180">
        <v>12</v>
      </c>
      <c r="E3180">
        <v>76</v>
      </c>
      <c r="F3180">
        <v>1.9199999999999998E-2</v>
      </c>
      <c r="G3180">
        <v>0</v>
      </c>
      <c r="H3180" t="str">
        <f t="shared" si="147"/>
        <v>70-79</v>
      </c>
      <c r="I3180" t="str">
        <f t="shared" si="148"/>
        <v>10-19</v>
      </c>
      <c r="J3180">
        <f t="shared" si="149"/>
        <v>1.9199999999999998E-2</v>
      </c>
    </row>
    <row r="3181" spans="1:10">
      <c r="A3181" t="s">
        <v>3263</v>
      </c>
      <c r="B3181">
        <v>57</v>
      </c>
      <c r="C3181" t="s">
        <v>7</v>
      </c>
      <c r="D3181">
        <v>2</v>
      </c>
      <c r="E3181">
        <v>58</v>
      </c>
      <c r="F3181">
        <v>1.3699999999999999E-3</v>
      </c>
      <c r="G3181">
        <v>0</v>
      </c>
      <c r="H3181" t="str">
        <f t="shared" si="147"/>
        <v>50-59</v>
      </c>
      <c r="I3181" t="str">
        <f t="shared" si="148"/>
        <v>0-9</v>
      </c>
      <c r="J3181">
        <f t="shared" si="149"/>
        <v>1.3699999999999999E-3</v>
      </c>
    </row>
    <row r="3182" spans="1:10">
      <c r="A3182" t="s">
        <v>3264</v>
      </c>
      <c r="B3182">
        <v>61</v>
      </c>
      <c r="C3182" t="s">
        <v>7</v>
      </c>
      <c r="D3182">
        <v>3</v>
      </c>
      <c r="E3182">
        <v>63</v>
      </c>
      <c r="F3182">
        <v>2.8900000000000002E-3</v>
      </c>
      <c r="G3182">
        <v>0</v>
      </c>
      <c r="H3182" t="str">
        <f t="shared" si="147"/>
        <v>60-69</v>
      </c>
      <c r="I3182" t="str">
        <f t="shared" si="148"/>
        <v>0-9</v>
      </c>
      <c r="J3182">
        <f t="shared" si="149"/>
        <v>2.8900000000000002E-3</v>
      </c>
    </row>
    <row r="3183" spans="1:10">
      <c r="A3183" t="s">
        <v>3265</v>
      </c>
      <c r="B3183">
        <v>34</v>
      </c>
      <c r="C3183" t="s">
        <v>7</v>
      </c>
      <c r="D3183">
        <v>19</v>
      </c>
      <c r="E3183">
        <v>52</v>
      </c>
      <c r="F3183">
        <v>2.2300000000000002E-3</v>
      </c>
      <c r="G3183">
        <v>0</v>
      </c>
      <c r="H3183" t="str">
        <f t="shared" si="147"/>
        <v>50-59</v>
      </c>
      <c r="I3183" t="str">
        <f t="shared" si="148"/>
        <v>10-19</v>
      </c>
      <c r="J3183">
        <f t="shared" si="149"/>
        <v>2.2300000000000002E-3</v>
      </c>
    </row>
    <row r="3184" spans="1:10">
      <c r="A3184" t="s">
        <v>3266</v>
      </c>
      <c r="B3184">
        <v>55</v>
      </c>
      <c r="C3184" t="s">
        <v>9</v>
      </c>
      <c r="D3184">
        <v>24</v>
      </c>
      <c r="E3184">
        <v>78</v>
      </c>
      <c r="F3184">
        <v>4.1189999999999997E-2</v>
      </c>
      <c r="G3184">
        <v>0</v>
      </c>
      <c r="H3184" t="str">
        <f t="shared" si="147"/>
        <v>70-79</v>
      </c>
      <c r="I3184" t="str">
        <f t="shared" si="148"/>
        <v>20-29</v>
      </c>
      <c r="J3184">
        <f t="shared" si="149"/>
        <v>4.1189999999999997E-2</v>
      </c>
    </row>
    <row r="3185" spans="1:10">
      <c r="A3185" t="s">
        <v>3267</v>
      </c>
      <c r="B3185">
        <v>53</v>
      </c>
      <c r="C3185" t="s">
        <v>9</v>
      </c>
      <c r="D3185">
        <v>26</v>
      </c>
      <c r="E3185">
        <v>78</v>
      </c>
      <c r="F3185">
        <v>4.1250000000000002E-2</v>
      </c>
      <c r="G3185">
        <v>0</v>
      </c>
      <c r="H3185" t="str">
        <f t="shared" si="147"/>
        <v>70-79</v>
      </c>
      <c r="I3185" t="str">
        <f t="shared" si="148"/>
        <v>20-29</v>
      </c>
      <c r="J3185">
        <f t="shared" si="149"/>
        <v>4.1250000000000002E-2</v>
      </c>
    </row>
    <row r="3186" spans="1:10">
      <c r="A3186" t="s">
        <v>3268</v>
      </c>
      <c r="B3186">
        <v>53</v>
      </c>
      <c r="C3186" t="s">
        <v>9</v>
      </c>
      <c r="D3186">
        <v>17</v>
      </c>
      <c r="E3186">
        <v>69</v>
      </c>
      <c r="F3186">
        <v>1.5049999999999999E-2</v>
      </c>
      <c r="G3186">
        <v>0</v>
      </c>
      <c r="H3186" t="str">
        <f t="shared" si="147"/>
        <v>60-69</v>
      </c>
      <c r="I3186" t="str">
        <f t="shared" si="148"/>
        <v>10-19</v>
      </c>
      <c r="J3186">
        <f t="shared" si="149"/>
        <v>1.5049999999999999E-2</v>
      </c>
    </row>
    <row r="3187" spans="1:10">
      <c r="A3187" t="s">
        <v>3269</v>
      </c>
      <c r="B3187">
        <v>56</v>
      </c>
      <c r="C3187" t="s">
        <v>7</v>
      </c>
      <c r="D3187">
        <v>10</v>
      </c>
      <c r="E3187">
        <v>65</v>
      </c>
      <c r="F3187">
        <v>6.3E-3</v>
      </c>
      <c r="G3187">
        <v>0</v>
      </c>
      <c r="H3187" t="str">
        <f t="shared" si="147"/>
        <v>60-69</v>
      </c>
      <c r="I3187" t="str">
        <f t="shared" si="148"/>
        <v>10-19</v>
      </c>
      <c r="J3187">
        <f t="shared" si="149"/>
        <v>6.3E-3</v>
      </c>
    </row>
    <row r="3188" spans="1:10">
      <c r="A3188" t="s">
        <v>3270</v>
      </c>
      <c r="B3188">
        <v>43</v>
      </c>
      <c r="C3188" t="s">
        <v>9</v>
      </c>
      <c r="D3188">
        <v>8</v>
      </c>
      <c r="E3188">
        <v>50</v>
      </c>
      <c r="F3188">
        <v>1.91E-3</v>
      </c>
      <c r="G3188">
        <v>0</v>
      </c>
      <c r="H3188" t="str">
        <f t="shared" si="147"/>
        <v>50-59</v>
      </c>
      <c r="I3188" t="str">
        <f t="shared" si="148"/>
        <v>0-9</v>
      </c>
      <c r="J3188">
        <f t="shared" si="149"/>
        <v>1.91E-3</v>
      </c>
    </row>
    <row r="3189" spans="1:10">
      <c r="A3189" t="s">
        <v>3271</v>
      </c>
      <c r="B3189">
        <v>27</v>
      </c>
      <c r="C3189" t="s">
        <v>9</v>
      </c>
      <c r="D3189">
        <v>23</v>
      </c>
      <c r="E3189">
        <v>49</v>
      </c>
      <c r="F3189">
        <v>2.49E-3</v>
      </c>
      <c r="G3189">
        <v>0</v>
      </c>
      <c r="H3189" t="str">
        <f t="shared" si="147"/>
        <v>40-49</v>
      </c>
      <c r="I3189" t="str">
        <f t="shared" si="148"/>
        <v>20-29</v>
      </c>
      <c r="J3189">
        <f t="shared" si="149"/>
        <v>2.49E-3</v>
      </c>
    </row>
    <row r="3190" spans="1:10">
      <c r="A3190" t="s">
        <v>3272</v>
      </c>
      <c r="B3190">
        <v>46</v>
      </c>
      <c r="C3190" t="s">
        <v>9</v>
      </c>
      <c r="D3190">
        <v>12</v>
      </c>
      <c r="E3190">
        <v>57</v>
      </c>
      <c r="F3190">
        <v>4.2700000000000004E-3</v>
      </c>
      <c r="G3190">
        <v>0</v>
      </c>
      <c r="H3190" t="str">
        <f t="shared" si="147"/>
        <v>50-59</v>
      </c>
      <c r="I3190" t="str">
        <f t="shared" si="148"/>
        <v>10-19</v>
      </c>
      <c r="J3190">
        <f t="shared" si="149"/>
        <v>4.2700000000000004E-3</v>
      </c>
    </row>
    <row r="3191" spans="1:10">
      <c r="A3191" t="s">
        <v>3273</v>
      </c>
      <c r="B3191">
        <v>24</v>
      </c>
      <c r="C3191" t="s">
        <v>9</v>
      </c>
      <c r="D3191">
        <v>30</v>
      </c>
      <c r="E3191">
        <v>53</v>
      </c>
      <c r="F3191">
        <v>2.81E-3</v>
      </c>
      <c r="G3191">
        <v>0</v>
      </c>
      <c r="H3191" t="str">
        <f t="shared" si="147"/>
        <v>50-59</v>
      </c>
      <c r="I3191" t="str">
        <f t="shared" si="148"/>
        <v>30-39</v>
      </c>
      <c r="J3191">
        <f t="shared" si="149"/>
        <v>2.81E-3</v>
      </c>
    </row>
    <row r="3192" spans="1:10">
      <c r="A3192" t="s">
        <v>3274</v>
      </c>
      <c r="B3192">
        <v>34</v>
      </c>
      <c r="C3192" t="s">
        <v>7</v>
      </c>
      <c r="D3192">
        <v>15</v>
      </c>
      <c r="E3192">
        <v>48</v>
      </c>
      <c r="F3192">
        <v>1.48E-3</v>
      </c>
      <c r="G3192">
        <v>0</v>
      </c>
      <c r="H3192" t="str">
        <f t="shared" si="147"/>
        <v>40-49</v>
      </c>
      <c r="I3192" t="str">
        <f t="shared" si="148"/>
        <v>10-19</v>
      </c>
      <c r="J3192">
        <f t="shared" si="149"/>
        <v>1.48E-3</v>
      </c>
    </row>
    <row r="3193" spans="1:10">
      <c r="A3193" t="s">
        <v>3275</v>
      </c>
      <c r="B3193">
        <v>28</v>
      </c>
      <c r="C3193" t="s">
        <v>7</v>
      </c>
      <c r="D3193">
        <v>30</v>
      </c>
      <c r="E3193">
        <v>57</v>
      </c>
      <c r="F3193">
        <v>2.5899999999999999E-3</v>
      </c>
      <c r="G3193">
        <v>0</v>
      </c>
      <c r="H3193" t="str">
        <f t="shared" si="147"/>
        <v>50-59</v>
      </c>
      <c r="I3193" t="str">
        <f t="shared" si="148"/>
        <v>30-39</v>
      </c>
      <c r="J3193">
        <f t="shared" si="149"/>
        <v>2.5899999999999999E-3</v>
      </c>
    </row>
    <row r="3194" spans="1:10">
      <c r="A3194" t="s">
        <v>3276</v>
      </c>
      <c r="B3194">
        <v>46</v>
      </c>
      <c r="C3194" t="s">
        <v>7</v>
      </c>
      <c r="D3194">
        <v>22</v>
      </c>
      <c r="E3194">
        <v>67</v>
      </c>
      <c r="F3194">
        <v>1.027E-2</v>
      </c>
      <c r="G3194">
        <v>0</v>
      </c>
      <c r="H3194" t="str">
        <f t="shared" si="147"/>
        <v>60-69</v>
      </c>
      <c r="I3194" t="str">
        <f t="shared" si="148"/>
        <v>20-29</v>
      </c>
      <c r="J3194">
        <f t="shared" si="149"/>
        <v>1.027E-2</v>
      </c>
    </row>
    <row r="3195" spans="1:10">
      <c r="A3195" t="s">
        <v>3277</v>
      </c>
      <c r="B3195">
        <v>36</v>
      </c>
      <c r="C3195" t="s">
        <v>9</v>
      </c>
      <c r="D3195">
        <v>26</v>
      </c>
      <c r="E3195">
        <v>61</v>
      </c>
      <c r="F3195">
        <v>7.0200000000000002E-3</v>
      </c>
      <c r="G3195">
        <v>0</v>
      </c>
      <c r="H3195" t="str">
        <f t="shared" si="147"/>
        <v>60-69</v>
      </c>
      <c r="I3195" t="str">
        <f t="shared" si="148"/>
        <v>20-29</v>
      </c>
      <c r="J3195">
        <f t="shared" si="149"/>
        <v>7.0200000000000002E-3</v>
      </c>
    </row>
    <row r="3196" spans="1:10">
      <c r="A3196" t="s">
        <v>3278</v>
      </c>
      <c r="B3196">
        <v>25</v>
      </c>
      <c r="C3196" t="s">
        <v>9</v>
      </c>
      <c r="D3196">
        <v>14</v>
      </c>
      <c r="E3196">
        <v>38</v>
      </c>
      <c r="F3196">
        <v>1.0300000000000001E-3</v>
      </c>
      <c r="G3196">
        <v>0</v>
      </c>
      <c r="H3196" t="str">
        <f t="shared" si="147"/>
        <v>30-39</v>
      </c>
      <c r="I3196" t="str">
        <f t="shared" si="148"/>
        <v>10-19</v>
      </c>
      <c r="J3196">
        <f t="shared" si="149"/>
        <v>1.0300000000000001E-3</v>
      </c>
    </row>
    <row r="3197" spans="1:10">
      <c r="A3197" t="s">
        <v>3279</v>
      </c>
      <c r="B3197">
        <v>56</v>
      </c>
      <c r="C3197" t="s">
        <v>7</v>
      </c>
      <c r="D3197">
        <v>16</v>
      </c>
      <c r="E3197">
        <v>71</v>
      </c>
      <c r="F3197">
        <v>1.376E-2</v>
      </c>
      <c r="G3197">
        <v>0</v>
      </c>
      <c r="H3197" t="str">
        <f t="shared" si="147"/>
        <v>70-79</v>
      </c>
      <c r="I3197" t="str">
        <f t="shared" si="148"/>
        <v>10-19</v>
      </c>
      <c r="J3197">
        <f t="shared" si="149"/>
        <v>1.376E-2</v>
      </c>
    </row>
    <row r="3198" spans="1:10">
      <c r="A3198" t="s">
        <v>3280</v>
      </c>
      <c r="B3198">
        <v>31</v>
      </c>
      <c r="C3198" t="s">
        <v>9</v>
      </c>
      <c r="D3198">
        <v>29</v>
      </c>
      <c r="E3198">
        <v>59</v>
      </c>
      <c r="F3198">
        <v>4.3899999999999998E-3</v>
      </c>
      <c r="G3198">
        <v>0</v>
      </c>
      <c r="H3198" t="str">
        <f t="shared" si="147"/>
        <v>50-59</v>
      </c>
      <c r="I3198" t="str">
        <f t="shared" si="148"/>
        <v>20-29</v>
      </c>
      <c r="J3198">
        <f t="shared" si="149"/>
        <v>4.3899999999999998E-3</v>
      </c>
    </row>
    <row r="3199" spans="1:10">
      <c r="A3199" t="s">
        <v>3281</v>
      </c>
      <c r="B3199">
        <v>46</v>
      </c>
      <c r="C3199" t="s">
        <v>7</v>
      </c>
      <c r="D3199">
        <v>9</v>
      </c>
      <c r="E3199">
        <v>54</v>
      </c>
      <c r="F3199">
        <v>2.1299999999999999E-3</v>
      </c>
      <c r="G3199">
        <v>0</v>
      </c>
      <c r="H3199" t="str">
        <f t="shared" si="147"/>
        <v>50-59</v>
      </c>
      <c r="I3199" t="str">
        <f t="shared" si="148"/>
        <v>0-9</v>
      </c>
      <c r="J3199">
        <f t="shared" si="149"/>
        <v>2.1299999999999999E-3</v>
      </c>
    </row>
    <row r="3200" spans="1:10">
      <c r="A3200" t="s">
        <v>3282</v>
      </c>
      <c r="B3200">
        <v>50</v>
      </c>
      <c r="C3200" t="s">
        <v>9</v>
      </c>
      <c r="D3200">
        <v>24</v>
      </c>
      <c r="E3200">
        <v>73</v>
      </c>
      <c r="F3200">
        <v>2.3939999999999999E-2</v>
      </c>
      <c r="G3200">
        <v>0</v>
      </c>
      <c r="H3200" t="str">
        <f t="shared" si="147"/>
        <v>70-79</v>
      </c>
      <c r="I3200" t="str">
        <f t="shared" si="148"/>
        <v>20-29</v>
      </c>
      <c r="J3200">
        <f t="shared" si="149"/>
        <v>2.3939999999999999E-2</v>
      </c>
    </row>
    <row r="3201" spans="1:10">
      <c r="A3201" t="s">
        <v>3283</v>
      </c>
      <c r="B3201">
        <v>47</v>
      </c>
      <c r="C3201" t="s">
        <v>7</v>
      </c>
      <c r="D3201">
        <v>1</v>
      </c>
      <c r="E3201">
        <v>47</v>
      </c>
      <c r="F3201">
        <v>3.6000000000000002E-4</v>
      </c>
      <c r="G3201">
        <v>0</v>
      </c>
      <c r="H3201" t="str">
        <f t="shared" si="147"/>
        <v>40-49</v>
      </c>
      <c r="I3201" t="str">
        <f t="shared" si="148"/>
        <v>0-9</v>
      </c>
      <c r="J3201">
        <f t="shared" si="149"/>
        <v>3.6000000000000002E-4</v>
      </c>
    </row>
    <row r="3202" spans="1:10">
      <c r="A3202" t="s">
        <v>3284</v>
      </c>
      <c r="B3202">
        <v>28</v>
      </c>
      <c r="C3202" t="s">
        <v>7</v>
      </c>
      <c r="D3202">
        <v>17</v>
      </c>
      <c r="E3202">
        <v>44</v>
      </c>
      <c r="F3202">
        <v>1.1800000000000001E-3</v>
      </c>
      <c r="G3202">
        <v>0</v>
      </c>
      <c r="H3202" t="str">
        <f t="shared" si="147"/>
        <v>40-49</v>
      </c>
      <c r="I3202" t="str">
        <f t="shared" si="148"/>
        <v>10-19</v>
      </c>
      <c r="J3202">
        <f t="shared" si="149"/>
        <v>1.1800000000000001E-3</v>
      </c>
    </row>
    <row r="3203" spans="1:10">
      <c r="A3203" t="s">
        <v>3285</v>
      </c>
      <c r="B3203">
        <v>47</v>
      </c>
      <c r="C3203" t="s">
        <v>9</v>
      </c>
      <c r="D3203">
        <v>12</v>
      </c>
      <c r="E3203">
        <v>58</v>
      </c>
      <c r="F3203">
        <v>4.79E-3</v>
      </c>
      <c r="G3203">
        <v>0</v>
      </c>
      <c r="H3203" t="str">
        <f t="shared" ref="H3203:H3266" si="150">FLOOR(E3203,10) &amp; "-" &amp; FLOOR(E3203,10)+9</f>
        <v>50-59</v>
      </c>
      <c r="I3203" t="str">
        <f t="shared" ref="I3203:I3266" si="151">FLOOR(D3203, 10) &amp; "-"&amp;FLOOR(D3203, 10)+9</f>
        <v>10-19</v>
      </c>
      <c r="J3203">
        <f t="shared" ref="J3203:J3266" si="152">F3203</f>
        <v>4.79E-3</v>
      </c>
    </row>
    <row r="3204" spans="1:10">
      <c r="A3204" t="s">
        <v>3286</v>
      </c>
      <c r="B3204">
        <v>35</v>
      </c>
      <c r="C3204" t="s">
        <v>9</v>
      </c>
      <c r="D3204">
        <v>23</v>
      </c>
      <c r="E3204">
        <v>57</v>
      </c>
      <c r="F3204">
        <v>4.7800000000000004E-3</v>
      </c>
      <c r="G3204">
        <v>0</v>
      </c>
      <c r="H3204" t="str">
        <f t="shared" si="150"/>
        <v>50-59</v>
      </c>
      <c r="I3204" t="str">
        <f t="shared" si="151"/>
        <v>20-29</v>
      </c>
      <c r="J3204">
        <f t="shared" si="152"/>
        <v>4.7800000000000004E-3</v>
      </c>
    </row>
    <row r="3205" spans="1:10">
      <c r="A3205" t="s">
        <v>3287</v>
      </c>
      <c r="B3205">
        <v>41</v>
      </c>
      <c r="C3205" t="s">
        <v>7</v>
      </c>
      <c r="D3205">
        <v>19</v>
      </c>
      <c r="E3205">
        <v>59</v>
      </c>
      <c r="F3205">
        <v>4.3299999999999996E-3</v>
      </c>
      <c r="G3205">
        <v>0</v>
      </c>
      <c r="H3205" t="str">
        <f t="shared" si="150"/>
        <v>50-59</v>
      </c>
      <c r="I3205" t="str">
        <f t="shared" si="151"/>
        <v>10-19</v>
      </c>
      <c r="J3205">
        <f t="shared" si="152"/>
        <v>4.3299999999999996E-3</v>
      </c>
    </row>
    <row r="3206" spans="1:10">
      <c r="A3206" t="s">
        <v>3288</v>
      </c>
      <c r="B3206">
        <v>22</v>
      </c>
      <c r="C3206" t="s">
        <v>7</v>
      </c>
      <c r="D3206">
        <v>3</v>
      </c>
      <c r="E3206">
        <v>24</v>
      </c>
      <c r="F3206">
        <v>2.7E-4</v>
      </c>
      <c r="G3206">
        <v>0</v>
      </c>
      <c r="H3206" t="str">
        <f t="shared" si="150"/>
        <v>20-29</v>
      </c>
      <c r="I3206" t="str">
        <f t="shared" si="151"/>
        <v>0-9</v>
      </c>
      <c r="J3206">
        <f t="shared" si="152"/>
        <v>2.7E-4</v>
      </c>
    </row>
    <row r="3207" spans="1:10">
      <c r="A3207" t="s">
        <v>3289</v>
      </c>
      <c r="B3207">
        <v>48</v>
      </c>
      <c r="C3207" t="s">
        <v>9</v>
      </c>
      <c r="D3207">
        <v>30</v>
      </c>
      <c r="E3207">
        <v>77</v>
      </c>
      <c r="F3207">
        <v>2.3939999999999999E-2</v>
      </c>
      <c r="G3207">
        <v>0</v>
      </c>
      <c r="H3207" t="str">
        <f t="shared" si="150"/>
        <v>70-79</v>
      </c>
      <c r="I3207" t="str">
        <f t="shared" si="151"/>
        <v>30-39</v>
      </c>
      <c r="J3207">
        <f t="shared" si="152"/>
        <v>2.3939999999999999E-2</v>
      </c>
    </row>
    <row r="3208" spans="1:10">
      <c r="A3208" t="s">
        <v>3290</v>
      </c>
      <c r="B3208">
        <v>47</v>
      </c>
      <c r="C3208" t="s">
        <v>7</v>
      </c>
      <c r="D3208">
        <v>10</v>
      </c>
      <c r="E3208">
        <v>56</v>
      </c>
      <c r="F3208">
        <v>2.6199999999999999E-3</v>
      </c>
      <c r="G3208">
        <v>0</v>
      </c>
      <c r="H3208" t="str">
        <f t="shared" si="150"/>
        <v>50-59</v>
      </c>
      <c r="I3208" t="str">
        <f t="shared" si="151"/>
        <v>10-19</v>
      </c>
      <c r="J3208">
        <f t="shared" si="152"/>
        <v>2.6199999999999999E-3</v>
      </c>
    </row>
    <row r="3209" spans="1:10">
      <c r="A3209" t="s">
        <v>3291</v>
      </c>
      <c r="B3209">
        <v>31</v>
      </c>
      <c r="C3209" t="s">
        <v>7</v>
      </c>
      <c r="D3209">
        <v>24</v>
      </c>
      <c r="E3209">
        <v>54</v>
      </c>
      <c r="F3209">
        <v>2.82E-3</v>
      </c>
      <c r="G3209">
        <v>0</v>
      </c>
      <c r="H3209" t="str">
        <f t="shared" si="150"/>
        <v>50-59</v>
      </c>
      <c r="I3209" t="str">
        <f t="shared" si="151"/>
        <v>20-29</v>
      </c>
      <c r="J3209">
        <f t="shared" si="152"/>
        <v>2.82E-3</v>
      </c>
    </row>
    <row r="3210" spans="1:10">
      <c r="A3210" t="s">
        <v>3292</v>
      </c>
      <c r="B3210">
        <v>52</v>
      </c>
      <c r="C3210" t="s">
        <v>9</v>
      </c>
      <c r="D3210">
        <v>3</v>
      </c>
      <c r="E3210">
        <v>54</v>
      </c>
      <c r="F3210">
        <v>2.15E-3</v>
      </c>
      <c r="G3210">
        <v>0</v>
      </c>
      <c r="H3210" t="str">
        <f t="shared" si="150"/>
        <v>50-59</v>
      </c>
      <c r="I3210" t="str">
        <f t="shared" si="151"/>
        <v>0-9</v>
      </c>
      <c r="J3210">
        <f t="shared" si="152"/>
        <v>2.15E-3</v>
      </c>
    </row>
    <row r="3211" spans="1:10">
      <c r="A3211" t="s">
        <v>3293</v>
      </c>
      <c r="B3211">
        <v>57</v>
      </c>
      <c r="C3211" t="s">
        <v>7</v>
      </c>
      <c r="D3211">
        <v>12</v>
      </c>
      <c r="E3211">
        <v>68</v>
      </c>
      <c r="F3211">
        <v>8.5400000000000007E-3</v>
      </c>
      <c r="G3211">
        <v>0</v>
      </c>
      <c r="H3211" t="str">
        <f t="shared" si="150"/>
        <v>60-69</v>
      </c>
      <c r="I3211" t="str">
        <f t="shared" si="151"/>
        <v>10-19</v>
      </c>
      <c r="J3211">
        <f t="shared" si="152"/>
        <v>8.5400000000000007E-3</v>
      </c>
    </row>
    <row r="3212" spans="1:10">
      <c r="A3212" t="s">
        <v>3294</v>
      </c>
      <c r="B3212">
        <v>40</v>
      </c>
      <c r="C3212" t="s">
        <v>9</v>
      </c>
      <c r="D3212">
        <v>15</v>
      </c>
      <c r="E3212">
        <v>54</v>
      </c>
      <c r="F3212">
        <v>3.2699999999999999E-3</v>
      </c>
      <c r="G3212">
        <v>0</v>
      </c>
      <c r="H3212" t="str">
        <f t="shared" si="150"/>
        <v>50-59</v>
      </c>
      <c r="I3212" t="str">
        <f t="shared" si="151"/>
        <v>10-19</v>
      </c>
      <c r="J3212">
        <f t="shared" si="152"/>
        <v>3.2699999999999999E-3</v>
      </c>
    </row>
    <row r="3213" spans="1:10">
      <c r="A3213" t="s">
        <v>3295</v>
      </c>
      <c r="B3213">
        <v>37</v>
      </c>
      <c r="C3213" t="s">
        <v>9</v>
      </c>
      <c r="D3213">
        <v>25</v>
      </c>
      <c r="E3213">
        <v>61</v>
      </c>
      <c r="F3213">
        <v>7.0200000000000002E-3</v>
      </c>
      <c r="G3213">
        <v>0</v>
      </c>
      <c r="H3213" t="str">
        <f t="shared" si="150"/>
        <v>60-69</v>
      </c>
      <c r="I3213" t="str">
        <f t="shared" si="151"/>
        <v>20-29</v>
      </c>
      <c r="J3213">
        <f t="shared" si="152"/>
        <v>7.0200000000000002E-3</v>
      </c>
    </row>
    <row r="3214" spans="1:10">
      <c r="A3214" t="s">
        <v>3296</v>
      </c>
      <c r="B3214">
        <v>41</v>
      </c>
      <c r="C3214" t="s">
        <v>7</v>
      </c>
      <c r="D3214">
        <v>2</v>
      </c>
      <c r="E3214">
        <v>42</v>
      </c>
      <c r="F3214">
        <v>3.6000000000000002E-4</v>
      </c>
      <c r="G3214">
        <v>0</v>
      </c>
      <c r="H3214" t="str">
        <f t="shared" si="150"/>
        <v>40-49</v>
      </c>
      <c r="I3214" t="str">
        <f t="shared" si="151"/>
        <v>0-9</v>
      </c>
      <c r="J3214">
        <f t="shared" si="152"/>
        <v>3.6000000000000002E-4</v>
      </c>
    </row>
    <row r="3215" spans="1:10">
      <c r="A3215" t="s">
        <v>3297</v>
      </c>
      <c r="B3215">
        <v>57</v>
      </c>
      <c r="C3215" t="s">
        <v>7</v>
      </c>
      <c r="D3215">
        <v>17</v>
      </c>
      <c r="E3215">
        <v>73</v>
      </c>
      <c r="F3215">
        <v>1.7350000000000001E-2</v>
      </c>
      <c r="G3215">
        <v>0</v>
      </c>
      <c r="H3215" t="str">
        <f t="shared" si="150"/>
        <v>70-79</v>
      </c>
      <c r="I3215" t="str">
        <f t="shared" si="151"/>
        <v>10-19</v>
      </c>
      <c r="J3215">
        <f t="shared" si="152"/>
        <v>1.7350000000000001E-2</v>
      </c>
    </row>
    <row r="3216" spans="1:10">
      <c r="A3216" t="s">
        <v>3298</v>
      </c>
      <c r="B3216">
        <v>40</v>
      </c>
      <c r="C3216" t="s">
        <v>9</v>
      </c>
      <c r="D3216">
        <v>13</v>
      </c>
      <c r="E3216">
        <v>52</v>
      </c>
      <c r="F3216">
        <v>2.64E-3</v>
      </c>
      <c r="G3216">
        <v>0</v>
      </c>
      <c r="H3216" t="str">
        <f t="shared" si="150"/>
        <v>50-59</v>
      </c>
      <c r="I3216" t="str">
        <f t="shared" si="151"/>
        <v>10-19</v>
      </c>
      <c r="J3216">
        <f t="shared" si="152"/>
        <v>2.64E-3</v>
      </c>
    </row>
    <row r="3217" spans="1:10">
      <c r="A3217" t="s">
        <v>3299</v>
      </c>
      <c r="B3217">
        <v>29</v>
      </c>
      <c r="C3217" t="s">
        <v>7</v>
      </c>
      <c r="D3217">
        <v>2</v>
      </c>
      <c r="E3217">
        <v>30</v>
      </c>
      <c r="F3217">
        <v>1.7000000000000001E-4</v>
      </c>
      <c r="G3217">
        <v>0</v>
      </c>
      <c r="H3217" t="str">
        <f t="shared" si="150"/>
        <v>30-39</v>
      </c>
      <c r="I3217" t="str">
        <f t="shared" si="151"/>
        <v>0-9</v>
      </c>
      <c r="J3217">
        <f t="shared" si="152"/>
        <v>1.7000000000000001E-4</v>
      </c>
    </row>
    <row r="3218" spans="1:10">
      <c r="A3218" t="s">
        <v>3300</v>
      </c>
      <c r="B3218">
        <v>33</v>
      </c>
      <c r="C3218" t="s">
        <v>7</v>
      </c>
      <c r="D3218">
        <v>14</v>
      </c>
      <c r="E3218">
        <v>46</v>
      </c>
      <c r="F3218">
        <v>1.24E-3</v>
      </c>
      <c r="G3218">
        <v>0</v>
      </c>
      <c r="H3218" t="str">
        <f t="shared" si="150"/>
        <v>40-49</v>
      </c>
      <c r="I3218" t="str">
        <f t="shared" si="151"/>
        <v>10-19</v>
      </c>
      <c r="J3218">
        <f t="shared" si="152"/>
        <v>1.24E-3</v>
      </c>
    </row>
    <row r="3219" spans="1:10">
      <c r="A3219" t="s">
        <v>3301</v>
      </c>
      <c r="B3219">
        <v>59</v>
      </c>
      <c r="C3219" t="s">
        <v>9</v>
      </c>
      <c r="D3219">
        <v>11</v>
      </c>
      <c r="E3219">
        <v>69</v>
      </c>
      <c r="F3219">
        <v>1.426E-2</v>
      </c>
      <c r="G3219">
        <v>0</v>
      </c>
      <c r="H3219" t="str">
        <f t="shared" si="150"/>
        <v>60-69</v>
      </c>
      <c r="I3219" t="str">
        <f t="shared" si="151"/>
        <v>10-19</v>
      </c>
      <c r="J3219">
        <f t="shared" si="152"/>
        <v>1.426E-2</v>
      </c>
    </row>
    <row r="3220" spans="1:10">
      <c r="A3220" t="s">
        <v>3302</v>
      </c>
      <c r="B3220">
        <v>27</v>
      </c>
      <c r="C3220" t="s">
        <v>9</v>
      </c>
      <c r="D3220">
        <v>10</v>
      </c>
      <c r="E3220">
        <v>36</v>
      </c>
      <c r="F3220">
        <v>7.2999999999999996E-4</v>
      </c>
      <c r="G3220">
        <v>0</v>
      </c>
      <c r="H3220" t="str">
        <f t="shared" si="150"/>
        <v>30-39</v>
      </c>
      <c r="I3220" t="str">
        <f t="shared" si="151"/>
        <v>10-19</v>
      </c>
      <c r="J3220">
        <f t="shared" si="152"/>
        <v>7.2999999999999996E-4</v>
      </c>
    </row>
    <row r="3221" spans="1:10">
      <c r="A3221" t="s">
        <v>3303</v>
      </c>
      <c r="B3221">
        <v>30</v>
      </c>
      <c r="C3221" t="s">
        <v>7</v>
      </c>
      <c r="D3221">
        <v>10</v>
      </c>
      <c r="E3221">
        <v>39</v>
      </c>
      <c r="F3221">
        <v>6.9999999999999999E-4</v>
      </c>
      <c r="G3221">
        <v>0</v>
      </c>
      <c r="H3221" t="str">
        <f t="shared" si="150"/>
        <v>30-39</v>
      </c>
      <c r="I3221" t="str">
        <f t="shared" si="151"/>
        <v>10-19</v>
      </c>
      <c r="J3221">
        <f t="shared" si="152"/>
        <v>6.9999999999999999E-4</v>
      </c>
    </row>
    <row r="3222" spans="1:10">
      <c r="A3222" t="s">
        <v>3304</v>
      </c>
      <c r="B3222">
        <v>58</v>
      </c>
      <c r="C3222" t="s">
        <v>9</v>
      </c>
      <c r="D3222">
        <v>25</v>
      </c>
      <c r="E3222">
        <v>82</v>
      </c>
      <c r="F3222">
        <v>6.3329999999999997E-2</v>
      </c>
      <c r="G3222">
        <v>0</v>
      </c>
      <c r="H3222" t="str">
        <f t="shared" si="150"/>
        <v>80-89</v>
      </c>
      <c r="I3222" t="str">
        <f t="shared" si="151"/>
        <v>20-29</v>
      </c>
      <c r="J3222">
        <f t="shared" si="152"/>
        <v>6.3329999999999997E-2</v>
      </c>
    </row>
    <row r="3223" spans="1:10">
      <c r="A3223" t="s">
        <v>3305</v>
      </c>
      <c r="B3223">
        <v>37</v>
      </c>
      <c r="C3223" t="s">
        <v>9</v>
      </c>
      <c r="D3223">
        <v>5</v>
      </c>
      <c r="E3223">
        <v>41</v>
      </c>
      <c r="F3223">
        <v>8.0000000000000004E-4</v>
      </c>
      <c r="G3223">
        <v>0</v>
      </c>
      <c r="H3223" t="str">
        <f t="shared" si="150"/>
        <v>40-49</v>
      </c>
      <c r="I3223" t="str">
        <f t="shared" si="151"/>
        <v>0-9</v>
      </c>
      <c r="J3223">
        <f t="shared" si="152"/>
        <v>8.0000000000000004E-4</v>
      </c>
    </row>
    <row r="3224" spans="1:10">
      <c r="A3224" t="s">
        <v>3306</v>
      </c>
      <c r="B3224">
        <v>52</v>
      </c>
      <c r="C3224" t="s">
        <v>9</v>
      </c>
      <c r="D3224">
        <v>25</v>
      </c>
      <c r="E3224">
        <v>76</v>
      </c>
      <c r="F3224">
        <v>3.3419999999999998E-2</v>
      </c>
      <c r="G3224">
        <v>0</v>
      </c>
      <c r="H3224" t="str">
        <f t="shared" si="150"/>
        <v>70-79</v>
      </c>
      <c r="I3224" t="str">
        <f t="shared" si="151"/>
        <v>20-29</v>
      </c>
      <c r="J3224">
        <f t="shared" si="152"/>
        <v>3.3419999999999998E-2</v>
      </c>
    </row>
    <row r="3225" spans="1:10">
      <c r="A3225" t="s">
        <v>3307</v>
      </c>
      <c r="B3225">
        <v>22</v>
      </c>
      <c r="C3225" t="s">
        <v>7</v>
      </c>
      <c r="D3225">
        <v>29</v>
      </c>
      <c r="E3225">
        <v>50</v>
      </c>
      <c r="F3225">
        <v>1.6000000000000001E-3</v>
      </c>
      <c r="G3225">
        <v>0</v>
      </c>
      <c r="H3225" t="str">
        <f t="shared" si="150"/>
        <v>50-59</v>
      </c>
      <c r="I3225" t="str">
        <f t="shared" si="151"/>
        <v>20-29</v>
      </c>
      <c r="J3225">
        <f t="shared" si="152"/>
        <v>1.6000000000000001E-3</v>
      </c>
    </row>
    <row r="3226" spans="1:10">
      <c r="A3226" t="s">
        <v>3308</v>
      </c>
      <c r="B3226">
        <v>20</v>
      </c>
      <c r="C3226" t="s">
        <v>7</v>
      </c>
      <c r="D3226">
        <v>16</v>
      </c>
      <c r="E3226">
        <v>35</v>
      </c>
      <c r="F3226">
        <v>6.6E-4</v>
      </c>
      <c r="G3226">
        <v>0</v>
      </c>
      <c r="H3226" t="str">
        <f t="shared" si="150"/>
        <v>30-39</v>
      </c>
      <c r="I3226" t="str">
        <f t="shared" si="151"/>
        <v>10-19</v>
      </c>
      <c r="J3226">
        <f t="shared" si="152"/>
        <v>6.6E-4</v>
      </c>
    </row>
    <row r="3227" spans="1:10">
      <c r="A3227" t="s">
        <v>3309</v>
      </c>
      <c r="B3227">
        <v>33</v>
      </c>
      <c r="C3227" t="s">
        <v>7</v>
      </c>
      <c r="D3227">
        <v>10</v>
      </c>
      <c r="E3227">
        <v>42</v>
      </c>
      <c r="F3227">
        <v>8.0999999999999996E-4</v>
      </c>
      <c r="G3227">
        <v>0</v>
      </c>
      <c r="H3227" t="str">
        <f t="shared" si="150"/>
        <v>40-49</v>
      </c>
      <c r="I3227" t="str">
        <f t="shared" si="151"/>
        <v>10-19</v>
      </c>
      <c r="J3227">
        <f t="shared" si="152"/>
        <v>8.0999999999999996E-4</v>
      </c>
    </row>
    <row r="3228" spans="1:10">
      <c r="A3228" t="s">
        <v>3310</v>
      </c>
      <c r="B3228">
        <v>48</v>
      </c>
      <c r="C3228" t="s">
        <v>9</v>
      </c>
      <c r="D3228">
        <v>17</v>
      </c>
      <c r="E3228">
        <v>64</v>
      </c>
      <c r="F3228">
        <v>9.2899999999999996E-3</v>
      </c>
      <c r="G3228">
        <v>0</v>
      </c>
      <c r="H3228" t="str">
        <f t="shared" si="150"/>
        <v>60-69</v>
      </c>
      <c r="I3228" t="str">
        <f t="shared" si="151"/>
        <v>10-19</v>
      </c>
      <c r="J3228">
        <f t="shared" si="152"/>
        <v>9.2899999999999996E-3</v>
      </c>
    </row>
    <row r="3229" spans="1:10">
      <c r="A3229" t="s">
        <v>3311</v>
      </c>
      <c r="B3229">
        <v>27</v>
      </c>
      <c r="C3229" t="s">
        <v>7</v>
      </c>
      <c r="D3229">
        <v>23</v>
      </c>
      <c r="E3229">
        <v>49</v>
      </c>
      <c r="F3229">
        <v>1.8699999999999999E-3</v>
      </c>
      <c r="G3229">
        <v>0</v>
      </c>
      <c r="H3229" t="str">
        <f t="shared" si="150"/>
        <v>40-49</v>
      </c>
      <c r="I3229" t="str">
        <f t="shared" si="151"/>
        <v>20-29</v>
      </c>
      <c r="J3229">
        <f t="shared" si="152"/>
        <v>1.8699999999999999E-3</v>
      </c>
    </row>
    <row r="3230" spans="1:10">
      <c r="A3230" t="s">
        <v>3312</v>
      </c>
      <c r="B3230">
        <v>48</v>
      </c>
      <c r="C3230" t="s">
        <v>9</v>
      </c>
      <c r="D3230">
        <v>29</v>
      </c>
      <c r="E3230">
        <v>76</v>
      </c>
      <c r="F3230">
        <v>2.3939999999999999E-2</v>
      </c>
      <c r="G3230">
        <v>0</v>
      </c>
      <c r="H3230" t="str">
        <f t="shared" si="150"/>
        <v>70-79</v>
      </c>
      <c r="I3230" t="str">
        <f t="shared" si="151"/>
        <v>20-29</v>
      </c>
      <c r="J3230">
        <f t="shared" si="152"/>
        <v>2.3939999999999999E-2</v>
      </c>
    </row>
    <row r="3231" spans="1:10">
      <c r="A3231" t="s">
        <v>3313</v>
      </c>
      <c r="B3231">
        <v>28</v>
      </c>
      <c r="C3231" t="s">
        <v>7</v>
      </c>
      <c r="D3231">
        <v>9</v>
      </c>
      <c r="E3231">
        <v>36</v>
      </c>
      <c r="F3231">
        <v>5.0000000000000001E-4</v>
      </c>
      <c r="G3231">
        <v>0</v>
      </c>
      <c r="H3231" t="str">
        <f t="shared" si="150"/>
        <v>30-39</v>
      </c>
      <c r="I3231" t="str">
        <f t="shared" si="151"/>
        <v>0-9</v>
      </c>
      <c r="J3231">
        <f t="shared" si="152"/>
        <v>5.0000000000000001E-4</v>
      </c>
    </row>
    <row r="3232" spans="1:10">
      <c r="A3232" t="s">
        <v>3314</v>
      </c>
      <c r="B3232">
        <v>42</v>
      </c>
      <c r="C3232" t="s">
        <v>9</v>
      </c>
      <c r="D3232">
        <v>26</v>
      </c>
      <c r="E3232">
        <v>67</v>
      </c>
      <c r="F3232">
        <v>1.2880000000000001E-2</v>
      </c>
      <c r="G3232">
        <v>0</v>
      </c>
      <c r="H3232" t="str">
        <f t="shared" si="150"/>
        <v>60-69</v>
      </c>
      <c r="I3232" t="str">
        <f t="shared" si="151"/>
        <v>20-29</v>
      </c>
      <c r="J3232">
        <f t="shared" si="152"/>
        <v>1.2880000000000001E-2</v>
      </c>
    </row>
    <row r="3233" spans="1:10">
      <c r="A3233" t="s">
        <v>3315</v>
      </c>
      <c r="B3233">
        <v>24</v>
      </c>
      <c r="C3233" t="s">
        <v>9</v>
      </c>
      <c r="D3233">
        <v>11</v>
      </c>
      <c r="E3233">
        <v>34</v>
      </c>
      <c r="F3233">
        <v>7.1000000000000002E-4</v>
      </c>
      <c r="G3233">
        <v>0</v>
      </c>
      <c r="H3233" t="str">
        <f t="shared" si="150"/>
        <v>30-39</v>
      </c>
      <c r="I3233" t="str">
        <f t="shared" si="151"/>
        <v>10-19</v>
      </c>
      <c r="J3233">
        <f t="shared" si="152"/>
        <v>7.1000000000000002E-4</v>
      </c>
    </row>
    <row r="3234" spans="1:10">
      <c r="A3234" t="s">
        <v>3316</v>
      </c>
      <c r="B3234">
        <v>49</v>
      </c>
      <c r="C3234" t="s">
        <v>7</v>
      </c>
      <c r="D3234">
        <v>21</v>
      </c>
      <c r="E3234">
        <v>69</v>
      </c>
      <c r="F3234">
        <v>1.2659999999999999E-2</v>
      </c>
      <c r="G3234">
        <v>0</v>
      </c>
      <c r="H3234" t="str">
        <f t="shared" si="150"/>
        <v>60-69</v>
      </c>
      <c r="I3234" t="str">
        <f t="shared" si="151"/>
        <v>20-29</v>
      </c>
      <c r="J3234">
        <f t="shared" si="152"/>
        <v>1.2659999999999999E-2</v>
      </c>
    </row>
    <row r="3235" spans="1:10">
      <c r="A3235" t="s">
        <v>3317</v>
      </c>
      <c r="B3235">
        <v>24</v>
      </c>
      <c r="C3235" t="s">
        <v>7</v>
      </c>
      <c r="D3235">
        <v>23</v>
      </c>
      <c r="E3235">
        <v>46</v>
      </c>
      <c r="F3235">
        <v>1.49E-3</v>
      </c>
      <c r="G3235">
        <v>0</v>
      </c>
      <c r="H3235" t="str">
        <f t="shared" si="150"/>
        <v>40-49</v>
      </c>
      <c r="I3235" t="str">
        <f t="shared" si="151"/>
        <v>20-29</v>
      </c>
      <c r="J3235">
        <f t="shared" si="152"/>
        <v>1.49E-3</v>
      </c>
    </row>
    <row r="3236" spans="1:10">
      <c r="A3236" t="s">
        <v>3318</v>
      </c>
      <c r="B3236">
        <v>22</v>
      </c>
      <c r="C3236" t="s">
        <v>9</v>
      </c>
      <c r="D3236">
        <v>14</v>
      </c>
      <c r="E3236">
        <v>35</v>
      </c>
      <c r="F3236">
        <v>8.7000000000000001E-4</v>
      </c>
      <c r="G3236">
        <v>0</v>
      </c>
      <c r="H3236" t="str">
        <f t="shared" si="150"/>
        <v>30-39</v>
      </c>
      <c r="I3236" t="str">
        <f t="shared" si="151"/>
        <v>10-19</v>
      </c>
      <c r="J3236">
        <f t="shared" si="152"/>
        <v>8.7000000000000001E-4</v>
      </c>
    </row>
    <row r="3237" spans="1:10">
      <c r="A3237" t="s">
        <v>3319</v>
      </c>
      <c r="B3237">
        <v>53</v>
      </c>
      <c r="C3237" t="s">
        <v>9</v>
      </c>
      <c r="D3237">
        <v>11</v>
      </c>
      <c r="E3237">
        <v>63</v>
      </c>
      <c r="F3237">
        <v>8.0300000000000007E-3</v>
      </c>
      <c r="G3237">
        <v>0</v>
      </c>
      <c r="H3237" t="str">
        <f t="shared" si="150"/>
        <v>60-69</v>
      </c>
      <c r="I3237" t="str">
        <f t="shared" si="151"/>
        <v>10-19</v>
      </c>
      <c r="J3237">
        <f t="shared" si="152"/>
        <v>8.0300000000000007E-3</v>
      </c>
    </row>
    <row r="3238" spans="1:10">
      <c r="A3238" t="s">
        <v>3320</v>
      </c>
      <c r="B3238">
        <v>60</v>
      </c>
      <c r="C3238" t="s">
        <v>7</v>
      </c>
      <c r="D3238">
        <v>2</v>
      </c>
      <c r="E3238">
        <v>61</v>
      </c>
      <c r="F3238">
        <v>1.58E-3</v>
      </c>
      <c r="G3238">
        <v>0</v>
      </c>
      <c r="H3238" t="str">
        <f t="shared" si="150"/>
        <v>60-69</v>
      </c>
      <c r="I3238" t="str">
        <f t="shared" si="151"/>
        <v>0-9</v>
      </c>
      <c r="J3238">
        <f t="shared" si="152"/>
        <v>1.58E-3</v>
      </c>
    </row>
    <row r="3239" spans="1:10">
      <c r="A3239" t="s">
        <v>3321</v>
      </c>
      <c r="B3239">
        <v>35</v>
      </c>
      <c r="C3239" t="s">
        <v>7</v>
      </c>
      <c r="D3239">
        <v>5</v>
      </c>
      <c r="E3239">
        <v>39</v>
      </c>
      <c r="F3239">
        <v>5.1999999999999995E-4</v>
      </c>
      <c r="G3239">
        <v>0</v>
      </c>
      <c r="H3239" t="str">
        <f t="shared" si="150"/>
        <v>30-39</v>
      </c>
      <c r="I3239" t="str">
        <f t="shared" si="151"/>
        <v>0-9</v>
      </c>
      <c r="J3239">
        <f t="shared" si="152"/>
        <v>5.1999999999999995E-4</v>
      </c>
    </row>
    <row r="3240" spans="1:10">
      <c r="A3240" t="s">
        <v>3322</v>
      </c>
      <c r="B3240">
        <v>34</v>
      </c>
      <c r="C3240" t="s">
        <v>9</v>
      </c>
      <c r="D3240">
        <v>22</v>
      </c>
      <c r="E3240">
        <v>55</v>
      </c>
      <c r="F3240">
        <v>4.0200000000000001E-3</v>
      </c>
      <c r="G3240">
        <v>0</v>
      </c>
      <c r="H3240" t="str">
        <f t="shared" si="150"/>
        <v>50-59</v>
      </c>
      <c r="I3240" t="str">
        <f t="shared" si="151"/>
        <v>20-29</v>
      </c>
      <c r="J3240">
        <f t="shared" si="152"/>
        <v>4.0200000000000001E-3</v>
      </c>
    </row>
    <row r="3241" spans="1:10">
      <c r="A3241" t="s">
        <v>3323</v>
      </c>
      <c r="B3241">
        <v>51</v>
      </c>
      <c r="C3241" t="s">
        <v>9</v>
      </c>
      <c r="D3241">
        <v>27</v>
      </c>
      <c r="E3241">
        <v>77</v>
      </c>
      <c r="F3241">
        <v>3.3509999999999998E-2</v>
      </c>
      <c r="G3241">
        <v>0</v>
      </c>
      <c r="H3241" t="str">
        <f t="shared" si="150"/>
        <v>70-79</v>
      </c>
      <c r="I3241" t="str">
        <f t="shared" si="151"/>
        <v>20-29</v>
      </c>
      <c r="J3241">
        <f t="shared" si="152"/>
        <v>3.3509999999999998E-2</v>
      </c>
    </row>
    <row r="3242" spans="1:10">
      <c r="A3242" t="s">
        <v>3324</v>
      </c>
      <c r="B3242">
        <v>28</v>
      </c>
      <c r="C3242" t="s">
        <v>7</v>
      </c>
      <c r="D3242">
        <v>7</v>
      </c>
      <c r="E3242">
        <v>34</v>
      </c>
      <c r="F3242">
        <v>3.6000000000000002E-4</v>
      </c>
      <c r="G3242">
        <v>0</v>
      </c>
      <c r="H3242" t="str">
        <f t="shared" si="150"/>
        <v>30-39</v>
      </c>
      <c r="I3242" t="str">
        <f t="shared" si="151"/>
        <v>0-9</v>
      </c>
      <c r="J3242">
        <f t="shared" si="152"/>
        <v>3.6000000000000002E-4</v>
      </c>
    </row>
    <row r="3243" spans="1:10">
      <c r="A3243" t="s">
        <v>3325</v>
      </c>
      <c r="B3243">
        <v>53</v>
      </c>
      <c r="C3243" t="s">
        <v>7</v>
      </c>
      <c r="D3243">
        <v>28</v>
      </c>
      <c r="E3243">
        <v>80</v>
      </c>
      <c r="F3243">
        <v>3.1989999999999998E-2</v>
      </c>
      <c r="G3243">
        <v>0</v>
      </c>
      <c r="H3243" t="str">
        <f t="shared" si="150"/>
        <v>80-89</v>
      </c>
      <c r="I3243" t="str">
        <f t="shared" si="151"/>
        <v>20-29</v>
      </c>
      <c r="J3243">
        <f t="shared" si="152"/>
        <v>3.1989999999999998E-2</v>
      </c>
    </row>
    <row r="3244" spans="1:10">
      <c r="A3244" t="s">
        <v>3326</v>
      </c>
      <c r="B3244">
        <v>47</v>
      </c>
      <c r="C3244" t="s">
        <v>9</v>
      </c>
      <c r="D3244">
        <v>3</v>
      </c>
      <c r="E3244">
        <v>49</v>
      </c>
      <c r="F3244">
        <v>1.2800000000000001E-3</v>
      </c>
      <c r="G3244">
        <v>0</v>
      </c>
      <c r="H3244" t="str">
        <f t="shared" si="150"/>
        <v>40-49</v>
      </c>
      <c r="I3244" t="str">
        <f t="shared" si="151"/>
        <v>0-9</v>
      </c>
      <c r="J3244">
        <f t="shared" si="152"/>
        <v>1.2800000000000001E-3</v>
      </c>
    </row>
    <row r="3245" spans="1:10">
      <c r="A3245" t="s">
        <v>3327</v>
      </c>
      <c r="B3245">
        <v>65</v>
      </c>
      <c r="C3245" t="s">
        <v>9</v>
      </c>
      <c r="D3245">
        <v>6</v>
      </c>
      <c r="E3245">
        <v>70</v>
      </c>
      <c r="F3245">
        <v>1.106E-2</v>
      </c>
      <c r="G3245">
        <v>0</v>
      </c>
      <c r="H3245" t="str">
        <f t="shared" si="150"/>
        <v>70-79</v>
      </c>
      <c r="I3245" t="str">
        <f t="shared" si="151"/>
        <v>0-9</v>
      </c>
      <c r="J3245">
        <f t="shared" si="152"/>
        <v>1.106E-2</v>
      </c>
    </row>
    <row r="3246" spans="1:10">
      <c r="A3246" t="s">
        <v>3328</v>
      </c>
      <c r="B3246">
        <v>59</v>
      </c>
      <c r="C3246" t="s">
        <v>7</v>
      </c>
      <c r="D3246">
        <v>13</v>
      </c>
      <c r="E3246">
        <v>71</v>
      </c>
      <c r="F3246">
        <v>1.193E-2</v>
      </c>
      <c r="G3246">
        <v>0</v>
      </c>
      <c r="H3246" t="str">
        <f t="shared" si="150"/>
        <v>70-79</v>
      </c>
      <c r="I3246" t="str">
        <f t="shared" si="151"/>
        <v>10-19</v>
      </c>
      <c r="J3246">
        <f t="shared" si="152"/>
        <v>1.193E-2</v>
      </c>
    </row>
    <row r="3247" spans="1:10">
      <c r="A3247" t="s">
        <v>3329</v>
      </c>
      <c r="B3247">
        <v>42</v>
      </c>
      <c r="C3247" t="s">
        <v>7</v>
      </c>
      <c r="D3247">
        <v>16</v>
      </c>
      <c r="E3247">
        <v>57</v>
      </c>
      <c r="F3247">
        <v>3.4099999999999998E-3</v>
      </c>
      <c r="G3247">
        <v>0</v>
      </c>
      <c r="H3247" t="str">
        <f t="shared" si="150"/>
        <v>50-59</v>
      </c>
      <c r="I3247" t="str">
        <f t="shared" si="151"/>
        <v>10-19</v>
      </c>
      <c r="J3247">
        <f t="shared" si="152"/>
        <v>3.4099999999999998E-3</v>
      </c>
    </row>
    <row r="3248" spans="1:10">
      <c r="A3248" t="s">
        <v>3330</v>
      </c>
      <c r="B3248">
        <v>39</v>
      </c>
      <c r="C3248" t="s">
        <v>9</v>
      </c>
      <c r="D3248">
        <v>27</v>
      </c>
      <c r="E3248">
        <v>65</v>
      </c>
      <c r="F3248">
        <v>9.6200000000000001E-3</v>
      </c>
      <c r="G3248">
        <v>0</v>
      </c>
      <c r="H3248" t="str">
        <f t="shared" si="150"/>
        <v>60-69</v>
      </c>
      <c r="I3248" t="str">
        <f t="shared" si="151"/>
        <v>20-29</v>
      </c>
      <c r="J3248">
        <f t="shared" si="152"/>
        <v>9.6200000000000001E-3</v>
      </c>
    </row>
    <row r="3249" spans="1:10">
      <c r="A3249" t="s">
        <v>3331</v>
      </c>
      <c r="B3249">
        <v>51</v>
      </c>
      <c r="C3249" t="s">
        <v>7</v>
      </c>
      <c r="D3249">
        <v>16</v>
      </c>
      <c r="E3249">
        <v>66</v>
      </c>
      <c r="F3249">
        <v>8.5400000000000007E-3</v>
      </c>
      <c r="G3249">
        <v>0</v>
      </c>
      <c r="H3249" t="str">
        <f t="shared" si="150"/>
        <v>60-69</v>
      </c>
      <c r="I3249" t="str">
        <f t="shared" si="151"/>
        <v>10-19</v>
      </c>
      <c r="J3249">
        <f t="shared" si="152"/>
        <v>8.5400000000000007E-3</v>
      </c>
    </row>
    <row r="3250" spans="1:10">
      <c r="A3250" t="s">
        <v>3332</v>
      </c>
      <c r="B3250">
        <v>42</v>
      </c>
      <c r="C3250" t="s">
        <v>9</v>
      </c>
      <c r="D3250">
        <v>18</v>
      </c>
      <c r="E3250">
        <v>59</v>
      </c>
      <c r="F3250">
        <v>5.7400000000000003E-3</v>
      </c>
      <c r="G3250">
        <v>0</v>
      </c>
      <c r="H3250" t="str">
        <f t="shared" si="150"/>
        <v>50-59</v>
      </c>
      <c r="I3250" t="str">
        <f t="shared" si="151"/>
        <v>10-19</v>
      </c>
      <c r="J3250">
        <f t="shared" si="152"/>
        <v>5.7400000000000003E-3</v>
      </c>
    </row>
    <row r="3251" spans="1:10">
      <c r="A3251" t="s">
        <v>3333</v>
      </c>
      <c r="B3251">
        <v>27</v>
      </c>
      <c r="C3251" t="s">
        <v>7</v>
      </c>
      <c r="D3251">
        <v>29</v>
      </c>
      <c r="E3251">
        <v>55</v>
      </c>
      <c r="F3251">
        <v>2.3800000000000002E-3</v>
      </c>
      <c r="G3251">
        <v>0</v>
      </c>
      <c r="H3251" t="str">
        <f t="shared" si="150"/>
        <v>50-59</v>
      </c>
      <c r="I3251" t="str">
        <f t="shared" si="151"/>
        <v>20-29</v>
      </c>
      <c r="J3251">
        <f t="shared" si="152"/>
        <v>2.3800000000000002E-3</v>
      </c>
    </row>
    <row r="3252" spans="1:10">
      <c r="A3252" t="s">
        <v>3334</v>
      </c>
      <c r="B3252">
        <v>46</v>
      </c>
      <c r="C3252" t="s">
        <v>9</v>
      </c>
      <c r="D3252">
        <v>15</v>
      </c>
      <c r="E3252">
        <v>60</v>
      </c>
      <c r="F3252">
        <v>6.11E-3</v>
      </c>
      <c r="G3252">
        <v>0</v>
      </c>
      <c r="H3252" t="str">
        <f t="shared" si="150"/>
        <v>60-69</v>
      </c>
      <c r="I3252" t="str">
        <f t="shared" si="151"/>
        <v>10-19</v>
      </c>
      <c r="J3252">
        <f t="shared" si="152"/>
        <v>6.11E-3</v>
      </c>
    </row>
    <row r="3253" spans="1:10">
      <c r="A3253" t="s">
        <v>3335</v>
      </c>
      <c r="B3253">
        <v>27</v>
      </c>
      <c r="C3253" t="s">
        <v>9</v>
      </c>
      <c r="D3253">
        <v>6</v>
      </c>
      <c r="E3253">
        <v>32</v>
      </c>
      <c r="F3253">
        <v>4.4000000000000002E-4</v>
      </c>
      <c r="G3253">
        <v>0</v>
      </c>
      <c r="H3253" t="str">
        <f t="shared" si="150"/>
        <v>30-39</v>
      </c>
      <c r="I3253" t="str">
        <f t="shared" si="151"/>
        <v>0-9</v>
      </c>
      <c r="J3253">
        <f t="shared" si="152"/>
        <v>4.4000000000000002E-4</v>
      </c>
    </row>
    <row r="3254" spans="1:10">
      <c r="A3254" t="s">
        <v>3336</v>
      </c>
      <c r="B3254">
        <v>27</v>
      </c>
      <c r="C3254" t="s">
        <v>7</v>
      </c>
      <c r="D3254">
        <v>12</v>
      </c>
      <c r="E3254">
        <v>38</v>
      </c>
      <c r="F3254">
        <v>7.2000000000000005E-4</v>
      </c>
      <c r="G3254">
        <v>0</v>
      </c>
      <c r="H3254" t="str">
        <f t="shared" si="150"/>
        <v>30-39</v>
      </c>
      <c r="I3254" t="str">
        <f t="shared" si="151"/>
        <v>10-19</v>
      </c>
      <c r="J3254">
        <f t="shared" si="152"/>
        <v>7.2000000000000005E-4</v>
      </c>
    </row>
    <row r="3255" spans="1:10">
      <c r="A3255" t="s">
        <v>3337</v>
      </c>
      <c r="B3255">
        <v>50</v>
      </c>
      <c r="C3255" t="s">
        <v>7</v>
      </c>
      <c r="D3255">
        <v>27</v>
      </c>
      <c r="E3255">
        <v>76</v>
      </c>
      <c r="F3255">
        <v>2.325E-2</v>
      </c>
      <c r="G3255">
        <v>0</v>
      </c>
      <c r="H3255" t="str">
        <f t="shared" si="150"/>
        <v>70-79</v>
      </c>
      <c r="I3255" t="str">
        <f t="shared" si="151"/>
        <v>20-29</v>
      </c>
      <c r="J3255">
        <f t="shared" si="152"/>
        <v>2.325E-2</v>
      </c>
    </row>
    <row r="3256" spans="1:10">
      <c r="A3256" t="s">
        <v>3338</v>
      </c>
      <c r="B3256">
        <v>46</v>
      </c>
      <c r="C3256" t="s">
        <v>9</v>
      </c>
      <c r="D3256">
        <v>22</v>
      </c>
      <c r="E3256">
        <v>67</v>
      </c>
      <c r="F3256">
        <v>1.2710000000000001E-2</v>
      </c>
      <c r="G3256">
        <v>0</v>
      </c>
      <c r="H3256" t="str">
        <f t="shared" si="150"/>
        <v>60-69</v>
      </c>
      <c r="I3256" t="str">
        <f t="shared" si="151"/>
        <v>20-29</v>
      </c>
      <c r="J3256">
        <f t="shared" si="152"/>
        <v>1.2710000000000001E-2</v>
      </c>
    </row>
    <row r="3257" spans="1:10">
      <c r="A3257" t="s">
        <v>3339</v>
      </c>
      <c r="B3257">
        <v>52</v>
      </c>
      <c r="C3257" t="s">
        <v>7</v>
      </c>
      <c r="D3257">
        <v>7</v>
      </c>
      <c r="E3257">
        <v>58</v>
      </c>
      <c r="F3257">
        <v>2.8400000000000001E-3</v>
      </c>
      <c r="G3257">
        <v>0</v>
      </c>
      <c r="H3257" t="str">
        <f t="shared" si="150"/>
        <v>50-59</v>
      </c>
      <c r="I3257" t="str">
        <f t="shared" si="151"/>
        <v>0-9</v>
      </c>
      <c r="J3257">
        <f t="shared" si="152"/>
        <v>2.8400000000000001E-3</v>
      </c>
    </row>
    <row r="3258" spans="1:10">
      <c r="A3258" t="s">
        <v>3340</v>
      </c>
      <c r="B3258">
        <v>23</v>
      </c>
      <c r="C3258" t="s">
        <v>7</v>
      </c>
      <c r="D3258">
        <v>18</v>
      </c>
      <c r="E3258">
        <v>40</v>
      </c>
      <c r="F3258">
        <v>1.0499999999999999E-3</v>
      </c>
      <c r="G3258">
        <v>0</v>
      </c>
      <c r="H3258" t="str">
        <f t="shared" si="150"/>
        <v>40-49</v>
      </c>
      <c r="I3258" t="str">
        <f t="shared" si="151"/>
        <v>10-19</v>
      </c>
      <c r="J3258">
        <f t="shared" si="152"/>
        <v>1.0499999999999999E-3</v>
      </c>
    </row>
    <row r="3259" spans="1:10">
      <c r="A3259" t="s">
        <v>3341</v>
      </c>
      <c r="B3259">
        <v>40</v>
      </c>
      <c r="C3259" t="s">
        <v>9</v>
      </c>
      <c r="D3259">
        <v>14</v>
      </c>
      <c r="E3259">
        <v>53</v>
      </c>
      <c r="F3259">
        <v>2.9499999999999999E-3</v>
      </c>
      <c r="G3259">
        <v>0</v>
      </c>
      <c r="H3259" t="str">
        <f t="shared" si="150"/>
        <v>50-59</v>
      </c>
      <c r="I3259" t="str">
        <f t="shared" si="151"/>
        <v>10-19</v>
      </c>
      <c r="J3259">
        <f t="shared" si="152"/>
        <v>2.9499999999999999E-3</v>
      </c>
    </row>
    <row r="3260" spans="1:10">
      <c r="A3260" t="s">
        <v>3342</v>
      </c>
      <c r="B3260">
        <v>45</v>
      </c>
      <c r="C3260" t="s">
        <v>7</v>
      </c>
      <c r="D3260">
        <v>9</v>
      </c>
      <c r="E3260">
        <v>53</v>
      </c>
      <c r="F3260">
        <v>1.9499999999999999E-3</v>
      </c>
      <c r="G3260">
        <v>0</v>
      </c>
      <c r="H3260" t="str">
        <f t="shared" si="150"/>
        <v>50-59</v>
      </c>
      <c r="I3260" t="str">
        <f t="shared" si="151"/>
        <v>0-9</v>
      </c>
      <c r="J3260">
        <f t="shared" si="152"/>
        <v>1.9499999999999999E-3</v>
      </c>
    </row>
    <row r="3261" spans="1:10">
      <c r="A3261" t="s">
        <v>3343</v>
      </c>
      <c r="B3261">
        <v>34</v>
      </c>
      <c r="C3261" t="s">
        <v>7</v>
      </c>
      <c r="D3261">
        <v>11</v>
      </c>
      <c r="E3261">
        <v>44</v>
      </c>
      <c r="F3261">
        <v>9.3000000000000005E-4</v>
      </c>
      <c r="G3261">
        <v>0</v>
      </c>
      <c r="H3261" t="str">
        <f t="shared" si="150"/>
        <v>40-49</v>
      </c>
      <c r="I3261" t="str">
        <f t="shared" si="151"/>
        <v>10-19</v>
      </c>
      <c r="J3261">
        <f t="shared" si="152"/>
        <v>9.3000000000000005E-4</v>
      </c>
    </row>
    <row r="3262" spans="1:10">
      <c r="A3262" t="s">
        <v>3344</v>
      </c>
      <c r="B3262">
        <v>48</v>
      </c>
      <c r="C3262" t="s">
        <v>9</v>
      </c>
      <c r="D3262">
        <v>14</v>
      </c>
      <c r="E3262">
        <v>61</v>
      </c>
      <c r="F3262">
        <v>6.6699999999999997E-3</v>
      </c>
      <c r="G3262">
        <v>0</v>
      </c>
      <c r="H3262" t="str">
        <f t="shared" si="150"/>
        <v>60-69</v>
      </c>
      <c r="I3262" t="str">
        <f t="shared" si="151"/>
        <v>10-19</v>
      </c>
      <c r="J3262">
        <f t="shared" si="152"/>
        <v>6.6699999999999997E-3</v>
      </c>
    </row>
    <row r="3263" spans="1:10">
      <c r="A3263" t="s">
        <v>3345</v>
      </c>
      <c r="B3263">
        <v>54</v>
      </c>
      <c r="C3263" t="s">
        <v>7</v>
      </c>
      <c r="D3263">
        <v>7</v>
      </c>
      <c r="E3263">
        <v>60</v>
      </c>
      <c r="F3263">
        <v>3.48E-3</v>
      </c>
      <c r="G3263">
        <v>0</v>
      </c>
      <c r="H3263" t="str">
        <f t="shared" si="150"/>
        <v>60-69</v>
      </c>
      <c r="I3263" t="str">
        <f t="shared" si="151"/>
        <v>0-9</v>
      </c>
      <c r="J3263">
        <f t="shared" si="152"/>
        <v>3.48E-3</v>
      </c>
    </row>
    <row r="3264" spans="1:10">
      <c r="A3264" t="s">
        <v>3346</v>
      </c>
      <c r="B3264">
        <v>59</v>
      </c>
      <c r="C3264" t="s">
        <v>9</v>
      </c>
      <c r="D3264">
        <v>20</v>
      </c>
      <c r="E3264">
        <v>78</v>
      </c>
      <c r="F3264">
        <v>4.079E-2</v>
      </c>
      <c r="G3264">
        <v>0</v>
      </c>
      <c r="H3264" t="str">
        <f t="shared" si="150"/>
        <v>70-79</v>
      </c>
      <c r="I3264" t="str">
        <f t="shared" si="151"/>
        <v>20-29</v>
      </c>
      <c r="J3264">
        <f t="shared" si="152"/>
        <v>4.079E-2</v>
      </c>
    </row>
    <row r="3265" spans="1:10">
      <c r="A3265" t="s">
        <v>3347</v>
      </c>
      <c r="B3265">
        <v>21</v>
      </c>
      <c r="C3265" t="s">
        <v>9</v>
      </c>
      <c r="D3265">
        <v>24</v>
      </c>
      <c r="E3265">
        <v>44</v>
      </c>
      <c r="F3265">
        <v>2.2899999999999999E-3</v>
      </c>
      <c r="G3265">
        <v>0</v>
      </c>
      <c r="H3265" t="str">
        <f t="shared" si="150"/>
        <v>40-49</v>
      </c>
      <c r="I3265" t="str">
        <f t="shared" si="151"/>
        <v>20-29</v>
      </c>
      <c r="J3265">
        <f t="shared" si="152"/>
        <v>2.2899999999999999E-3</v>
      </c>
    </row>
    <row r="3266" spans="1:10">
      <c r="A3266" t="s">
        <v>3348</v>
      </c>
      <c r="B3266">
        <v>65</v>
      </c>
      <c r="C3266" t="s">
        <v>7</v>
      </c>
      <c r="D3266">
        <v>11</v>
      </c>
      <c r="E3266">
        <v>75</v>
      </c>
      <c r="F3266">
        <v>1.635E-2</v>
      </c>
      <c r="G3266">
        <v>0</v>
      </c>
      <c r="H3266" t="str">
        <f t="shared" si="150"/>
        <v>70-79</v>
      </c>
      <c r="I3266" t="str">
        <f t="shared" si="151"/>
        <v>10-19</v>
      </c>
      <c r="J3266">
        <f t="shared" si="152"/>
        <v>1.635E-2</v>
      </c>
    </row>
    <row r="3267" spans="1:10">
      <c r="A3267" t="s">
        <v>3349</v>
      </c>
      <c r="B3267">
        <v>55</v>
      </c>
      <c r="C3267" t="s">
        <v>7</v>
      </c>
      <c r="D3267">
        <v>3</v>
      </c>
      <c r="E3267">
        <v>57</v>
      </c>
      <c r="F3267">
        <v>1.8500000000000001E-3</v>
      </c>
      <c r="G3267">
        <v>0</v>
      </c>
      <c r="H3267" t="str">
        <f t="shared" ref="H3267:H3330" si="153">FLOOR(E3267,10) &amp; "-" &amp; FLOOR(E3267,10)+9</f>
        <v>50-59</v>
      </c>
      <c r="I3267" t="str">
        <f t="shared" ref="I3267:I3330" si="154">FLOOR(D3267, 10) &amp; "-"&amp;FLOOR(D3267, 10)+9</f>
        <v>0-9</v>
      </c>
      <c r="J3267">
        <f t="shared" ref="J3267:J3330" si="155">F3267</f>
        <v>1.8500000000000001E-3</v>
      </c>
    </row>
    <row r="3268" spans="1:10">
      <c r="A3268" t="s">
        <v>3350</v>
      </c>
      <c r="B3268">
        <v>43</v>
      </c>
      <c r="C3268" t="s">
        <v>9</v>
      </c>
      <c r="D3268">
        <v>18</v>
      </c>
      <c r="E3268">
        <v>60</v>
      </c>
      <c r="F3268">
        <v>6.3299999999999997E-3</v>
      </c>
      <c r="G3268">
        <v>0</v>
      </c>
      <c r="H3268" t="str">
        <f t="shared" si="153"/>
        <v>60-69</v>
      </c>
      <c r="I3268" t="str">
        <f t="shared" si="154"/>
        <v>10-19</v>
      </c>
      <c r="J3268">
        <f t="shared" si="155"/>
        <v>6.3299999999999997E-3</v>
      </c>
    </row>
    <row r="3269" spans="1:10">
      <c r="A3269" t="s">
        <v>3351</v>
      </c>
      <c r="B3269">
        <v>54</v>
      </c>
      <c r="C3269" t="s">
        <v>7</v>
      </c>
      <c r="D3269">
        <v>13</v>
      </c>
      <c r="E3269">
        <v>66</v>
      </c>
      <c r="F3269">
        <v>7.6E-3</v>
      </c>
      <c r="G3269">
        <v>0</v>
      </c>
      <c r="H3269" t="str">
        <f t="shared" si="153"/>
        <v>60-69</v>
      </c>
      <c r="I3269" t="str">
        <f t="shared" si="154"/>
        <v>10-19</v>
      </c>
      <c r="J3269">
        <f t="shared" si="155"/>
        <v>7.6E-3</v>
      </c>
    </row>
    <row r="3270" spans="1:10">
      <c r="A3270" t="s">
        <v>3352</v>
      </c>
      <c r="B3270">
        <v>30</v>
      </c>
      <c r="C3270" t="s">
        <v>9</v>
      </c>
      <c r="D3270">
        <v>30</v>
      </c>
      <c r="E3270">
        <v>59</v>
      </c>
      <c r="F3270">
        <v>4.0499999999999998E-3</v>
      </c>
      <c r="G3270">
        <v>0</v>
      </c>
      <c r="H3270" t="str">
        <f t="shared" si="153"/>
        <v>50-59</v>
      </c>
      <c r="I3270" t="str">
        <f t="shared" si="154"/>
        <v>30-39</v>
      </c>
      <c r="J3270">
        <f t="shared" si="155"/>
        <v>4.0499999999999998E-3</v>
      </c>
    </row>
    <row r="3271" spans="1:10">
      <c r="A3271" t="s">
        <v>3353</v>
      </c>
      <c r="B3271">
        <v>55</v>
      </c>
      <c r="C3271" t="s">
        <v>9</v>
      </c>
      <c r="D3271">
        <v>24</v>
      </c>
      <c r="E3271">
        <v>78</v>
      </c>
      <c r="F3271">
        <v>4.1189999999999997E-2</v>
      </c>
      <c r="G3271">
        <v>1</v>
      </c>
      <c r="H3271" t="str">
        <f t="shared" si="153"/>
        <v>70-79</v>
      </c>
      <c r="I3271" t="str">
        <f t="shared" si="154"/>
        <v>20-29</v>
      </c>
      <c r="J3271">
        <f t="shared" si="155"/>
        <v>4.1189999999999997E-2</v>
      </c>
    </row>
    <row r="3272" spans="1:10">
      <c r="A3272" t="s">
        <v>3354</v>
      </c>
      <c r="B3272">
        <v>21</v>
      </c>
      <c r="C3272" t="s">
        <v>7</v>
      </c>
      <c r="D3272">
        <v>25</v>
      </c>
      <c r="E3272">
        <v>45</v>
      </c>
      <c r="F3272">
        <v>1.3799999999999999E-3</v>
      </c>
      <c r="G3272">
        <v>0</v>
      </c>
      <c r="H3272" t="str">
        <f t="shared" si="153"/>
        <v>40-49</v>
      </c>
      <c r="I3272" t="str">
        <f t="shared" si="154"/>
        <v>20-29</v>
      </c>
      <c r="J3272">
        <f t="shared" si="155"/>
        <v>1.3799999999999999E-3</v>
      </c>
    </row>
    <row r="3273" spans="1:10">
      <c r="A3273" t="s">
        <v>3355</v>
      </c>
      <c r="B3273">
        <v>45</v>
      </c>
      <c r="C3273" t="s">
        <v>9</v>
      </c>
      <c r="D3273">
        <v>26</v>
      </c>
      <c r="E3273">
        <v>70</v>
      </c>
      <c r="F3273">
        <v>1.7160000000000002E-2</v>
      </c>
      <c r="G3273">
        <v>0</v>
      </c>
      <c r="H3273" t="str">
        <f t="shared" si="153"/>
        <v>70-79</v>
      </c>
      <c r="I3273" t="str">
        <f t="shared" si="154"/>
        <v>20-29</v>
      </c>
      <c r="J3273">
        <f t="shared" si="155"/>
        <v>1.7160000000000002E-2</v>
      </c>
    </row>
    <row r="3274" spans="1:10">
      <c r="A3274" t="s">
        <v>3356</v>
      </c>
      <c r="B3274">
        <v>39</v>
      </c>
      <c r="C3274" t="s">
        <v>9</v>
      </c>
      <c r="D3274">
        <v>1</v>
      </c>
      <c r="E3274">
        <v>39</v>
      </c>
      <c r="F3274">
        <v>2.9E-4</v>
      </c>
      <c r="G3274">
        <v>0</v>
      </c>
      <c r="H3274" t="str">
        <f t="shared" si="153"/>
        <v>30-39</v>
      </c>
      <c r="I3274" t="str">
        <f t="shared" si="154"/>
        <v>0-9</v>
      </c>
      <c r="J3274">
        <f t="shared" si="155"/>
        <v>2.9E-4</v>
      </c>
    </row>
    <row r="3275" spans="1:10">
      <c r="A3275" t="s">
        <v>3357</v>
      </c>
      <c r="B3275">
        <v>35</v>
      </c>
      <c r="C3275" t="s">
        <v>9</v>
      </c>
      <c r="D3275">
        <v>2</v>
      </c>
      <c r="E3275">
        <v>36</v>
      </c>
      <c r="F3275">
        <v>3.4000000000000002E-4</v>
      </c>
      <c r="G3275">
        <v>0</v>
      </c>
      <c r="H3275" t="str">
        <f t="shared" si="153"/>
        <v>30-39</v>
      </c>
      <c r="I3275" t="str">
        <f t="shared" si="154"/>
        <v>0-9</v>
      </c>
      <c r="J3275">
        <f t="shared" si="155"/>
        <v>3.4000000000000002E-4</v>
      </c>
    </row>
    <row r="3276" spans="1:10">
      <c r="A3276" t="s">
        <v>3358</v>
      </c>
      <c r="B3276">
        <v>44</v>
      </c>
      <c r="C3276" t="s">
        <v>9</v>
      </c>
      <c r="D3276">
        <v>21</v>
      </c>
      <c r="E3276">
        <v>64</v>
      </c>
      <c r="F3276">
        <v>9.2899999999999996E-3</v>
      </c>
      <c r="G3276">
        <v>0</v>
      </c>
      <c r="H3276" t="str">
        <f t="shared" si="153"/>
        <v>60-69</v>
      </c>
      <c r="I3276" t="str">
        <f t="shared" si="154"/>
        <v>20-29</v>
      </c>
      <c r="J3276">
        <f t="shared" si="155"/>
        <v>9.2899999999999996E-3</v>
      </c>
    </row>
    <row r="3277" spans="1:10">
      <c r="A3277" t="s">
        <v>3359</v>
      </c>
      <c r="B3277">
        <v>37</v>
      </c>
      <c r="C3277" t="s">
        <v>9</v>
      </c>
      <c r="D3277">
        <v>28</v>
      </c>
      <c r="E3277">
        <v>64</v>
      </c>
      <c r="F3277">
        <v>7.79E-3</v>
      </c>
      <c r="G3277">
        <v>0</v>
      </c>
      <c r="H3277" t="str">
        <f t="shared" si="153"/>
        <v>60-69</v>
      </c>
      <c r="I3277" t="str">
        <f t="shared" si="154"/>
        <v>20-29</v>
      </c>
      <c r="J3277">
        <f t="shared" si="155"/>
        <v>7.79E-3</v>
      </c>
    </row>
    <row r="3278" spans="1:10">
      <c r="A3278" t="s">
        <v>3360</v>
      </c>
      <c r="B3278">
        <v>65</v>
      </c>
      <c r="C3278" t="s">
        <v>7</v>
      </c>
      <c r="D3278">
        <v>25</v>
      </c>
      <c r="E3278">
        <v>89</v>
      </c>
      <c r="F3278">
        <v>0.11754000000000001</v>
      </c>
      <c r="G3278">
        <v>1</v>
      </c>
      <c r="H3278" t="str">
        <f t="shared" si="153"/>
        <v>80-89</v>
      </c>
      <c r="I3278" t="str">
        <f t="shared" si="154"/>
        <v>20-29</v>
      </c>
      <c r="J3278">
        <f t="shared" si="155"/>
        <v>0.11754000000000001</v>
      </c>
    </row>
    <row r="3279" spans="1:10">
      <c r="A3279" t="s">
        <v>3361</v>
      </c>
      <c r="B3279">
        <v>54</v>
      </c>
      <c r="C3279" t="s">
        <v>7</v>
      </c>
      <c r="D3279">
        <v>20</v>
      </c>
      <c r="E3279">
        <v>73</v>
      </c>
      <c r="F3279">
        <v>1.8509999999999999E-2</v>
      </c>
      <c r="G3279">
        <v>0</v>
      </c>
      <c r="H3279" t="str">
        <f t="shared" si="153"/>
        <v>70-79</v>
      </c>
      <c r="I3279" t="str">
        <f t="shared" si="154"/>
        <v>20-29</v>
      </c>
      <c r="J3279">
        <f t="shared" si="155"/>
        <v>1.8509999999999999E-2</v>
      </c>
    </row>
    <row r="3280" spans="1:10">
      <c r="A3280" t="s">
        <v>3362</v>
      </c>
      <c r="B3280">
        <v>57</v>
      </c>
      <c r="C3280" t="s">
        <v>9</v>
      </c>
      <c r="D3280">
        <v>26</v>
      </c>
      <c r="E3280">
        <v>82</v>
      </c>
      <c r="F3280">
        <v>6.3329999999999997E-2</v>
      </c>
      <c r="G3280">
        <v>0</v>
      </c>
      <c r="H3280" t="str">
        <f t="shared" si="153"/>
        <v>80-89</v>
      </c>
      <c r="I3280" t="str">
        <f t="shared" si="154"/>
        <v>20-29</v>
      </c>
      <c r="J3280">
        <f t="shared" si="155"/>
        <v>6.3329999999999997E-2</v>
      </c>
    </row>
    <row r="3281" spans="1:10">
      <c r="A3281" t="s">
        <v>3363</v>
      </c>
      <c r="B3281">
        <v>39</v>
      </c>
      <c r="C3281" t="s">
        <v>9</v>
      </c>
      <c r="D3281">
        <v>26</v>
      </c>
      <c r="E3281">
        <v>64</v>
      </c>
      <c r="F3281">
        <v>9.6200000000000001E-3</v>
      </c>
      <c r="G3281">
        <v>0</v>
      </c>
      <c r="H3281" t="str">
        <f t="shared" si="153"/>
        <v>60-69</v>
      </c>
      <c r="I3281" t="str">
        <f t="shared" si="154"/>
        <v>20-29</v>
      </c>
      <c r="J3281">
        <f t="shared" si="155"/>
        <v>9.6200000000000001E-3</v>
      </c>
    </row>
    <row r="3282" spans="1:10">
      <c r="A3282" t="s">
        <v>3364</v>
      </c>
      <c r="B3282">
        <v>21</v>
      </c>
      <c r="C3282" t="s">
        <v>9</v>
      </c>
      <c r="D3282">
        <v>10</v>
      </c>
      <c r="E3282">
        <v>30</v>
      </c>
      <c r="F3282">
        <v>6.6E-4</v>
      </c>
      <c r="G3282">
        <v>0</v>
      </c>
      <c r="H3282" t="str">
        <f t="shared" si="153"/>
        <v>30-39</v>
      </c>
      <c r="I3282" t="str">
        <f t="shared" si="154"/>
        <v>10-19</v>
      </c>
      <c r="J3282">
        <f t="shared" si="155"/>
        <v>6.6E-4</v>
      </c>
    </row>
    <row r="3283" spans="1:10">
      <c r="A3283" t="s">
        <v>3365</v>
      </c>
      <c r="B3283">
        <v>36</v>
      </c>
      <c r="C3283" t="s">
        <v>7</v>
      </c>
      <c r="D3283">
        <v>21</v>
      </c>
      <c r="E3283">
        <v>56</v>
      </c>
      <c r="F3283">
        <v>3.3700000000000002E-3</v>
      </c>
      <c r="G3283">
        <v>0</v>
      </c>
      <c r="H3283" t="str">
        <f t="shared" si="153"/>
        <v>50-59</v>
      </c>
      <c r="I3283" t="str">
        <f t="shared" si="154"/>
        <v>20-29</v>
      </c>
      <c r="J3283">
        <f t="shared" si="155"/>
        <v>3.3700000000000002E-3</v>
      </c>
    </row>
    <row r="3284" spans="1:10">
      <c r="A3284" t="s">
        <v>3366</v>
      </c>
      <c r="B3284">
        <v>47</v>
      </c>
      <c r="C3284" t="s">
        <v>9</v>
      </c>
      <c r="D3284">
        <v>3</v>
      </c>
      <c r="E3284">
        <v>49</v>
      </c>
      <c r="F3284">
        <v>1.2800000000000001E-3</v>
      </c>
      <c r="G3284">
        <v>0</v>
      </c>
      <c r="H3284" t="str">
        <f t="shared" si="153"/>
        <v>40-49</v>
      </c>
      <c r="I3284" t="str">
        <f t="shared" si="154"/>
        <v>0-9</v>
      </c>
      <c r="J3284">
        <f t="shared" si="155"/>
        <v>1.2800000000000001E-3</v>
      </c>
    </row>
    <row r="3285" spans="1:10">
      <c r="A3285" t="s">
        <v>3367</v>
      </c>
      <c r="B3285">
        <v>37</v>
      </c>
      <c r="C3285" t="s">
        <v>9</v>
      </c>
      <c r="D3285">
        <v>16</v>
      </c>
      <c r="E3285">
        <v>52</v>
      </c>
      <c r="F3285">
        <v>2.7799999999999999E-3</v>
      </c>
      <c r="G3285">
        <v>0</v>
      </c>
      <c r="H3285" t="str">
        <f t="shared" si="153"/>
        <v>50-59</v>
      </c>
      <c r="I3285" t="str">
        <f t="shared" si="154"/>
        <v>10-19</v>
      </c>
      <c r="J3285">
        <f t="shared" si="155"/>
        <v>2.7799999999999999E-3</v>
      </c>
    </row>
    <row r="3286" spans="1:10">
      <c r="A3286" t="s">
        <v>3368</v>
      </c>
      <c r="B3286">
        <v>52</v>
      </c>
      <c r="C3286" t="s">
        <v>9</v>
      </c>
      <c r="D3286">
        <v>8</v>
      </c>
      <c r="E3286">
        <v>59</v>
      </c>
      <c r="F3286">
        <v>4.9300000000000004E-3</v>
      </c>
      <c r="G3286">
        <v>0</v>
      </c>
      <c r="H3286" t="str">
        <f t="shared" si="153"/>
        <v>50-59</v>
      </c>
      <c r="I3286" t="str">
        <f t="shared" si="154"/>
        <v>0-9</v>
      </c>
      <c r="J3286">
        <f t="shared" si="155"/>
        <v>4.9300000000000004E-3</v>
      </c>
    </row>
    <row r="3287" spans="1:10">
      <c r="A3287" t="s">
        <v>3369</v>
      </c>
      <c r="B3287">
        <v>45</v>
      </c>
      <c r="C3287" t="s">
        <v>7</v>
      </c>
      <c r="D3287">
        <v>12</v>
      </c>
      <c r="E3287">
        <v>56</v>
      </c>
      <c r="F3287">
        <v>2.82E-3</v>
      </c>
      <c r="G3287">
        <v>0</v>
      </c>
      <c r="H3287" t="str">
        <f t="shared" si="153"/>
        <v>50-59</v>
      </c>
      <c r="I3287" t="str">
        <f t="shared" si="154"/>
        <v>10-19</v>
      </c>
      <c r="J3287">
        <f t="shared" si="155"/>
        <v>2.82E-3</v>
      </c>
    </row>
    <row r="3288" spans="1:10">
      <c r="A3288" t="s">
        <v>3370</v>
      </c>
      <c r="B3288">
        <v>48</v>
      </c>
      <c r="C3288" t="s">
        <v>7</v>
      </c>
      <c r="D3288">
        <v>8</v>
      </c>
      <c r="E3288">
        <v>55</v>
      </c>
      <c r="F3288">
        <v>2.2300000000000002E-3</v>
      </c>
      <c r="G3288">
        <v>0</v>
      </c>
      <c r="H3288" t="str">
        <f t="shared" si="153"/>
        <v>50-59</v>
      </c>
      <c r="I3288" t="str">
        <f t="shared" si="154"/>
        <v>0-9</v>
      </c>
      <c r="J3288">
        <f t="shared" si="155"/>
        <v>2.2300000000000002E-3</v>
      </c>
    </row>
    <row r="3289" spans="1:10">
      <c r="A3289" t="s">
        <v>3371</v>
      </c>
      <c r="B3289">
        <v>34</v>
      </c>
      <c r="C3289" t="s">
        <v>9</v>
      </c>
      <c r="D3289">
        <v>15</v>
      </c>
      <c r="E3289">
        <v>48</v>
      </c>
      <c r="F3289">
        <v>1.97E-3</v>
      </c>
      <c r="G3289">
        <v>0</v>
      </c>
      <c r="H3289" t="str">
        <f t="shared" si="153"/>
        <v>40-49</v>
      </c>
      <c r="I3289" t="str">
        <f t="shared" si="154"/>
        <v>10-19</v>
      </c>
      <c r="J3289">
        <f t="shared" si="155"/>
        <v>1.97E-3</v>
      </c>
    </row>
    <row r="3290" spans="1:10">
      <c r="A3290" t="s">
        <v>3372</v>
      </c>
      <c r="B3290">
        <v>61</v>
      </c>
      <c r="C3290" t="s">
        <v>9</v>
      </c>
      <c r="D3290">
        <v>10</v>
      </c>
      <c r="E3290">
        <v>70</v>
      </c>
      <c r="F3290">
        <v>1.4999999999999999E-2</v>
      </c>
      <c r="G3290">
        <v>0</v>
      </c>
      <c r="H3290" t="str">
        <f t="shared" si="153"/>
        <v>70-79</v>
      </c>
      <c r="I3290" t="str">
        <f t="shared" si="154"/>
        <v>10-19</v>
      </c>
      <c r="J3290">
        <f t="shared" si="155"/>
        <v>1.4999999999999999E-2</v>
      </c>
    </row>
    <row r="3291" spans="1:10">
      <c r="A3291" t="s">
        <v>3373</v>
      </c>
      <c r="B3291">
        <v>25</v>
      </c>
      <c r="C3291" t="s">
        <v>7</v>
      </c>
      <c r="D3291">
        <v>4</v>
      </c>
      <c r="E3291">
        <v>28</v>
      </c>
      <c r="F3291">
        <v>2.2000000000000001E-4</v>
      </c>
      <c r="G3291">
        <v>0</v>
      </c>
      <c r="H3291" t="str">
        <f t="shared" si="153"/>
        <v>20-29</v>
      </c>
      <c r="I3291" t="str">
        <f t="shared" si="154"/>
        <v>0-9</v>
      </c>
      <c r="J3291">
        <f t="shared" si="155"/>
        <v>2.2000000000000001E-4</v>
      </c>
    </row>
    <row r="3292" spans="1:10">
      <c r="A3292" t="s">
        <v>3374</v>
      </c>
      <c r="B3292">
        <v>51</v>
      </c>
      <c r="C3292" t="s">
        <v>9</v>
      </c>
      <c r="D3292">
        <v>19</v>
      </c>
      <c r="E3292">
        <v>69</v>
      </c>
      <c r="F3292">
        <v>1.511E-2</v>
      </c>
      <c r="G3292">
        <v>0</v>
      </c>
      <c r="H3292" t="str">
        <f t="shared" si="153"/>
        <v>60-69</v>
      </c>
      <c r="I3292" t="str">
        <f t="shared" si="154"/>
        <v>10-19</v>
      </c>
      <c r="J3292">
        <f t="shared" si="155"/>
        <v>1.511E-2</v>
      </c>
    </row>
    <row r="3293" spans="1:10">
      <c r="A3293" t="s">
        <v>3375</v>
      </c>
      <c r="B3293">
        <v>59</v>
      </c>
      <c r="C3293" t="s">
        <v>9</v>
      </c>
      <c r="D3293">
        <v>27</v>
      </c>
      <c r="E3293">
        <v>85</v>
      </c>
      <c r="F3293">
        <v>8.0629999999999993E-2</v>
      </c>
      <c r="G3293">
        <v>0</v>
      </c>
      <c r="H3293" t="str">
        <f t="shared" si="153"/>
        <v>80-89</v>
      </c>
      <c r="I3293" t="str">
        <f t="shared" si="154"/>
        <v>20-29</v>
      </c>
      <c r="J3293">
        <f t="shared" si="155"/>
        <v>8.0629999999999993E-2</v>
      </c>
    </row>
    <row r="3294" spans="1:10">
      <c r="A3294" t="s">
        <v>3376</v>
      </c>
      <c r="B3294">
        <v>56</v>
      </c>
      <c r="C3294" t="s">
        <v>9</v>
      </c>
      <c r="D3294">
        <v>25</v>
      </c>
      <c r="E3294">
        <v>80</v>
      </c>
      <c r="F3294">
        <v>5.0909999999999997E-2</v>
      </c>
      <c r="G3294">
        <v>0</v>
      </c>
      <c r="H3294" t="str">
        <f t="shared" si="153"/>
        <v>80-89</v>
      </c>
      <c r="I3294" t="str">
        <f t="shared" si="154"/>
        <v>20-29</v>
      </c>
      <c r="J3294">
        <f t="shared" si="155"/>
        <v>5.0909999999999997E-2</v>
      </c>
    </row>
    <row r="3295" spans="1:10">
      <c r="A3295" t="s">
        <v>3377</v>
      </c>
      <c r="B3295">
        <v>36</v>
      </c>
      <c r="C3295" t="s">
        <v>9</v>
      </c>
      <c r="D3295">
        <v>14</v>
      </c>
      <c r="E3295">
        <v>49</v>
      </c>
      <c r="F3295">
        <v>2.0699999999999998E-3</v>
      </c>
      <c r="G3295">
        <v>0</v>
      </c>
      <c r="H3295" t="str">
        <f t="shared" si="153"/>
        <v>40-49</v>
      </c>
      <c r="I3295" t="str">
        <f t="shared" si="154"/>
        <v>10-19</v>
      </c>
      <c r="J3295">
        <f t="shared" si="155"/>
        <v>2.0699999999999998E-3</v>
      </c>
    </row>
    <row r="3296" spans="1:10">
      <c r="A3296" t="s">
        <v>3378</v>
      </c>
      <c r="B3296">
        <v>29</v>
      </c>
      <c r="C3296" t="s">
        <v>9</v>
      </c>
      <c r="D3296">
        <v>2</v>
      </c>
      <c r="E3296">
        <v>30</v>
      </c>
      <c r="F3296">
        <v>3.1E-4</v>
      </c>
      <c r="G3296">
        <v>0</v>
      </c>
      <c r="H3296" t="str">
        <f t="shared" si="153"/>
        <v>30-39</v>
      </c>
      <c r="I3296" t="str">
        <f t="shared" si="154"/>
        <v>0-9</v>
      </c>
      <c r="J3296">
        <f t="shared" si="155"/>
        <v>3.1E-4</v>
      </c>
    </row>
    <row r="3297" spans="1:10">
      <c r="A3297" t="s">
        <v>3379</v>
      </c>
      <c r="B3297">
        <v>46</v>
      </c>
      <c r="C3297" t="s">
        <v>9</v>
      </c>
      <c r="D3297">
        <v>28</v>
      </c>
      <c r="E3297">
        <v>73</v>
      </c>
      <c r="F3297">
        <v>1.9089999999999999E-2</v>
      </c>
      <c r="G3297">
        <v>0</v>
      </c>
      <c r="H3297" t="str">
        <f t="shared" si="153"/>
        <v>70-79</v>
      </c>
      <c r="I3297" t="str">
        <f t="shared" si="154"/>
        <v>20-29</v>
      </c>
      <c r="J3297">
        <f t="shared" si="155"/>
        <v>1.9089999999999999E-2</v>
      </c>
    </row>
    <row r="3298" spans="1:10">
      <c r="A3298" t="s">
        <v>3380</v>
      </c>
      <c r="B3298">
        <v>55</v>
      </c>
      <c r="C3298" t="s">
        <v>9</v>
      </c>
      <c r="D3298">
        <v>26</v>
      </c>
      <c r="E3298">
        <v>80</v>
      </c>
      <c r="F3298">
        <v>5.0909999999999997E-2</v>
      </c>
      <c r="G3298">
        <v>0</v>
      </c>
      <c r="H3298" t="str">
        <f t="shared" si="153"/>
        <v>80-89</v>
      </c>
      <c r="I3298" t="str">
        <f t="shared" si="154"/>
        <v>20-29</v>
      </c>
      <c r="J3298">
        <f t="shared" si="155"/>
        <v>5.0909999999999997E-2</v>
      </c>
    </row>
    <row r="3299" spans="1:10">
      <c r="A3299" t="s">
        <v>3381</v>
      </c>
      <c r="B3299">
        <v>61</v>
      </c>
      <c r="C3299" t="s">
        <v>9</v>
      </c>
      <c r="D3299">
        <v>8</v>
      </c>
      <c r="E3299">
        <v>68</v>
      </c>
      <c r="F3299">
        <v>1.136E-2</v>
      </c>
      <c r="G3299">
        <v>0</v>
      </c>
      <c r="H3299" t="str">
        <f t="shared" si="153"/>
        <v>60-69</v>
      </c>
      <c r="I3299" t="str">
        <f t="shared" si="154"/>
        <v>0-9</v>
      </c>
      <c r="J3299">
        <f t="shared" si="155"/>
        <v>1.136E-2</v>
      </c>
    </row>
    <row r="3300" spans="1:10">
      <c r="A3300" t="s">
        <v>3382</v>
      </c>
      <c r="B3300">
        <v>52</v>
      </c>
      <c r="C3300" t="s">
        <v>7</v>
      </c>
      <c r="D3300">
        <v>18</v>
      </c>
      <c r="E3300">
        <v>69</v>
      </c>
      <c r="F3300">
        <v>1.18E-2</v>
      </c>
      <c r="G3300">
        <v>0</v>
      </c>
      <c r="H3300" t="str">
        <f t="shared" si="153"/>
        <v>60-69</v>
      </c>
      <c r="I3300" t="str">
        <f t="shared" si="154"/>
        <v>10-19</v>
      </c>
      <c r="J3300">
        <f t="shared" si="155"/>
        <v>1.18E-2</v>
      </c>
    </row>
    <row r="3301" spans="1:10">
      <c r="A3301" t="s">
        <v>3383</v>
      </c>
      <c r="B3301">
        <v>25</v>
      </c>
      <c r="C3301" t="s">
        <v>9</v>
      </c>
      <c r="D3301">
        <v>30</v>
      </c>
      <c r="E3301">
        <v>54</v>
      </c>
      <c r="F3301">
        <v>2.9299999999999999E-3</v>
      </c>
      <c r="G3301">
        <v>0</v>
      </c>
      <c r="H3301" t="str">
        <f t="shared" si="153"/>
        <v>50-59</v>
      </c>
      <c r="I3301" t="str">
        <f t="shared" si="154"/>
        <v>30-39</v>
      </c>
      <c r="J3301">
        <f t="shared" si="155"/>
        <v>2.9299999999999999E-3</v>
      </c>
    </row>
    <row r="3302" spans="1:10">
      <c r="A3302" t="s">
        <v>3384</v>
      </c>
      <c r="B3302">
        <v>44</v>
      </c>
      <c r="C3302" t="s">
        <v>7</v>
      </c>
      <c r="D3302">
        <v>5</v>
      </c>
      <c r="E3302">
        <v>48</v>
      </c>
      <c r="F3302">
        <v>1.0300000000000001E-3</v>
      </c>
      <c r="G3302">
        <v>0</v>
      </c>
      <c r="H3302" t="str">
        <f t="shared" si="153"/>
        <v>40-49</v>
      </c>
      <c r="I3302" t="str">
        <f t="shared" si="154"/>
        <v>0-9</v>
      </c>
      <c r="J3302">
        <f t="shared" si="155"/>
        <v>1.0300000000000001E-3</v>
      </c>
    </row>
    <row r="3303" spans="1:10">
      <c r="A3303" t="s">
        <v>3385</v>
      </c>
      <c r="B3303">
        <v>27</v>
      </c>
      <c r="C3303" t="s">
        <v>9</v>
      </c>
      <c r="D3303">
        <v>6</v>
      </c>
      <c r="E3303">
        <v>32</v>
      </c>
      <c r="F3303">
        <v>4.4000000000000002E-4</v>
      </c>
      <c r="G3303">
        <v>0</v>
      </c>
      <c r="H3303" t="str">
        <f t="shared" si="153"/>
        <v>30-39</v>
      </c>
      <c r="I3303" t="str">
        <f t="shared" si="154"/>
        <v>0-9</v>
      </c>
      <c r="J3303">
        <f t="shared" si="155"/>
        <v>4.4000000000000002E-4</v>
      </c>
    </row>
    <row r="3304" spans="1:10">
      <c r="A3304" t="s">
        <v>3386</v>
      </c>
      <c r="B3304">
        <v>27</v>
      </c>
      <c r="C3304" t="s">
        <v>7</v>
      </c>
      <c r="D3304">
        <v>2</v>
      </c>
      <c r="E3304">
        <v>28</v>
      </c>
      <c r="F3304">
        <v>1.7000000000000001E-4</v>
      </c>
      <c r="G3304">
        <v>0</v>
      </c>
      <c r="H3304" t="str">
        <f t="shared" si="153"/>
        <v>20-29</v>
      </c>
      <c r="I3304" t="str">
        <f t="shared" si="154"/>
        <v>0-9</v>
      </c>
      <c r="J3304">
        <f t="shared" si="155"/>
        <v>1.7000000000000001E-4</v>
      </c>
    </row>
    <row r="3305" spans="1:10">
      <c r="A3305" t="s">
        <v>3387</v>
      </c>
      <c r="B3305">
        <v>60</v>
      </c>
      <c r="C3305" t="s">
        <v>7</v>
      </c>
      <c r="D3305">
        <v>26</v>
      </c>
      <c r="E3305">
        <v>85</v>
      </c>
      <c r="F3305">
        <v>7.2980000000000003E-2</v>
      </c>
      <c r="G3305">
        <v>0</v>
      </c>
      <c r="H3305" t="str">
        <f t="shared" si="153"/>
        <v>80-89</v>
      </c>
      <c r="I3305" t="str">
        <f t="shared" si="154"/>
        <v>20-29</v>
      </c>
      <c r="J3305">
        <f t="shared" si="155"/>
        <v>7.2980000000000003E-2</v>
      </c>
    </row>
    <row r="3306" spans="1:10">
      <c r="A3306" t="s">
        <v>3388</v>
      </c>
      <c r="B3306">
        <v>55</v>
      </c>
      <c r="C3306" t="s">
        <v>9</v>
      </c>
      <c r="D3306">
        <v>14</v>
      </c>
      <c r="E3306">
        <v>68</v>
      </c>
      <c r="F3306">
        <v>1.3690000000000001E-2</v>
      </c>
      <c r="G3306">
        <v>0</v>
      </c>
      <c r="H3306" t="str">
        <f t="shared" si="153"/>
        <v>60-69</v>
      </c>
      <c r="I3306" t="str">
        <f t="shared" si="154"/>
        <v>10-19</v>
      </c>
      <c r="J3306">
        <f t="shared" si="155"/>
        <v>1.3690000000000001E-2</v>
      </c>
    </row>
    <row r="3307" spans="1:10">
      <c r="A3307" t="s">
        <v>3389</v>
      </c>
      <c r="B3307">
        <v>47</v>
      </c>
      <c r="C3307" t="s">
        <v>7</v>
      </c>
      <c r="D3307">
        <v>10</v>
      </c>
      <c r="E3307">
        <v>56</v>
      </c>
      <c r="F3307">
        <v>2.6199999999999999E-3</v>
      </c>
      <c r="G3307">
        <v>0</v>
      </c>
      <c r="H3307" t="str">
        <f t="shared" si="153"/>
        <v>50-59</v>
      </c>
      <c r="I3307" t="str">
        <f t="shared" si="154"/>
        <v>10-19</v>
      </c>
      <c r="J3307">
        <f t="shared" si="155"/>
        <v>2.6199999999999999E-3</v>
      </c>
    </row>
    <row r="3308" spans="1:10">
      <c r="A3308" t="s">
        <v>3390</v>
      </c>
      <c r="B3308">
        <v>37</v>
      </c>
      <c r="C3308" t="s">
        <v>9</v>
      </c>
      <c r="D3308">
        <v>17</v>
      </c>
      <c r="E3308">
        <v>53</v>
      </c>
      <c r="F3308">
        <v>3.0999999999999999E-3</v>
      </c>
      <c r="G3308">
        <v>0</v>
      </c>
      <c r="H3308" t="str">
        <f t="shared" si="153"/>
        <v>50-59</v>
      </c>
      <c r="I3308" t="str">
        <f t="shared" si="154"/>
        <v>10-19</v>
      </c>
      <c r="J3308">
        <f t="shared" si="155"/>
        <v>3.0999999999999999E-3</v>
      </c>
    </row>
    <row r="3309" spans="1:10">
      <c r="A3309" t="s">
        <v>3391</v>
      </c>
      <c r="B3309">
        <v>56</v>
      </c>
      <c r="C3309" t="s">
        <v>9</v>
      </c>
      <c r="D3309">
        <v>21</v>
      </c>
      <c r="E3309">
        <v>76</v>
      </c>
      <c r="F3309">
        <v>3.32E-2</v>
      </c>
      <c r="G3309">
        <v>0</v>
      </c>
      <c r="H3309" t="str">
        <f t="shared" si="153"/>
        <v>70-79</v>
      </c>
      <c r="I3309" t="str">
        <f t="shared" si="154"/>
        <v>20-29</v>
      </c>
      <c r="J3309">
        <f t="shared" si="155"/>
        <v>3.32E-2</v>
      </c>
    </row>
    <row r="3310" spans="1:10">
      <c r="A3310" t="s">
        <v>3392</v>
      </c>
      <c r="B3310">
        <v>63</v>
      </c>
      <c r="C3310" t="s">
        <v>7</v>
      </c>
      <c r="D3310">
        <v>7</v>
      </c>
      <c r="E3310">
        <v>69</v>
      </c>
      <c r="F3310">
        <v>7.5300000000000002E-3</v>
      </c>
      <c r="G3310">
        <v>0</v>
      </c>
      <c r="H3310" t="str">
        <f t="shared" si="153"/>
        <v>60-69</v>
      </c>
      <c r="I3310" t="str">
        <f t="shared" si="154"/>
        <v>0-9</v>
      </c>
      <c r="J3310">
        <f t="shared" si="155"/>
        <v>7.5300000000000002E-3</v>
      </c>
    </row>
    <row r="3311" spans="1:10">
      <c r="A3311" t="s">
        <v>3393</v>
      </c>
      <c r="B3311">
        <v>43</v>
      </c>
      <c r="C3311" t="s">
        <v>7</v>
      </c>
      <c r="D3311">
        <v>17</v>
      </c>
      <c r="E3311">
        <v>59</v>
      </c>
      <c r="F3311">
        <v>4.2199999999999998E-3</v>
      </c>
      <c r="G3311">
        <v>0</v>
      </c>
      <c r="H3311" t="str">
        <f t="shared" si="153"/>
        <v>50-59</v>
      </c>
      <c r="I3311" t="str">
        <f t="shared" si="154"/>
        <v>10-19</v>
      </c>
      <c r="J3311">
        <f t="shared" si="155"/>
        <v>4.2199999999999998E-3</v>
      </c>
    </row>
    <row r="3312" spans="1:10">
      <c r="A3312" t="s">
        <v>3394</v>
      </c>
      <c r="B3312">
        <v>33</v>
      </c>
      <c r="C3312" t="s">
        <v>9</v>
      </c>
      <c r="D3312">
        <v>30</v>
      </c>
      <c r="E3312">
        <v>62</v>
      </c>
      <c r="F3312">
        <v>5.2199999999999998E-3</v>
      </c>
      <c r="G3312">
        <v>0</v>
      </c>
      <c r="H3312" t="str">
        <f t="shared" si="153"/>
        <v>60-69</v>
      </c>
      <c r="I3312" t="str">
        <f t="shared" si="154"/>
        <v>30-39</v>
      </c>
      <c r="J3312">
        <f t="shared" si="155"/>
        <v>5.2199999999999998E-3</v>
      </c>
    </row>
    <row r="3313" spans="1:10">
      <c r="A3313" t="s">
        <v>3395</v>
      </c>
      <c r="B3313">
        <v>28</v>
      </c>
      <c r="C3313" t="s">
        <v>7</v>
      </c>
      <c r="D3313">
        <v>6</v>
      </c>
      <c r="E3313">
        <v>33</v>
      </c>
      <c r="F3313">
        <v>2.9999999999999997E-4</v>
      </c>
      <c r="G3313">
        <v>0</v>
      </c>
      <c r="H3313" t="str">
        <f t="shared" si="153"/>
        <v>30-39</v>
      </c>
      <c r="I3313" t="str">
        <f t="shared" si="154"/>
        <v>0-9</v>
      </c>
      <c r="J3313">
        <f t="shared" si="155"/>
        <v>2.9999999999999997E-4</v>
      </c>
    </row>
    <row r="3314" spans="1:10">
      <c r="A3314" t="s">
        <v>3396</v>
      </c>
      <c r="B3314">
        <v>20</v>
      </c>
      <c r="C3314" t="s">
        <v>9</v>
      </c>
      <c r="D3314">
        <v>11</v>
      </c>
      <c r="E3314">
        <v>30</v>
      </c>
      <c r="F3314">
        <v>7.1000000000000002E-4</v>
      </c>
      <c r="G3314">
        <v>0</v>
      </c>
      <c r="H3314" t="str">
        <f t="shared" si="153"/>
        <v>30-39</v>
      </c>
      <c r="I3314" t="str">
        <f t="shared" si="154"/>
        <v>10-19</v>
      </c>
      <c r="J3314">
        <f t="shared" si="155"/>
        <v>7.1000000000000002E-4</v>
      </c>
    </row>
    <row r="3315" spans="1:10">
      <c r="A3315" t="s">
        <v>3397</v>
      </c>
      <c r="B3315">
        <v>24</v>
      </c>
      <c r="C3315" t="s">
        <v>9</v>
      </c>
      <c r="D3315">
        <v>1</v>
      </c>
      <c r="E3315">
        <v>24</v>
      </c>
      <c r="F3315">
        <v>4.4000000000000002E-4</v>
      </c>
      <c r="G3315">
        <v>0</v>
      </c>
      <c r="H3315" t="str">
        <f t="shared" si="153"/>
        <v>20-29</v>
      </c>
      <c r="I3315" t="str">
        <f t="shared" si="154"/>
        <v>0-9</v>
      </c>
      <c r="J3315">
        <f t="shared" si="155"/>
        <v>4.4000000000000002E-4</v>
      </c>
    </row>
    <row r="3316" spans="1:10">
      <c r="A3316" t="s">
        <v>3398</v>
      </c>
      <c r="B3316">
        <v>64</v>
      </c>
      <c r="C3316" t="s">
        <v>7</v>
      </c>
      <c r="D3316">
        <v>4</v>
      </c>
      <c r="E3316">
        <v>67</v>
      </c>
      <c r="F3316">
        <v>5.47E-3</v>
      </c>
      <c r="G3316">
        <v>0</v>
      </c>
      <c r="H3316" t="str">
        <f t="shared" si="153"/>
        <v>60-69</v>
      </c>
      <c r="I3316" t="str">
        <f t="shared" si="154"/>
        <v>0-9</v>
      </c>
      <c r="J3316">
        <f t="shared" si="155"/>
        <v>5.47E-3</v>
      </c>
    </row>
    <row r="3317" spans="1:10">
      <c r="A3317" t="s">
        <v>3399</v>
      </c>
      <c r="B3317">
        <v>23</v>
      </c>
      <c r="C3317" t="s">
        <v>9</v>
      </c>
      <c r="D3317">
        <v>20</v>
      </c>
      <c r="E3317">
        <v>42</v>
      </c>
      <c r="F3317">
        <v>1.82E-3</v>
      </c>
      <c r="G3317">
        <v>0</v>
      </c>
      <c r="H3317" t="str">
        <f t="shared" si="153"/>
        <v>40-49</v>
      </c>
      <c r="I3317" t="str">
        <f t="shared" si="154"/>
        <v>20-29</v>
      </c>
      <c r="J3317">
        <f t="shared" si="155"/>
        <v>1.82E-3</v>
      </c>
    </row>
    <row r="3318" spans="1:10">
      <c r="A3318" t="s">
        <v>3400</v>
      </c>
      <c r="B3318">
        <v>42</v>
      </c>
      <c r="C3318" t="s">
        <v>7</v>
      </c>
      <c r="D3318">
        <v>21</v>
      </c>
      <c r="E3318">
        <v>62</v>
      </c>
      <c r="F3318">
        <v>6.0499999999999998E-3</v>
      </c>
      <c r="G3318">
        <v>0</v>
      </c>
      <c r="H3318" t="str">
        <f t="shared" si="153"/>
        <v>60-69</v>
      </c>
      <c r="I3318" t="str">
        <f t="shared" si="154"/>
        <v>20-29</v>
      </c>
      <c r="J3318">
        <f t="shared" si="155"/>
        <v>6.0499999999999998E-3</v>
      </c>
    </row>
    <row r="3319" spans="1:10">
      <c r="A3319" t="s">
        <v>3401</v>
      </c>
      <c r="B3319">
        <v>60</v>
      </c>
      <c r="C3319" t="s">
        <v>7</v>
      </c>
      <c r="D3319">
        <v>1</v>
      </c>
      <c r="E3319">
        <v>60</v>
      </c>
      <c r="F3319">
        <v>7.2999999999999996E-4</v>
      </c>
      <c r="G3319">
        <v>0</v>
      </c>
      <c r="H3319" t="str">
        <f t="shared" si="153"/>
        <v>60-69</v>
      </c>
      <c r="I3319" t="str">
        <f t="shared" si="154"/>
        <v>0-9</v>
      </c>
      <c r="J3319">
        <f t="shared" si="155"/>
        <v>7.2999999999999996E-4</v>
      </c>
    </row>
    <row r="3320" spans="1:10">
      <c r="A3320" t="s">
        <v>3402</v>
      </c>
      <c r="B3320">
        <v>47</v>
      </c>
      <c r="C3320" t="s">
        <v>7</v>
      </c>
      <c r="D3320">
        <v>19</v>
      </c>
      <c r="E3320">
        <v>65</v>
      </c>
      <c r="F3320">
        <v>8.1200000000000005E-3</v>
      </c>
      <c r="G3320">
        <v>0</v>
      </c>
      <c r="H3320" t="str">
        <f t="shared" si="153"/>
        <v>60-69</v>
      </c>
      <c r="I3320" t="str">
        <f t="shared" si="154"/>
        <v>10-19</v>
      </c>
      <c r="J3320">
        <f t="shared" si="155"/>
        <v>8.1200000000000005E-3</v>
      </c>
    </row>
    <row r="3321" spans="1:10">
      <c r="A3321" t="s">
        <v>3403</v>
      </c>
      <c r="B3321">
        <v>45</v>
      </c>
      <c r="C3321" t="s">
        <v>9</v>
      </c>
      <c r="D3321">
        <v>30</v>
      </c>
      <c r="E3321">
        <v>74</v>
      </c>
      <c r="F3321">
        <v>1.7160000000000002E-2</v>
      </c>
      <c r="G3321">
        <v>0</v>
      </c>
      <c r="H3321" t="str">
        <f t="shared" si="153"/>
        <v>70-79</v>
      </c>
      <c r="I3321" t="str">
        <f t="shared" si="154"/>
        <v>30-39</v>
      </c>
      <c r="J3321">
        <f t="shared" si="155"/>
        <v>1.7160000000000002E-2</v>
      </c>
    </row>
    <row r="3322" spans="1:10">
      <c r="A3322" t="s">
        <v>3404</v>
      </c>
      <c r="B3322">
        <v>62</v>
      </c>
      <c r="C3322" t="s">
        <v>9</v>
      </c>
      <c r="D3322">
        <v>7</v>
      </c>
      <c r="E3322">
        <v>68</v>
      </c>
      <c r="F3322">
        <v>1.0489999999999999E-2</v>
      </c>
      <c r="G3322">
        <v>0</v>
      </c>
      <c r="H3322" t="str">
        <f t="shared" si="153"/>
        <v>60-69</v>
      </c>
      <c r="I3322" t="str">
        <f t="shared" si="154"/>
        <v>0-9</v>
      </c>
      <c r="J3322">
        <f t="shared" si="155"/>
        <v>1.0489999999999999E-2</v>
      </c>
    </row>
    <row r="3323" spans="1:10">
      <c r="A3323" t="s">
        <v>3405</v>
      </c>
      <c r="B3323">
        <v>33</v>
      </c>
      <c r="C3323" t="s">
        <v>9</v>
      </c>
      <c r="D3323">
        <v>9</v>
      </c>
      <c r="E3323">
        <v>41</v>
      </c>
      <c r="F3323">
        <v>1E-3</v>
      </c>
      <c r="G3323">
        <v>0</v>
      </c>
      <c r="H3323" t="str">
        <f t="shared" si="153"/>
        <v>40-49</v>
      </c>
      <c r="I3323" t="str">
        <f t="shared" si="154"/>
        <v>0-9</v>
      </c>
      <c r="J3323">
        <f t="shared" si="155"/>
        <v>1E-3</v>
      </c>
    </row>
    <row r="3324" spans="1:10">
      <c r="A3324" t="s">
        <v>3406</v>
      </c>
      <c r="B3324">
        <v>28</v>
      </c>
      <c r="C3324" t="s">
        <v>7</v>
      </c>
      <c r="D3324">
        <v>26</v>
      </c>
      <c r="E3324">
        <v>53</v>
      </c>
      <c r="F3324">
        <v>2.5899999999999999E-3</v>
      </c>
      <c r="G3324">
        <v>0</v>
      </c>
      <c r="H3324" t="str">
        <f t="shared" si="153"/>
        <v>50-59</v>
      </c>
      <c r="I3324" t="str">
        <f t="shared" si="154"/>
        <v>20-29</v>
      </c>
      <c r="J3324">
        <f t="shared" si="155"/>
        <v>2.5899999999999999E-3</v>
      </c>
    </row>
    <row r="3325" spans="1:10">
      <c r="A3325" t="s">
        <v>3407</v>
      </c>
      <c r="B3325">
        <v>44</v>
      </c>
      <c r="C3325" t="s">
        <v>7</v>
      </c>
      <c r="D3325">
        <v>11</v>
      </c>
      <c r="E3325">
        <v>54</v>
      </c>
      <c r="F3325">
        <v>2.3E-3</v>
      </c>
      <c r="G3325">
        <v>0</v>
      </c>
      <c r="H3325" t="str">
        <f t="shared" si="153"/>
        <v>50-59</v>
      </c>
      <c r="I3325" t="str">
        <f t="shared" si="154"/>
        <v>10-19</v>
      </c>
      <c r="J3325">
        <f t="shared" si="155"/>
        <v>2.3E-3</v>
      </c>
    </row>
    <row r="3326" spans="1:10">
      <c r="A3326" t="s">
        <v>3408</v>
      </c>
      <c r="B3326">
        <v>58</v>
      </c>
      <c r="C3326" t="s">
        <v>7</v>
      </c>
      <c r="D3326">
        <v>9</v>
      </c>
      <c r="E3326">
        <v>66</v>
      </c>
      <c r="F3326">
        <v>6.5799999999999999E-3</v>
      </c>
      <c r="G3326">
        <v>0</v>
      </c>
      <c r="H3326" t="str">
        <f t="shared" si="153"/>
        <v>60-69</v>
      </c>
      <c r="I3326" t="str">
        <f t="shared" si="154"/>
        <v>0-9</v>
      </c>
      <c r="J3326">
        <f t="shared" si="155"/>
        <v>6.5799999999999999E-3</v>
      </c>
    </row>
    <row r="3327" spans="1:10">
      <c r="A3327" t="s">
        <v>3409</v>
      </c>
      <c r="B3327">
        <v>59</v>
      </c>
      <c r="C3327" t="s">
        <v>7</v>
      </c>
      <c r="D3327">
        <v>22</v>
      </c>
      <c r="E3327">
        <v>80</v>
      </c>
      <c r="F3327">
        <v>3.986E-2</v>
      </c>
      <c r="G3327">
        <v>0</v>
      </c>
      <c r="H3327" t="str">
        <f t="shared" si="153"/>
        <v>80-89</v>
      </c>
      <c r="I3327" t="str">
        <f t="shared" si="154"/>
        <v>20-29</v>
      </c>
      <c r="J3327">
        <f t="shared" si="155"/>
        <v>3.986E-2</v>
      </c>
    </row>
    <row r="3328" spans="1:10">
      <c r="A3328" t="s">
        <v>3410</v>
      </c>
      <c r="B3328">
        <v>20</v>
      </c>
      <c r="C3328" t="s">
        <v>9</v>
      </c>
      <c r="D3328">
        <v>26</v>
      </c>
      <c r="E3328">
        <v>45</v>
      </c>
      <c r="F3328">
        <v>2.5400000000000002E-3</v>
      </c>
      <c r="G3328">
        <v>0</v>
      </c>
      <c r="H3328" t="str">
        <f t="shared" si="153"/>
        <v>40-49</v>
      </c>
      <c r="I3328" t="str">
        <f t="shared" si="154"/>
        <v>20-29</v>
      </c>
      <c r="J3328">
        <f t="shared" si="155"/>
        <v>2.5400000000000002E-3</v>
      </c>
    </row>
    <row r="3329" spans="1:10">
      <c r="A3329" t="s">
        <v>3411</v>
      </c>
      <c r="B3329">
        <v>59</v>
      </c>
      <c r="C3329" t="s">
        <v>9</v>
      </c>
      <c r="D3329">
        <v>5</v>
      </c>
      <c r="E3329">
        <v>63</v>
      </c>
      <c r="F3329">
        <v>6.3200000000000001E-3</v>
      </c>
      <c r="G3329">
        <v>0</v>
      </c>
      <c r="H3329" t="str">
        <f t="shared" si="153"/>
        <v>60-69</v>
      </c>
      <c r="I3329" t="str">
        <f t="shared" si="154"/>
        <v>0-9</v>
      </c>
      <c r="J3329">
        <f t="shared" si="155"/>
        <v>6.3200000000000001E-3</v>
      </c>
    </row>
    <row r="3330" spans="1:10">
      <c r="A3330" t="s">
        <v>3412</v>
      </c>
      <c r="B3330">
        <v>20</v>
      </c>
      <c r="C3330" t="s">
        <v>9</v>
      </c>
      <c r="D3330">
        <v>11</v>
      </c>
      <c r="E3330">
        <v>30</v>
      </c>
      <c r="F3330">
        <v>7.1000000000000002E-4</v>
      </c>
      <c r="G3330">
        <v>0</v>
      </c>
      <c r="H3330" t="str">
        <f t="shared" si="153"/>
        <v>30-39</v>
      </c>
      <c r="I3330" t="str">
        <f t="shared" si="154"/>
        <v>10-19</v>
      </c>
      <c r="J3330">
        <f t="shared" si="155"/>
        <v>7.1000000000000002E-4</v>
      </c>
    </row>
    <row r="3331" spans="1:10">
      <c r="A3331" t="s">
        <v>3413</v>
      </c>
      <c r="B3331">
        <v>28</v>
      </c>
      <c r="C3331" t="s">
        <v>7</v>
      </c>
      <c r="D3331">
        <v>17</v>
      </c>
      <c r="E3331">
        <v>44</v>
      </c>
      <c r="F3331">
        <v>1.1800000000000001E-3</v>
      </c>
      <c r="G3331">
        <v>0</v>
      </c>
      <c r="H3331" t="str">
        <f t="shared" ref="H3331:H3394" si="156">FLOOR(E3331,10) &amp; "-" &amp; FLOOR(E3331,10)+9</f>
        <v>40-49</v>
      </c>
      <c r="I3331" t="str">
        <f t="shared" ref="I3331:I3394" si="157">FLOOR(D3331, 10) &amp; "-"&amp;FLOOR(D3331, 10)+9</f>
        <v>10-19</v>
      </c>
      <c r="J3331">
        <f t="shared" ref="J3331:J3394" si="158">F3331</f>
        <v>1.1800000000000001E-3</v>
      </c>
    </row>
    <row r="3332" spans="1:10">
      <c r="A3332" t="s">
        <v>3414</v>
      </c>
      <c r="B3332">
        <v>50</v>
      </c>
      <c r="C3332" t="s">
        <v>9</v>
      </c>
      <c r="D3332">
        <v>11</v>
      </c>
      <c r="E3332">
        <v>60</v>
      </c>
      <c r="F3332">
        <v>5.9199999999999999E-3</v>
      </c>
      <c r="G3332">
        <v>0</v>
      </c>
      <c r="H3332" t="str">
        <f t="shared" si="156"/>
        <v>60-69</v>
      </c>
      <c r="I3332" t="str">
        <f t="shared" si="157"/>
        <v>10-19</v>
      </c>
      <c r="J3332">
        <f t="shared" si="158"/>
        <v>5.9199999999999999E-3</v>
      </c>
    </row>
    <row r="3333" spans="1:10">
      <c r="A3333" t="s">
        <v>3415</v>
      </c>
      <c r="B3333">
        <v>35</v>
      </c>
      <c r="C3333" t="s">
        <v>9</v>
      </c>
      <c r="D3333">
        <v>18</v>
      </c>
      <c r="E3333">
        <v>52</v>
      </c>
      <c r="F3333">
        <v>2.9099999999999998E-3</v>
      </c>
      <c r="G3333">
        <v>0</v>
      </c>
      <c r="H3333" t="str">
        <f t="shared" si="156"/>
        <v>50-59</v>
      </c>
      <c r="I3333" t="str">
        <f t="shared" si="157"/>
        <v>10-19</v>
      </c>
      <c r="J3333">
        <f t="shared" si="158"/>
        <v>2.9099999999999998E-3</v>
      </c>
    </row>
    <row r="3334" spans="1:10">
      <c r="A3334" t="s">
        <v>3416</v>
      </c>
      <c r="B3334">
        <v>65</v>
      </c>
      <c r="C3334" t="s">
        <v>9</v>
      </c>
      <c r="D3334">
        <v>16</v>
      </c>
      <c r="E3334">
        <v>80</v>
      </c>
      <c r="F3334">
        <v>4.65E-2</v>
      </c>
      <c r="G3334">
        <v>0</v>
      </c>
      <c r="H3334" t="str">
        <f t="shared" si="156"/>
        <v>80-89</v>
      </c>
      <c r="I3334" t="str">
        <f t="shared" si="157"/>
        <v>10-19</v>
      </c>
      <c r="J3334">
        <f t="shared" si="158"/>
        <v>4.65E-2</v>
      </c>
    </row>
    <row r="3335" spans="1:10">
      <c r="A3335" t="s">
        <v>3417</v>
      </c>
      <c r="B3335">
        <v>40</v>
      </c>
      <c r="C3335" t="s">
        <v>9</v>
      </c>
      <c r="D3335">
        <v>17</v>
      </c>
      <c r="E3335">
        <v>56</v>
      </c>
      <c r="F3335">
        <v>4.0800000000000003E-3</v>
      </c>
      <c r="G3335">
        <v>0</v>
      </c>
      <c r="H3335" t="str">
        <f t="shared" si="156"/>
        <v>50-59</v>
      </c>
      <c r="I3335" t="str">
        <f t="shared" si="157"/>
        <v>10-19</v>
      </c>
      <c r="J3335">
        <f t="shared" si="158"/>
        <v>4.0800000000000003E-3</v>
      </c>
    </row>
    <row r="3336" spans="1:10">
      <c r="A3336" t="s">
        <v>3418</v>
      </c>
      <c r="B3336">
        <v>33</v>
      </c>
      <c r="C3336" t="s">
        <v>7</v>
      </c>
      <c r="D3336">
        <v>6</v>
      </c>
      <c r="E3336">
        <v>38</v>
      </c>
      <c r="F3336">
        <v>5.0000000000000001E-4</v>
      </c>
      <c r="G3336">
        <v>0</v>
      </c>
      <c r="H3336" t="str">
        <f t="shared" si="156"/>
        <v>30-39</v>
      </c>
      <c r="I3336" t="str">
        <f t="shared" si="157"/>
        <v>0-9</v>
      </c>
      <c r="J3336">
        <f t="shared" si="158"/>
        <v>5.0000000000000001E-4</v>
      </c>
    </row>
    <row r="3337" spans="1:10">
      <c r="A3337" t="s">
        <v>3419</v>
      </c>
      <c r="B3337">
        <v>65</v>
      </c>
      <c r="C3337" t="s">
        <v>7</v>
      </c>
      <c r="D3337">
        <v>5</v>
      </c>
      <c r="E3337">
        <v>69</v>
      </c>
      <c r="F3337">
        <v>6.9199999999999999E-3</v>
      </c>
      <c r="G3337">
        <v>0</v>
      </c>
      <c r="H3337" t="str">
        <f t="shared" si="156"/>
        <v>60-69</v>
      </c>
      <c r="I3337" t="str">
        <f t="shared" si="157"/>
        <v>0-9</v>
      </c>
      <c r="J3337">
        <f t="shared" si="158"/>
        <v>6.9199999999999999E-3</v>
      </c>
    </row>
    <row r="3338" spans="1:10">
      <c r="A3338" t="s">
        <v>3420</v>
      </c>
      <c r="B3338">
        <v>51</v>
      </c>
      <c r="C3338" t="s">
        <v>7</v>
      </c>
      <c r="D3338">
        <v>23</v>
      </c>
      <c r="E3338">
        <v>73</v>
      </c>
      <c r="F3338">
        <v>1.8970000000000001E-2</v>
      </c>
      <c r="G3338">
        <v>0</v>
      </c>
      <c r="H3338" t="str">
        <f t="shared" si="156"/>
        <v>70-79</v>
      </c>
      <c r="I3338" t="str">
        <f t="shared" si="157"/>
        <v>20-29</v>
      </c>
      <c r="J3338">
        <f t="shared" si="158"/>
        <v>1.8970000000000001E-2</v>
      </c>
    </row>
    <row r="3339" spans="1:10">
      <c r="A3339" t="s">
        <v>3421</v>
      </c>
      <c r="B3339">
        <v>55</v>
      </c>
      <c r="C3339" t="s">
        <v>9</v>
      </c>
      <c r="D3339">
        <v>29</v>
      </c>
      <c r="E3339">
        <v>83</v>
      </c>
      <c r="F3339">
        <v>5.0909999999999997E-2</v>
      </c>
      <c r="G3339">
        <v>0</v>
      </c>
      <c r="H3339" t="str">
        <f t="shared" si="156"/>
        <v>80-89</v>
      </c>
      <c r="I3339" t="str">
        <f t="shared" si="157"/>
        <v>20-29</v>
      </c>
      <c r="J3339">
        <f t="shared" si="158"/>
        <v>5.0909999999999997E-2</v>
      </c>
    </row>
    <row r="3340" spans="1:10">
      <c r="A3340" t="s">
        <v>3422</v>
      </c>
      <c r="B3340">
        <v>21</v>
      </c>
      <c r="C3340" t="s">
        <v>9</v>
      </c>
      <c r="D3340">
        <v>28</v>
      </c>
      <c r="E3340">
        <v>48</v>
      </c>
      <c r="F3340">
        <v>2.6099999999999999E-3</v>
      </c>
      <c r="G3340">
        <v>0</v>
      </c>
      <c r="H3340" t="str">
        <f t="shared" si="156"/>
        <v>40-49</v>
      </c>
      <c r="I3340" t="str">
        <f t="shared" si="157"/>
        <v>20-29</v>
      </c>
      <c r="J3340">
        <f t="shared" si="158"/>
        <v>2.6099999999999999E-3</v>
      </c>
    </row>
    <row r="3341" spans="1:10">
      <c r="A3341" t="s">
        <v>3423</v>
      </c>
      <c r="B3341">
        <v>62</v>
      </c>
      <c r="C3341" t="s">
        <v>7</v>
      </c>
      <c r="D3341">
        <v>12</v>
      </c>
      <c r="E3341">
        <v>73</v>
      </c>
      <c r="F3341">
        <v>1.3679999999999999E-2</v>
      </c>
      <c r="G3341">
        <v>0</v>
      </c>
      <c r="H3341" t="str">
        <f t="shared" si="156"/>
        <v>70-79</v>
      </c>
      <c r="I3341" t="str">
        <f t="shared" si="157"/>
        <v>10-19</v>
      </c>
      <c r="J3341">
        <f t="shared" si="158"/>
        <v>1.3679999999999999E-2</v>
      </c>
    </row>
    <row r="3342" spans="1:10">
      <c r="A3342" t="s">
        <v>3424</v>
      </c>
      <c r="B3342">
        <v>55</v>
      </c>
      <c r="C3342" t="s">
        <v>7</v>
      </c>
      <c r="D3342">
        <v>29</v>
      </c>
      <c r="E3342">
        <v>83</v>
      </c>
      <c r="F3342">
        <v>3.986E-2</v>
      </c>
      <c r="G3342">
        <v>0</v>
      </c>
      <c r="H3342" t="str">
        <f t="shared" si="156"/>
        <v>80-89</v>
      </c>
      <c r="I3342" t="str">
        <f t="shared" si="157"/>
        <v>20-29</v>
      </c>
      <c r="J3342">
        <f t="shared" si="158"/>
        <v>3.986E-2</v>
      </c>
    </row>
    <row r="3343" spans="1:10">
      <c r="A3343" t="s">
        <v>3425</v>
      </c>
      <c r="B3343">
        <v>44</v>
      </c>
      <c r="C3343" t="s">
        <v>9</v>
      </c>
      <c r="D3343">
        <v>12</v>
      </c>
      <c r="E3343">
        <v>55</v>
      </c>
      <c r="F3343">
        <v>3.4499999999999999E-3</v>
      </c>
      <c r="G3343">
        <v>0</v>
      </c>
      <c r="H3343" t="str">
        <f t="shared" si="156"/>
        <v>50-59</v>
      </c>
      <c r="I3343" t="str">
        <f t="shared" si="157"/>
        <v>10-19</v>
      </c>
      <c r="J3343">
        <f t="shared" si="158"/>
        <v>3.4499999999999999E-3</v>
      </c>
    </row>
    <row r="3344" spans="1:10">
      <c r="A3344" t="s">
        <v>3426</v>
      </c>
      <c r="B3344">
        <v>20</v>
      </c>
      <c r="C3344" t="s">
        <v>9</v>
      </c>
      <c r="D3344">
        <v>7</v>
      </c>
      <c r="E3344">
        <v>26</v>
      </c>
      <c r="F3344">
        <v>7.6999999999999996E-4</v>
      </c>
      <c r="G3344">
        <v>0</v>
      </c>
      <c r="H3344" t="str">
        <f t="shared" si="156"/>
        <v>20-29</v>
      </c>
      <c r="I3344" t="str">
        <f t="shared" si="157"/>
        <v>0-9</v>
      </c>
      <c r="J3344">
        <f t="shared" si="158"/>
        <v>7.6999999999999996E-4</v>
      </c>
    </row>
    <row r="3345" spans="1:10">
      <c r="A3345" t="s">
        <v>3427</v>
      </c>
      <c r="B3345">
        <v>20</v>
      </c>
      <c r="C3345" t="s">
        <v>9</v>
      </c>
      <c r="D3345">
        <v>19</v>
      </c>
      <c r="E3345">
        <v>38</v>
      </c>
      <c r="F3345">
        <v>1.4E-3</v>
      </c>
      <c r="G3345">
        <v>0</v>
      </c>
      <c r="H3345" t="str">
        <f t="shared" si="156"/>
        <v>30-39</v>
      </c>
      <c r="I3345" t="str">
        <f t="shared" si="157"/>
        <v>10-19</v>
      </c>
      <c r="J3345">
        <f t="shared" si="158"/>
        <v>1.4E-3</v>
      </c>
    </row>
    <row r="3346" spans="1:10">
      <c r="A3346" t="s">
        <v>3428</v>
      </c>
      <c r="B3346">
        <v>43</v>
      </c>
      <c r="C3346" t="s">
        <v>9</v>
      </c>
      <c r="D3346">
        <v>30</v>
      </c>
      <c r="E3346">
        <v>72</v>
      </c>
      <c r="F3346">
        <v>1.413E-2</v>
      </c>
      <c r="G3346">
        <v>0</v>
      </c>
      <c r="H3346" t="str">
        <f t="shared" si="156"/>
        <v>70-79</v>
      </c>
      <c r="I3346" t="str">
        <f t="shared" si="157"/>
        <v>30-39</v>
      </c>
      <c r="J3346">
        <f t="shared" si="158"/>
        <v>1.413E-2</v>
      </c>
    </row>
    <row r="3347" spans="1:10">
      <c r="A3347" t="s">
        <v>3429</v>
      </c>
      <c r="B3347">
        <v>58</v>
      </c>
      <c r="C3347" t="s">
        <v>9</v>
      </c>
      <c r="D3347">
        <v>9</v>
      </c>
      <c r="E3347">
        <v>66</v>
      </c>
      <c r="F3347">
        <v>1.0449999999999999E-2</v>
      </c>
      <c r="G3347">
        <v>0</v>
      </c>
      <c r="H3347" t="str">
        <f t="shared" si="156"/>
        <v>60-69</v>
      </c>
      <c r="I3347" t="str">
        <f t="shared" si="157"/>
        <v>0-9</v>
      </c>
      <c r="J3347">
        <f t="shared" si="158"/>
        <v>1.0449999999999999E-2</v>
      </c>
    </row>
    <row r="3348" spans="1:10">
      <c r="A3348" t="s">
        <v>3430</v>
      </c>
      <c r="B3348">
        <v>50</v>
      </c>
      <c r="C3348" t="s">
        <v>9</v>
      </c>
      <c r="D3348">
        <v>13</v>
      </c>
      <c r="E3348">
        <v>62</v>
      </c>
      <c r="F3348">
        <v>7.2700000000000004E-3</v>
      </c>
      <c r="G3348">
        <v>0</v>
      </c>
      <c r="H3348" t="str">
        <f t="shared" si="156"/>
        <v>60-69</v>
      </c>
      <c r="I3348" t="str">
        <f t="shared" si="157"/>
        <v>10-19</v>
      </c>
      <c r="J3348">
        <f t="shared" si="158"/>
        <v>7.2700000000000004E-3</v>
      </c>
    </row>
    <row r="3349" spans="1:10">
      <c r="A3349" t="s">
        <v>3431</v>
      </c>
      <c r="B3349">
        <v>36</v>
      </c>
      <c r="C3349" t="s">
        <v>7</v>
      </c>
      <c r="D3349">
        <v>9</v>
      </c>
      <c r="E3349">
        <v>44</v>
      </c>
      <c r="F3349">
        <v>8.4000000000000003E-4</v>
      </c>
      <c r="G3349">
        <v>0</v>
      </c>
      <c r="H3349" t="str">
        <f t="shared" si="156"/>
        <v>40-49</v>
      </c>
      <c r="I3349" t="str">
        <f t="shared" si="157"/>
        <v>0-9</v>
      </c>
      <c r="J3349">
        <f t="shared" si="158"/>
        <v>8.4000000000000003E-4</v>
      </c>
    </row>
    <row r="3350" spans="1:10">
      <c r="A3350" t="s">
        <v>3432</v>
      </c>
      <c r="B3350">
        <v>21</v>
      </c>
      <c r="C3350" t="s">
        <v>7</v>
      </c>
      <c r="D3350">
        <v>28</v>
      </c>
      <c r="E3350">
        <v>48</v>
      </c>
      <c r="F3350">
        <v>1.49E-3</v>
      </c>
      <c r="G3350">
        <v>0</v>
      </c>
      <c r="H3350" t="str">
        <f t="shared" si="156"/>
        <v>40-49</v>
      </c>
      <c r="I3350" t="str">
        <f t="shared" si="157"/>
        <v>20-29</v>
      </c>
      <c r="J3350">
        <f t="shared" si="158"/>
        <v>1.49E-3</v>
      </c>
    </row>
    <row r="3351" spans="1:10">
      <c r="A3351" t="s">
        <v>3433</v>
      </c>
      <c r="B3351">
        <v>58</v>
      </c>
      <c r="C3351" t="s">
        <v>9</v>
      </c>
      <c r="D3351">
        <v>21</v>
      </c>
      <c r="E3351">
        <v>78</v>
      </c>
      <c r="F3351">
        <v>4.1189999999999997E-2</v>
      </c>
      <c r="G3351">
        <v>0</v>
      </c>
      <c r="H3351" t="str">
        <f t="shared" si="156"/>
        <v>70-79</v>
      </c>
      <c r="I3351" t="str">
        <f t="shared" si="157"/>
        <v>20-29</v>
      </c>
      <c r="J3351">
        <f t="shared" si="158"/>
        <v>4.1189999999999997E-2</v>
      </c>
    </row>
    <row r="3352" spans="1:10">
      <c r="A3352" t="s">
        <v>3434</v>
      </c>
      <c r="B3352">
        <v>61</v>
      </c>
      <c r="C3352" t="s">
        <v>7</v>
      </c>
      <c r="D3352">
        <v>25</v>
      </c>
      <c r="E3352">
        <v>85</v>
      </c>
      <c r="F3352">
        <v>7.2980000000000003E-2</v>
      </c>
      <c r="G3352">
        <v>0</v>
      </c>
      <c r="H3352" t="str">
        <f t="shared" si="156"/>
        <v>80-89</v>
      </c>
      <c r="I3352" t="str">
        <f t="shared" si="157"/>
        <v>20-29</v>
      </c>
      <c r="J3352">
        <f t="shared" si="158"/>
        <v>7.2980000000000003E-2</v>
      </c>
    </row>
    <row r="3353" spans="1:10">
      <c r="A3353" t="s">
        <v>3435</v>
      </c>
      <c r="B3353">
        <v>43</v>
      </c>
      <c r="C3353" t="s">
        <v>7</v>
      </c>
      <c r="D3353">
        <v>1</v>
      </c>
      <c r="E3353">
        <v>43</v>
      </c>
      <c r="F3353">
        <v>2.5999999999999998E-4</v>
      </c>
      <c r="G3353">
        <v>0</v>
      </c>
      <c r="H3353" t="str">
        <f t="shared" si="156"/>
        <v>40-49</v>
      </c>
      <c r="I3353" t="str">
        <f t="shared" si="157"/>
        <v>0-9</v>
      </c>
      <c r="J3353">
        <f t="shared" si="158"/>
        <v>2.5999999999999998E-4</v>
      </c>
    </row>
    <row r="3354" spans="1:10">
      <c r="A3354" t="s">
        <v>3436</v>
      </c>
      <c r="B3354">
        <v>65</v>
      </c>
      <c r="C3354" t="s">
        <v>9</v>
      </c>
      <c r="D3354">
        <v>24</v>
      </c>
      <c r="E3354">
        <v>88</v>
      </c>
      <c r="F3354">
        <v>0.13236000000000001</v>
      </c>
      <c r="G3354">
        <v>0</v>
      </c>
      <c r="H3354" t="str">
        <f t="shared" si="156"/>
        <v>80-89</v>
      </c>
      <c r="I3354" t="str">
        <f t="shared" si="157"/>
        <v>20-29</v>
      </c>
      <c r="J3354">
        <f t="shared" si="158"/>
        <v>0.13236000000000001</v>
      </c>
    </row>
    <row r="3355" spans="1:10">
      <c r="A3355" t="s">
        <v>3437</v>
      </c>
      <c r="B3355">
        <v>25</v>
      </c>
      <c r="C3355" t="s">
        <v>7</v>
      </c>
      <c r="D3355">
        <v>14</v>
      </c>
      <c r="E3355">
        <v>38</v>
      </c>
      <c r="F3355">
        <v>7.9000000000000001E-4</v>
      </c>
      <c r="G3355">
        <v>0</v>
      </c>
      <c r="H3355" t="str">
        <f t="shared" si="156"/>
        <v>30-39</v>
      </c>
      <c r="I3355" t="str">
        <f t="shared" si="157"/>
        <v>10-19</v>
      </c>
      <c r="J3355">
        <f t="shared" si="158"/>
        <v>7.9000000000000001E-4</v>
      </c>
    </row>
    <row r="3356" spans="1:10">
      <c r="A3356" t="s">
        <v>3438</v>
      </c>
      <c r="B3356">
        <v>48</v>
      </c>
      <c r="C3356" t="s">
        <v>7</v>
      </c>
      <c r="D3356">
        <v>21</v>
      </c>
      <c r="E3356">
        <v>68</v>
      </c>
      <c r="F3356">
        <v>1.141E-2</v>
      </c>
      <c r="G3356">
        <v>0</v>
      </c>
      <c r="H3356" t="str">
        <f t="shared" si="156"/>
        <v>60-69</v>
      </c>
      <c r="I3356" t="str">
        <f t="shared" si="157"/>
        <v>20-29</v>
      </c>
      <c r="J3356">
        <f t="shared" si="158"/>
        <v>1.141E-2</v>
      </c>
    </row>
    <row r="3357" spans="1:10">
      <c r="A3357" t="s">
        <v>3439</v>
      </c>
      <c r="B3357">
        <v>54</v>
      </c>
      <c r="C3357" t="s">
        <v>7</v>
      </c>
      <c r="D3357">
        <v>9</v>
      </c>
      <c r="E3357">
        <v>62</v>
      </c>
      <c r="F3357">
        <v>4.5900000000000003E-3</v>
      </c>
      <c r="G3357">
        <v>0</v>
      </c>
      <c r="H3357" t="str">
        <f t="shared" si="156"/>
        <v>60-69</v>
      </c>
      <c r="I3357" t="str">
        <f t="shared" si="157"/>
        <v>0-9</v>
      </c>
      <c r="J3357">
        <f t="shared" si="158"/>
        <v>4.5900000000000003E-3</v>
      </c>
    </row>
    <row r="3358" spans="1:10">
      <c r="A3358" t="s">
        <v>3440</v>
      </c>
      <c r="B3358">
        <v>59</v>
      </c>
      <c r="C3358" t="s">
        <v>9</v>
      </c>
      <c r="D3358">
        <v>24</v>
      </c>
      <c r="E3358">
        <v>82</v>
      </c>
      <c r="F3358">
        <v>6.3329999999999997E-2</v>
      </c>
      <c r="G3358">
        <v>0</v>
      </c>
      <c r="H3358" t="str">
        <f t="shared" si="156"/>
        <v>80-89</v>
      </c>
      <c r="I3358" t="str">
        <f t="shared" si="157"/>
        <v>20-29</v>
      </c>
      <c r="J3358">
        <f t="shared" si="158"/>
        <v>6.3329999999999997E-2</v>
      </c>
    </row>
    <row r="3359" spans="1:10">
      <c r="A3359" t="s">
        <v>3441</v>
      </c>
      <c r="B3359">
        <v>40</v>
      </c>
      <c r="C3359" t="s">
        <v>7</v>
      </c>
      <c r="D3359">
        <v>29</v>
      </c>
      <c r="E3359">
        <v>68</v>
      </c>
      <c r="F3359">
        <v>8.3099999999999997E-3</v>
      </c>
      <c r="G3359">
        <v>0</v>
      </c>
      <c r="H3359" t="str">
        <f t="shared" si="156"/>
        <v>60-69</v>
      </c>
      <c r="I3359" t="str">
        <f t="shared" si="157"/>
        <v>20-29</v>
      </c>
      <c r="J3359">
        <f t="shared" si="158"/>
        <v>8.3099999999999997E-3</v>
      </c>
    </row>
    <row r="3360" spans="1:10">
      <c r="A3360" t="s">
        <v>3442</v>
      </c>
      <c r="B3360">
        <v>57</v>
      </c>
      <c r="C3360" t="s">
        <v>7</v>
      </c>
      <c r="D3360">
        <v>24</v>
      </c>
      <c r="E3360">
        <v>80</v>
      </c>
      <c r="F3360">
        <v>3.986E-2</v>
      </c>
      <c r="G3360">
        <v>0</v>
      </c>
      <c r="H3360" t="str">
        <f t="shared" si="156"/>
        <v>80-89</v>
      </c>
      <c r="I3360" t="str">
        <f t="shared" si="157"/>
        <v>20-29</v>
      </c>
      <c r="J3360">
        <f t="shared" si="158"/>
        <v>3.986E-2</v>
      </c>
    </row>
    <row r="3361" spans="1:10">
      <c r="A3361" t="s">
        <v>3443</v>
      </c>
      <c r="B3361">
        <v>62</v>
      </c>
      <c r="C3361" t="s">
        <v>9</v>
      </c>
      <c r="D3361">
        <v>13</v>
      </c>
      <c r="E3361">
        <v>74</v>
      </c>
      <c r="F3361">
        <v>2.409E-2</v>
      </c>
      <c r="G3361">
        <v>0</v>
      </c>
      <c r="H3361" t="str">
        <f t="shared" si="156"/>
        <v>70-79</v>
      </c>
      <c r="I3361" t="str">
        <f t="shared" si="157"/>
        <v>10-19</v>
      </c>
      <c r="J3361">
        <f t="shared" si="158"/>
        <v>2.409E-2</v>
      </c>
    </row>
    <row r="3362" spans="1:10">
      <c r="A3362" t="s">
        <v>3444</v>
      </c>
      <c r="B3362">
        <v>23</v>
      </c>
      <c r="C3362" t="s">
        <v>9</v>
      </c>
      <c r="D3362">
        <v>3</v>
      </c>
      <c r="E3362">
        <v>25</v>
      </c>
      <c r="F3362">
        <v>5.0000000000000001E-4</v>
      </c>
      <c r="G3362">
        <v>0</v>
      </c>
      <c r="H3362" t="str">
        <f t="shared" si="156"/>
        <v>20-29</v>
      </c>
      <c r="I3362" t="str">
        <f t="shared" si="157"/>
        <v>0-9</v>
      </c>
      <c r="J3362">
        <f t="shared" si="158"/>
        <v>5.0000000000000001E-4</v>
      </c>
    </row>
    <row r="3363" spans="1:10">
      <c r="A3363" t="s">
        <v>3445</v>
      </c>
      <c r="B3363">
        <v>29</v>
      </c>
      <c r="C3363" t="s">
        <v>9</v>
      </c>
      <c r="D3363">
        <v>24</v>
      </c>
      <c r="E3363">
        <v>52</v>
      </c>
      <c r="F3363">
        <v>3.0999999999999999E-3</v>
      </c>
      <c r="G3363">
        <v>0</v>
      </c>
      <c r="H3363" t="str">
        <f t="shared" si="156"/>
        <v>50-59</v>
      </c>
      <c r="I3363" t="str">
        <f t="shared" si="157"/>
        <v>20-29</v>
      </c>
      <c r="J3363">
        <f t="shared" si="158"/>
        <v>3.0999999999999999E-3</v>
      </c>
    </row>
    <row r="3364" spans="1:10">
      <c r="A3364" t="s">
        <v>3446</v>
      </c>
      <c r="B3364">
        <v>22</v>
      </c>
      <c r="C3364" t="s">
        <v>7</v>
      </c>
      <c r="D3364">
        <v>9</v>
      </c>
      <c r="E3364">
        <v>30</v>
      </c>
      <c r="F3364">
        <v>3.6999999999999999E-4</v>
      </c>
      <c r="G3364">
        <v>0</v>
      </c>
      <c r="H3364" t="str">
        <f t="shared" si="156"/>
        <v>30-39</v>
      </c>
      <c r="I3364" t="str">
        <f t="shared" si="157"/>
        <v>0-9</v>
      </c>
      <c r="J3364">
        <f t="shared" si="158"/>
        <v>3.6999999999999999E-4</v>
      </c>
    </row>
    <row r="3365" spans="1:10">
      <c r="A3365" t="s">
        <v>3447</v>
      </c>
      <c r="B3365">
        <v>46</v>
      </c>
      <c r="C3365" t="s">
        <v>7</v>
      </c>
      <c r="D3365">
        <v>6</v>
      </c>
      <c r="E3365">
        <v>51</v>
      </c>
      <c r="F3365">
        <v>1.4E-3</v>
      </c>
      <c r="G3365">
        <v>0</v>
      </c>
      <c r="H3365" t="str">
        <f t="shared" si="156"/>
        <v>50-59</v>
      </c>
      <c r="I3365" t="str">
        <f t="shared" si="157"/>
        <v>0-9</v>
      </c>
      <c r="J3365">
        <f t="shared" si="158"/>
        <v>1.4E-3</v>
      </c>
    </row>
    <row r="3366" spans="1:10">
      <c r="A3366" t="s">
        <v>3448</v>
      </c>
      <c r="B3366">
        <v>20</v>
      </c>
      <c r="C3366" t="s">
        <v>9</v>
      </c>
      <c r="D3366">
        <v>10</v>
      </c>
      <c r="E3366">
        <v>29</v>
      </c>
      <c r="F3366">
        <v>7.1000000000000002E-4</v>
      </c>
      <c r="G3366">
        <v>0</v>
      </c>
      <c r="H3366" t="str">
        <f t="shared" si="156"/>
        <v>20-29</v>
      </c>
      <c r="I3366" t="str">
        <f t="shared" si="157"/>
        <v>10-19</v>
      </c>
      <c r="J3366">
        <f t="shared" si="158"/>
        <v>7.1000000000000002E-4</v>
      </c>
    </row>
    <row r="3367" spans="1:10">
      <c r="A3367" t="s">
        <v>3449</v>
      </c>
      <c r="B3367">
        <v>41</v>
      </c>
      <c r="C3367" t="s">
        <v>7</v>
      </c>
      <c r="D3367">
        <v>15</v>
      </c>
      <c r="E3367">
        <v>55</v>
      </c>
      <c r="F3367">
        <v>2.7599999999999999E-3</v>
      </c>
      <c r="G3367">
        <v>0</v>
      </c>
      <c r="H3367" t="str">
        <f t="shared" si="156"/>
        <v>50-59</v>
      </c>
      <c r="I3367" t="str">
        <f t="shared" si="157"/>
        <v>10-19</v>
      </c>
      <c r="J3367">
        <f t="shared" si="158"/>
        <v>2.7599999999999999E-3</v>
      </c>
    </row>
    <row r="3368" spans="1:10">
      <c r="A3368" t="s">
        <v>3450</v>
      </c>
      <c r="B3368">
        <v>56</v>
      </c>
      <c r="C3368" t="s">
        <v>9</v>
      </c>
      <c r="D3368">
        <v>30</v>
      </c>
      <c r="E3368">
        <v>85</v>
      </c>
      <c r="F3368">
        <v>5.6829999999999999E-2</v>
      </c>
      <c r="G3368">
        <v>0</v>
      </c>
      <c r="H3368" t="str">
        <f t="shared" si="156"/>
        <v>80-89</v>
      </c>
      <c r="I3368" t="str">
        <f t="shared" si="157"/>
        <v>30-39</v>
      </c>
      <c r="J3368">
        <f t="shared" si="158"/>
        <v>5.6829999999999999E-2</v>
      </c>
    </row>
    <row r="3369" spans="1:10">
      <c r="A3369" t="s">
        <v>3451</v>
      </c>
      <c r="B3369">
        <v>25</v>
      </c>
      <c r="C3369" t="s">
        <v>7</v>
      </c>
      <c r="D3369">
        <v>6</v>
      </c>
      <c r="E3369">
        <v>30</v>
      </c>
      <c r="F3369">
        <v>2.7999999999999998E-4</v>
      </c>
      <c r="G3369">
        <v>0</v>
      </c>
      <c r="H3369" t="str">
        <f t="shared" si="156"/>
        <v>30-39</v>
      </c>
      <c r="I3369" t="str">
        <f t="shared" si="157"/>
        <v>0-9</v>
      </c>
      <c r="J3369">
        <f t="shared" si="158"/>
        <v>2.7999999999999998E-4</v>
      </c>
    </row>
    <row r="3370" spans="1:10">
      <c r="A3370" t="s">
        <v>3452</v>
      </c>
      <c r="B3370">
        <v>57</v>
      </c>
      <c r="C3370" t="s">
        <v>7</v>
      </c>
      <c r="D3370">
        <v>21</v>
      </c>
      <c r="E3370">
        <v>77</v>
      </c>
      <c r="F3370">
        <v>2.8719999999999999E-2</v>
      </c>
      <c r="G3370">
        <v>0</v>
      </c>
      <c r="H3370" t="str">
        <f t="shared" si="156"/>
        <v>70-79</v>
      </c>
      <c r="I3370" t="str">
        <f t="shared" si="157"/>
        <v>20-29</v>
      </c>
      <c r="J3370">
        <f t="shared" si="158"/>
        <v>2.8719999999999999E-2</v>
      </c>
    </row>
    <row r="3371" spans="1:10">
      <c r="A3371" t="s">
        <v>3453</v>
      </c>
      <c r="B3371">
        <v>20</v>
      </c>
      <c r="C3371" t="s">
        <v>7</v>
      </c>
      <c r="D3371">
        <v>7</v>
      </c>
      <c r="E3371">
        <v>26</v>
      </c>
      <c r="F3371">
        <v>3.1E-4</v>
      </c>
      <c r="G3371">
        <v>0</v>
      </c>
      <c r="H3371" t="str">
        <f t="shared" si="156"/>
        <v>20-29</v>
      </c>
      <c r="I3371" t="str">
        <f t="shared" si="157"/>
        <v>0-9</v>
      </c>
      <c r="J3371">
        <f t="shared" si="158"/>
        <v>3.1E-4</v>
      </c>
    </row>
    <row r="3372" spans="1:10">
      <c r="A3372" t="s">
        <v>3454</v>
      </c>
      <c r="B3372">
        <v>35</v>
      </c>
      <c r="C3372" t="s">
        <v>7</v>
      </c>
      <c r="D3372">
        <v>10</v>
      </c>
      <c r="E3372">
        <v>44</v>
      </c>
      <c r="F3372">
        <v>8.8000000000000003E-4</v>
      </c>
      <c r="G3372">
        <v>0</v>
      </c>
      <c r="H3372" t="str">
        <f t="shared" si="156"/>
        <v>40-49</v>
      </c>
      <c r="I3372" t="str">
        <f t="shared" si="157"/>
        <v>10-19</v>
      </c>
      <c r="J3372">
        <f t="shared" si="158"/>
        <v>8.8000000000000003E-4</v>
      </c>
    </row>
    <row r="3373" spans="1:10">
      <c r="A3373" t="s">
        <v>3455</v>
      </c>
      <c r="B3373">
        <v>32</v>
      </c>
      <c r="C3373" t="s">
        <v>7</v>
      </c>
      <c r="D3373">
        <v>24</v>
      </c>
      <c r="E3373">
        <v>55</v>
      </c>
      <c r="F3373">
        <v>3.0799999999999998E-3</v>
      </c>
      <c r="G3373">
        <v>0</v>
      </c>
      <c r="H3373" t="str">
        <f t="shared" si="156"/>
        <v>50-59</v>
      </c>
      <c r="I3373" t="str">
        <f t="shared" si="157"/>
        <v>20-29</v>
      </c>
      <c r="J3373">
        <f t="shared" si="158"/>
        <v>3.0799999999999998E-3</v>
      </c>
    </row>
    <row r="3374" spans="1:10">
      <c r="A3374" t="s">
        <v>3456</v>
      </c>
      <c r="B3374">
        <v>23</v>
      </c>
      <c r="C3374" t="s">
        <v>7</v>
      </c>
      <c r="D3374">
        <v>13</v>
      </c>
      <c r="E3374">
        <v>35</v>
      </c>
      <c r="F3374">
        <v>5.5000000000000003E-4</v>
      </c>
      <c r="G3374">
        <v>0</v>
      </c>
      <c r="H3374" t="str">
        <f t="shared" si="156"/>
        <v>30-39</v>
      </c>
      <c r="I3374" t="str">
        <f t="shared" si="157"/>
        <v>10-19</v>
      </c>
      <c r="J3374">
        <f t="shared" si="158"/>
        <v>5.5000000000000003E-4</v>
      </c>
    </row>
    <row r="3375" spans="1:10">
      <c r="A3375" t="s">
        <v>3457</v>
      </c>
      <c r="B3375">
        <v>28</v>
      </c>
      <c r="C3375" t="s">
        <v>9</v>
      </c>
      <c r="D3375">
        <v>19</v>
      </c>
      <c r="E3375">
        <v>46</v>
      </c>
      <c r="F3375">
        <v>1.91E-3</v>
      </c>
      <c r="G3375">
        <v>0</v>
      </c>
      <c r="H3375" t="str">
        <f t="shared" si="156"/>
        <v>40-49</v>
      </c>
      <c r="I3375" t="str">
        <f t="shared" si="157"/>
        <v>10-19</v>
      </c>
      <c r="J3375">
        <f t="shared" si="158"/>
        <v>1.91E-3</v>
      </c>
    </row>
    <row r="3376" spans="1:10">
      <c r="A3376" t="s">
        <v>3458</v>
      </c>
      <c r="B3376">
        <v>32</v>
      </c>
      <c r="C3376" t="s">
        <v>7</v>
      </c>
      <c r="D3376">
        <v>9</v>
      </c>
      <c r="E3376">
        <v>40</v>
      </c>
      <c r="F3376">
        <v>6.9999999999999999E-4</v>
      </c>
      <c r="G3376">
        <v>0</v>
      </c>
      <c r="H3376" t="str">
        <f t="shared" si="156"/>
        <v>40-49</v>
      </c>
      <c r="I3376" t="str">
        <f t="shared" si="157"/>
        <v>0-9</v>
      </c>
      <c r="J3376">
        <f t="shared" si="158"/>
        <v>6.9999999999999999E-4</v>
      </c>
    </row>
    <row r="3377" spans="1:10">
      <c r="A3377" t="s">
        <v>3459</v>
      </c>
      <c r="B3377">
        <v>38</v>
      </c>
      <c r="C3377" t="s">
        <v>7</v>
      </c>
      <c r="D3377">
        <v>9</v>
      </c>
      <c r="E3377">
        <v>46</v>
      </c>
      <c r="F3377">
        <v>1.01E-3</v>
      </c>
      <c r="G3377">
        <v>0</v>
      </c>
      <c r="H3377" t="str">
        <f t="shared" si="156"/>
        <v>40-49</v>
      </c>
      <c r="I3377" t="str">
        <f t="shared" si="157"/>
        <v>0-9</v>
      </c>
      <c r="J3377">
        <f t="shared" si="158"/>
        <v>1.01E-3</v>
      </c>
    </row>
    <row r="3378" spans="1:10">
      <c r="A3378" t="s">
        <v>3460</v>
      </c>
      <c r="B3378">
        <v>51</v>
      </c>
      <c r="C3378" t="s">
        <v>7</v>
      </c>
      <c r="D3378">
        <v>12</v>
      </c>
      <c r="E3378">
        <v>62</v>
      </c>
      <c r="F3378">
        <v>5.0499999999999998E-3</v>
      </c>
      <c r="G3378">
        <v>0</v>
      </c>
      <c r="H3378" t="str">
        <f t="shared" si="156"/>
        <v>60-69</v>
      </c>
      <c r="I3378" t="str">
        <f t="shared" si="157"/>
        <v>10-19</v>
      </c>
      <c r="J3378">
        <f t="shared" si="158"/>
        <v>5.0499999999999998E-3</v>
      </c>
    </row>
    <row r="3379" spans="1:10">
      <c r="A3379" t="s">
        <v>3461</v>
      </c>
      <c r="B3379">
        <v>61</v>
      </c>
      <c r="C3379" t="s">
        <v>9</v>
      </c>
      <c r="D3379">
        <v>17</v>
      </c>
      <c r="E3379">
        <v>77</v>
      </c>
      <c r="F3379">
        <v>3.5990000000000001E-2</v>
      </c>
      <c r="G3379">
        <v>0</v>
      </c>
      <c r="H3379" t="str">
        <f t="shared" si="156"/>
        <v>70-79</v>
      </c>
      <c r="I3379" t="str">
        <f t="shared" si="157"/>
        <v>10-19</v>
      </c>
      <c r="J3379">
        <f t="shared" si="158"/>
        <v>3.5990000000000001E-2</v>
      </c>
    </row>
    <row r="3380" spans="1:10">
      <c r="A3380" t="s">
        <v>3462</v>
      </c>
      <c r="B3380">
        <v>30</v>
      </c>
      <c r="C3380" t="s">
        <v>7</v>
      </c>
      <c r="D3380">
        <v>2</v>
      </c>
      <c r="E3380">
        <v>31</v>
      </c>
      <c r="F3380">
        <v>1.8000000000000001E-4</v>
      </c>
      <c r="G3380">
        <v>0</v>
      </c>
      <c r="H3380" t="str">
        <f t="shared" si="156"/>
        <v>30-39</v>
      </c>
      <c r="I3380" t="str">
        <f t="shared" si="157"/>
        <v>0-9</v>
      </c>
      <c r="J3380">
        <f t="shared" si="158"/>
        <v>1.8000000000000001E-4</v>
      </c>
    </row>
    <row r="3381" spans="1:10">
      <c r="A3381" t="s">
        <v>3463</v>
      </c>
      <c r="B3381">
        <v>29</v>
      </c>
      <c r="C3381" t="s">
        <v>7</v>
      </c>
      <c r="D3381">
        <v>18</v>
      </c>
      <c r="E3381">
        <v>46</v>
      </c>
      <c r="F3381">
        <v>1.3699999999999999E-3</v>
      </c>
      <c r="G3381">
        <v>0</v>
      </c>
      <c r="H3381" t="str">
        <f t="shared" si="156"/>
        <v>40-49</v>
      </c>
      <c r="I3381" t="str">
        <f t="shared" si="157"/>
        <v>10-19</v>
      </c>
      <c r="J3381">
        <f t="shared" si="158"/>
        <v>1.3699999999999999E-3</v>
      </c>
    </row>
    <row r="3382" spans="1:10">
      <c r="A3382" t="s">
        <v>3464</v>
      </c>
      <c r="B3382">
        <v>47</v>
      </c>
      <c r="C3382" t="s">
        <v>7</v>
      </c>
      <c r="D3382">
        <v>12</v>
      </c>
      <c r="E3382">
        <v>58</v>
      </c>
      <c r="F3382">
        <v>3.4499999999999999E-3</v>
      </c>
      <c r="G3382">
        <v>0</v>
      </c>
      <c r="H3382" t="str">
        <f t="shared" si="156"/>
        <v>50-59</v>
      </c>
      <c r="I3382" t="str">
        <f t="shared" si="157"/>
        <v>10-19</v>
      </c>
      <c r="J3382">
        <f t="shared" si="158"/>
        <v>3.4499999999999999E-3</v>
      </c>
    </row>
    <row r="3383" spans="1:10">
      <c r="A3383" t="s">
        <v>3465</v>
      </c>
      <c r="B3383">
        <v>38</v>
      </c>
      <c r="C3383" t="s">
        <v>9</v>
      </c>
      <c r="D3383">
        <v>7</v>
      </c>
      <c r="E3383">
        <v>44</v>
      </c>
      <c r="F3383">
        <v>1.1199999999999999E-3</v>
      </c>
      <c r="G3383">
        <v>0</v>
      </c>
      <c r="H3383" t="str">
        <f t="shared" si="156"/>
        <v>40-49</v>
      </c>
      <c r="I3383" t="str">
        <f t="shared" si="157"/>
        <v>0-9</v>
      </c>
      <c r="J3383">
        <f t="shared" si="158"/>
        <v>1.1199999999999999E-3</v>
      </c>
    </row>
    <row r="3384" spans="1:10">
      <c r="A3384" t="s">
        <v>3466</v>
      </c>
      <c r="B3384">
        <v>55</v>
      </c>
      <c r="C3384" t="s">
        <v>7</v>
      </c>
      <c r="D3384">
        <v>27</v>
      </c>
      <c r="E3384">
        <v>81</v>
      </c>
      <c r="F3384">
        <v>3.986E-2</v>
      </c>
      <c r="G3384">
        <v>0</v>
      </c>
      <c r="H3384" t="str">
        <f t="shared" si="156"/>
        <v>80-89</v>
      </c>
      <c r="I3384" t="str">
        <f t="shared" si="157"/>
        <v>20-29</v>
      </c>
      <c r="J3384">
        <f t="shared" si="158"/>
        <v>3.986E-2</v>
      </c>
    </row>
    <row r="3385" spans="1:10">
      <c r="A3385" t="s">
        <v>3467</v>
      </c>
      <c r="B3385">
        <v>52</v>
      </c>
      <c r="C3385" t="s">
        <v>9</v>
      </c>
      <c r="D3385">
        <v>25</v>
      </c>
      <c r="E3385">
        <v>76</v>
      </c>
      <c r="F3385">
        <v>3.3419999999999998E-2</v>
      </c>
      <c r="G3385">
        <v>0</v>
      </c>
      <c r="H3385" t="str">
        <f t="shared" si="156"/>
        <v>70-79</v>
      </c>
      <c r="I3385" t="str">
        <f t="shared" si="157"/>
        <v>20-29</v>
      </c>
      <c r="J3385">
        <f t="shared" si="158"/>
        <v>3.3419999999999998E-2</v>
      </c>
    </row>
    <row r="3386" spans="1:10">
      <c r="A3386" t="s">
        <v>3468</v>
      </c>
      <c r="B3386">
        <v>36</v>
      </c>
      <c r="C3386" t="s">
        <v>7</v>
      </c>
      <c r="D3386">
        <v>2</v>
      </c>
      <c r="E3386">
        <v>37</v>
      </c>
      <c r="F3386">
        <v>2.7E-4</v>
      </c>
      <c r="G3386">
        <v>0</v>
      </c>
      <c r="H3386" t="str">
        <f t="shared" si="156"/>
        <v>30-39</v>
      </c>
      <c r="I3386" t="str">
        <f t="shared" si="157"/>
        <v>0-9</v>
      </c>
      <c r="J3386">
        <f t="shared" si="158"/>
        <v>2.7E-4</v>
      </c>
    </row>
    <row r="3387" spans="1:10">
      <c r="A3387" t="s">
        <v>3469</v>
      </c>
      <c r="B3387">
        <v>60</v>
      </c>
      <c r="C3387" t="s">
        <v>9</v>
      </c>
      <c r="D3387">
        <v>6</v>
      </c>
      <c r="E3387">
        <v>65</v>
      </c>
      <c r="F3387">
        <v>8.1399999999999997E-3</v>
      </c>
      <c r="G3387">
        <v>0</v>
      </c>
      <c r="H3387" t="str">
        <f t="shared" si="156"/>
        <v>60-69</v>
      </c>
      <c r="I3387" t="str">
        <f t="shared" si="157"/>
        <v>0-9</v>
      </c>
      <c r="J3387">
        <f t="shared" si="158"/>
        <v>8.1399999999999997E-3</v>
      </c>
    </row>
    <row r="3388" spans="1:10">
      <c r="A3388" t="s">
        <v>3470</v>
      </c>
      <c r="B3388">
        <v>40</v>
      </c>
      <c r="C3388" t="s">
        <v>7</v>
      </c>
      <c r="D3388">
        <v>12</v>
      </c>
      <c r="E3388">
        <v>51</v>
      </c>
      <c r="F3388">
        <v>1.8500000000000001E-3</v>
      </c>
      <c r="G3388">
        <v>0</v>
      </c>
      <c r="H3388" t="str">
        <f t="shared" si="156"/>
        <v>50-59</v>
      </c>
      <c r="I3388" t="str">
        <f t="shared" si="157"/>
        <v>10-19</v>
      </c>
      <c r="J3388">
        <f t="shared" si="158"/>
        <v>1.8500000000000001E-3</v>
      </c>
    </row>
    <row r="3389" spans="1:10">
      <c r="A3389" t="s">
        <v>3471</v>
      </c>
      <c r="B3389">
        <v>22</v>
      </c>
      <c r="C3389" t="s">
        <v>7</v>
      </c>
      <c r="D3389">
        <v>11</v>
      </c>
      <c r="E3389">
        <v>32</v>
      </c>
      <c r="F3389">
        <v>4.2000000000000002E-4</v>
      </c>
      <c r="G3389">
        <v>0</v>
      </c>
      <c r="H3389" t="str">
        <f t="shared" si="156"/>
        <v>30-39</v>
      </c>
      <c r="I3389" t="str">
        <f t="shared" si="157"/>
        <v>10-19</v>
      </c>
      <c r="J3389">
        <f t="shared" si="158"/>
        <v>4.2000000000000002E-4</v>
      </c>
    </row>
    <row r="3390" spans="1:10">
      <c r="A3390" t="s">
        <v>3472</v>
      </c>
      <c r="B3390">
        <v>20</v>
      </c>
      <c r="C3390" t="s">
        <v>9</v>
      </c>
      <c r="D3390">
        <v>6</v>
      </c>
      <c r="E3390">
        <v>25</v>
      </c>
      <c r="F3390">
        <v>7.7999999999999999E-4</v>
      </c>
      <c r="G3390">
        <v>0</v>
      </c>
      <c r="H3390" t="str">
        <f t="shared" si="156"/>
        <v>20-29</v>
      </c>
      <c r="I3390" t="str">
        <f t="shared" si="157"/>
        <v>0-9</v>
      </c>
      <c r="J3390">
        <f t="shared" si="158"/>
        <v>7.7999999999999999E-4</v>
      </c>
    </row>
    <row r="3391" spans="1:10">
      <c r="A3391" t="s">
        <v>3473</v>
      </c>
      <c r="B3391">
        <v>61</v>
      </c>
      <c r="C3391" t="s">
        <v>9</v>
      </c>
      <c r="D3391">
        <v>29</v>
      </c>
      <c r="E3391">
        <v>89</v>
      </c>
      <c r="F3391">
        <v>0.10347000000000001</v>
      </c>
      <c r="G3391">
        <v>0</v>
      </c>
      <c r="H3391" t="str">
        <f t="shared" si="156"/>
        <v>80-89</v>
      </c>
      <c r="I3391" t="str">
        <f t="shared" si="157"/>
        <v>20-29</v>
      </c>
      <c r="J3391">
        <f t="shared" si="158"/>
        <v>0.10347000000000001</v>
      </c>
    </row>
    <row r="3392" spans="1:10">
      <c r="A3392" t="s">
        <v>3474</v>
      </c>
      <c r="B3392">
        <v>39</v>
      </c>
      <c r="C3392" t="s">
        <v>9</v>
      </c>
      <c r="D3392">
        <v>6</v>
      </c>
      <c r="E3392">
        <v>44</v>
      </c>
      <c r="F3392">
        <v>1.06E-3</v>
      </c>
      <c r="G3392">
        <v>0</v>
      </c>
      <c r="H3392" t="str">
        <f t="shared" si="156"/>
        <v>40-49</v>
      </c>
      <c r="I3392" t="str">
        <f t="shared" si="157"/>
        <v>0-9</v>
      </c>
      <c r="J3392">
        <f t="shared" si="158"/>
        <v>1.06E-3</v>
      </c>
    </row>
    <row r="3393" spans="1:10">
      <c r="A3393" t="s">
        <v>3475</v>
      </c>
      <c r="B3393">
        <v>21</v>
      </c>
      <c r="C3393" t="s">
        <v>7</v>
      </c>
      <c r="D3393">
        <v>15</v>
      </c>
      <c r="E3393">
        <v>35</v>
      </c>
      <c r="F3393">
        <v>6.2E-4</v>
      </c>
      <c r="G3393">
        <v>0</v>
      </c>
      <c r="H3393" t="str">
        <f t="shared" si="156"/>
        <v>30-39</v>
      </c>
      <c r="I3393" t="str">
        <f t="shared" si="157"/>
        <v>10-19</v>
      </c>
      <c r="J3393">
        <f t="shared" si="158"/>
        <v>6.2E-4</v>
      </c>
    </row>
    <row r="3394" spans="1:10">
      <c r="A3394" t="s">
        <v>3476</v>
      </c>
      <c r="B3394">
        <v>56</v>
      </c>
      <c r="C3394" t="s">
        <v>9</v>
      </c>
      <c r="D3394">
        <v>23</v>
      </c>
      <c r="E3394">
        <v>78</v>
      </c>
      <c r="F3394">
        <v>4.1189999999999997E-2</v>
      </c>
      <c r="G3394">
        <v>0</v>
      </c>
      <c r="H3394" t="str">
        <f t="shared" si="156"/>
        <v>70-79</v>
      </c>
      <c r="I3394" t="str">
        <f t="shared" si="157"/>
        <v>20-29</v>
      </c>
      <c r="J3394">
        <f t="shared" si="158"/>
        <v>4.1189999999999997E-2</v>
      </c>
    </row>
    <row r="3395" spans="1:10">
      <c r="A3395" t="s">
        <v>3477</v>
      </c>
      <c r="B3395">
        <v>35</v>
      </c>
      <c r="C3395" t="s">
        <v>7</v>
      </c>
      <c r="D3395">
        <v>9</v>
      </c>
      <c r="E3395">
        <v>43</v>
      </c>
      <c r="F3395">
        <v>8.0000000000000004E-4</v>
      </c>
      <c r="G3395">
        <v>0</v>
      </c>
      <c r="H3395" t="str">
        <f t="shared" ref="H3395:H3458" si="159">FLOOR(E3395,10) &amp; "-" &amp; FLOOR(E3395,10)+9</f>
        <v>40-49</v>
      </c>
      <c r="I3395" t="str">
        <f t="shared" ref="I3395:I3458" si="160">FLOOR(D3395, 10) &amp; "-"&amp;FLOOR(D3395, 10)+9</f>
        <v>0-9</v>
      </c>
      <c r="J3395">
        <f t="shared" ref="J3395:J3458" si="161">F3395</f>
        <v>8.0000000000000004E-4</v>
      </c>
    </row>
    <row r="3396" spans="1:10">
      <c r="A3396" t="s">
        <v>3478</v>
      </c>
      <c r="B3396">
        <v>50</v>
      </c>
      <c r="C3396" t="s">
        <v>9</v>
      </c>
      <c r="D3396">
        <v>22</v>
      </c>
      <c r="E3396">
        <v>71</v>
      </c>
      <c r="F3396">
        <v>1.9089999999999999E-2</v>
      </c>
      <c r="G3396">
        <v>0</v>
      </c>
      <c r="H3396" t="str">
        <f t="shared" si="159"/>
        <v>70-79</v>
      </c>
      <c r="I3396" t="str">
        <f t="shared" si="160"/>
        <v>20-29</v>
      </c>
      <c r="J3396">
        <f t="shared" si="161"/>
        <v>1.9089999999999999E-2</v>
      </c>
    </row>
    <row r="3397" spans="1:10">
      <c r="A3397" t="s">
        <v>3479</v>
      </c>
      <c r="B3397">
        <v>34</v>
      </c>
      <c r="C3397" t="s">
        <v>7</v>
      </c>
      <c r="D3397">
        <v>25</v>
      </c>
      <c r="E3397">
        <v>58</v>
      </c>
      <c r="F3397">
        <v>4.0499999999999998E-3</v>
      </c>
      <c r="G3397">
        <v>0</v>
      </c>
      <c r="H3397" t="str">
        <f t="shared" si="159"/>
        <v>50-59</v>
      </c>
      <c r="I3397" t="str">
        <f t="shared" si="160"/>
        <v>20-29</v>
      </c>
      <c r="J3397">
        <f t="shared" si="161"/>
        <v>4.0499999999999998E-3</v>
      </c>
    </row>
    <row r="3398" spans="1:10">
      <c r="A3398" t="s">
        <v>3480</v>
      </c>
      <c r="B3398">
        <v>26</v>
      </c>
      <c r="C3398" t="s">
        <v>9</v>
      </c>
      <c r="D3398">
        <v>14</v>
      </c>
      <c r="E3398">
        <v>39</v>
      </c>
      <c r="F3398">
        <v>1.1000000000000001E-3</v>
      </c>
      <c r="G3398">
        <v>0</v>
      </c>
      <c r="H3398" t="str">
        <f t="shared" si="159"/>
        <v>30-39</v>
      </c>
      <c r="I3398" t="str">
        <f t="shared" si="160"/>
        <v>10-19</v>
      </c>
      <c r="J3398">
        <f t="shared" si="161"/>
        <v>1.1000000000000001E-3</v>
      </c>
    </row>
    <row r="3399" spans="1:10">
      <c r="A3399" t="s">
        <v>3481</v>
      </c>
      <c r="B3399">
        <v>56</v>
      </c>
      <c r="C3399" t="s">
        <v>7</v>
      </c>
      <c r="D3399">
        <v>13</v>
      </c>
      <c r="E3399">
        <v>68</v>
      </c>
      <c r="F3399">
        <v>9.1299999999999992E-3</v>
      </c>
      <c r="G3399">
        <v>0</v>
      </c>
      <c r="H3399" t="str">
        <f t="shared" si="159"/>
        <v>60-69</v>
      </c>
      <c r="I3399" t="str">
        <f t="shared" si="160"/>
        <v>10-19</v>
      </c>
      <c r="J3399">
        <f t="shared" si="161"/>
        <v>9.1299999999999992E-3</v>
      </c>
    </row>
    <row r="3400" spans="1:10">
      <c r="A3400" t="s">
        <v>3482</v>
      </c>
      <c r="B3400">
        <v>30</v>
      </c>
      <c r="C3400" t="s">
        <v>9</v>
      </c>
      <c r="D3400">
        <v>30</v>
      </c>
      <c r="E3400">
        <v>59</v>
      </c>
      <c r="F3400">
        <v>4.0499999999999998E-3</v>
      </c>
      <c r="G3400">
        <v>0</v>
      </c>
      <c r="H3400" t="str">
        <f t="shared" si="159"/>
        <v>50-59</v>
      </c>
      <c r="I3400" t="str">
        <f t="shared" si="160"/>
        <v>30-39</v>
      </c>
      <c r="J3400">
        <f t="shared" si="161"/>
        <v>4.0499999999999998E-3</v>
      </c>
    </row>
    <row r="3401" spans="1:10">
      <c r="A3401" t="s">
        <v>3483</v>
      </c>
      <c r="B3401">
        <v>64</v>
      </c>
      <c r="C3401" t="s">
        <v>9</v>
      </c>
      <c r="D3401">
        <v>17</v>
      </c>
      <c r="E3401">
        <v>80</v>
      </c>
      <c r="F3401">
        <v>4.863E-2</v>
      </c>
      <c r="G3401">
        <v>0</v>
      </c>
      <c r="H3401" t="str">
        <f t="shared" si="159"/>
        <v>80-89</v>
      </c>
      <c r="I3401" t="str">
        <f t="shared" si="160"/>
        <v>10-19</v>
      </c>
      <c r="J3401">
        <f t="shared" si="161"/>
        <v>4.863E-2</v>
      </c>
    </row>
    <row r="3402" spans="1:10">
      <c r="A3402" t="s">
        <v>3484</v>
      </c>
      <c r="B3402">
        <v>28</v>
      </c>
      <c r="C3402" t="s">
        <v>7</v>
      </c>
      <c r="D3402">
        <v>5</v>
      </c>
      <c r="E3402">
        <v>32</v>
      </c>
      <c r="F3402">
        <v>2.5999999999999998E-4</v>
      </c>
      <c r="G3402">
        <v>0</v>
      </c>
      <c r="H3402" t="str">
        <f t="shared" si="159"/>
        <v>30-39</v>
      </c>
      <c r="I3402" t="str">
        <f t="shared" si="160"/>
        <v>0-9</v>
      </c>
      <c r="J3402">
        <f t="shared" si="161"/>
        <v>2.5999999999999998E-4</v>
      </c>
    </row>
    <row r="3403" spans="1:10">
      <c r="A3403" t="s">
        <v>3485</v>
      </c>
      <c r="B3403">
        <v>23</v>
      </c>
      <c r="C3403" t="s">
        <v>9</v>
      </c>
      <c r="D3403">
        <v>3</v>
      </c>
      <c r="E3403">
        <v>25</v>
      </c>
      <c r="F3403">
        <v>5.0000000000000001E-4</v>
      </c>
      <c r="G3403">
        <v>0</v>
      </c>
      <c r="H3403" t="str">
        <f t="shared" si="159"/>
        <v>20-29</v>
      </c>
      <c r="I3403" t="str">
        <f t="shared" si="160"/>
        <v>0-9</v>
      </c>
      <c r="J3403">
        <f t="shared" si="161"/>
        <v>5.0000000000000001E-4</v>
      </c>
    </row>
    <row r="3404" spans="1:10">
      <c r="A3404" t="s">
        <v>3486</v>
      </c>
      <c r="B3404">
        <v>42</v>
      </c>
      <c r="C3404" t="s">
        <v>9</v>
      </c>
      <c r="D3404">
        <v>15</v>
      </c>
      <c r="E3404">
        <v>56</v>
      </c>
      <c r="F3404">
        <v>3.9899999999999996E-3</v>
      </c>
      <c r="G3404">
        <v>0</v>
      </c>
      <c r="H3404" t="str">
        <f t="shared" si="159"/>
        <v>50-59</v>
      </c>
      <c r="I3404" t="str">
        <f t="shared" si="160"/>
        <v>10-19</v>
      </c>
      <c r="J3404">
        <f t="shared" si="161"/>
        <v>3.9899999999999996E-3</v>
      </c>
    </row>
    <row r="3405" spans="1:10">
      <c r="A3405" t="s">
        <v>3487</v>
      </c>
      <c r="B3405">
        <v>62</v>
      </c>
      <c r="C3405" t="s">
        <v>9</v>
      </c>
      <c r="D3405">
        <v>5</v>
      </c>
      <c r="E3405">
        <v>66</v>
      </c>
      <c r="F3405">
        <v>7.9399999999999991E-3</v>
      </c>
      <c r="G3405">
        <v>0</v>
      </c>
      <c r="H3405" t="str">
        <f t="shared" si="159"/>
        <v>60-69</v>
      </c>
      <c r="I3405" t="str">
        <f t="shared" si="160"/>
        <v>0-9</v>
      </c>
      <c r="J3405">
        <f t="shared" si="161"/>
        <v>7.9399999999999991E-3</v>
      </c>
    </row>
    <row r="3406" spans="1:10">
      <c r="A3406" t="s">
        <v>3488</v>
      </c>
      <c r="B3406">
        <v>39</v>
      </c>
      <c r="C3406" t="s">
        <v>9</v>
      </c>
      <c r="D3406">
        <v>3</v>
      </c>
      <c r="E3406">
        <v>41</v>
      </c>
      <c r="F3406">
        <v>6.8999999999999997E-4</v>
      </c>
      <c r="G3406">
        <v>0</v>
      </c>
      <c r="H3406" t="str">
        <f t="shared" si="159"/>
        <v>40-49</v>
      </c>
      <c r="I3406" t="str">
        <f t="shared" si="160"/>
        <v>0-9</v>
      </c>
      <c r="J3406">
        <f t="shared" si="161"/>
        <v>6.8999999999999997E-4</v>
      </c>
    </row>
    <row r="3407" spans="1:10">
      <c r="A3407" t="s">
        <v>3489</v>
      </c>
      <c r="B3407">
        <v>47</v>
      </c>
      <c r="C3407" t="s">
        <v>7</v>
      </c>
      <c r="D3407">
        <v>3</v>
      </c>
      <c r="E3407">
        <v>49</v>
      </c>
      <c r="F3407">
        <v>8.4999999999999995E-4</v>
      </c>
      <c r="G3407">
        <v>0</v>
      </c>
      <c r="H3407" t="str">
        <f t="shared" si="159"/>
        <v>40-49</v>
      </c>
      <c r="I3407" t="str">
        <f t="shared" si="160"/>
        <v>0-9</v>
      </c>
      <c r="J3407">
        <f t="shared" si="161"/>
        <v>8.4999999999999995E-4</v>
      </c>
    </row>
    <row r="3408" spans="1:10">
      <c r="A3408" t="s">
        <v>3490</v>
      </c>
      <c r="B3408">
        <v>55</v>
      </c>
      <c r="C3408" t="s">
        <v>7</v>
      </c>
      <c r="D3408">
        <v>28</v>
      </c>
      <c r="E3408">
        <v>82</v>
      </c>
      <c r="F3408">
        <v>3.986E-2</v>
      </c>
      <c r="G3408">
        <v>1</v>
      </c>
      <c r="H3408" t="str">
        <f t="shared" si="159"/>
        <v>80-89</v>
      </c>
      <c r="I3408" t="str">
        <f t="shared" si="160"/>
        <v>20-29</v>
      </c>
      <c r="J3408">
        <f t="shared" si="161"/>
        <v>3.986E-2</v>
      </c>
    </row>
    <row r="3409" spans="1:10">
      <c r="A3409" t="s">
        <v>3491</v>
      </c>
      <c r="B3409">
        <v>30</v>
      </c>
      <c r="C3409" t="s">
        <v>9</v>
      </c>
      <c r="D3409">
        <v>12</v>
      </c>
      <c r="E3409">
        <v>41</v>
      </c>
      <c r="F3409">
        <v>1.1100000000000001E-3</v>
      </c>
      <c r="G3409">
        <v>0</v>
      </c>
      <c r="H3409" t="str">
        <f t="shared" si="159"/>
        <v>40-49</v>
      </c>
      <c r="I3409" t="str">
        <f t="shared" si="160"/>
        <v>10-19</v>
      </c>
      <c r="J3409">
        <f t="shared" si="161"/>
        <v>1.1100000000000001E-3</v>
      </c>
    </row>
    <row r="3410" spans="1:10">
      <c r="A3410" t="s">
        <v>3492</v>
      </c>
      <c r="B3410">
        <v>45</v>
      </c>
      <c r="C3410" t="s">
        <v>9</v>
      </c>
      <c r="D3410">
        <v>23</v>
      </c>
      <c r="E3410">
        <v>67</v>
      </c>
      <c r="F3410">
        <v>1.273E-2</v>
      </c>
      <c r="G3410">
        <v>0</v>
      </c>
      <c r="H3410" t="str">
        <f t="shared" si="159"/>
        <v>60-69</v>
      </c>
      <c r="I3410" t="str">
        <f t="shared" si="160"/>
        <v>20-29</v>
      </c>
      <c r="J3410">
        <f t="shared" si="161"/>
        <v>1.273E-2</v>
      </c>
    </row>
    <row r="3411" spans="1:10">
      <c r="A3411" t="s">
        <v>3493</v>
      </c>
      <c r="B3411">
        <v>44</v>
      </c>
      <c r="C3411" t="s">
        <v>9</v>
      </c>
      <c r="D3411">
        <v>27</v>
      </c>
      <c r="E3411">
        <v>70</v>
      </c>
      <c r="F3411">
        <v>1.553E-2</v>
      </c>
      <c r="G3411">
        <v>0</v>
      </c>
      <c r="H3411" t="str">
        <f t="shared" si="159"/>
        <v>70-79</v>
      </c>
      <c r="I3411" t="str">
        <f t="shared" si="160"/>
        <v>20-29</v>
      </c>
      <c r="J3411">
        <f t="shared" si="161"/>
        <v>1.553E-2</v>
      </c>
    </row>
    <row r="3412" spans="1:10">
      <c r="A3412" t="s">
        <v>3494</v>
      </c>
      <c r="B3412">
        <v>26</v>
      </c>
      <c r="C3412" t="s">
        <v>9</v>
      </c>
      <c r="D3412">
        <v>13</v>
      </c>
      <c r="E3412">
        <v>38</v>
      </c>
      <c r="F3412">
        <v>9.6000000000000002E-4</v>
      </c>
      <c r="G3412">
        <v>0</v>
      </c>
      <c r="H3412" t="str">
        <f t="shared" si="159"/>
        <v>30-39</v>
      </c>
      <c r="I3412" t="str">
        <f t="shared" si="160"/>
        <v>10-19</v>
      </c>
      <c r="J3412">
        <f t="shared" si="161"/>
        <v>9.6000000000000002E-4</v>
      </c>
    </row>
    <row r="3413" spans="1:10">
      <c r="A3413" t="s">
        <v>3495</v>
      </c>
      <c r="B3413">
        <v>28</v>
      </c>
      <c r="C3413" t="s">
        <v>7</v>
      </c>
      <c r="D3413">
        <v>13</v>
      </c>
      <c r="E3413">
        <v>40</v>
      </c>
      <c r="F3413">
        <v>8.8999999999999995E-4</v>
      </c>
      <c r="G3413">
        <v>0</v>
      </c>
      <c r="H3413" t="str">
        <f t="shared" si="159"/>
        <v>40-49</v>
      </c>
      <c r="I3413" t="str">
        <f t="shared" si="160"/>
        <v>10-19</v>
      </c>
      <c r="J3413">
        <f t="shared" si="161"/>
        <v>8.8999999999999995E-4</v>
      </c>
    </row>
    <row r="3414" spans="1:10">
      <c r="A3414" t="s">
        <v>3496</v>
      </c>
      <c r="B3414">
        <v>63</v>
      </c>
      <c r="C3414" t="s">
        <v>7</v>
      </c>
      <c r="D3414">
        <v>24</v>
      </c>
      <c r="E3414">
        <v>86</v>
      </c>
      <c r="F3414">
        <v>8.2710000000000006E-2</v>
      </c>
      <c r="G3414">
        <v>0</v>
      </c>
      <c r="H3414" t="str">
        <f t="shared" si="159"/>
        <v>80-89</v>
      </c>
      <c r="I3414" t="str">
        <f t="shared" si="160"/>
        <v>20-29</v>
      </c>
      <c r="J3414">
        <f t="shared" si="161"/>
        <v>8.2710000000000006E-2</v>
      </c>
    </row>
    <row r="3415" spans="1:10">
      <c r="A3415" t="s">
        <v>3497</v>
      </c>
      <c r="B3415">
        <v>54</v>
      </c>
      <c r="C3415" t="s">
        <v>9</v>
      </c>
      <c r="D3415">
        <v>3</v>
      </c>
      <c r="E3415">
        <v>56</v>
      </c>
      <c r="F3415">
        <v>2.7200000000000002E-3</v>
      </c>
      <c r="G3415">
        <v>0</v>
      </c>
      <c r="H3415" t="str">
        <f t="shared" si="159"/>
        <v>50-59</v>
      </c>
      <c r="I3415" t="str">
        <f t="shared" si="160"/>
        <v>0-9</v>
      </c>
      <c r="J3415">
        <f t="shared" si="161"/>
        <v>2.7200000000000002E-3</v>
      </c>
    </row>
    <row r="3416" spans="1:10">
      <c r="A3416" t="s">
        <v>3498</v>
      </c>
      <c r="B3416">
        <v>57</v>
      </c>
      <c r="C3416" t="s">
        <v>9</v>
      </c>
      <c r="D3416">
        <v>1</v>
      </c>
      <c r="E3416">
        <v>57</v>
      </c>
      <c r="F3416">
        <v>1.3600000000000001E-3</v>
      </c>
      <c r="G3416">
        <v>0</v>
      </c>
      <c r="H3416" t="str">
        <f t="shared" si="159"/>
        <v>50-59</v>
      </c>
      <c r="I3416" t="str">
        <f t="shared" si="160"/>
        <v>0-9</v>
      </c>
      <c r="J3416">
        <f t="shared" si="161"/>
        <v>1.3600000000000001E-3</v>
      </c>
    </row>
    <row r="3417" spans="1:10">
      <c r="A3417" t="s">
        <v>3499</v>
      </c>
      <c r="B3417">
        <v>35</v>
      </c>
      <c r="C3417" t="s">
        <v>9</v>
      </c>
      <c r="D3417">
        <v>12</v>
      </c>
      <c r="E3417">
        <v>46</v>
      </c>
      <c r="F3417">
        <v>1.5E-3</v>
      </c>
      <c r="G3417">
        <v>0</v>
      </c>
      <c r="H3417" t="str">
        <f t="shared" si="159"/>
        <v>40-49</v>
      </c>
      <c r="I3417" t="str">
        <f t="shared" si="160"/>
        <v>10-19</v>
      </c>
      <c r="J3417">
        <f t="shared" si="161"/>
        <v>1.5E-3</v>
      </c>
    </row>
    <row r="3418" spans="1:10">
      <c r="A3418" t="s">
        <v>3500</v>
      </c>
      <c r="B3418">
        <v>20</v>
      </c>
      <c r="C3418" t="s">
        <v>7</v>
      </c>
      <c r="D3418">
        <v>20</v>
      </c>
      <c r="E3418">
        <v>39</v>
      </c>
      <c r="F3418">
        <v>1.08E-3</v>
      </c>
      <c r="G3418">
        <v>0</v>
      </c>
      <c r="H3418" t="str">
        <f t="shared" si="159"/>
        <v>30-39</v>
      </c>
      <c r="I3418" t="str">
        <f t="shared" si="160"/>
        <v>20-29</v>
      </c>
      <c r="J3418">
        <f t="shared" si="161"/>
        <v>1.08E-3</v>
      </c>
    </row>
    <row r="3419" spans="1:10">
      <c r="A3419" t="s">
        <v>3501</v>
      </c>
      <c r="B3419">
        <v>24</v>
      </c>
      <c r="C3419" t="s">
        <v>9</v>
      </c>
      <c r="D3419">
        <v>21</v>
      </c>
      <c r="E3419">
        <v>44</v>
      </c>
      <c r="F3419">
        <v>1.9599999999999999E-3</v>
      </c>
      <c r="G3419">
        <v>0</v>
      </c>
      <c r="H3419" t="str">
        <f t="shared" si="159"/>
        <v>40-49</v>
      </c>
      <c r="I3419" t="str">
        <f t="shared" si="160"/>
        <v>20-29</v>
      </c>
      <c r="J3419">
        <f t="shared" si="161"/>
        <v>1.9599999999999999E-3</v>
      </c>
    </row>
    <row r="3420" spans="1:10">
      <c r="A3420" t="s">
        <v>3502</v>
      </c>
      <c r="B3420">
        <v>22</v>
      </c>
      <c r="C3420" t="s">
        <v>9</v>
      </c>
      <c r="D3420">
        <v>7</v>
      </c>
      <c r="E3420">
        <v>28</v>
      </c>
      <c r="F3420">
        <v>5.9999999999999995E-4</v>
      </c>
      <c r="G3420">
        <v>0</v>
      </c>
      <c r="H3420" t="str">
        <f t="shared" si="159"/>
        <v>20-29</v>
      </c>
      <c r="I3420" t="str">
        <f t="shared" si="160"/>
        <v>0-9</v>
      </c>
      <c r="J3420">
        <f t="shared" si="161"/>
        <v>5.9999999999999995E-4</v>
      </c>
    </row>
    <row r="3421" spans="1:10">
      <c r="A3421" t="s">
        <v>3503</v>
      </c>
      <c r="B3421">
        <v>44</v>
      </c>
      <c r="C3421" t="s">
        <v>9</v>
      </c>
      <c r="D3421">
        <v>21</v>
      </c>
      <c r="E3421">
        <v>64</v>
      </c>
      <c r="F3421">
        <v>9.2899999999999996E-3</v>
      </c>
      <c r="G3421">
        <v>0</v>
      </c>
      <c r="H3421" t="str">
        <f t="shared" si="159"/>
        <v>60-69</v>
      </c>
      <c r="I3421" t="str">
        <f t="shared" si="160"/>
        <v>20-29</v>
      </c>
      <c r="J3421">
        <f t="shared" si="161"/>
        <v>9.2899999999999996E-3</v>
      </c>
    </row>
    <row r="3422" spans="1:10">
      <c r="A3422" t="s">
        <v>3504</v>
      </c>
      <c r="B3422">
        <v>39</v>
      </c>
      <c r="C3422" t="s">
        <v>7</v>
      </c>
      <c r="D3422">
        <v>13</v>
      </c>
      <c r="E3422">
        <v>51</v>
      </c>
      <c r="F3422">
        <v>1.9E-3</v>
      </c>
      <c r="G3422">
        <v>0</v>
      </c>
      <c r="H3422" t="str">
        <f t="shared" si="159"/>
        <v>50-59</v>
      </c>
      <c r="I3422" t="str">
        <f t="shared" si="160"/>
        <v>10-19</v>
      </c>
      <c r="J3422">
        <f t="shared" si="161"/>
        <v>1.9E-3</v>
      </c>
    </row>
    <row r="3423" spans="1:10">
      <c r="A3423" t="s">
        <v>3505</v>
      </c>
      <c r="B3423">
        <v>36</v>
      </c>
      <c r="C3423" t="s">
        <v>9</v>
      </c>
      <c r="D3423">
        <v>14</v>
      </c>
      <c r="E3423">
        <v>49</v>
      </c>
      <c r="F3423">
        <v>2.0699999999999998E-3</v>
      </c>
      <c r="G3423">
        <v>0</v>
      </c>
      <c r="H3423" t="str">
        <f t="shared" si="159"/>
        <v>40-49</v>
      </c>
      <c r="I3423" t="str">
        <f t="shared" si="160"/>
        <v>10-19</v>
      </c>
      <c r="J3423">
        <f t="shared" si="161"/>
        <v>2.0699999999999998E-3</v>
      </c>
    </row>
    <row r="3424" spans="1:10">
      <c r="A3424" t="s">
        <v>3506</v>
      </c>
      <c r="B3424">
        <v>53</v>
      </c>
      <c r="C3424" t="s">
        <v>9</v>
      </c>
      <c r="D3424">
        <v>27</v>
      </c>
      <c r="E3424">
        <v>79</v>
      </c>
      <c r="F3424">
        <v>4.1250000000000002E-2</v>
      </c>
      <c r="G3424">
        <v>0</v>
      </c>
      <c r="H3424" t="str">
        <f t="shared" si="159"/>
        <v>70-79</v>
      </c>
      <c r="I3424" t="str">
        <f t="shared" si="160"/>
        <v>20-29</v>
      </c>
      <c r="J3424">
        <f t="shared" si="161"/>
        <v>4.1250000000000002E-2</v>
      </c>
    </row>
    <row r="3425" spans="1:10">
      <c r="A3425" t="s">
        <v>3507</v>
      </c>
      <c r="B3425">
        <v>42</v>
      </c>
      <c r="C3425" t="s">
        <v>7</v>
      </c>
      <c r="D3425">
        <v>22</v>
      </c>
      <c r="E3425">
        <v>63</v>
      </c>
      <c r="F3425">
        <v>6.7200000000000003E-3</v>
      </c>
      <c r="G3425">
        <v>0</v>
      </c>
      <c r="H3425" t="str">
        <f t="shared" si="159"/>
        <v>60-69</v>
      </c>
      <c r="I3425" t="str">
        <f t="shared" si="160"/>
        <v>20-29</v>
      </c>
      <c r="J3425">
        <f t="shared" si="161"/>
        <v>6.7200000000000003E-3</v>
      </c>
    </row>
    <row r="3426" spans="1:10">
      <c r="A3426" t="s">
        <v>3508</v>
      </c>
      <c r="B3426">
        <v>45</v>
      </c>
      <c r="C3426" t="s">
        <v>7</v>
      </c>
      <c r="D3426">
        <v>26</v>
      </c>
      <c r="E3426">
        <v>70</v>
      </c>
      <c r="F3426">
        <v>1.404E-2</v>
      </c>
      <c r="G3426">
        <v>0</v>
      </c>
      <c r="H3426" t="str">
        <f t="shared" si="159"/>
        <v>70-79</v>
      </c>
      <c r="I3426" t="str">
        <f t="shared" si="160"/>
        <v>20-29</v>
      </c>
      <c r="J3426">
        <f t="shared" si="161"/>
        <v>1.404E-2</v>
      </c>
    </row>
    <row r="3427" spans="1:10">
      <c r="A3427" t="s">
        <v>3509</v>
      </c>
      <c r="B3427">
        <v>28</v>
      </c>
      <c r="C3427" t="s">
        <v>7</v>
      </c>
      <c r="D3427">
        <v>19</v>
      </c>
      <c r="E3427">
        <v>46</v>
      </c>
      <c r="F3427">
        <v>1.41E-3</v>
      </c>
      <c r="G3427">
        <v>0</v>
      </c>
      <c r="H3427" t="str">
        <f t="shared" si="159"/>
        <v>40-49</v>
      </c>
      <c r="I3427" t="str">
        <f t="shared" si="160"/>
        <v>10-19</v>
      </c>
      <c r="J3427">
        <f t="shared" si="161"/>
        <v>1.41E-3</v>
      </c>
    </row>
    <row r="3428" spans="1:10">
      <c r="A3428" t="s">
        <v>3510</v>
      </c>
      <c r="B3428">
        <v>20</v>
      </c>
      <c r="C3428" t="s">
        <v>7</v>
      </c>
      <c r="D3428">
        <v>16</v>
      </c>
      <c r="E3428">
        <v>35</v>
      </c>
      <c r="F3428">
        <v>6.6E-4</v>
      </c>
      <c r="G3428">
        <v>0</v>
      </c>
      <c r="H3428" t="str">
        <f t="shared" si="159"/>
        <v>30-39</v>
      </c>
      <c r="I3428" t="str">
        <f t="shared" si="160"/>
        <v>10-19</v>
      </c>
      <c r="J3428">
        <f t="shared" si="161"/>
        <v>6.6E-4</v>
      </c>
    </row>
    <row r="3429" spans="1:10">
      <c r="A3429" t="s">
        <v>3511</v>
      </c>
      <c r="B3429">
        <v>47</v>
      </c>
      <c r="C3429" t="s">
        <v>9</v>
      </c>
      <c r="D3429">
        <v>25</v>
      </c>
      <c r="E3429">
        <v>71</v>
      </c>
      <c r="F3429">
        <v>1.9089999999999999E-2</v>
      </c>
      <c r="G3429">
        <v>0</v>
      </c>
      <c r="H3429" t="str">
        <f t="shared" si="159"/>
        <v>70-79</v>
      </c>
      <c r="I3429" t="str">
        <f t="shared" si="160"/>
        <v>20-29</v>
      </c>
      <c r="J3429">
        <f t="shared" si="161"/>
        <v>1.9089999999999999E-2</v>
      </c>
    </row>
    <row r="3430" spans="1:10">
      <c r="A3430" t="s">
        <v>3512</v>
      </c>
      <c r="B3430">
        <v>60</v>
      </c>
      <c r="C3430" t="s">
        <v>7</v>
      </c>
      <c r="D3430">
        <v>4</v>
      </c>
      <c r="E3430">
        <v>63</v>
      </c>
      <c r="F3430">
        <v>3.8700000000000002E-3</v>
      </c>
      <c r="G3430">
        <v>0</v>
      </c>
      <c r="H3430" t="str">
        <f t="shared" si="159"/>
        <v>60-69</v>
      </c>
      <c r="I3430" t="str">
        <f t="shared" si="160"/>
        <v>0-9</v>
      </c>
      <c r="J3430">
        <f t="shared" si="161"/>
        <v>3.8700000000000002E-3</v>
      </c>
    </row>
    <row r="3431" spans="1:10">
      <c r="A3431" t="s">
        <v>3513</v>
      </c>
      <c r="B3431">
        <v>48</v>
      </c>
      <c r="C3431" t="s">
        <v>9</v>
      </c>
      <c r="D3431">
        <v>17</v>
      </c>
      <c r="E3431">
        <v>64</v>
      </c>
      <c r="F3431">
        <v>9.2899999999999996E-3</v>
      </c>
      <c r="G3431">
        <v>0</v>
      </c>
      <c r="H3431" t="str">
        <f t="shared" si="159"/>
        <v>60-69</v>
      </c>
      <c r="I3431" t="str">
        <f t="shared" si="160"/>
        <v>10-19</v>
      </c>
      <c r="J3431">
        <f t="shared" si="161"/>
        <v>9.2899999999999996E-3</v>
      </c>
    </row>
    <row r="3432" spans="1:10">
      <c r="A3432" t="s">
        <v>3514</v>
      </c>
      <c r="B3432">
        <v>41</v>
      </c>
      <c r="C3432" t="s">
        <v>7</v>
      </c>
      <c r="D3432">
        <v>28</v>
      </c>
      <c r="E3432">
        <v>68</v>
      </c>
      <c r="F3432">
        <v>9.2399999999999999E-3</v>
      </c>
      <c r="G3432">
        <v>0</v>
      </c>
      <c r="H3432" t="str">
        <f t="shared" si="159"/>
        <v>60-69</v>
      </c>
      <c r="I3432" t="str">
        <f t="shared" si="160"/>
        <v>20-29</v>
      </c>
      <c r="J3432">
        <f t="shared" si="161"/>
        <v>9.2399999999999999E-3</v>
      </c>
    </row>
    <row r="3433" spans="1:10">
      <c r="A3433" t="s">
        <v>3515</v>
      </c>
      <c r="B3433">
        <v>31</v>
      </c>
      <c r="C3433" t="s">
        <v>7</v>
      </c>
      <c r="D3433">
        <v>14</v>
      </c>
      <c r="E3433">
        <v>44</v>
      </c>
      <c r="F3433">
        <v>1.09E-3</v>
      </c>
      <c r="G3433">
        <v>0</v>
      </c>
      <c r="H3433" t="str">
        <f t="shared" si="159"/>
        <v>40-49</v>
      </c>
      <c r="I3433" t="str">
        <f t="shared" si="160"/>
        <v>10-19</v>
      </c>
      <c r="J3433">
        <f t="shared" si="161"/>
        <v>1.09E-3</v>
      </c>
    </row>
    <row r="3434" spans="1:10">
      <c r="A3434" t="s">
        <v>3516</v>
      </c>
      <c r="B3434">
        <v>63</v>
      </c>
      <c r="C3434" t="s">
        <v>9</v>
      </c>
      <c r="D3434">
        <v>3</v>
      </c>
      <c r="E3434">
        <v>65</v>
      </c>
      <c r="F3434">
        <v>5.5100000000000001E-3</v>
      </c>
      <c r="G3434">
        <v>0</v>
      </c>
      <c r="H3434" t="str">
        <f t="shared" si="159"/>
        <v>60-69</v>
      </c>
      <c r="I3434" t="str">
        <f t="shared" si="160"/>
        <v>0-9</v>
      </c>
      <c r="J3434">
        <f t="shared" si="161"/>
        <v>5.5100000000000001E-3</v>
      </c>
    </row>
    <row r="3435" spans="1:10">
      <c r="A3435" t="s">
        <v>3517</v>
      </c>
      <c r="B3435">
        <v>65</v>
      </c>
      <c r="C3435" t="s">
        <v>9</v>
      </c>
      <c r="D3435">
        <v>19</v>
      </c>
      <c r="E3435">
        <v>83</v>
      </c>
      <c r="F3435">
        <v>7.0449999999999999E-2</v>
      </c>
      <c r="G3435">
        <v>0</v>
      </c>
      <c r="H3435" t="str">
        <f t="shared" si="159"/>
        <v>80-89</v>
      </c>
      <c r="I3435" t="str">
        <f t="shared" si="160"/>
        <v>10-19</v>
      </c>
      <c r="J3435">
        <f t="shared" si="161"/>
        <v>7.0449999999999999E-2</v>
      </c>
    </row>
    <row r="3436" spans="1:10">
      <c r="A3436" t="s">
        <v>3518</v>
      </c>
      <c r="B3436">
        <v>59</v>
      </c>
      <c r="C3436" t="s">
        <v>7</v>
      </c>
      <c r="D3436">
        <v>24</v>
      </c>
      <c r="E3436">
        <v>82</v>
      </c>
      <c r="F3436">
        <v>5.0599999999999999E-2</v>
      </c>
      <c r="G3436">
        <v>0</v>
      </c>
      <c r="H3436" t="str">
        <f t="shared" si="159"/>
        <v>80-89</v>
      </c>
      <c r="I3436" t="str">
        <f t="shared" si="160"/>
        <v>20-29</v>
      </c>
      <c r="J3436">
        <f t="shared" si="161"/>
        <v>5.0599999999999999E-2</v>
      </c>
    </row>
    <row r="3437" spans="1:10">
      <c r="A3437" t="s">
        <v>3519</v>
      </c>
      <c r="B3437">
        <v>49</v>
      </c>
      <c r="C3437" t="s">
        <v>9</v>
      </c>
      <c r="D3437">
        <v>10</v>
      </c>
      <c r="E3437">
        <v>58</v>
      </c>
      <c r="F3437">
        <v>4.7200000000000002E-3</v>
      </c>
      <c r="G3437">
        <v>0</v>
      </c>
      <c r="H3437" t="str">
        <f t="shared" si="159"/>
        <v>50-59</v>
      </c>
      <c r="I3437" t="str">
        <f t="shared" si="160"/>
        <v>10-19</v>
      </c>
      <c r="J3437">
        <f t="shared" si="161"/>
        <v>4.7200000000000002E-3</v>
      </c>
    </row>
    <row r="3438" spans="1:10">
      <c r="A3438" t="s">
        <v>3520</v>
      </c>
      <c r="B3438">
        <v>49</v>
      </c>
      <c r="C3438" t="s">
        <v>9</v>
      </c>
      <c r="D3438">
        <v>12</v>
      </c>
      <c r="E3438">
        <v>60</v>
      </c>
      <c r="F3438">
        <v>5.9199999999999999E-3</v>
      </c>
      <c r="G3438">
        <v>0</v>
      </c>
      <c r="H3438" t="str">
        <f t="shared" si="159"/>
        <v>60-69</v>
      </c>
      <c r="I3438" t="str">
        <f t="shared" si="160"/>
        <v>10-19</v>
      </c>
      <c r="J3438">
        <f t="shared" si="161"/>
        <v>5.9199999999999999E-3</v>
      </c>
    </row>
    <row r="3439" spans="1:10">
      <c r="A3439" t="s">
        <v>3521</v>
      </c>
      <c r="B3439">
        <v>43</v>
      </c>
      <c r="C3439" t="s">
        <v>9</v>
      </c>
      <c r="D3439">
        <v>9</v>
      </c>
      <c r="E3439">
        <v>51</v>
      </c>
      <c r="F3439">
        <v>2.1900000000000001E-3</v>
      </c>
      <c r="G3439">
        <v>0</v>
      </c>
      <c r="H3439" t="str">
        <f t="shared" si="159"/>
        <v>50-59</v>
      </c>
      <c r="I3439" t="str">
        <f t="shared" si="160"/>
        <v>0-9</v>
      </c>
      <c r="J3439">
        <f t="shared" si="161"/>
        <v>2.1900000000000001E-3</v>
      </c>
    </row>
    <row r="3440" spans="1:10">
      <c r="A3440" t="s">
        <v>3522</v>
      </c>
      <c r="B3440">
        <v>21</v>
      </c>
      <c r="C3440" t="s">
        <v>9</v>
      </c>
      <c r="D3440">
        <v>18</v>
      </c>
      <c r="E3440">
        <v>38</v>
      </c>
      <c r="F3440">
        <v>1.2999999999999999E-3</v>
      </c>
      <c r="G3440">
        <v>0</v>
      </c>
      <c r="H3440" t="str">
        <f t="shared" si="159"/>
        <v>30-39</v>
      </c>
      <c r="I3440" t="str">
        <f t="shared" si="160"/>
        <v>10-19</v>
      </c>
      <c r="J3440">
        <f t="shared" si="161"/>
        <v>1.2999999999999999E-3</v>
      </c>
    </row>
    <row r="3441" spans="1:10">
      <c r="A3441" t="s">
        <v>3523</v>
      </c>
      <c r="B3441">
        <v>46</v>
      </c>
      <c r="C3441" t="s">
        <v>9</v>
      </c>
      <c r="D3441">
        <v>1</v>
      </c>
      <c r="E3441">
        <v>46</v>
      </c>
      <c r="F3441">
        <v>6.0999999999999997E-4</v>
      </c>
      <c r="G3441">
        <v>0</v>
      </c>
      <c r="H3441" t="str">
        <f t="shared" si="159"/>
        <v>40-49</v>
      </c>
      <c r="I3441" t="str">
        <f t="shared" si="160"/>
        <v>0-9</v>
      </c>
      <c r="J3441">
        <f t="shared" si="161"/>
        <v>6.0999999999999997E-4</v>
      </c>
    </row>
    <row r="3442" spans="1:10">
      <c r="A3442" t="s">
        <v>3524</v>
      </c>
      <c r="B3442">
        <v>22</v>
      </c>
      <c r="C3442" t="s">
        <v>9</v>
      </c>
      <c r="D3442">
        <v>20</v>
      </c>
      <c r="E3442">
        <v>41</v>
      </c>
      <c r="F3442">
        <v>1.7600000000000001E-3</v>
      </c>
      <c r="G3442">
        <v>0</v>
      </c>
      <c r="H3442" t="str">
        <f t="shared" si="159"/>
        <v>40-49</v>
      </c>
      <c r="I3442" t="str">
        <f t="shared" si="160"/>
        <v>20-29</v>
      </c>
      <c r="J3442">
        <f t="shared" si="161"/>
        <v>1.7600000000000001E-3</v>
      </c>
    </row>
    <row r="3443" spans="1:10">
      <c r="A3443" t="s">
        <v>3525</v>
      </c>
      <c r="B3443">
        <v>54</v>
      </c>
      <c r="C3443" t="s">
        <v>9</v>
      </c>
      <c r="D3443">
        <v>24</v>
      </c>
      <c r="E3443">
        <v>77</v>
      </c>
      <c r="F3443">
        <v>3.7039999999999997E-2</v>
      </c>
      <c r="G3443">
        <v>0</v>
      </c>
      <c r="H3443" t="str">
        <f t="shared" si="159"/>
        <v>70-79</v>
      </c>
      <c r="I3443" t="str">
        <f t="shared" si="160"/>
        <v>20-29</v>
      </c>
      <c r="J3443">
        <f t="shared" si="161"/>
        <v>3.7039999999999997E-2</v>
      </c>
    </row>
    <row r="3444" spans="1:10">
      <c r="A3444" t="s">
        <v>3526</v>
      </c>
      <c r="B3444">
        <v>54</v>
      </c>
      <c r="C3444" t="s">
        <v>9</v>
      </c>
      <c r="D3444">
        <v>4</v>
      </c>
      <c r="E3444">
        <v>57</v>
      </c>
      <c r="F3444">
        <v>3.5100000000000001E-3</v>
      </c>
      <c r="G3444">
        <v>0</v>
      </c>
      <c r="H3444" t="str">
        <f t="shared" si="159"/>
        <v>50-59</v>
      </c>
      <c r="I3444" t="str">
        <f t="shared" si="160"/>
        <v>0-9</v>
      </c>
      <c r="J3444">
        <f t="shared" si="161"/>
        <v>3.5100000000000001E-3</v>
      </c>
    </row>
    <row r="3445" spans="1:10">
      <c r="A3445" t="s">
        <v>3527</v>
      </c>
      <c r="B3445">
        <v>51</v>
      </c>
      <c r="C3445" t="s">
        <v>7</v>
      </c>
      <c r="D3445">
        <v>14</v>
      </c>
      <c r="E3445">
        <v>64</v>
      </c>
      <c r="F3445">
        <v>6.6100000000000004E-3</v>
      </c>
      <c r="G3445">
        <v>0</v>
      </c>
      <c r="H3445" t="str">
        <f t="shared" si="159"/>
        <v>60-69</v>
      </c>
      <c r="I3445" t="str">
        <f t="shared" si="160"/>
        <v>10-19</v>
      </c>
      <c r="J3445">
        <f t="shared" si="161"/>
        <v>6.6100000000000004E-3</v>
      </c>
    </row>
    <row r="3446" spans="1:10">
      <c r="A3446" t="s">
        <v>3528</v>
      </c>
      <c r="B3446">
        <v>49</v>
      </c>
      <c r="C3446" t="s">
        <v>7</v>
      </c>
      <c r="D3446">
        <v>23</v>
      </c>
      <c r="E3446">
        <v>71</v>
      </c>
      <c r="F3446">
        <v>1.553E-2</v>
      </c>
      <c r="G3446">
        <v>0</v>
      </c>
      <c r="H3446" t="str">
        <f t="shared" si="159"/>
        <v>70-79</v>
      </c>
      <c r="I3446" t="str">
        <f t="shared" si="160"/>
        <v>20-29</v>
      </c>
      <c r="J3446">
        <f t="shared" si="161"/>
        <v>1.553E-2</v>
      </c>
    </row>
    <row r="3447" spans="1:10">
      <c r="A3447" t="s">
        <v>3529</v>
      </c>
      <c r="B3447">
        <v>53</v>
      </c>
      <c r="C3447" t="s">
        <v>9</v>
      </c>
      <c r="D3447">
        <v>19</v>
      </c>
      <c r="E3447">
        <v>71</v>
      </c>
      <c r="F3447">
        <v>1.8769999999999998E-2</v>
      </c>
      <c r="G3447">
        <v>0</v>
      </c>
      <c r="H3447" t="str">
        <f t="shared" si="159"/>
        <v>70-79</v>
      </c>
      <c r="I3447" t="str">
        <f t="shared" si="160"/>
        <v>10-19</v>
      </c>
      <c r="J3447">
        <f t="shared" si="161"/>
        <v>1.8769999999999998E-2</v>
      </c>
    </row>
    <row r="3448" spans="1:10">
      <c r="A3448" t="s">
        <v>3530</v>
      </c>
      <c r="B3448">
        <v>43</v>
      </c>
      <c r="C3448" t="s">
        <v>9</v>
      </c>
      <c r="D3448">
        <v>2</v>
      </c>
      <c r="E3448">
        <v>44</v>
      </c>
      <c r="F3448">
        <v>7.2000000000000005E-4</v>
      </c>
      <c r="G3448">
        <v>0</v>
      </c>
      <c r="H3448" t="str">
        <f t="shared" si="159"/>
        <v>40-49</v>
      </c>
      <c r="I3448" t="str">
        <f t="shared" si="160"/>
        <v>0-9</v>
      </c>
      <c r="J3448">
        <f t="shared" si="161"/>
        <v>7.2000000000000005E-4</v>
      </c>
    </row>
    <row r="3449" spans="1:10">
      <c r="A3449" t="s">
        <v>3531</v>
      </c>
      <c r="B3449">
        <v>60</v>
      </c>
      <c r="C3449" t="s">
        <v>7</v>
      </c>
      <c r="D3449">
        <v>26</v>
      </c>
      <c r="E3449">
        <v>85</v>
      </c>
      <c r="F3449">
        <v>7.2980000000000003E-2</v>
      </c>
      <c r="G3449">
        <v>0</v>
      </c>
      <c r="H3449" t="str">
        <f t="shared" si="159"/>
        <v>80-89</v>
      </c>
      <c r="I3449" t="str">
        <f t="shared" si="160"/>
        <v>20-29</v>
      </c>
      <c r="J3449">
        <f t="shared" si="161"/>
        <v>7.2980000000000003E-2</v>
      </c>
    </row>
    <row r="3450" spans="1:10">
      <c r="A3450" t="s">
        <v>3532</v>
      </c>
      <c r="B3450">
        <v>25</v>
      </c>
      <c r="C3450" t="s">
        <v>7</v>
      </c>
      <c r="D3450">
        <v>11</v>
      </c>
      <c r="E3450">
        <v>35</v>
      </c>
      <c r="F3450">
        <v>5.1999999999999995E-4</v>
      </c>
      <c r="G3450">
        <v>0</v>
      </c>
      <c r="H3450" t="str">
        <f t="shared" si="159"/>
        <v>30-39</v>
      </c>
      <c r="I3450" t="str">
        <f t="shared" si="160"/>
        <v>10-19</v>
      </c>
      <c r="J3450">
        <f t="shared" si="161"/>
        <v>5.1999999999999995E-4</v>
      </c>
    </row>
    <row r="3451" spans="1:10">
      <c r="A3451" t="s">
        <v>3533</v>
      </c>
      <c r="B3451">
        <v>47</v>
      </c>
      <c r="C3451" t="s">
        <v>9</v>
      </c>
      <c r="D3451">
        <v>13</v>
      </c>
      <c r="E3451">
        <v>59</v>
      </c>
      <c r="F3451">
        <v>5.3800000000000002E-3</v>
      </c>
      <c r="G3451">
        <v>0</v>
      </c>
      <c r="H3451" t="str">
        <f t="shared" si="159"/>
        <v>50-59</v>
      </c>
      <c r="I3451" t="str">
        <f t="shared" si="160"/>
        <v>10-19</v>
      </c>
      <c r="J3451">
        <f t="shared" si="161"/>
        <v>5.3800000000000002E-3</v>
      </c>
    </row>
    <row r="3452" spans="1:10">
      <c r="A3452" t="s">
        <v>3534</v>
      </c>
      <c r="B3452">
        <v>36</v>
      </c>
      <c r="C3452" t="s">
        <v>7</v>
      </c>
      <c r="D3452">
        <v>24</v>
      </c>
      <c r="E3452">
        <v>59</v>
      </c>
      <c r="F3452">
        <v>4.4600000000000004E-3</v>
      </c>
      <c r="G3452">
        <v>0</v>
      </c>
      <c r="H3452" t="str">
        <f t="shared" si="159"/>
        <v>50-59</v>
      </c>
      <c r="I3452" t="str">
        <f t="shared" si="160"/>
        <v>20-29</v>
      </c>
      <c r="J3452">
        <f t="shared" si="161"/>
        <v>4.4600000000000004E-3</v>
      </c>
    </row>
    <row r="3453" spans="1:10">
      <c r="A3453" t="s">
        <v>3535</v>
      </c>
      <c r="B3453">
        <v>47</v>
      </c>
      <c r="C3453" t="s">
        <v>7</v>
      </c>
      <c r="D3453">
        <v>4</v>
      </c>
      <c r="E3453">
        <v>50</v>
      </c>
      <c r="F3453">
        <v>1.15E-3</v>
      </c>
      <c r="G3453">
        <v>0</v>
      </c>
      <c r="H3453" t="str">
        <f t="shared" si="159"/>
        <v>50-59</v>
      </c>
      <c r="I3453" t="str">
        <f t="shared" si="160"/>
        <v>0-9</v>
      </c>
      <c r="J3453">
        <f t="shared" si="161"/>
        <v>1.15E-3</v>
      </c>
    </row>
    <row r="3454" spans="1:10">
      <c r="A3454" t="s">
        <v>3536</v>
      </c>
      <c r="B3454">
        <v>39</v>
      </c>
      <c r="C3454" t="s">
        <v>7</v>
      </c>
      <c r="D3454">
        <v>20</v>
      </c>
      <c r="E3454">
        <v>58</v>
      </c>
      <c r="F3454">
        <v>4.0200000000000001E-3</v>
      </c>
      <c r="G3454">
        <v>0</v>
      </c>
      <c r="H3454" t="str">
        <f t="shared" si="159"/>
        <v>50-59</v>
      </c>
      <c r="I3454" t="str">
        <f t="shared" si="160"/>
        <v>20-29</v>
      </c>
      <c r="J3454">
        <f t="shared" si="161"/>
        <v>4.0200000000000001E-3</v>
      </c>
    </row>
    <row r="3455" spans="1:10">
      <c r="A3455" t="s">
        <v>3537</v>
      </c>
      <c r="B3455">
        <v>35</v>
      </c>
      <c r="C3455" t="s">
        <v>7</v>
      </c>
      <c r="D3455">
        <v>23</v>
      </c>
      <c r="E3455">
        <v>57</v>
      </c>
      <c r="F3455">
        <v>3.6900000000000001E-3</v>
      </c>
      <c r="G3455">
        <v>0</v>
      </c>
      <c r="H3455" t="str">
        <f t="shared" si="159"/>
        <v>50-59</v>
      </c>
      <c r="I3455" t="str">
        <f t="shared" si="160"/>
        <v>20-29</v>
      </c>
      <c r="J3455">
        <f t="shared" si="161"/>
        <v>3.6900000000000001E-3</v>
      </c>
    </row>
    <row r="3456" spans="1:10">
      <c r="A3456" t="s">
        <v>3538</v>
      </c>
      <c r="B3456">
        <v>50</v>
      </c>
      <c r="C3456" t="s">
        <v>7</v>
      </c>
      <c r="D3456">
        <v>7</v>
      </c>
      <c r="E3456">
        <v>56</v>
      </c>
      <c r="F3456">
        <v>2.3500000000000001E-3</v>
      </c>
      <c r="G3456">
        <v>0</v>
      </c>
      <c r="H3456" t="str">
        <f t="shared" si="159"/>
        <v>50-59</v>
      </c>
      <c r="I3456" t="str">
        <f t="shared" si="160"/>
        <v>0-9</v>
      </c>
      <c r="J3456">
        <f t="shared" si="161"/>
        <v>2.3500000000000001E-3</v>
      </c>
    </row>
    <row r="3457" spans="1:10">
      <c r="A3457" t="s">
        <v>3539</v>
      </c>
      <c r="B3457">
        <v>64</v>
      </c>
      <c r="C3457" t="s">
        <v>9</v>
      </c>
      <c r="D3457">
        <v>25</v>
      </c>
      <c r="E3457">
        <v>88</v>
      </c>
      <c r="F3457">
        <v>0.13253000000000001</v>
      </c>
      <c r="G3457">
        <v>0</v>
      </c>
      <c r="H3457" t="str">
        <f t="shared" si="159"/>
        <v>80-89</v>
      </c>
      <c r="I3457" t="str">
        <f t="shared" si="160"/>
        <v>20-29</v>
      </c>
      <c r="J3457">
        <f t="shared" si="161"/>
        <v>0.13253000000000001</v>
      </c>
    </row>
    <row r="3458" spans="1:10">
      <c r="A3458" t="s">
        <v>3540</v>
      </c>
      <c r="B3458">
        <v>22</v>
      </c>
      <c r="C3458" t="s">
        <v>9</v>
      </c>
      <c r="D3458">
        <v>20</v>
      </c>
      <c r="E3458">
        <v>41</v>
      </c>
      <c r="F3458">
        <v>1.7600000000000001E-3</v>
      </c>
      <c r="G3458">
        <v>0</v>
      </c>
      <c r="H3458" t="str">
        <f t="shared" si="159"/>
        <v>40-49</v>
      </c>
      <c r="I3458" t="str">
        <f t="shared" si="160"/>
        <v>20-29</v>
      </c>
      <c r="J3458">
        <f t="shared" si="161"/>
        <v>1.7600000000000001E-3</v>
      </c>
    </row>
    <row r="3459" spans="1:10">
      <c r="A3459" t="s">
        <v>3541</v>
      </c>
      <c r="B3459">
        <v>38</v>
      </c>
      <c r="C3459" t="s">
        <v>9</v>
      </c>
      <c r="D3459">
        <v>9</v>
      </c>
      <c r="E3459">
        <v>46</v>
      </c>
      <c r="F3459">
        <v>1.3600000000000001E-3</v>
      </c>
      <c r="G3459">
        <v>0</v>
      </c>
      <c r="H3459" t="str">
        <f t="shared" ref="H3459:H3522" si="162">FLOOR(E3459,10) &amp; "-" &amp; FLOOR(E3459,10)+9</f>
        <v>40-49</v>
      </c>
      <c r="I3459" t="str">
        <f t="shared" ref="I3459:I3522" si="163">FLOOR(D3459, 10) &amp; "-"&amp;FLOOR(D3459, 10)+9</f>
        <v>0-9</v>
      </c>
      <c r="J3459">
        <f t="shared" ref="J3459:J3522" si="164">F3459</f>
        <v>1.3600000000000001E-3</v>
      </c>
    </row>
    <row r="3460" spans="1:10">
      <c r="A3460" t="s">
        <v>3542</v>
      </c>
      <c r="B3460">
        <v>46</v>
      </c>
      <c r="C3460" t="s">
        <v>9</v>
      </c>
      <c r="D3460">
        <v>22</v>
      </c>
      <c r="E3460">
        <v>67</v>
      </c>
      <c r="F3460">
        <v>1.2710000000000001E-2</v>
      </c>
      <c r="G3460">
        <v>0</v>
      </c>
      <c r="H3460" t="str">
        <f t="shared" si="162"/>
        <v>60-69</v>
      </c>
      <c r="I3460" t="str">
        <f t="shared" si="163"/>
        <v>20-29</v>
      </c>
      <c r="J3460">
        <f t="shared" si="164"/>
        <v>1.2710000000000001E-2</v>
      </c>
    </row>
    <row r="3461" spans="1:10">
      <c r="A3461" t="s">
        <v>3543</v>
      </c>
      <c r="B3461">
        <v>58</v>
      </c>
      <c r="C3461" t="s">
        <v>7</v>
      </c>
      <c r="D3461">
        <v>26</v>
      </c>
      <c r="E3461">
        <v>83</v>
      </c>
      <c r="F3461">
        <v>5.704E-2</v>
      </c>
      <c r="G3461">
        <v>0</v>
      </c>
      <c r="H3461" t="str">
        <f t="shared" si="162"/>
        <v>80-89</v>
      </c>
      <c r="I3461" t="str">
        <f t="shared" si="163"/>
        <v>20-29</v>
      </c>
      <c r="J3461">
        <f t="shared" si="164"/>
        <v>5.704E-2</v>
      </c>
    </row>
    <row r="3462" spans="1:10">
      <c r="A3462" t="s">
        <v>3544</v>
      </c>
      <c r="B3462">
        <v>34</v>
      </c>
      <c r="C3462" t="s">
        <v>9</v>
      </c>
      <c r="D3462">
        <v>8</v>
      </c>
      <c r="E3462">
        <v>41</v>
      </c>
      <c r="F3462">
        <v>9.3000000000000005E-4</v>
      </c>
      <c r="G3462">
        <v>0</v>
      </c>
      <c r="H3462" t="str">
        <f t="shared" si="162"/>
        <v>40-49</v>
      </c>
      <c r="I3462" t="str">
        <f t="shared" si="163"/>
        <v>0-9</v>
      </c>
      <c r="J3462">
        <f t="shared" si="164"/>
        <v>9.3000000000000005E-4</v>
      </c>
    </row>
    <row r="3463" spans="1:10">
      <c r="A3463" t="s">
        <v>3545</v>
      </c>
      <c r="B3463">
        <v>24</v>
      </c>
      <c r="C3463" t="s">
        <v>9</v>
      </c>
      <c r="D3463">
        <v>20</v>
      </c>
      <c r="E3463">
        <v>43</v>
      </c>
      <c r="F3463">
        <v>1.8500000000000001E-3</v>
      </c>
      <c r="G3463">
        <v>0</v>
      </c>
      <c r="H3463" t="str">
        <f t="shared" si="162"/>
        <v>40-49</v>
      </c>
      <c r="I3463" t="str">
        <f t="shared" si="163"/>
        <v>20-29</v>
      </c>
      <c r="J3463">
        <f t="shared" si="164"/>
        <v>1.8500000000000001E-3</v>
      </c>
    </row>
    <row r="3464" spans="1:10">
      <c r="A3464" t="s">
        <v>3546</v>
      </c>
      <c r="B3464">
        <v>49</v>
      </c>
      <c r="C3464" t="s">
        <v>9</v>
      </c>
      <c r="D3464">
        <v>19</v>
      </c>
      <c r="E3464">
        <v>67</v>
      </c>
      <c r="F3464">
        <v>1.2460000000000001E-2</v>
      </c>
      <c r="G3464">
        <v>0</v>
      </c>
      <c r="H3464" t="str">
        <f t="shared" si="162"/>
        <v>60-69</v>
      </c>
      <c r="I3464" t="str">
        <f t="shared" si="163"/>
        <v>10-19</v>
      </c>
      <c r="J3464">
        <f t="shared" si="164"/>
        <v>1.2460000000000001E-2</v>
      </c>
    </row>
    <row r="3465" spans="1:10">
      <c r="A3465" t="s">
        <v>3547</v>
      </c>
      <c r="B3465">
        <v>54</v>
      </c>
      <c r="C3465" t="s">
        <v>9</v>
      </c>
      <c r="D3465">
        <v>13</v>
      </c>
      <c r="E3465">
        <v>66</v>
      </c>
      <c r="F3465">
        <v>1.112E-2</v>
      </c>
      <c r="G3465">
        <v>0</v>
      </c>
      <c r="H3465" t="str">
        <f t="shared" si="162"/>
        <v>60-69</v>
      </c>
      <c r="I3465" t="str">
        <f t="shared" si="163"/>
        <v>10-19</v>
      </c>
      <c r="J3465">
        <f t="shared" si="164"/>
        <v>1.112E-2</v>
      </c>
    </row>
    <row r="3466" spans="1:10">
      <c r="A3466" t="s">
        <v>3548</v>
      </c>
      <c r="B3466">
        <v>41</v>
      </c>
      <c r="C3466" t="s">
        <v>9</v>
      </c>
      <c r="D3466">
        <v>11</v>
      </c>
      <c r="E3466">
        <v>51</v>
      </c>
      <c r="F3466">
        <v>2.32E-3</v>
      </c>
      <c r="G3466">
        <v>0</v>
      </c>
      <c r="H3466" t="str">
        <f t="shared" si="162"/>
        <v>50-59</v>
      </c>
      <c r="I3466" t="str">
        <f t="shared" si="163"/>
        <v>10-19</v>
      </c>
      <c r="J3466">
        <f t="shared" si="164"/>
        <v>2.32E-3</v>
      </c>
    </row>
    <row r="3467" spans="1:10">
      <c r="A3467" t="s">
        <v>3549</v>
      </c>
      <c r="B3467">
        <v>29</v>
      </c>
      <c r="C3467" t="s">
        <v>7</v>
      </c>
      <c r="D3467">
        <v>15</v>
      </c>
      <c r="E3467">
        <v>43</v>
      </c>
      <c r="F3467">
        <v>1.07E-3</v>
      </c>
      <c r="G3467">
        <v>0</v>
      </c>
      <c r="H3467" t="str">
        <f t="shared" si="162"/>
        <v>40-49</v>
      </c>
      <c r="I3467" t="str">
        <f t="shared" si="163"/>
        <v>10-19</v>
      </c>
      <c r="J3467">
        <f t="shared" si="164"/>
        <v>1.07E-3</v>
      </c>
    </row>
    <row r="3468" spans="1:10">
      <c r="A3468" t="s">
        <v>3550</v>
      </c>
      <c r="B3468">
        <v>54</v>
      </c>
      <c r="C3468" t="s">
        <v>9</v>
      </c>
      <c r="D3468">
        <v>23</v>
      </c>
      <c r="E3468">
        <v>76</v>
      </c>
      <c r="F3468">
        <v>3.32E-2</v>
      </c>
      <c r="G3468">
        <v>0</v>
      </c>
      <c r="H3468" t="str">
        <f t="shared" si="162"/>
        <v>70-79</v>
      </c>
      <c r="I3468" t="str">
        <f t="shared" si="163"/>
        <v>20-29</v>
      </c>
      <c r="J3468">
        <f t="shared" si="164"/>
        <v>3.32E-2</v>
      </c>
    </row>
    <row r="3469" spans="1:10">
      <c r="A3469" t="s">
        <v>3551</v>
      </c>
      <c r="B3469">
        <v>45</v>
      </c>
      <c r="C3469" t="s">
        <v>7</v>
      </c>
      <c r="D3469">
        <v>2</v>
      </c>
      <c r="E3469">
        <v>46</v>
      </c>
      <c r="F3469">
        <v>4.4000000000000002E-4</v>
      </c>
      <c r="G3469">
        <v>0</v>
      </c>
      <c r="H3469" t="str">
        <f t="shared" si="162"/>
        <v>40-49</v>
      </c>
      <c r="I3469" t="str">
        <f t="shared" si="163"/>
        <v>0-9</v>
      </c>
      <c r="J3469">
        <f t="shared" si="164"/>
        <v>4.4000000000000002E-4</v>
      </c>
    </row>
    <row r="3470" spans="1:10">
      <c r="A3470" t="s">
        <v>3552</v>
      </c>
      <c r="B3470">
        <v>25</v>
      </c>
      <c r="C3470" t="s">
        <v>9</v>
      </c>
      <c r="D3470">
        <v>21</v>
      </c>
      <c r="E3470">
        <v>45</v>
      </c>
      <c r="F3470">
        <v>1.98E-3</v>
      </c>
      <c r="G3470">
        <v>0</v>
      </c>
      <c r="H3470" t="str">
        <f t="shared" si="162"/>
        <v>40-49</v>
      </c>
      <c r="I3470" t="str">
        <f t="shared" si="163"/>
        <v>20-29</v>
      </c>
      <c r="J3470">
        <f t="shared" si="164"/>
        <v>1.98E-3</v>
      </c>
    </row>
    <row r="3471" spans="1:10">
      <c r="A3471" t="s">
        <v>3553</v>
      </c>
      <c r="B3471">
        <v>25</v>
      </c>
      <c r="C3471" t="s">
        <v>7</v>
      </c>
      <c r="D3471">
        <v>7</v>
      </c>
      <c r="E3471">
        <v>31</v>
      </c>
      <c r="F3471">
        <v>3.2000000000000003E-4</v>
      </c>
      <c r="G3471">
        <v>0</v>
      </c>
      <c r="H3471" t="str">
        <f t="shared" si="162"/>
        <v>30-39</v>
      </c>
      <c r="I3471" t="str">
        <f t="shared" si="163"/>
        <v>0-9</v>
      </c>
      <c r="J3471">
        <f t="shared" si="164"/>
        <v>3.2000000000000003E-4</v>
      </c>
    </row>
    <row r="3472" spans="1:10">
      <c r="A3472" t="s">
        <v>3554</v>
      </c>
      <c r="B3472">
        <v>39</v>
      </c>
      <c r="C3472" t="s">
        <v>7</v>
      </c>
      <c r="D3472">
        <v>10</v>
      </c>
      <c r="E3472">
        <v>48</v>
      </c>
      <c r="F3472">
        <v>1.2899999999999999E-3</v>
      </c>
      <c r="G3472">
        <v>0</v>
      </c>
      <c r="H3472" t="str">
        <f t="shared" si="162"/>
        <v>40-49</v>
      </c>
      <c r="I3472" t="str">
        <f t="shared" si="163"/>
        <v>10-19</v>
      </c>
      <c r="J3472">
        <f t="shared" si="164"/>
        <v>1.2899999999999999E-3</v>
      </c>
    </row>
    <row r="3473" spans="1:10">
      <c r="A3473" t="s">
        <v>3555</v>
      </c>
      <c r="B3473">
        <v>49</v>
      </c>
      <c r="C3473" t="s">
        <v>9</v>
      </c>
      <c r="D3473">
        <v>1</v>
      </c>
      <c r="E3473">
        <v>49</v>
      </c>
      <c r="F3473">
        <v>7.7999999999999999E-4</v>
      </c>
      <c r="G3473">
        <v>0</v>
      </c>
      <c r="H3473" t="str">
        <f t="shared" si="162"/>
        <v>40-49</v>
      </c>
      <c r="I3473" t="str">
        <f t="shared" si="163"/>
        <v>0-9</v>
      </c>
      <c r="J3473">
        <f t="shared" si="164"/>
        <v>7.7999999999999999E-4</v>
      </c>
    </row>
    <row r="3474" spans="1:10">
      <c r="A3474" t="s">
        <v>3556</v>
      </c>
      <c r="B3474">
        <v>59</v>
      </c>
      <c r="C3474" t="s">
        <v>7</v>
      </c>
      <c r="D3474">
        <v>12</v>
      </c>
      <c r="E3474">
        <v>70</v>
      </c>
      <c r="F3474">
        <v>1.009E-2</v>
      </c>
      <c r="G3474">
        <v>0</v>
      </c>
      <c r="H3474" t="str">
        <f t="shared" si="162"/>
        <v>70-79</v>
      </c>
      <c r="I3474" t="str">
        <f t="shared" si="163"/>
        <v>10-19</v>
      </c>
      <c r="J3474">
        <f t="shared" si="164"/>
        <v>1.009E-2</v>
      </c>
    </row>
    <row r="3475" spans="1:10">
      <c r="A3475" t="s">
        <v>3557</v>
      </c>
      <c r="B3475">
        <v>21</v>
      </c>
      <c r="C3475" t="s">
        <v>7</v>
      </c>
      <c r="D3475">
        <v>25</v>
      </c>
      <c r="E3475">
        <v>45</v>
      </c>
      <c r="F3475">
        <v>1.3799999999999999E-3</v>
      </c>
      <c r="G3475">
        <v>0</v>
      </c>
      <c r="H3475" t="str">
        <f t="shared" si="162"/>
        <v>40-49</v>
      </c>
      <c r="I3475" t="str">
        <f t="shared" si="163"/>
        <v>20-29</v>
      </c>
      <c r="J3475">
        <f t="shared" si="164"/>
        <v>1.3799999999999999E-3</v>
      </c>
    </row>
    <row r="3476" spans="1:10">
      <c r="A3476" t="s">
        <v>3558</v>
      </c>
      <c r="B3476">
        <v>51</v>
      </c>
      <c r="C3476" t="s">
        <v>9</v>
      </c>
      <c r="D3476">
        <v>8</v>
      </c>
      <c r="E3476">
        <v>58</v>
      </c>
      <c r="F3476">
        <v>4.4299999999999999E-3</v>
      </c>
      <c r="G3476">
        <v>0</v>
      </c>
      <c r="H3476" t="str">
        <f t="shared" si="162"/>
        <v>50-59</v>
      </c>
      <c r="I3476" t="str">
        <f t="shared" si="163"/>
        <v>0-9</v>
      </c>
      <c r="J3476">
        <f t="shared" si="164"/>
        <v>4.4299999999999999E-3</v>
      </c>
    </row>
    <row r="3477" spans="1:10">
      <c r="A3477" t="s">
        <v>3559</v>
      </c>
      <c r="B3477">
        <v>44</v>
      </c>
      <c r="C3477" t="s">
        <v>7</v>
      </c>
      <c r="D3477">
        <v>20</v>
      </c>
      <c r="E3477">
        <v>63</v>
      </c>
      <c r="F3477">
        <v>6.6400000000000001E-3</v>
      </c>
      <c r="G3477">
        <v>0</v>
      </c>
      <c r="H3477" t="str">
        <f t="shared" si="162"/>
        <v>60-69</v>
      </c>
      <c r="I3477" t="str">
        <f t="shared" si="163"/>
        <v>20-29</v>
      </c>
      <c r="J3477">
        <f t="shared" si="164"/>
        <v>6.6400000000000001E-3</v>
      </c>
    </row>
    <row r="3478" spans="1:10">
      <c r="A3478" t="s">
        <v>3560</v>
      </c>
      <c r="B3478">
        <v>45</v>
      </c>
      <c r="C3478" t="s">
        <v>9</v>
      </c>
      <c r="D3478">
        <v>7</v>
      </c>
      <c r="E3478">
        <v>51</v>
      </c>
      <c r="F3478">
        <v>2.0200000000000001E-3</v>
      </c>
      <c r="G3478">
        <v>0</v>
      </c>
      <c r="H3478" t="str">
        <f t="shared" si="162"/>
        <v>50-59</v>
      </c>
      <c r="I3478" t="str">
        <f t="shared" si="163"/>
        <v>0-9</v>
      </c>
      <c r="J3478">
        <f t="shared" si="164"/>
        <v>2.0200000000000001E-3</v>
      </c>
    </row>
    <row r="3479" spans="1:10">
      <c r="A3479" t="s">
        <v>3561</v>
      </c>
      <c r="B3479">
        <v>38</v>
      </c>
      <c r="C3479" t="s">
        <v>7</v>
      </c>
      <c r="D3479">
        <v>6</v>
      </c>
      <c r="E3479">
        <v>43</v>
      </c>
      <c r="F3479">
        <v>7.5000000000000002E-4</v>
      </c>
      <c r="G3479">
        <v>0</v>
      </c>
      <c r="H3479" t="str">
        <f t="shared" si="162"/>
        <v>40-49</v>
      </c>
      <c r="I3479" t="str">
        <f t="shared" si="163"/>
        <v>0-9</v>
      </c>
      <c r="J3479">
        <f t="shared" si="164"/>
        <v>7.5000000000000002E-4</v>
      </c>
    </row>
    <row r="3480" spans="1:10">
      <c r="A3480" t="s">
        <v>3562</v>
      </c>
      <c r="B3480">
        <v>45</v>
      </c>
      <c r="C3480" t="s">
        <v>9</v>
      </c>
      <c r="D3480">
        <v>18</v>
      </c>
      <c r="E3480">
        <v>62</v>
      </c>
      <c r="F3480">
        <v>7.7400000000000004E-3</v>
      </c>
      <c r="G3480">
        <v>0</v>
      </c>
      <c r="H3480" t="str">
        <f t="shared" si="162"/>
        <v>60-69</v>
      </c>
      <c r="I3480" t="str">
        <f t="shared" si="163"/>
        <v>10-19</v>
      </c>
      <c r="J3480">
        <f t="shared" si="164"/>
        <v>7.7400000000000004E-3</v>
      </c>
    </row>
    <row r="3481" spans="1:10">
      <c r="A3481" t="s">
        <v>3563</v>
      </c>
      <c r="B3481">
        <v>46</v>
      </c>
      <c r="C3481" t="s">
        <v>7</v>
      </c>
      <c r="D3481">
        <v>29</v>
      </c>
      <c r="E3481">
        <v>74</v>
      </c>
      <c r="F3481">
        <v>1.553E-2</v>
      </c>
      <c r="G3481">
        <v>0</v>
      </c>
      <c r="H3481" t="str">
        <f t="shared" si="162"/>
        <v>70-79</v>
      </c>
      <c r="I3481" t="str">
        <f t="shared" si="163"/>
        <v>20-29</v>
      </c>
      <c r="J3481">
        <f t="shared" si="164"/>
        <v>1.553E-2</v>
      </c>
    </row>
    <row r="3482" spans="1:10">
      <c r="A3482" t="s">
        <v>3564</v>
      </c>
      <c r="B3482">
        <v>43</v>
      </c>
      <c r="C3482" t="s">
        <v>9</v>
      </c>
      <c r="D3482">
        <v>21</v>
      </c>
      <c r="E3482">
        <v>63</v>
      </c>
      <c r="F3482">
        <v>8.4899999999999993E-3</v>
      </c>
      <c r="G3482">
        <v>0</v>
      </c>
      <c r="H3482" t="str">
        <f t="shared" si="162"/>
        <v>60-69</v>
      </c>
      <c r="I3482" t="str">
        <f t="shared" si="163"/>
        <v>20-29</v>
      </c>
      <c r="J3482">
        <f t="shared" si="164"/>
        <v>8.4899999999999993E-3</v>
      </c>
    </row>
    <row r="3483" spans="1:10">
      <c r="A3483" t="s">
        <v>3565</v>
      </c>
      <c r="B3483">
        <v>60</v>
      </c>
      <c r="C3483" t="s">
        <v>7</v>
      </c>
      <c r="D3483">
        <v>25</v>
      </c>
      <c r="E3483">
        <v>84</v>
      </c>
      <c r="F3483">
        <v>6.4490000000000006E-2</v>
      </c>
      <c r="G3483">
        <v>0</v>
      </c>
      <c r="H3483" t="str">
        <f t="shared" si="162"/>
        <v>80-89</v>
      </c>
      <c r="I3483" t="str">
        <f t="shared" si="163"/>
        <v>20-29</v>
      </c>
      <c r="J3483">
        <f t="shared" si="164"/>
        <v>6.4490000000000006E-2</v>
      </c>
    </row>
    <row r="3484" spans="1:10">
      <c r="A3484" t="s">
        <v>3566</v>
      </c>
      <c r="B3484">
        <v>54</v>
      </c>
      <c r="C3484" t="s">
        <v>9</v>
      </c>
      <c r="D3484">
        <v>13</v>
      </c>
      <c r="E3484">
        <v>66</v>
      </c>
      <c r="F3484">
        <v>1.112E-2</v>
      </c>
      <c r="G3484">
        <v>0</v>
      </c>
      <c r="H3484" t="str">
        <f t="shared" si="162"/>
        <v>60-69</v>
      </c>
      <c r="I3484" t="str">
        <f t="shared" si="163"/>
        <v>10-19</v>
      </c>
      <c r="J3484">
        <f t="shared" si="164"/>
        <v>1.112E-2</v>
      </c>
    </row>
    <row r="3485" spans="1:10">
      <c r="A3485" t="s">
        <v>3567</v>
      </c>
      <c r="B3485">
        <v>49</v>
      </c>
      <c r="C3485" t="s">
        <v>7</v>
      </c>
      <c r="D3485">
        <v>10</v>
      </c>
      <c r="E3485">
        <v>58</v>
      </c>
      <c r="F3485">
        <v>3.15E-3</v>
      </c>
      <c r="G3485">
        <v>0</v>
      </c>
      <c r="H3485" t="str">
        <f t="shared" si="162"/>
        <v>50-59</v>
      </c>
      <c r="I3485" t="str">
        <f t="shared" si="163"/>
        <v>10-19</v>
      </c>
      <c r="J3485">
        <f t="shared" si="164"/>
        <v>3.15E-3</v>
      </c>
    </row>
    <row r="3486" spans="1:10">
      <c r="A3486" t="s">
        <v>3568</v>
      </c>
      <c r="B3486">
        <v>31</v>
      </c>
      <c r="C3486" t="s">
        <v>9</v>
      </c>
      <c r="D3486">
        <v>13</v>
      </c>
      <c r="E3486">
        <v>43</v>
      </c>
      <c r="F3486">
        <v>1.31E-3</v>
      </c>
      <c r="G3486">
        <v>0</v>
      </c>
      <c r="H3486" t="str">
        <f t="shared" si="162"/>
        <v>40-49</v>
      </c>
      <c r="I3486" t="str">
        <f t="shared" si="163"/>
        <v>10-19</v>
      </c>
      <c r="J3486">
        <f t="shared" si="164"/>
        <v>1.31E-3</v>
      </c>
    </row>
    <row r="3487" spans="1:10">
      <c r="A3487" t="s">
        <v>3569</v>
      </c>
      <c r="B3487">
        <v>41</v>
      </c>
      <c r="C3487" t="s">
        <v>9</v>
      </c>
      <c r="D3487">
        <v>25</v>
      </c>
      <c r="E3487">
        <v>65</v>
      </c>
      <c r="F3487">
        <v>1.057E-2</v>
      </c>
      <c r="G3487">
        <v>0</v>
      </c>
      <c r="H3487" t="str">
        <f t="shared" si="162"/>
        <v>60-69</v>
      </c>
      <c r="I3487" t="str">
        <f t="shared" si="163"/>
        <v>20-29</v>
      </c>
      <c r="J3487">
        <f t="shared" si="164"/>
        <v>1.057E-2</v>
      </c>
    </row>
    <row r="3488" spans="1:10">
      <c r="A3488" t="s">
        <v>3570</v>
      </c>
      <c r="B3488">
        <v>26</v>
      </c>
      <c r="C3488" t="s">
        <v>7</v>
      </c>
      <c r="D3488">
        <v>13</v>
      </c>
      <c r="E3488">
        <v>38</v>
      </c>
      <c r="F3488">
        <v>7.6000000000000004E-4</v>
      </c>
      <c r="G3488">
        <v>0</v>
      </c>
      <c r="H3488" t="str">
        <f t="shared" si="162"/>
        <v>30-39</v>
      </c>
      <c r="I3488" t="str">
        <f t="shared" si="163"/>
        <v>10-19</v>
      </c>
      <c r="J3488">
        <f t="shared" si="164"/>
        <v>7.6000000000000004E-4</v>
      </c>
    </row>
    <row r="3489" spans="1:10">
      <c r="A3489" t="s">
        <v>3571</v>
      </c>
      <c r="B3489">
        <v>46</v>
      </c>
      <c r="C3489" t="s">
        <v>9</v>
      </c>
      <c r="D3489">
        <v>14</v>
      </c>
      <c r="E3489">
        <v>59</v>
      </c>
      <c r="F3489">
        <v>5.4299999999999999E-3</v>
      </c>
      <c r="G3489">
        <v>0</v>
      </c>
      <c r="H3489" t="str">
        <f t="shared" si="162"/>
        <v>50-59</v>
      </c>
      <c r="I3489" t="str">
        <f t="shared" si="163"/>
        <v>10-19</v>
      </c>
      <c r="J3489">
        <f t="shared" si="164"/>
        <v>5.4299999999999999E-3</v>
      </c>
    </row>
    <row r="3490" spans="1:10">
      <c r="A3490" t="s">
        <v>3572</v>
      </c>
      <c r="B3490">
        <v>34</v>
      </c>
      <c r="C3490" t="s">
        <v>7</v>
      </c>
      <c r="D3490">
        <v>5</v>
      </c>
      <c r="E3490">
        <v>38</v>
      </c>
      <c r="F3490">
        <v>4.6999999999999999E-4</v>
      </c>
      <c r="G3490">
        <v>0</v>
      </c>
      <c r="H3490" t="str">
        <f t="shared" si="162"/>
        <v>30-39</v>
      </c>
      <c r="I3490" t="str">
        <f t="shared" si="163"/>
        <v>0-9</v>
      </c>
      <c r="J3490">
        <f t="shared" si="164"/>
        <v>4.6999999999999999E-4</v>
      </c>
    </row>
    <row r="3491" spans="1:10">
      <c r="A3491" t="s">
        <v>3573</v>
      </c>
      <c r="B3491">
        <v>25</v>
      </c>
      <c r="C3491" t="s">
        <v>7</v>
      </c>
      <c r="D3491">
        <v>20</v>
      </c>
      <c r="E3491">
        <v>44</v>
      </c>
      <c r="F3491">
        <v>1.31E-3</v>
      </c>
      <c r="G3491">
        <v>0</v>
      </c>
      <c r="H3491" t="str">
        <f t="shared" si="162"/>
        <v>40-49</v>
      </c>
      <c r="I3491" t="str">
        <f t="shared" si="163"/>
        <v>20-29</v>
      </c>
      <c r="J3491">
        <f t="shared" si="164"/>
        <v>1.31E-3</v>
      </c>
    </row>
    <row r="3492" spans="1:10">
      <c r="A3492" t="s">
        <v>3574</v>
      </c>
      <c r="B3492">
        <v>21</v>
      </c>
      <c r="C3492" t="s">
        <v>7</v>
      </c>
      <c r="D3492">
        <v>11</v>
      </c>
      <c r="E3492">
        <v>31</v>
      </c>
      <c r="F3492">
        <v>4.0999999999999999E-4</v>
      </c>
      <c r="G3492">
        <v>0</v>
      </c>
      <c r="H3492" t="str">
        <f t="shared" si="162"/>
        <v>30-39</v>
      </c>
      <c r="I3492" t="str">
        <f t="shared" si="163"/>
        <v>10-19</v>
      </c>
      <c r="J3492">
        <f t="shared" si="164"/>
        <v>4.0999999999999999E-4</v>
      </c>
    </row>
    <row r="3493" spans="1:10">
      <c r="A3493" t="s">
        <v>3575</v>
      </c>
      <c r="B3493">
        <v>60</v>
      </c>
      <c r="C3493" t="s">
        <v>7</v>
      </c>
      <c r="D3493">
        <v>16</v>
      </c>
      <c r="E3493">
        <v>75</v>
      </c>
      <c r="F3493">
        <v>2.053E-2</v>
      </c>
      <c r="G3493">
        <v>0</v>
      </c>
      <c r="H3493" t="str">
        <f t="shared" si="162"/>
        <v>70-79</v>
      </c>
      <c r="I3493" t="str">
        <f t="shared" si="163"/>
        <v>10-19</v>
      </c>
      <c r="J3493">
        <f t="shared" si="164"/>
        <v>2.053E-2</v>
      </c>
    </row>
    <row r="3494" spans="1:10">
      <c r="A3494" t="s">
        <v>3576</v>
      </c>
      <c r="B3494">
        <v>21</v>
      </c>
      <c r="C3494" t="s">
        <v>7</v>
      </c>
      <c r="D3494">
        <v>24</v>
      </c>
      <c r="E3494">
        <v>44</v>
      </c>
      <c r="F3494">
        <v>1.33E-3</v>
      </c>
      <c r="G3494">
        <v>0</v>
      </c>
      <c r="H3494" t="str">
        <f t="shared" si="162"/>
        <v>40-49</v>
      </c>
      <c r="I3494" t="str">
        <f t="shared" si="163"/>
        <v>20-29</v>
      </c>
      <c r="J3494">
        <f t="shared" si="164"/>
        <v>1.33E-3</v>
      </c>
    </row>
    <row r="3495" spans="1:10">
      <c r="A3495" t="s">
        <v>3577</v>
      </c>
      <c r="B3495">
        <v>44</v>
      </c>
      <c r="C3495" t="s">
        <v>7</v>
      </c>
      <c r="D3495">
        <v>18</v>
      </c>
      <c r="E3495">
        <v>61</v>
      </c>
      <c r="F3495">
        <v>5.2100000000000002E-3</v>
      </c>
      <c r="G3495">
        <v>0</v>
      </c>
      <c r="H3495" t="str">
        <f t="shared" si="162"/>
        <v>60-69</v>
      </c>
      <c r="I3495" t="str">
        <f t="shared" si="163"/>
        <v>10-19</v>
      </c>
      <c r="J3495">
        <f t="shared" si="164"/>
        <v>5.2100000000000002E-3</v>
      </c>
    </row>
    <row r="3496" spans="1:10">
      <c r="A3496" t="s">
        <v>3578</v>
      </c>
      <c r="B3496">
        <v>30</v>
      </c>
      <c r="C3496" t="s">
        <v>9</v>
      </c>
      <c r="D3496">
        <v>15</v>
      </c>
      <c r="E3496">
        <v>44</v>
      </c>
      <c r="F3496">
        <v>1.5200000000000001E-3</v>
      </c>
      <c r="G3496">
        <v>0</v>
      </c>
      <c r="H3496" t="str">
        <f t="shared" si="162"/>
        <v>40-49</v>
      </c>
      <c r="I3496" t="str">
        <f t="shared" si="163"/>
        <v>10-19</v>
      </c>
      <c r="J3496">
        <f t="shared" si="164"/>
        <v>1.5200000000000001E-3</v>
      </c>
    </row>
    <row r="3497" spans="1:10">
      <c r="A3497" t="s">
        <v>3579</v>
      </c>
      <c r="B3497">
        <v>31</v>
      </c>
      <c r="C3497" t="s">
        <v>7</v>
      </c>
      <c r="D3497">
        <v>16</v>
      </c>
      <c r="E3497">
        <v>46</v>
      </c>
      <c r="F3497">
        <v>1.2899999999999999E-3</v>
      </c>
      <c r="G3497">
        <v>0</v>
      </c>
      <c r="H3497" t="str">
        <f t="shared" si="162"/>
        <v>40-49</v>
      </c>
      <c r="I3497" t="str">
        <f t="shared" si="163"/>
        <v>10-19</v>
      </c>
      <c r="J3497">
        <f t="shared" si="164"/>
        <v>1.2899999999999999E-3</v>
      </c>
    </row>
    <row r="3498" spans="1:10">
      <c r="A3498" t="s">
        <v>3580</v>
      </c>
      <c r="B3498">
        <v>40</v>
      </c>
      <c r="C3498" t="s">
        <v>9</v>
      </c>
      <c r="D3498">
        <v>5</v>
      </c>
      <c r="E3498">
        <v>44</v>
      </c>
      <c r="F3498">
        <v>1.01E-3</v>
      </c>
      <c r="G3498">
        <v>0</v>
      </c>
      <c r="H3498" t="str">
        <f t="shared" si="162"/>
        <v>40-49</v>
      </c>
      <c r="I3498" t="str">
        <f t="shared" si="163"/>
        <v>0-9</v>
      </c>
      <c r="J3498">
        <f t="shared" si="164"/>
        <v>1.01E-3</v>
      </c>
    </row>
    <row r="3499" spans="1:10">
      <c r="A3499" t="s">
        <v>3581</v>
      </c>
      <c r="B3499">
        <v>33</v>
      </c>
      <c r="C3499" t="s">
        <v>9</v>
      </c>
      <c r="D3499">
        <v>19</v>
      </c>
      <c r="E3499">
        <v>51</v>
      </c>
      <c r="F3499">
        <v>2.7200000000000002E-3</v>
      </c>
      <c r="G3499">
        <v>0</v>
      </c>
      <c r="H3499" t="str">
        <f t="shared" si="162"/>
        <v>50-59</v>
      </c>
      <c r="I3499" t="str">
        <f t="shared" si="163"/>
        <v>10-19</v>
      </c>
      <c r="J3499">
        <f t="shared" si="164"/>
        <v>2.7200000000000002E-3</v>
      </c>
    </row>
    <row r="3500" spans="1:10">
      <c r="A3500" t="s">
        <v>3582</v>
      </c>
      <c r="B3500">
        <v>58</v>
      </c>
      <c r="C3500" t="s">
        <v>7</v>
      </c>
      <c r="D3500">
        <v>15</v>
      </c>
      <c r="E3500">
        <v>72</v>
      </c>
      <c r="F3500">
        <v>1.46E-2</v>
      </c>
      <c r="G3500">
        <v>0</v>
      </c>
      <c r="H3500" t="str">
        <f t="shared" si="162"/>
        <v>70-79</v>
      </c>
      <c r="I3500" t="str">
        <f t="shared" si="163"/>
        <v>10-19</v>
      </c>
      <c r="J3500">
        <f t="shared" si="164"/>
        <v>1.46E-2</v>
      </c>
    </row>
    <row r="3501" spans="1:10">
      <c r="A3501" t="s">
        <v>3583</v>
      </c>
      <c r="B3501">
        <v>49</v>
      </c>
      <c r="C3501" t="s">
        <v>7</v>
      </c>
      <c r="D3501">
        <v>17</v>
      </c>
      <c r="E3501">
        <v>65</v>
      </c>
      <c r="F3501">
        <v>8.0000000000000002E-3</v>
      </c>
      <c r="G3501">
        <v>0</v>
      </c>
      <c r="H3501" t="str">
        <f t="shared" si="162"/>
        <v>60-69</v>
      </c>
      <c r="I3501" t="str">
        <f t="shared" si="163"/>
        <v>10-19</v>
      </c>
      <c r="J3501">
        <f t="shared" si="164"/>
        <v>8.0000000000000002E-3</v>
      </c>
    </row>
    <row r="3502" spans="1:10">
      <c r="A3502" t="s">
        <v>3584</v>
      </c>
      <c r="B3502">
        <v>41</v>
      </c>
      <c r="C3502" t="s">
        <v>7</v>
      </c>
      <c r="D3502">
        <v>28</v>
      </c>
      <c r="E3502">
        <v>68</v>
      </c>
      <c r="F3502">
        <v>9.2399999999999999E-3</v>
      </c>
      <c r="G3502">
        <v>0</v>
      </c>
      <c r="H3502" t="str">
        <f t="shared" si="162"/>
        <v>60-69</v>
      </c>
      <c r="I3502" t="str">
        <f t="shared" si="163"/>
        <v>20-29</v>
      </c>
      <c r="J3502">
        <f t="shared" si="164"/>
        <v>9.2399999999999999E-3</v>
      </c>
    </row>
    <row r="3503" spans="1:10">
      <c r="A3503" t="s">
        <v>3585</v>
      </c>
      <c r="B3503">
        <v>49</v>
      </c>
      <c r="C3503" t="s">
        <v>7</v>
      </c>
      <c r="D3503">
        <v>24</v>
      </c>
      <c r="E3503">
        <v>72</v>
      </c>
      <c r="F3503">
        <v>1.7170000000000001E-2</v>
      </c>
      <c r="G3503">
        <v>1</v>
      </c>
      <c r="H3503" t="str">
        <f t="shared" si="162"/>
        <v>70-79</v>
      </c>
      <c r="I3503" t="str">
        <f t="shared" si="163"/>
        <v>20-29</v>
      </c>
      <c r="J3503">
        <f t="shared" si="164"/>
        <v>1.7170000000000001E-2</v>
      </c>
    </row>
    <row r="3504" spans="1:10">
      <c r="A3504" t="s">
        <v>3586</v>
      </c>
      <c r="B3504">
        <v>22</v>
      </c>
      <c r="C3504" t="s">
        <v>7</v>
      </c>
      <c r="D3504">
        <v>22</v>
      </c>
      <c r="E3504">
        <v>43</v>
      </c>
      <c r="F3504">
        <v>1.2800000000000001E-3</v>
      </c>
      <c r="G3504">
        <v>0</v>
      </c>
      <c r="H3504" t="str">
        <f t="shared" si="162"/>
        <v>40-49</v>
      </c>
      <c r="I3504" t="str">
        <f t="shared" si="163"/>
        <v>20-29</v>
      </c>
      <c r="J3504">
        <f t="shared" si="164"/>
        <v>1.2800000000000001E-3</v>
      </c>
    </row>
    <row r="3505" spans="1:10">
      <c r="A3505" t="s">
        <v>3587</v>
      </c>
      <c r="B3505">
        <v>50</v>
      </c>
      <c r="C3505" t="s">
        <v>9</v>
      </c>
      <c r="D3505">
        <v>28</v>
      </c>
      <c r="E3505">
        <v>77</v>
      </c>
      <c r="F3505">
        <v>3.006E-2</v>
      </c>
      <c r="G3505">
        <v>0</v>
      </c>
      <c r="H3505" t="str">
        <f t="shared" si="162"/>
        <v>70-79</v>
      </c>
      <c r="I3505" t="str">
        <f t="shared" si="163"/>
        <v>20-29</v>
      </c>
      <c r="J3505">
        <f t="shared" si="164"/>
        <v>3.006E-2</v>
      </c>
    </row>
    <row r="3506" spans="1:10">
      <c r="A3506" t="s">
        <v>3588</v>
      </c>
      <c r="B3506">
        <v>36</v>
      </c>
      <c r="C3506" t="s">
        <v>7</v>
      </c>
      <c r="D3506">
        <v>29</v>
      </c>
      <c r="E3506">
        <v>64</v>
      </c>
      <c r="F3506">
        <v>5.4599999999999996E-3</v>
      </c>
      <c r="G3506">
        <v>0</v>
      </c>
      <c r="H3506" t="str">
        <f t="shared" si="162"/>
        <v>60-69</v>
      </c>
      <c r="I3506" t="str">
        <f t="shared" si="163"/>
        <v>20-29</v>
      </c>
      <c r="J3506">
        <f t="shared" si="164"/>
        <v>5.4599999999999996E-3</v>
      </c>
    </row>
    <row r="3507" spans="1:10">
      <c r="A3507" t="s">
        <v>3589</v>
      </c>
      <c r="B3507">
        <v>58</v>
      </c>
      <c r="C3507" t="s">
        <v>7</v>
      </c>
      <c r="D3507">
        <v>21</v>
      </c>
      <c r="E3507">
        <v>78</v>
      </c>
      <c r="F3507">
        <v>3.1989999999999998E-2</v>
      </c>
      <c r="G3507">
        <v>0</v>
      </c>
      <c r="H3507" t="str">
        <f t="shared" si="162"/>
        <v>70-79</v>
      </c>
      <c r="I3507" t="str">
        <f t="shared" si="163"/>
        <v>20-29</v>
      </c>
      <c r="J3507">
        <f t="shared" si="164"/>
        <v>3.1989999999999998E-2</v>
      </c>
    </row>
    <row r="3508" spans="1:10">
      <c r="A3508" t="s">
        <v>3590</v>
      </c>
      <c r="B3508">
        <v>48</v>
      </c>
      <c r="C3508" t="s">
        <v>7</v>
      </c>
      <c r="D3508">
        <v>16</v>
      </c>
      <c r="E3508">
        <v>63</v>
      </c>
      <c r="F3508">
        <v>6.3899999999999998E-3</v>
      </c>
      <c r="G3508">
        <v>0</v>
      </c>
      <c r="H3508" t="str">
        <f t="shared" si="162"/>
        <v>60-69</v>
      </c>
      <c r="I3508" t="str">
        <f t="shared" si="163"/>
        <v>10-19</v>
      </c>
      <c r="J3508">
        <f t="shared" si="164"/>
        <v>6.3899999999999998E-3</v>
      </c>
    </row>
    <row r="3509" spans="1:10">
      <c r="A3509" t="s">
        <v>3591</v>
      </c>
      <c r="B3509">
        <v>45</v>
      </c>
      <c r="C3509" t="s">
        <v>7</v>
      </c>
      <c r="D3509">
        <v>27</v>
      </c>
      <c r="E3509">
        <v>71</v>
      </c>
      <c r="F3509">
        <v>1.404E-2</v>
      </c>
      <c r="G3509">
        <v>0</v>
      </c>
      <c r="H3509" t="str">
        <f t="shared" si="162"/>
        <v>70-79</v>
      </c>
      <c r="I3509" t="str">
        <f t="shared" si="163"/>
        <v>20-29</v>
      </c>
      <c r="J3509">
        <f t="shared" si="164"/>
        <v>1.404E-2</v>
      </c>
    </row>
    <row r="3510" spans="1:10">
      <c r="A3510" t="s">
        <v>3592</v>
      </c>
      <c r="B3510">
        <v>43</v>
      </c>
      <c r="C3510" t="s">
        <v>7</v>
      </c>
      <c r="D3510">
        <v>13</v>
      </c>
      <c r="E3510">
        <v>55</v>
      </c>
      <c r="F3510">
        <v>2.6800000000000001E-3</v>
      </c>
      <c r="G3510">
        <v>0</v>
      </c>
      <c r="H3510" t="str">
        <f t="shared" si="162"/>
        <v>50-59</v>
      </c>
      <c r="I3510" t="str">
        <f t="shared" si="163"/>
        <v>10-19</v>
      </c>
      <c r="J3510">
        <f t="shared" si="164"/>
        <v>2.6800000000000001E-3</v>
      </c>
    </row>
    <row r="3511" spans="1:10">
      <c r="A3511" t="s">
        <v>3593</v>
      </c>
      <c r="B3511">
        <v>61</v>
      </c>
      <c r="C3511" t="s">
        <v>9</v>
      </c>
      <c r="D3511">
        <v>15</v>
      </c>
      <c r="E3511">
        <v>75</v>
      </c>
      <c r="F3511">
        <v>2.8510000000000001E-2</v>
      </c>
      <c r="G3511">
        <v>0</v>
      </c>
      <c r="H3511" t="str">
        <f t="shared" si="162"/>
        <v>70-79</v>
      </c>
      <c r="I3511" t="str">
        <f t="shared" si="163"/>
        <v>10-19</v>
      </c>
      <c r="J3511">
        <f t="shared" si="164"/>
        <v>2.8510000000000001E-2</v>
      </c>
    </row>
    <row r="3512" spans="1:10">
      <c r="A3512" t="s">
        <v>3594</v>
      </c>
      <c r="B3512">
        <v>29</v>
      </c>
      <c r="C3512" t="s">
        <v>9</v>
      </c>
      <c r="D3512">
        <v>28</v>
      </c>
      <c r="E3512">
        <v>56</v>
      </c>
      <c r="F3512">
        <v>3.7499999999999999E-3</v>
      </c>
      <c r="G3512">
        <v>0</v>
      </c>
      <c r="H3512" t="str">
        <f t="shared" si="162"/>
        <v>50-59</v>
      </c>
      <c r="I3512" t="str">
        <f t="shared" si="163"/>
        <v>20-29</v>
      </c>
      <c r="J3512">
        <f t="shared" si="164"/>
        <v>3.7499999999999999E-3</v>
      </c>
    </row>
    <row r="3513" spans="1:10">
      <c r="A3513" t="s">
        <v>3595</v>
      </c>
      <c r="B3513">
        <v>27</v>
      </c>
      <c r="C3513" t="s">
        <v>9</v>
      </c>
      <c r="D3513">
        <v>24</v>
      </c>
      <c r="E3513">
        <v>50</v>
      </c>
      <c r="F3513">
        <v>2.7299999999999998E-3</v>
      </c>
      <c r="G3513">
        <v>0</v>
      </c>
      <c r="H3513" t="str">
        <f t="shared" si="162"/>
        <v>50-59</v>
      </c>
      <c r="I3513" t="str">
        <f t="shared" si="163"/>
        <v>20-29</v>
      </c>
      <c r="J3513">
        <f t="shared" si="164"/>
        <v>2.7299999999999998E-3</v>
      </c>
    </row>
    <row r="3514" spans="1:10">
      <c r="A3514" t="s">
        <v>3596</v>
      </c>
      <c r="B3514">
        <v>41</v>
      </c>
      <c r="C3514" t="s">
        <v>7</v>
      </c>
      <c r="D3514">
        <v>5</v>
      </c>
      <c r="E3514">
        <v>45</v>
      </c>
      <c r="F3514">
        <v>8.0000000000000004E-4</v>
      </c>
      <c r="G3514">
        <v>0</v>
      </c>
      <c r="H3514" t="str">
        <f t="shared" si="162"/>
        <v>40-49</v>
      </c>
      <c r="I3514" t="str">
        <f t="shared" si="163"/>
        <v>0-9</v>
      </c>
      <c r="J3514">
        <f t="shared" si="164"/>
        <v>8.0000000000000004E-4</v>
      </c>
    </row>
    <row r="3515" spans="1:10">
      <c r="A3515" t="s">
        <v>3597</v>
      </c>
      <c r="B3515">
        <v>33</v>
      </c>
      <c r="C3515" t="s">
        <v>9</v>
      </c>
      <c r="D3515">
        <v>9</v>
      </c>
      <c r="E3515">
        <v>41</v>
      </c>
      <c r="F3515">
        <v>1E-3</v>
      </c>
      <c r="G3515">
        <v>0</v>
      </c>
      <c r="H3515" t="str">
        <f t="shared" si="162"/>
        <v>40-49</v>
      </c>
      <c r="I3515" t="str">
        <f t="shared" si="163"/>
        <v>0-9</v>
      </c>
      <c r="J3515">
        <f t="shared" si="164"/>
        <v>1E-3</v>
      </c>
    </row>
    <row r="3516" spans="1:10">
      <c r="A3516" t="s">
        <v>3598</v>
      </c>
      <c r="B3516">
        <v>24</v>
      </c>
      <c r="C3516" t="s">
        <v>7</v>
      </c>
      <c r="D3516">
        <v>15</v>
      </c>
      <c r="E3516">
        <v>38</v>
      </c>
      <c r="F3516">
        <v>8.3000000000000001E-4</v>
      </c>
      <c r="G3516">
        <v>0</v>
      </c>
      <c r="H3516" t="str">
        <f t="shared" si="162"/>
        <v>30-39</v>
      </c>
      <c r="I3516" t="str">
        <f t="shared" si="163"/>
        <v>10-19</v>
      </c>
      <c r="J3516">
        <f t="shared" si="164"/>
        <v>8.3000000000000001E-4</v>
      </c>
    </row>
    <row r="3517" spans="1:10">
      <c r="A3517" t="s">
        <v>3599</v>
      </c>
      <c r="B3517">
        <v>35</v>
      </c>
      <c r="C3517" t="s">
        <v>9</v>
      </c>
      <c r="D3517">
        <v>25</v>
      </c>
      <c r="E3517">
        <v>59</v>
      </c>
      <c r="F3517">
        <v>5.7400000000000003E-3</v>
      </c>
      <c r="G3517">
        <v>0</v>
      </c>
      <c r="H3517" t="str">
        <f t="shared" si="162"/>
        <v>50-59</v>
      </c>
      <c r="I3517" t="str">
        <f t="shared" si="163"/>
        <v>20-29</v>
      </c>
      <c r="J3517">
        <f t="shared" si="164"/>
        <v>5.7400000000000003E-3</v>
      </c>
    </row>
    <row r="3518" spans="1:10">
      <c r="A3518" t="s">
        <v>3600</v>
      </c>
      <c r="B3518">
        <v>48</v>
      </c>
      <c r="C3518" t="s">
        <v>7</v>
      </c>
      <c r="D3518">
        <v>11</v>
      </c>
      <c r="E3518">
        <v>58</v>
      </c>
      <c r="F3518">
        <v>3.2799999999999999E-3</v>
      </c>
      <c r="G3518">
        <v>0</v>
      </c>
      <c r="H3518" t="str">
        <f t="shared" si="162"/>
        <v>50-59</v>
      </c>
      <c r="I3518" t="str">
        <f t="shared" si="163"/>
        <v>10-19</v>
      </c>
      <c r="J3518">
        <f t="shared" si="164"/>
        <v>3.2799999999999999E-3</v>
      </c>
    </row>
    <row r="3519" spans="1:10">
      <c r="A3519" t="s">
        <v>3601</v>
      </c>
      <c r="B3519">
        <v>56</v>
      </c>
      <c r="C3519" t="s">
        <v>7</v>
      </c>
      <c r="D3519">
        <v>9</v>
      </c>
      <c r="E3519">
        <v>64</v>
      </c>
      <c r="F3519">
        <v>5.62E-3</v>
      </c>
      <c r="G3519">
        <v>0</v>
      </c>
      <c r="H3519" t="str">
        <f t="shared" si="162"/>
        <v>60-69</v>
      </c>
      <c r="I3519" t="str">
        <f t="shared" si="163"/>
        <v>0-9</v>
      </c>
      <c r="J3519">
        <f t="shared" si="164"/>
        <v>5.62E-3</v>
      </c>
    </row>
    <row r="3520" spans="1:10">
      <c r="A3520" t="s">
        <v>3602</v>
      </c>
      <c r="B3520">
        <v>29</v>
      </c>
      <c r="C3520" t="s">
        <v>9</v>
      </c>
      <c r="D3520">
        <v>17</v>
      </c>
      <c r="E3520">
        <v>45</v>
      </c>
      <c r="F3520">
        <v>1.74E-3</v>
      </c>
      <c r="G3520">
        <v>0</v>
      </c>
      <c r="H3520" t="str">
        <f t="shared" si="162"/>
        <v>40-49</v>
      </c>
      <c r="I3520" t="str">
        <f t="shared" si="163"/>
        <v>10-19</v>
      </c>
      <c r="J3520">
        <f t="shared" si="164"/>
        <v>1.74E-3</v>
      </c>
    </row>
    <row r="3521" spans="1:10">
      <c r="A3521" t="s">
        <v>3603</v>
      </c>
      <c r="B3521">
        <v>43</v>
      </c>
      <c r="C3521" t="s">
        <v>9</v>
      </c>
      <c r="D3521">
        <v>19</v>
      </c>
      <c r="E3521">
        <v>61</v>
      </c>
      <c r="F3521">
        <v>7.0200000000000002E-3</v>
      </c>
      <c r="G3521">
        <v>0</v>
      </c>
      <c r="H3521" t="str">
        <f t="shared" si="162"/>
        <v>60-69</v>
      </c>
      <c r="I3521" t="str">
        <f t="shared" si="163"/>
        <v>10-19</v>
      </c>
      <c r="J3521">
        <f t="shared" si="164"/>
        <v>7.0200000000000002E-3</v>
      </c>
    </row>
    <row r="3522" spans="1:10">
      <c r="A3522" t="s">
        <v>3604</v>
      </c>
      <c r="B3522">
        <v>65</v>
      </c>
      <c r="C3522" t="s">
        <v>7</v>
      </c>
      <c r="D3522">
        <v>6</v>
      </c>
      <c r="E3522">
        <v>70</v>
      </c>
      <c r="F3522">
        <v>7.9799999999999992E-3</v>
      </c>
      <c r="G3522">
        <v>0</v>
      </c>
      <c r="H3522" t="str">
        <f t="shared" si="162"/>
        <v>70-79</v>
      </c>
      <c r="I3522" t="str">
        <f t="shared" si="163"/>
        <v>0-9</v>
      </c>
      <c r="J3522">
        <f t="shared" si="164"/>
        <v>7.9799999999999992E-3</v>
      </c>
    </row>
    <row r="3523" spans="1:10">
      <c r="A3523" t="s">
        <v>3605</v>
      </c>
      <c r="B3523">
        <v>65</v>
      </c>
      <c r="C3523" t="s">
        <v>7</v>
      </c>
      <c r="D3523">
        <v>15</v>
      </c>
      <c r="E3523">
        <v>79</v>
      </c>
      <c r="F3523">
        <v>2.9850000000000002E-2</v>
      </c>
      <c r="G3523">
        <v>0</v>
      </c>
      <c r="H3523" t="str">
        <f t="shared" ref="H3523:H3586" si="165">FLOOR(E3523,10) &amp; "-" &amp; FLOOR(E3523,10)+9</f>
        <v>70-79</v>
      </c>
      <c r="I3523" t="str">
        <f t="shared" ref="I3523:I3586" si="166">FLOOR(D3523, 10) &amp; "-"&amp;FLOOR(D3523, 10)+9</f>
        <v>10-19</v>
      </c>
      <c r="J3523">
        <f t="shared" ref="J3523:J3586" si="167">F3523</f>
        <v>2.9850000000000002E-2</v>
      </c>
    </row>
    <row r="3524" spans="1:10">
      <c r="A3524" t="s">
        <v>3606</v>
      </c>
      <c r="B3524">
        <v>64</v>
      </c>
      <c r="C3524" t="s">
        <v>9</v>
      </c>
      <c r="D3524">
        <v>5</v>
      </c>
      <c r="E3524">
        <v>68</v>
      </c>
      <c r="F3524">
        <v>9.1599999999999997E-3</v>
      </c>
      <c r="G3524">
        <v>0</v>
      </c>
      <c r="H3524" t="str">
        <f t="shared" si="165"/>
        <v>60-69</v>
      </c>
      <c r="I3524" t="str">
        <f t="shared" si="166"/>
        <v>0-9</v>
      </c>
      <c r="J3524">
        <f t="shared" si="167"/>
        <v>9.1599999999999997E-3</v>
      </c>
    </row>
    <row r="3525" spans="1:10">
      <c r="A3525" t="s">
        <v>3607</v>
      </c>
      <c r="B3525">
        <v>44</v>
      </c>
      <c r="C3525" t="s">
        <v>7</v>
      </c>
      <c r="D3525">
        <v>9</v>
      </c>
      <c r="E3525">
        <v>52</v>
      </c>
      <c r="F3525">
        <v>1.7899999999999999E-3</v>
      </c>
      <c r="G3525">
        <v>0</v>
      </c>
      <c r="H3525" t="str">
        <f t="shared" si="165"/>
        <v>50-59</v>
      </c>
      <c r="I3525" t="str">
        <f t="shared" si="166"/>
        <v>0-9</v>
      </c>
      <c r="J3525">
        <f t="shared" si="167"/>
        <v>1.7899999999999999E-3</v>
      </c>
    </row>
    <row r="3526" spans="1:10">
      <c r="A3526" t="s">
        <v>3608</v>
      </c>
      <c r="B3526">
        <v>33</v>
      </c>
      <c r="C3526" t="s">
        <v>9</v>
      </c>
      <c r="D3526">
        <v>19</v>
      </c>
      <c r="E3526">
        <v>51</v>
      </c>
      <c r="F3526">
        <v>2.7200000000000002E-3</v>
      </c>
      <c r="G3526">
        <v>0</v>
      </c>
      <c r="H3526" t="str">
        <f t="shared" si="165"/>
        <v>50-59</v>
      </c>
      <c r="I3526" t="str">
        <f t="shared" si="166"/>
        <v>10-19</v>
      </c>
      <c r="J3526">
        <f t="shared" si="167"/>
        <v>2.7200000000000002E-3</v>
      </c>
    </row>
    <row r="3527" spans="1:10">
      <c r="A3527" t="s">
        <v>3609</v>
      </c>
      <c r="B3527">
        <v>36</v>
      </c>
      <c r="C3527" t="s">
        <v>7</v>
      </c>
      <c r="D3527">
        <v>12</v>
      </c>
      <c r="E3527">
        <v>47</v>
      </c>
      <c r="F3527">
        <v>1.2700000000000001E-3</v>
      </c>
      <c r="G3527">
        <v>0</v>
      </c>
      <c r="H3527" t="str">
        <f t="shared" si="165"/>
        <v>40-49</v>
      </c>
      <c r="I3527" t="str">
        <f t="shared" si="166"/>
        <v>10-19</v>
      </c>
      <c r="J3527">
        <f t="shared" si="167"/>
        <v>1.2700000000000001E-3</v>
      </c>
    </row>
    <row r="3528" spans="1:10">
      <c r="A3528" t="s">
        <v>3610</v>
      </c>
      <c r="B3528">
        <v>53</v>
      </c>
      <c r="C3528" t="s">
        <v>9</v>
      </c>
      <c r="D3528">
        <v>13</v>
      </c>
      <c r="E3528">
        <v>65</v>
      </c>
      <c r="F3528">
        <v>9.8499999999999994E-3</v>
      </c>
      <c r="G3528">
        <v>0</v>
      </c>
      <c r="H3528" t="str">
        <f t="shared" si="165"/>
        <v>60-69</v>
      </c>
      <c r="I3528" t="str">
        <f t="shared" si="166"/>
        <v>10-19</v>
      </c>
      <c r="J3528">
        <f t="shared" si="167"/>
        <v>9.8499999999999994E-3</v>
      </c>
    </row>
    <row r="3529" spans="1:10">
      <c r="A3529" t="s">
        <v>3611</v>
      </c>
      <c r="B3529">
        <v>42</v>
      </c>
      <c r="C3529" t="s">
        <v>9</v>
      </c>
      <c r="D3529">
        <v>21</v>
      </c>
      <c r="E3529">
        <v>62</v>
      </c>
      <c r="F3529">
        <v>7.7400000000000004E-3</v>
      </c>
      <c r="G3529">
        <v>0</v>
      </c>
      <c r="H3529" t="str">
        <f t="shared" si="165"/>
        <v>60-69</v>
      </c>
      <c r="I3529" t="str">
        <f t="shared" si="166"/>
        <v>20-29</v>
      </c>
      <c r="J3529">
        <f t="shared" si="167"/>
        <v>7.7400000000000004E-3</v>
      </c>
    </row>
    <row r="3530" spans="1:10">
      <c r="A3530" t="s">
        <v>3612</v>
      </c>
      <c r="B3530">
        <v>40</v>
      </c>
      <c r="C3530" t="s">
        <v>9</v>
      </c>
      <c r="D3530">
        <v>17</v>
      </c>
      <c r="E3530">
        <v>56</v>
      </c>
      <c r="F3530">
        <v>4.0800000000000003E-3</v>
      </c>
      <c r="G3530">
        <v>0</v>
      </c>
      <c r="H3530" t="str">
        <f t="shared" si="165"/>
        <v>50-59</v>
      </c>
      <c r="I3530" t="str">
        <f t="shared" si="166"/>
        <v>10-19</v>
      </c>
      <c r="J3530">
        <f t="shared" si="167"/>
        <v>4.0800000000000003E-3</v>
      </c>
    </row>
    <row r="3531" spans="1:10">
      <c r="A3531" t="s">
        <v>3613</v>
      </c>
      <c r="B3531">
        <v>51</v>
      </c>
      <c r="C3531" t="s">
        <v>9</v>
      </c>
      <c r="D3531">
        <v>21</v>
      </c>
      <c r="E3531">
        <v>71</v>
      </c>
      <c r="F3531">
        <v>1.9089999999999999E-2</v>
      </c>
      <c r="G3531">
        <v>0</v>
      </c>
      <c r="H3531" t="str">
        <f t="shared" si="165"/>
        <v>70-79</v>
      </c>
      <c r="I3531" t="str">
        <f t="shared" si="166"/>
        <v>20-29</v>
      </c>
      <c r="J3531">
        <f t="shared" si="167"/>
        <v>1.9089999999999999E-2</v>
      </c>
    </row>
    <row r="3532" spans="1:10">
      <c r="A3532" t="s">
        <v>3614</v>
      </c>
      <c r="B3532">
        <v>31</v>
      </c>
      <c r="C3532" t="s">
        <v>7</v>
      </c>
      <c r="D3532">
        <v>16</v>
      </c>
      <c r="E3532">
        <v>46</v>
      </c>
      <c r="F3532">
        <v>1.2899999999999999E-3</v>
      </c>
      <c r="G3532">
        <v>0</v>
      </c>
      <c r="H3532" t="str">
        <f t="shared" si="165"/>
        <v>40-49</v>
      </c>
      <c r="I3532" t="str">
        <f t="shared" si="166"/>
        <v>10-19</v>
      </c>
      <c r="J3532">
        <f t="shared" si="167"/>
        <v>1.2899999999999999E-3</v>
      </c>
    </row>
    <row r="3533" spans="1:10">
      <c r="A3533" t="s">
        <v>3615</v>
      </c>
      <c r="B3533">
        <v>24</v>
      </c>
      <c r="C3533" t="s">
        <v>9</v>
      </c>
      <c r="D3533">
        <v>11</v>
      </c>
      <c r="E3533">
        <v>34</v>
      </c>
      <c r="F3533">
        <v>7.1000000000000002E-4</v>
      </c>
      <c r="G3533">
        <v>0</v>
      </c>
      <c r="H3533" t="str">
        <f t="shared" si="165"/>
        <v>30-39</v>
      </c>
      <c r="I3533" t="str">
        <f t="shared" si="166"/>
        <v>10-19</v>
      </c>
      <c r="J3533">
        <f t="shared" si="167"/>
        <v>7.1000000000000002E-4</v>
      </c>
    </row>
    <row r="3534" spans="1:10">
      <c r="A3534" t="s">
        <v>3616</v>
      </c>
      <c r="B3534">
        <v>29</v>
      </c>
      <c r="C3534" t="s">
        <v>7</v>
      </c>
      <c r="D3534">
        <v>9</v>
      </c>
      <c r="E3534">
        <v>37</v>
      </c>
      <c r="F3534">
        <v>5.5999999999999995E-4</v>
      </c>
      <c r="G3534">
        <v>0</v>
      </c>
      <c r="H3534" t="str">
        <f t="shared" si="165"/>
        <v>30-39</v>
      </c>
      <c r="I3534" t="str">
        <f t="shared" si="166"/>
        <v>0-9</v>
      </c>
      <c r="J3534">
        <f t="shared" si="167"/>
        <v>5.5999999999999995E-4</v>
      </c>
    </row>
    <row r="3535" spans="1:10">
      <c r="A3535" t="s">
        <v>3617</v>
      </c>
      <c r="B3535">
        <v>27</v>
      </c>
      <c r="C3535" t="s">
        <v>9</v>
      </c>
      <c r="D3535">
        <v>21</v>
      </c>
      <c r="E3535">
        <v>47</v>
      </c>
      <c r="F3535">
        <v>2.0799999999999998E-3</v>
      </c>
      <c r="G3535">
        <v>0</v>
      </c>
      <c r="H3535" t="str">
        <f t="shared" si="165"/>
        <v>40-49</v>
      </c>
      <c r="I3535" t="str">
        <f t="shared" si="166"/>
        <v>20-29</v>
      </c>
      <c r="J3535">
        <f t="shared" si="167"/>
        <v>2.0799999999999998E-3</v>
      </c>
    </row>
    <row r="3536" spans="1:10">
      <c r="A3536" t="s">
        <v>3618</v>
      </c>
      <c r="B3536">
        <v>56</v>
      </c>
      <c r="C3536" t="s">
        <v>7</v>
      </c>
      <c r="D3536">
        <v>30</v>
      </c>
      <c r="E3536">
        <v>85</v>
      </c>
      <c r="F3536">
        <v>4.4880000000000003E-2</v>
      </c>
      <c r="G3536">
        <v>1</v>
      </c>
      <c r="H3536" t="str">
        <f t="shared" si="165"/>
        <v>80-89</v>
      </c>
      <c r="I3536" t="str">
        <f t="shared" si="166"/>
        <v>30-39</v>
      </c>
      <c r="J3536">
        <f t="shared" si="167"/>
        <v>4.4880000000000003E-2</v>
      </c>
    </row>
    <row r="3537" spans="1:10">
      <c r="A3537" t="s">
        <v>3619</v>
      </c>
      <c r="B3537">
        <v>53</v>
      </c>
      <c r="C3537" t="s">
        <v>9</v>
      </c>
      <c r="D3537">
        <v>29</v>
      </c>
      <c r="E3537">
        <v>81</v>
      </c>
      <c r="F3537">
        <v>4.1250000000000002E-2</v>
      </c>
      <c r="G3537">
        <v>0</v>
      </c>
      <c r="H3537" t="str">
        <f t="shared" si="165"/>
        <v>80-89</v>
      </c>
      <c r="I3537" t="str">
        <f t="shared" si="166"/>
        <v>20-29</v>
      </c>
      <c r="J3537">
        <f t="shared" si="167"/>
        <v>4.1250000000000002E-2</v>
      </c>
    </row>
    <row r="3538" spans="1:10">
      <c r="A3538" t="s">
        <v>3620</v>
      </c>
      <c r="B3538">
        <v>62</v>
      </c>
      <c r="C3538" t="s">
        <v>9</v>
      </c>
      <c r="D3538">
        <v>2</v>
      </c>
      <c r="E3538">
        <v>63</v>
      </c>
      <c r="F3538">
        <v>3.5100000000000001E-3</v>
      </c>
      <c r="G3538">
        <v>0</v>
      </c>
      <c r="H3538" t="str">
        <f t="shared" si="165"/>
        <v>60-69</v>
      </c>
      <c r="I3538" t="str">
        <f t="shared" si="166"/>
        <v>0-9</v>
      </c>
      <c r="J3538">
        <f t="shared" si="167"/>
        <v>3.5100000000000001E-3</v>
      </c>
    </row>
    <row r="3539" spans="1:10">
      <c r="A3539" t="s">
        <v>3621</v>
      </c>
      <c r="B3539">
        <v>41</v>
      </c>
      <c r="C3539" t="s">
        <v>9</v>
      </c>
      <c r="D3539">
        <v>17</v>
      </c>
      <c r="E3539">
        <v>57</v>
      </c>
      <c r="F3539">
        <v>4.5300000000000002E-3</v>
      </c>
      <c r="G3539">
        <v>0</v>
      </c>
      <c r="H3539" t="str">
        <f t="shared" si="165"/>
        <v>50-59</v>
      </c>
      <c r="I3539" t="str">
        <f t="shared" si="166"/>
        <v>10-19</v>
      </c>
      <c r="J3539">
        <f t="shared" si="167"/>
        <v>4.5300000000000002E-3</v>
      </c>
    </row>
    <row r="3540" spans="1:10">
      <c r="A3540" t="s">
        <v>3622</v>
      </c>
      <c r="B3540">
        <v>54</v>
      </c>
      <c r="C3540" t="s">
        <v>7</v>
      </c>
      <c r="D3540">
        <v>28</v>
      </c>
      <c r="E3540">
        <v>81</v>
      </c>
      <c r="F3540">
        <v>3.569E-2</v>
      </c>
      <c r="G3540">
        <v>0</v>
      </c>
      <c r="H3540" t="str">
        <f t="shared" si="165"/>
        <v>80-89</v>
      </c>
      <c r="I3540" t="str">
        <f t="shared" si="166"/>
        <v>20-29</v>
      </c>
      <c r="J3540">
        <f t="shared" si="167"/>
        <v>3.569E-2</v>
      </c>
    </row>
    <row r="3541" spans="1:10">
      <c r="A3541" t="s">
        <v>3623</v>
      </c>
      <c r="B3541">
        <v>23</v>
      </c>
      <c r="C3541" t="s">
        <v>7</v>
      </c>
      <c r="D3541">
        <v>15</v>
      </c>
      <c r="E3541">
        <v>37</v>
      </c>
      <c r="F3541">
        <v>7.6000000000000004E-4</v>
      </c>
      <c r="G3541">
        <v>0</v>
      </c>
      <c r="H3541" t="str">
        <f t="shared" si="165"/>
        <v>30-39</v>
      </c>
      <c r="I3541" t="str">
        <f t="shared" si="166"/>
        <v>10-19</v>
      </c>
      <c r="J3541">
        <f t="shared" si="167"/>
        <v>7.6000000000000004E-4</v>
      </c>
    </row>
    <row r="3542" spans="1:10">
      <c r="A3542" t="s">
        <v>3624</v>
      </c>
      <c r="B3542">
        <v>36</v>
      </c>
      <c r="C3542" t="s">
        <v>7</v>
      </c>
      <c r="D3542">
        <v>26</v>
      </c>
      <c r="E3542">
        <v>61</v>
      </c>
      <c r="F3542">
        <v>5.4599999999999996E-3</v>
      </c>
      <c r="G3542">
        <v>0</v>
      </c>
      <c r="H3542" t="str">
        <f t="shared" si="165"/>
        <v>60-69</v>
      </c>
      <c r="I3542" t="str">
        <f t="shared" si="166"/>
        <v>20-29</v>
      </c>
      <c r="J3542">
        <f t="shared" si="167"/>
        <v>5.4599999999999996E-3</v>
      </c>
    </row>
    <row r="3543" spans="1:10">
      <c r="A3543" t="s">
        <v>3625</v>
      </c>
      <c r="B3543">
        <v>61</v>
      </c>
      <c r="C3543" t="s">
        <v>9</v>
      </c>
      <c r="D3543">
        <v>28</v>
      </c>
      <c r="E3543">
        <v>88</v>
      </c>
      <c r="F3543">
        <v>0.10347000000000001</v>
      </c>
      <c r="G3543">
        <v>0</v>
      </c>
      <c r="H3543" t="str">
        <f t="shared" si="165"/>
        <v>80-89</v>
      </c>
      <c r="I3543" t="str">
        <f t="shared" si="166"/>
        <v>20-29</v>
      </c>
      <c r="J3543">
        <f t="shared" si="167"/>
        <v>0.10347000000000001</v>
      </c>
    </row>
    <row r="3544" spans="1:10">
      <c r="A3544" t="s">
        <v>3626</v>
      </c>
      <c r="B3544">
        <v>49</v>
      </c>
      <c r="C3544" t="s">
        <v>9</v>
      </c>
      <c r="D3544">
        <v>6</v>
      </c>
      <c r="E3544">
        <v>54</v>
      </c>
      <c r="F3544">
        <v>2.7000000000000001E-3</v>
      </c>
      <c r="G3544">
        <v>0</v>
      </c>
      <c r="H3544" t="str">
        <f t="shared" si="165"/>
        <v>50-59</v>
      </c>
      <c r="I3544" t="str">
        <f t="shared" si="166"/>
        <v>0-9</v>
      </c>
      <c r="J3544">
        <f t="shared" si="167"/>
        <v>2.7000000000000001E-3</v>
      </c>
    </row>
    <row r="3545" spans="1:10">
      <c r="A3545" t="s">
        <v>3627</v>
      </c>
      <c r="B3545">
        <v>55</v>
      </c>
      <c r="C3545" t="s">
        <v>9</v>
      </c>
      <c r="D3545">
        <v>9</v>
      </c>
      <c r="E3545">
        <v>63</v>
      </c>
      <c r="F3545">
        <v>7.9900000000000006E-3</v>
      </c>
      <c r="G3545">
        <v>0</v>
      </c>
      <c r="H3545" t="str">
        <f t="shared" si="165"/>
        <v>60-69</v>
      </c>
      <c r="I3545" t="str">
        <f t="shared" si="166"/>
        <v>0-9</v>
      </c>
      <c r="J3545">
        <f t="shared" si="167"/>
        <v>7.9900000000000006E-3</v>
      </c>
    </row>
    <row r="3546" spans="1:10">
      <c r="A3546" t="s">
        <v>3628</v>
      </c>
      <c r="B3546">
        <v>24</v>
      </c>
      <c r="C3546" t="s">
        <v>7</v>
      </c>
      <c r="D3546">
        <v>29</v>
      </c>
      <c r="E3546">
        <v>52</v>
      </c>
      <c r="F3546">
        <v>1.8699999999999999E-3</v>
      </c>
      <c r="G3546">
        <v>0</v>
      </c>
      <c r="H3546" t="str">
        <f t="shared" si="165"/>
        <v>50-59</v>
      </c>
      <c r="I3546" t="str">
        <f t="shared" si="166"/>
        <v>20-29</v>
      </c>
      <c r="J3546">
        <f t="shared" si="167"/>
        <v>1.8699999999999999E-3</v>
      </c>
    </row>
    <row r="3547" spans="1:10">
      <c r="A3547" t="s">
        <v>3629</v>
      </c>
      <c r="B3547">
        <v>23</v>
      </c>
      <c r="C3547" t="s">
        <v>9</v>
      </c>
      <c r="D3547">
        <v>7</v>
      </c>
      <c r="E3547">
        <v>29</v>
      </c>
      <c r="F3547">
        <v>5.2999999999999998E-4</v>
      </c>
      <c r="G3547">
        <v>0</v>
      </c>
      <c r="H3547" t="str">
        <f t="shared" si="165"/>
        <v>20-29</v>
      </c>
      <c r="I3547" t="str">
        <f t="shared" si="166"/>
        <v>0-9</v>
      </c>
      <c r="J3547">
        <f t="shared" si="167"/>
        <v>5.2999999999999998E-4</v>
      </c>
    </row>
    <row r="3548" spans="1:10">
      <c r="A3548" t="s">
        <v>3630</v>
      </c>
      <c r="B3548">
        <v>57</v>
      </c>
      <c r="C3548" t="s">
        <v>9</v>
      </c>
      <c r="D3548">
        <v>16</v>
      </c>
      <c r="E3548">
        <v>72</v>
      </c>
      <c r="F3548">
        <v>2.1080000000000002E-2</v>
      </c>
      <c r="G3548">
        <v>0</v>
      </c>
      <c r="H3548" t="str">
        <f t="shared" si="165"/>
        <v>70-79</v>
      </c>
      <c r="I3548" t="str">
        <f t="shared" si="166"/>
        <v>10-19</v>
      </c>
      <c r="J3548">
        <f t="shared" si="167"/>
        <v>2.1080000000000002E-2</v>
      </c>
    </row>
    <row r="3549" spans="1:10">
      <c r="A3549" t="s">
        <v>3631</v>
      </c>
      <c r="B3549">
        <v>23</v>
      </c>
      <c r="C3549" t="s">
        <v>7</v>
      </c>
      <c r="D3549">
        <v>11</v>
      </c>
      <c r="E3549">
        <v>33</v>
      </c>
      <c r="F3549">
        <v>4.2999999999999999E-4</v>
      </c>
      <c r="G3549">
        <v>0</v>
      </c>
      <c r="H3549" t="str">
        <f t="shared" si="165"/>
        <v>30-39</v>
      </c>
      <c r="I3549" t="str">
        <f t="shared" si="166"/>
        <v>10-19</v>
      </c>
      <c r="J3549">
        <f t="shared" si="167"/>
        <v>4.2999999999999999E-4</v>
      </c>
    </row>
    <row r="3550" spans="1:10">
      <c r="A3550" t="s">
        <v>3632</v>
      </c>
      <c r="B3550">
        <v>50</v>
      </c>
      <c r="C3550" t="s">
        <v>9</v>
      </c>
      <c r="D3550">
        <v>4</v>
      </c>
      <c r="E3550">
        <v>53</v>
      </c>
      <c r="F3550">
        <v>2.16E-3</v>
      </c>
      <c r="G3550">
        <v>0</v>
      </c>
      <c r="H3550" t="str">
        <f t="shared" si="165"/>
        <v>50-59</v>
      </c>
      <c r="I3550" t="str">
        <f t="shared" si="166"/>
        <v>0-9</v>
      </c>
      <c r="J3550">
        <f t="shared" si="167"/>
        <v>2.16E-3</v>
      </c>
    </row>
    <row r="3551" spans="1:10">
      <c r="A3551" t="s">
        <v>3633</v>
      </c>
      <c r="B3551">
        <v>26</v>
      </c>
      <c r="C3551" t="s">
        <v>7</v>
      </c>
      <c r="D3551">
        <v>18</v>
      </c>
      <c r="E3551">
        <v>43</v>
      </c>
      <c r="F3551">
        <v>1.1800000000000001E-3</v>
      </c>
      <c r="G3551">
        <v>0</v>
      </c>
      <c r="H3551" t="str">
        <f t="shared" si="165"/>
        <v>40-49</v>
      </c>
      <c r="I3551" t="str">
        <f t="shared" si="166"/>
        <v>10-19</v>
      </c>
      <c r="J3551">
        <f t="shared" si="167"/>
        <v>1.1800000000000001E-3</v>
      </c>
    </row>
    <row r="3552" spans="1:10">
      <c r="A3552" t="s">
        <v>3634</v>
      </c>
      <c r="B3552">
        <v>39</v>
      </c>
      <c r="C3552" t="s">
        <v>9</v>
      </c>
      <c r="D3552">
        <v>19</v>
      </c>
      <c r="E3552">
        <v>57</v>
      </c>
      <c r="F3552">
        <v>4.6699999999999997E-3</v>
      </c>
      <c r="G3552">
        <v>0</v>
      </c>
      <c r="H3552" t="str">
        <f t="shared" si="165"/>
        <v>50-59</v>
      </c>
      <c r="I3552" t="str">
        <f t="shared" si="166"/>
        <v>10-19</v>
      </c>
      <c r="J3552">
        <f t="shared" si="167"/>
        <v>4.6699999999999997E-3</v>
      </c>
    </row>
    <row r="3553" spans="1:10">
      <c r="A3553" t="s">
        <v>3635</v>
      </c>
      <c r="B3553">
        <v>27</v>
      </c>
      <c r="C3553" t="s">
        <v>7</v>
      </c>
      <c r="D3553">
        <v>24</v>
      </c>
      <c r="E3553">
        <v>50</v>
      </c>
      <c r="F3553">
        <v>2.0200000000000001E-3</v>
      </c>
      <c r="G3553">
        <v>0</v>
      </c>
      <c r="H3553" t="str">
        <f t="shared" si="165"/>
        <v>50-59</v>
      </c>
      <c r="I3553" t="str">
        <f t="shared" si="166"/>
        <v>20-29</v>
      </c>
      <c r="J3553">
        <f t="shared" si="167"/>
        <v>2.0200000000000001E-3</v>
      </c>
    </row>
    <row r="3554" spans="1:10">
      <c r="A3554" t="s">
        <v>3636</v>
      </c>
      <c r="B3554">
        <v>32</v>
      </c>
      <c r="C3554" t="s">
        <v>7</v>
      </c>
      <c r="D3554">
        <v>19</v>
      </c>
      <c r="E3554">
        <v>50</v>
      </c>
      <c r="F3554">
        <v>1.91E-3</v>
      </c>
      <c r="G3554">
        <v>0</v>
      </c>
      <c r="H3554" t="str">
        <f t="shared" si="165"/>
        <v>50-59</v>
      </c>
      <c r="I3554" t="str">
        <f t="shared" si="166"/>
        <v>10-19</v>
      </c>
      <c r="J3554">
        <f t="shared" si="167"/>
        <v>1.91E-3</v>
      </c>
    </row>
    <row r="3555" spans="1:10">
      <c r="A3555" t="s">
        <v>3637</v>
      </c>
      <c r="B3555">
        <v>49</v>
      </c>
      <c r="C3555" t="s">
        <v>9</v>
      </c>
      <c r="D3555">
        <v>1</v>
      </c>
      <c r="E3555">
        <v>49</v>
      </c>
      <c r="F3555">
        <v>7.7999999999999999E-4</v>
      </c>
      <c r="G3555">
        <v>0</v>
      </c>
      <c r="H3555" t="str">
        <f t="shared" si="165"/>
        <v>40-49</v>
      </c>
      <c r="I3555" t="str">
        <f t="shared" si="166"/>
        <v>0-9</v>
      </c>
      <c r="J3555">
        <f t="shared" si="167"/>
        <v>7.7999999999999999E-4</v>
      </c>
    </row>
    <row r="3556" spans="1:10">
      <c r="A3556" t="s">
        <v>3638</v>
      </c>
      <c r="B3556">
        <v>37</v>
      </c>
      <c r="C3556" t="s">
        <v>7</v>
      </c>
      <c r="D3556">
        <v>16</v>
      </c>
      <c r="E3556">
        <v>52</v>
      </c>
      <c r="F3556">
        <v>2.1099999999999999E-3</v>
      </c>
      <c r="G3556">
        <v>0</v>
      </c>
      <c r="H3556" t="str">
        <f t="shared" si="165"/>
        <v>50-59</v>
      </c>
      <c r="I3556" t="str">
        <f t="shared" si="166"/>
        <v>10-19</v>
      </c>
      <c r="J3556">
        <f t="shared" si="167"/>
        <v>2.1099999999999999E-3</v>
      </c>
    </row>
    <row r="3557" spans="1:10">
      <c r="A3557" t="s">
        <v>3639</v>
      </c>
      <c r="B3557">
        <v>50</v>
      </c>
      <c r="C3557" t="s">
        <v>9</v>
      </c>
      <c r="D3557">
        <v>17</v>
      </c>
      <c r="E3557">
        <v>66</v>
      </c>
      <c r="F3557">
        <v>1.128E-2</v>
      </c>
      <c r="G3557">
        <v>0</v>
      </c>
      <c r="H3557" t="str">
        <f t="shared" si="165"/>
        <v>60-69</v>
      </c>
      <c r="I3557" t="str">
        <f t="shared" si="166"/>
        <v>10-19</v>
      </c>
      <c r="J3557">
        <f t="shared" si="167"/>
        <v>1.128E-2</v>
      </c>
    </row>
    <row r="3558" spans="1:10">
      <c r="A3558" t="s">
        <v>3640</v>
      </c>
      <c r="B3558">
        <v>36</v>
      </c>
      <c r="C3558" t="s">
        <v>7</v>
      </c>
      <c r="D3558">
        <v>28</v>
      </c>
      <c r="E3558">
        <v>63</v>
      </c>
      <c r="F3558">
        <v>5.4599999999999996E-3</v>
      </c>
      <c r="G3558">
        <v>0</v>
      </c>
      <c r="H3558" t="str">
        <f t="shared" si="165"/>
        <v>60-69</v>
      </c>
      <c r="I3558" t="str">
        <f t="shared" si="166"/>
        <v>20-29</v>
      </c>
      <c r="J3558">
        <f t="shared" si="167"/>
        <v>5.4599999999999996E-3</v>
      </c>
    </row>
    <row r="3559" spans="1:10">
      <c r="A3559" t="s">
        <v>3641</v>
      </c>
      <c r="B3559">
        <v>63</v>
      </c>
      <c r="C3559" t="s">
        <v>7</v>
      </c>
      <c r="D3559">
        <v>18</v>
      </c>
      <c r="E3559">
        <v>80</v>
      </c>
      <c r="F3559">
        <v>3.7789999999999997E-2</v>
      </c>
      <c r="G3559">
        <v>0</v>
      </c>
      <c r="H3559" t="str">
        <f t="shared" si="165"/>
        <v>80-89</v>
      </c>
      <c r="I3559" t="str">
        <f t="shared" si="166"/>
        <v>10-19</v>
      </c>
      <c r="J3559">
        <f t="shared" si="167"/>
        <v>3.7789999999999997E-2</v>
      </c>
    </row>
    <row r="3560" spans="1:10">
      <c r="A3560" t="s">
        <v>3642</v>
      </c>
      <c r="B3560">
        <v>27</v>
      </c>
      <c r="C3560" t="s">
        <v>7</v>
      </c>
      <c r="D3560">
        <v>25</v>
      </c>
      <c r="E3560">
        <v>51</v>
      </c>
      <c r="F3560">
        <v>2.1900000000000001E-3</v>
      </c>
      <c r="G3560">
        <v>0</v>
      </c>
      <c r="H3560" t="str">
        <f t="shared" si="165"/>
        <v>50-59</v>
      </c>
      <c r="I3560" t="str">
        <f t="shared" si="166"/>
        <v>20-29</v>
      </c>
      <c r="J3560">
        <f t="shared" si="167"/>
        <v>2.1900000000000001E-3</v>
      </c>
    </row>
    <row r="3561" spans="1:10">
      <c r="A3561" t="s">
        <v>3643</v>
      </c>
      <c r="B3561">
        <v>40</v>
      </c>
      <c r="C3561" t="s">
        <v>7</v>
      </c>
      <c r="D3561">
        <v>29</v>
      </c>
      <c r="E3561">
        <v>68</v>
      </c>
      <c r="F3561">
        <v>8.3099999999999997E-3</v>
      </c>
      <c r="G3561">
        <v>0</v>
      </c>
      <c r="H3561" t="str">
        <f t="shared" si="165"/>
        <v>60-69</v>
      </c>
      <c r="I3561" t="str">
        <f t="shared" si="166"/>
        <v>20-29</v>
      </c>
      <c r="J3561">
        <f t="shared" si="167"/>
        <v>8.3099999999999997E-3</v>
      </c>
    </row>
    <row r="3562" spans="1:10">
      <c r="A3562" t="s">
        <v>3644</v>
      </c>
      <c r="B3562">
        <v>30</v>
      </c>
      <c r="C3562" t="s">
        <v>9</v>
      </c>
      <c r="D3562">
        <v>6</v>
      </c>
      <c r="E3562">
        <v>35</v>
      </c>
      <c r="F3562">
        <v>5.2999999999999998E-4</v>
      </c>
      <c r="G3562">
        <v>0</v>
      </c>
      <c r="H3562" t="str">
        <f t="shared" si="165"/>
        <v>30-39</v>
      </c>
      <c r="I3562" t="str">
        <f t="shared" si="166"/>
        <v>0-9</v>
      </c>
      <c r="J3562">
        <f t="shared" si="167"/>
        <v>5.2999999999999998E-4</v>
      </c>
    </row>
    <row r="3563" spans="1:10">
      <c r="A3563" t="s">
        <v>3645</v>
      </c>
      <c r="B3563">
        <v>39</v>
      </c>
      <c r="C3563" t="s">
        <v>7</v>
      </c>
      <c r="D3563">
        <v>4</v>
      </c>
      <c r="E3563">
        <v>42</v>
      </c>
      <c r="F3563">
        <v>6.2E-4</v>
      </c>
      <c r="G3563">
        <v>0</v>
      </c>
      <c r="H3563" t="str">
        <f t="shared" si="165"/>
        <v>40-49</v>
      </c>
      <c r="I3563" t="str">
        <f t="shared" si="166"/>
        <v>0-9</v>
      </c>
      <c r="J3563">
        <f t="shared" si="167"/>
        <v>6.2E-4</v>
      </c>
    </row>
    <row r="3564" spans="1:10">
      <c r="A3564" t="s">
        <v>3646</v>
      </c>
      <c r="B3564">
        <v>60</v>
      </c>
      <c r="C3564" t="s">
        <v>7</v>
      </c>
      <c r="D3564">
        <v>22</v>
      </c>
      <c r="E3564">
        <v>81</v>
      </c>
      <c r="F3564">
        <v>4.4880000000000003E-2</v>
      </c>
      <c r="G3564">
        <v>0</v>
      </c>
      <c r="H3564" t="str">
        <f t="shared" si="165"/>
        <v>80-89</v>
      </c>
      <c r="I3564" t="str">
        <f t="shared" si="166"/>
        <v>20-29</v>
      </c>
      <c r="J3564">
        <f t="shared" si="167"/>
        <v>4.4880000000000003E-2</v>
      </c>
    </row>
    <row r="3565" spans="1:10">
      <c r="A3565" t="s">
        <v>3647</v>
      </c>
      <c r="B3565">
        <v>26</v>
      </c>
      <c r="C3565" t="s">
        <v>9</v>
      </c>
      <c r="D3565">
        <v>25</v>
      </c>
      <c r="E3565">
        <v>50</v>
      </c>
      <c r="F3565">
        <v>2.8400000000000001E-3</v>
      </c>
      <c r="G3565">
        <v>0</v>
      </c>
      <c r="H3565" t="str">
        <f t="shared" si="165"/>
        <v>50-59</v>
      </c>
      <c r="I3565" t="str">
        <f t="shared" si="166"/>
        <v>20-29</v>
      </c>
      <c r="J3565">
        <f t="shared" si="167"/>
        <v>2.8400000000000001E-3</v>
      </c>
    </row>
    <row r="3566" spans="1:10">
      <c r="A3566" t="s">
        <v>3648</v>
      </c>
      <c r="B3566">
        <v>39</v>
      </c>
      <c r="C3566" t="s">
        <v>7</v>
      </c>
      <c r="D3566">
        <v>11</v>
      </c>
      <c r="E3566">
        <v>49</v>
      </c>
      <c r="F3566">
        <v>1.49E-3</v>
      </c>
      <c r="G3566">
        <v>0</v>
      </c>
      <c r="H3566" t="str">
        <f t="shared" si="165"/>
        <v>40-49</v>
      </c>
      <c r="I3566" t="str">
        <f t="shared" si="166"/>
        <v>10-19</v>
      </c>
      <c r="J3566">
        <f t="shared" si="167"/>
        <v>1.49E-3</v>
      </c>
    </row>
    <row r="3567" spans="1:10">
      <c r="A3567" t="s">
        <v>3649</v>
      </c>
      <c r="B3567">
        <v>63</v>
      </c>
      <c r="C3567" t="s">
        <v>7</v>
      </c>
      <c r="D3567">
        <v>10</v>
      </c>
      <c r="E3567">
        <v>72</v>
      </c>
      <c r="F3567">
        <v>1.095E-2</v>
      </c>
      <c r="G3567">
        <v>0</v>
      </c>
      <c r="H3567" t="str">
        <f t="shared" si="165"/>
        <v>70-79</v>
      </c>
      <c r="I3567" t="str">
        <f t="shared" si="166"/>
        <v>10-19</v>
      </c>
      <c r="J3567">
        <f t="shared" si="167"/>
        <v>1.095E-2</v>
      </c>
    </row>
    <row r="3568" spans="1:10">
      <c r="A3568" t="s">
        <v>3650</v>
      </c>
      <c r="B3568">
        <v>63</v>
      </c>
      <c r="C3568" t="s">
        <v>9</v>
      </c>
      <c r="D3568">
        <v>5</v>
      </c>
      <c r="E3568">
        <v>67</v>
      </c>
      <c r="F3568">
        <v>8.5199999999999998E-3</v>
      </c>
      <c r="G3568">
        <v>0</v>
      </c>
      <c r="H3568" t="str">
        <f t="shared" si="165"/>
        <v>60-69</v>
      </c>
      <c r="I3568" t="str">
        <f t="shared" si="166"/>
        <v>0-9</v>
      </c>
      <c r="J3568">
        <f t="shared" si="167"/>
        <v>8.5199999999999998E-3</v>
      </c>
    </row>
    <row r="3569" spans="1:10">
      <c r="A3569" t="s">
        <v>3651</v>
      </c>
      <c r="B3569">
        <v>45</v>
      </c>
      <c r="C3569" t="s">
        <v>9</v>
      </c>
      <c r="D3569">
        <v>26</v>
      </c>
      <c r="E3569">
        <v>70</v>
      </c>
      <c r="F3569">
        <v>1.7160000000000002E-2</v>
      </c>
      <c r="G3569">
        <v>0</v>
      </c>
      <c r="H3569" t="str">
        <f t="shared" si="165"/>
        <v>70-79</v>
      </c>
      <c r="I3569" t="str">
        <f t="shared" si="166"/>
        <v>20-29</v>
      </c>
      <c r="J3569">
        <f t="shared" si="167"/>
        <v>1.7160000000000002E-2</v>
      </c>
    </row>
    <row r="3570" spans="1:10">
      <c r="A3570" t="s">
        <v>3652</v>
      </c>
      <c r="B3570">
        <v>62</v>
      </c>
      <c r="C3570" t="s">
        <v>9</v>
      </c>
      <c r="D3570">
        <v>6</v>
      </c>
      <c r="E3570">
        <v>67</v>
      </c>
      <c r="F3570">
        <v>9.2800000000000001E-3</v>
      </c>
      <c r="G3570">
        <v>0</v>
      </c>
      <c r="H3570" t="str">
        <f t="shared" si="165"/>
        <v>60-69</v>
      </c>
      <c r="I3570" t="str">
        <f t="shared" si="166"/>
        <v>0-9</v>
      </c>
      <c r="J3570">
        <f t="shared" si="167"/>
        <v>9.2800000000000001E-3</v>
      </c>
    </row>
    <row r="3571" spans="1:10">
      <c r="A3571" t="s">
        <v>3653</v>
      </c>
      <c r="B3571">
        <v>50</v>
      </c>
      <c r="C3571" t="s">
        <v>7</v>
      </c>
      <c r="D3571">
        <v>21</v>
      </c>
      <c r="E3571">
        <v>70</v>
      </c>
      <c r="F3571">
        <v>1.404E-2</v>
      </c>
      <c r="G3571">
        <v>0</v>
      </c>
      <c r="H3571" t="str">
        <f t="shared" si="165"/>
        <v>70-79</v>
      </c>
      <c r="I3571" t="str">
        <f t="shared" si="166"/>
        <v>20-29</v>
      </c>
      <c r="J3571">
        <f t="shared" si="167"/>
        <v>1.404E-2</v>
      </c>
    </row>
    <row r="3572" spans="1:10">
      <c r="A3572" t="s">
        <v>3654</v>
      </c>
      <c r="B3572">
        <v>37</v>
      </c>
      <c r="C3572" t="s">
        <v>7</v>
      </c>
      <c r="D3572">
        <v>8</v>
      </c>
      <c r="E3572">
        <v>44</v>
      </c>
      <c r="F3572">
        <v>8.1999999999999998E-4</v>
      </c>
      <c r="G3572">
        <v>0</v>
      </c>
      <c r="H3572" t="str">
        <f t="shared" si="165"/>
        <v>40-49</v>
      </c>
      <c r="I3572" t="str">
        <f t="shared" si="166"/>
        <v>0-9</v>
      </c>
      <c r="J3572">
        <f t="shared" si="167"/>
        <v>8.1999999999999998E-4</v>
      </c>
    </row>
    <row r="3573" spans="1:10">
      <c r="A3573" t="s">
        <v>3655</v>
      </c>
      <c r="B3573">
        <v>39</v>
      </c>
      <c r="C3573" t="s">
        <v>9</v>
      </c>
      <c r="D3573">
        <v>12</v>
      </c>
      <c r="E3573">
        <v>50</v>
      </c>
      <c r="F3573">
        <v>2.1299999999999999E-3</v>
      </c>
      <c r="G3573">
        <v>0</v>
      </c>
      <c r="H3573" t="str">
        <f t="shared" si="165"/>
        <v>50-59</v>
      </c>
      <c r="I3573" t="str">
        <f t="shared" si="166"/>
        <v>10-19</v>
      </c>
      <c r="J3573">
        <f t="shared" si="167"/>
        <v>2.1299999999999999E-3</v>
      </c>
    </row>
    <row r="3574" spans="1:10">
      <c r="A3574" t="s">
        <v>3656</v>
      </c>
      <c r="B3574">
        <v>42</v>
      </c>
      <c r="C3574" t="s">
        <v>7</v>
      </c>
      <c r="D3574">
        <v>27</v>
      </c>
      <c r="E3574">
        <v>68</v>
      </c>
      <c r="F3574">
        <v>1.027E-2</v>
      </c>
      <c r="G3574">
        <v>0</v>
      </c>
      <c r="H3574" t="str">
        <f t="shared" si="165"/>
        <v>60-69</v>
      </c>
      <c r="I3574" t="str">
        <f t="shared" si="166"/>
        <v>20-29</v>
      </c>
      <c r="J3574">
        <f t="shared" si="167"/>
        <v>1.027E-2</v>
      </c>
    </row>
    <row r="3575" spans="1:10">
      <c r="A3575" t="s">
        <v>3657</v>
      </c>
      <c r="B3575">
        <v>47</v>
      </c>
      <c r="C3575" t="s">
        <v>9</v>
      </c>
      <c r="D3575">
        <v>19</v>
      </c>
      <c r="E3575">
        <v>65</v>
      </c>
      <c r="F3575">
        <v>1.022E-2</v>
      </c>
      <c r="G3575">
        <v>0</v>
      </c>
      <c r="H3575" t="str">
        <f t="shared" si="165"/>
        <v>60-69</v>
      </c>
      <c r="I3575" t="str">
        <f t="shared" si="166"/>
        <v>10-19</v>
      </c>
      <c r="J3575">
        <f t="shared" si="167"/>
        <v>1.022E-2</v>
      </c>
    </row>
    <row r="3576" spans="1:10">
      <c r="A3576" t="s">
        <v>3658</v>
      </c>
      <c r="B3576">
        <v>45</v>
      </c>
      <c r="C3576" t="s">
        <v>7</v>
      </c>
      <c r="D3576">
        <v>2</v>
      </c>
      <c r="E3576">
        <v>46</v>
      </c>
      <c r="F3576">
        <v>4.4000000000000002E-4</v>
      </c>
      <c r="G3576">
        <v>0</v>
      </c>
      <c r="H3576" t="str">
        <f t="shared" si="165"/>
        <v>40-49</v>
      </c>
      <c r="I3576" t="str">
        <f t="shared" si="166"/>
        <v>0-9</v>
      </c>
      <c r="J3576">
        <f t="shared" si="167"/>
        <v>4.4000000000000002E-4</v>
      </c>
    </row>
    <row r="3577" spans="1:10">
      <c r="A3577" t="s">
        <v>3659</v>
      </c>
      <c r="B3577">
        <v>28</v>
      </c>
      <c r="C3577" t="s">
        <v>7</v>
      </c>
      <c r="D3577">
        <v>15</v>
      </c>
      <c r="E3577">
        <v>42</v>
      </c>
      <c r="F3577">
        <v>1.0200000000000001E-3</v>
      </c>
      <c r="G3577">
        <v>0</v>
      </c>
      <c r="H3577" t="str">
        <f t="shared" si="165"/>
        <v>40-49</v>
      </c>
      <c r="I3577" t="str">
        <f t="shared" si="166"/>
        <v>10-19</v>
      </c>
      <c r="J3577">
        <f t="shared" si="167"/>
        <v>1.0200000000000001E-3</v>
      </c>
    </row>
    <row r="3578" spans="1:10">
      <c r="A3578" t="s">
        <v>3660</v>
      </c>
      <c r="B3578">
        <v>65</v>
      </c>
      <c r="C3578" t="s">
        <v>9</v>
      </c>
      <c r="D3578">
        <v>7</v>
      </c>
      <c r="E3578">
        <v>71</v>
      </c>
      <c r="F3578">
        <v>1.257E-2</v>
      </c>
      <c r="G3578">
        <v>0</v>
      </c>
      <c r="H3578" t="str">
        <f t="shared" si="165"/>
        <v>70-79</v>
      </c>
      <c r="I3578" t="str">
        <f t="shared" si="166"/>
        <v>0-9</v>
      </c>
      <c r="J3578">
        <f t="shared" si="167"/>
        <v>1.257E-2</v>
      </c>
    </row>
    <row r="3579" spans="1:10">
      <c r="A3579" t="s">
        <v>3661</v>
      </c>
      <c r="B3579">
        <v>38</v>
      </c>
      <c r="C3579" t="s">
        <v>9</v>
      </c>
      <c r="D3579">
        <v>27</v>
      </c>
      <c r="E3579">
        <v>64</v>
      </c>
      <c r="F3579">
        <v>8.6599999999999993E-3</v>
      </c>
      <c r="G3579">
        <v>0</v>
      </c>
      <c r="H3579" t="str">
        <f t="shared" si="165"/>
        <v>60-69</v>
      </c>
      <c r="I3579" t="str">
        <f t="shared" si="166"/>
        <v>20-29</v>
      </c>
      <c r="J3579">
        <f t="shared" si="167"/>
        <v>8.6599999999999993E-3</v>
      </c>
    </row>
    <row r="3580" spans="1:10">
      <c r="A3580" t="s">
        <v>3662</v>
      </c>
      <c r="B3580">
        <v>44</v>
      </c>
      <c r="C3580" t="s">
        <v>7</v>
      </c>
      <c r="D3580">
        <v>11</v>
      </c>
      <c r="E3580">
        <v>54</v>
      </c>
      <c r="F3580">
        <v>2.3E-3</v>
      </c>
      <c r="G3580">
        <v>0</v>
      </c>
      <c r="H3580" t="str">
        <f t="shared" si="165"/>
        <v>50-59</v>
      </c>
      <c r="I3580" t="str">
        <f t="shared" si="166"/>
        <v>10-19</v>
      </c>
      <c r="J3580">
        <f t="shared" si="167"/>
        <v>2.3E-3</v>
      </c>
    </row>
    <row r="3581" spans="1:10">
      <c r="A3581" t="s">
        <v>3663</v>
      </c>
      <c r="B3581">
        <v>33</v>
      </c>
      <c r="C3581" t="s">
        <v>7</v>
      </c>
      <c r="D3581">
        <v>20</v>
      </c>
      <c r="E3581">
        <v>52</v>
      </c>
      <c r="F3581">
        <v>2.2899999999999999E-3</v>
      </c>
      <c r="G3581">
        <v>0</v>
      </c>
      <c r="H3581" t="str">
        <f t="shared" si="165"/>
        <v>50-59</v>
      </c>
      <c r="I3581" t="str">
        <f t="shared" si="166"/>
        <v>20-29</v>
      </c>
      <c r="J3581">
        <f t="shared" si="167"/>
        <v>2.2899999999999999E-3</v>
      </c>
    </row>
    <row r="3582" spans="1:10">
      <c r="A3582" t="s">
        <v>3664</v>
      </c>
      <c r="B3582">
        <v>26</v>
      </c>
      <c r="C3582" t="s">
        <v>9</v>
      </c>
      <c r="D3582">
        <v>3</v>
      </c>
      <c r="E3582">
        <v>28</v>
      </c>
      <c r="F3582">
        <v>3.8000000000000002E-4</v>
      </c>
      <c r="G3582">
        <v>0</v>
      </c>
      <c r="H3582" t="str">
        <f t="shared" si="165"/>
        <v>20-29</v>
      </c>
      <c r="I3582" t="str">
        <f t="shared" si="166"/>
        <v>0-9</v>
      </c>
      <c r="J3582">
        <f t="shared" si="167"/>
        <v>3.8000000000000002E-4</v>
      </c>
    </row>
    <row r="3583" spans="1:10">
      <c r="A3583" t="s">
        <v>3665</v>
      </c>
      <c r="B3583">
        <v>50</v>
      </c>
      <c r="C3583" t="s">
        <v>7</v>
      </c>
      <c r="D3583">
        <v>24</v>
      </c>
      <c r="E3583">
        <v>73</v>
      </c>
      <c r="F3583">
        <v>1.8970000000000001E-2</v>
      </c>
      <c r="G3583">
        <v>0</v>
      </c>
      <c r="H3583" t="str">
        <f t="shared" si="165"/>
        <v>70-79</v>
      </c>
      <c r="I3583" t="str">
        <f t="shared" si="166"/>
        <v>20-29</v>
      </c>
      <c r="J3583">
        <f t="shared" si="167"/>
        <v>1.8970000000000001E-2</v>
      </c>
    </row>
    <row r="3584" spans="1:10">
      <c r="A3584" t="s">
        <v>3666</v>
      </c>
      <c r="B3584">
        <v>22</v>
      </c>
      <c r="C3584" t="s">
        <v>7</v>
      </c>
      <c r="D3584">
        <v>25</v>
      </c>
      <c r="E3584">
        <v>46</v>
      </c>
      <c r="F3584">
        <v>1.49E-3</v>
      </c>
      <c r="G3584">
        <v>0</v>
      </c>
      <c r="H3584" t="str">
        <f t="shared" si="165"/>
        <v>40-49</v>
      </c>
      <c r="I3584" t="str">
        <f t="shared" si="166"/>
        <v>20-29</v>
      </c>
      <c r="J3584">
        <f t="shared" si="167"/>
        <v>1.49E-3</v>
      </c>
    </row>
    <row r="3585" spans="1:10">
      <c r="A3585" t="s">
        <v>3667</v>
      </c>
      <c r="B3585">
        <v>65</v>
      </c>
      <c r="C3585" t="s">
        <v>9</v>
      </c>
      <c r="D3585">
        <v>16</v>
      </c>
      <c r="E3585">
        <v>80</v>
      </c>
      <c r="F3585">
        <v>4.65E-2</v>
      </c>
      <c r="G3585">
        <v>0</v>
      </c>
      <c r="H3585" t="str">
        <f t="shared" si="165"/>
        <v>80-89</v>
      </c>
      <c r="I3585" t="str">
        <f t="shared" si="166"/>
        <v>10-19</v>
      </c>
      <c r="J3585">
        <f t="shared" si="167"/>
        <v>4.65E-2</v>
      </c>
    </row>
    <row r="3586" spans="1:10">
      <c r="A3586" t="s">
        <v>3668</v>
      </c>
      <c r="B3586">
        <v>57</v>
      </c>
      <c r="C3586" t="s">
        <v>9</v>
      </c>
      <c r="D3586">
        <v>13</v>
      </c>
      <c r="E3586">
        <v>69</v>
      </c>
      <c r="F3586">
        <v>1.5049999999999999E-2</v>
      </c>
      <c r="G3586">
        <v>0</v>
      </c>
      <c r="H3586" t="str">
        <f t="shared" si="165"/>
        <v>60-69</v>
      </c>
      <c r="I3586" t="str">
        <f t="shared" si="166"/>
        <v>10-19</v>
      </c>
      <c r="J3586">
        <f t="shared" si="167"/>
        <v>1.5049999999999999E-2</v>
      </c>
    </row>
    <row r="3587" spans="1:10">
      <c r="A3587" t="s">
        <v>3669</v>
      </c>
      <c r="B3587">
        <v>41</v>
      </c>
      <c r="C3587" t="s">
        <v>7</v>
      </c>
      <c r="D3587">
        <v>9</v>
      </c>
      <c r="E3587">
        <v>49</v>
      </c>
      <c r="F3587">
        <v>1.3500000000000001E-3</v>
      </c>
      <c r="G3587">
        <v>0</v>
      </c>
      <c r="H3587" t="str">
        <f t="shared" ref="H3587:H3650" si="168">FLOOR(E3587,10) &amp; "-" &amp; FLOOR(E3587,10)+9</f>
        <v>40-49</v>
      </c>
      <c r="I3587" t="str">
        <f t="shared" ref="I3587:I3650" si="169">FLOOR(D3587, 10) &amp; "-"&amp;FLOOR(D3587, 10)+9</f>
        <v>0-9</v>
      </c>
      <c r="J3587">
        <f t="shared" ref="J3587:J3650" si="170">F3587</f>
        <v>1.3500000000000001E-3</v>
      </c>
    </row>
    <row r="3588" spans="1:10">
      <c r="A3588" t="s">
        <v>3670</v>
      </c>
      <c r="B3588">
        <v>38</v>
      </c>
      <c r="C3588" t="s">
        <v>9</v>
      </c>
      <c r="D3588">
        <v>4</v>
      </c>
      <c r="E3588">
        <v>41</v>
      </c>
      <c r="F3588">
        <v>7.3999999999999999E-4</v>
      </c>
      <c r="G3588">
        <v>0</v>
      </c>
      <c r="H3588" t="str">
        <f t="shared" si="168"/>
        <v>40-49</v>
      </c>
      <c r="I3588" t="str">
        <f t="shared" si="169"/>
        <v>0-9</v>
      </c>
      <c r="J3588">
        <f t="shared" si="170"/>
        <v>7.3999999999999999E-4</v>
      </c>
    </row>
    <row r="3589" spans="1:10">
      <c r="A3589" t="s">
        <v>3671</v>
      </c>
      <c r="B3589">
        <v>24</v>
      </c>
      <c r="C3589" t="s">
        <v>7</v>
      </c>
      <c r="D3589">
        <v>11</v>
      </c>
      <c r="E3589">
        <v>34</v>
      </c>
      <c r="F3589">
        <v>4.8000000000000001E-4</v>
      </c>
      <c r="G3589">
        <v>0</v>
      </c>
      <c r="H3589" t="str">
        <f t="shared" si="168"/>
        <v>30-39</v>
      </c>
      <c r="I3589" t="str">
        <f t="shared" si="169"/>
        <v>10-19</v>
      </c>
      <c r="J3589">
        <f t="shared" si="170"/>
        <v>4.8000000000000001E-4</v>
      </c>
    </row>
    <row r="3590" spans="1:10">
      <c r="A3590" t="s">
        <v>3672</v>
      </c>
      <c r="B3590">
        <v>29</v>
      </c>
      <c r="C3590" t="s">
        <v>9</v>
      </c>
      <c r="D3590">
        <v>28</v>
      </c>
      <c r="E3590">
        <v>56</v>
      </c>
      <c r="F3590">
        <v>3.7499999999999999E-3</v>
      </c>
      <c r="G3590">
        <v>0</v>
      </c>
      <c r="H3590" t="str">
        <f t="shared" si="168"/>
        <v>50-59</v>
      </c>
      <c r="I3590" t="str">
        <f t="shared" si="169"/>
        <v>20-29</v>
      </c>
      <c r="J3590">
        <f t="shared" si="170"/>
        <v>3.7499999999999999E-3</v>
      </c>
    </row>
    <row r="3591" spans="1:10">
      <c r="A3591" t="s">
        <v>3673</v>
      </c>
      <c r="B3591">
        <v>32</v>
      </c>
      <c r="C3591" t="s">
        <v>9</v>
      </c>
      <c r="D3591">
        <v>18</v>
      </c>
      <c r="E3591">
        <v>49</v>
      </c>
      <c r="F3591">
        <v>2.3E-3</v>
      </c>
      <c r="G3591">
        <v>0</v>
      </c>
      <c r="H3591" t="str">
        <f t="shared" si="168"/>
        <v>40-49</v>
      </c>
      <c r="I3591" t="str">
        <f t="shared" si="169"/>
        <v>10-19</v>
      </c>
      <c r="J3591">
        <f t="shared" si="170"/>
        <v>2.3E-3</v>
      </c>
    </row>
    <row r="3592" spans="1:10">
      <c r="A3592" t="s">
        <v>3674</v>
      </c>
      <c r="B3592">
        <v>56</v>
      </c>
      <c r="C3592" t="s">
        <v>7</v>
      </c>
      <c r="D3592">
        <v>18</v>
      </c>
      <c r="E3592">
        <v>73</v>
      </c>
      <c r="F3592">
        <v>1.7770000000000001E-2</v>
      </c>
      <c r="G3592">
        <v>0</v>
      </c>
      <c r="H3592" t="str">
        <f t="shared" si="168"/>
        <v>70-79</v>
      </c>
      <c r="I3592" t="str">
        <f t="shared" si="169"/>
        <v>10-19</v>
      </c>
      <c r="J3592">
        <f t="shared" si="170"/>
        <v>1.7770000000000001E-2</v>
      </c>
    </row>
    <row r="3593" spans="1:10">
      <c r="A3593" t="s">
        <v>3675</v>
      </c>
      <c r="B3593">
        <v>53</v>
      </c>
      <c r="C3593" t="s">
        <v>9</v>
      </c>
      <c r="D3593">
        <v>27</v>
      </c>
      <c r="E3593">
        <v>79</v>
      </c>
      <c r="F3593">
        <v>4.1250000000000002E-2</v>
      </c>
      <c r="G3593">
        <v>1</v>
      </c>
      <c r="H3593" t="str">
        <f t="shared" si="168"/>
        <v>70-79</v>
      </c>
      <c r="I3593" t="str">
        <f t="shared" si="169"/>
        <v>20-29</v>
      </c>
      <c r="J3593">
        <f t="shared" si="170"/>
        <v>4.1250000000000002E-2</v>
      </c>
    </row>
    <row r="3594" spans="1:10">
      <c r="A3594" t="s">
        <v>3676</v>
      </c>
      <c r="B3594">
        <v>24</v>
      </c>
      <c r="C3594" t="s">
        <v>7</v>
      </c>
      <c r="D3594">
        <v>28</v>
      </c>
      <c r="E3594">
        <v>51</v>
      </c>
      <c r="F3594">
        <v>1.8699999999999999E-3</v>
      </c>
      <c r="G3594">
        <v>0</v>
      </c>
      <c r="H3594" t="str">
        <f t="shared" si="168"/>
        <v>50-59</v>
      </c>
      <c r="I3594" t="str">
        <f t="shared" si="169"/>
        <v>20-29</v>
      </c>
      <c r="J3594">
        <f t="shared" si="170"/>
        <v>1.8699999999999999E-3</v>
      </c>
    </row>
    <row r="3595" spans="1:10">
      <c r="A3595" t="s">
        <v>3677</v>
      </c>
      <c r="B3595">
        <v>40</v>
      </c>
      <c r="C3595" t="s">
        <v>9</v>
      </c>
      <c r="D3595">
        <v>28</v>
      </c>
      <c r="E3595">
        <v>67</v>
      </c>
      <c r="F3595">
        <v>1.064E-2</v>
      </c>
      <c r="G3595">
        <v>0</v>
      </c>
      <c r="H3595" t="str">
        <f t="shared" si="168"/>
        <v>60-69</v>
      </c>
      <c r="I3595" t="str">
        <f t="shared" si="169"/>
        <v>20-29</v>
      </c>
      <c r="J3595">
        <f t="shared" si="170"/>
        <v>1.064E-2</v>
      </c>
    </row>
    <row r="3596" spans="1:10">
      <c r="A3596" t="s">
        <v>3678</v>
      </c>
      <c r="B3596">
        <v>33</v>
      </c>
      <c r="C3596" t="s">
        <v>9</v>
      </c>
      <c r="D3596">
        <v>6</v>
      </c>
      <c r="E3596">
        <v>38</v>
      </c>
      <c r="F3596">
        <v>6.4000000000000005E-4</v>
      </c>
      <c r="G3596">
        <v>0</v>
      </c>
      <c r="H3596" t="str">
        <f t="shared" si="168"/>
        <v>30-39</v>
      </c>
      <c r="I3596" t="str">
        <f t="shared" si="169"/>
        <v>0-9</v>
      </c>
      <c r="J3596">
        <f t="shared" si="170"/>
        <v>6.4000000000000005E-4</v>
      </c>
    </row>
    <row r="3597" spans="1:10">
      <c r="A3597" t="s">
        <v>3679</v>
      </c>
      <c r="B3597">
        <v>43</v>
      </c>
      <c r="C3597" t="s">
        <v>9</v>
      </c>
      <c r="D3597">
        <v>11</v>
      </c>
      <c r="E3597">
        <v>53</v>
      </c>
      <c r="F3597">
        <v>2.7799999999999999E-3</v>
      </c>
      <c r="G3597">
        <v>0</v>
      </c>
      <c r="H3597" t="str">
        <f t="shared" si="168"/>
        <v>50-59</v>
      </c>
      <c r="I3597" t="str">
        <f t="shared" si="169"/>
        <v>10-19</v>
      </c>
      <c r="J3597">
        <f t="shared" si="170"/>
        <v>2.7799999999999999E-3</v>
      </c>
    </row>
    <row r="3598" spans="1:10">
      <c r="A3598" t="s">
        <v>3680</v>
      </c>
      <c r="B3598">
        <v>36</v>
      </c>
      <c r="C3598" t="s">
        <v>7</v>
      </c>
      <c r="D3598">
        <v>9</v>
      </c>
      <c r="E3598">
        <v>44</v>
      </c>
      <c r="F3598">
        <v>8.4000000000000003E-4</v>
      </c>
      <c r="G3598">
        <v>0</v>
      </c>
      <c r="H3598" t="str">
        <f t="shared" si="168"/>
        <v>40-49</v>
      </c>
      <c r="I3598" t="str">
        <f t="shared" si="169"/>
        <v>0-9</v>
      </c>
      <c r="J3598">
        <f t="shared" si="170"/>
        <v>8.4000000000000003E-4</v>
      </c>
    </row>
    <row r="3599" spans="1:10">
      <c r="A3599" t="s">
        <v>3681</v>
      </c>
      <c r="B3599">
        <v>28</v>
      </c>
      <c r="C3599" t="s">
        <v>7</v>
      </c>
      <c r="D3599">
        <v>4</v>
      </c>
      <c r="E3599">
        <v>31</v>
      </c>
      <c r="F3599">
        <v>2.3000000000000001E-4</v>
      </c>
      <c r="G3599">
        <v>0</v>
      </c>
      <c r="H3599" t="str">
        <f t="shared" si="168"/>
        <v>30-39</v>
      </c>
      <c r="I3599" t="str">
        <f t="shared" si="169"/>
        <v>0-9</v>
      </c>
      <c r="J3599">
        <f t="shared" si="170"/>
        <v>2.3000000000000001E-4</v>
      </c>
    </row>
    <row r="3600" spans="1:10">
      <c r="A3600" t="s">
        <v>3682</v>
      </c>
      <c r="B3600">
        <v>51</v>
      </c>
      <c r="C3600" t="s">
        <v>9</v>
      </c>
      <c r="D3600">
        <v>26</v>
      </c>
      <c r="E3600">
        <v>76</v>
      </c>
      <c r="F3600">
        <v>3.3509999999999998E-2</v>
      </c>
      <c r="G3600">
        <v>0</v>
      </c>
      <c r="H3600" t="str">
        <f t="shared" si="168"/>
        <v>70-79</v>
      </c>
      <c r="I3600" t="str">
        <f t="shared" si="169"/>
        <v>20-29</v>
      </c>
      <c r="J3600">
        <f t="shared" si="170"/>
        <v>3.3509999999999998E-2</v>
      </c>
    </row>
    <row r="3601" spans="1:10">
      <c r="A3601" t="s">
        <v>3683</v>
      </c>
      <c r="B3601">
        <v>52</v>
      </c>
      <c r="C3601" t="s">
        <v>9</v>
      </c>
      <c r="D3601">
        <v>12</v>
      </c>
      <c r="E3601">
        <v>63</v>
      </c>
      <c r="F3601">
        <v>8.0300000000000007E-3</v>
      </c>
      <c r="G3601">
        <v>0</v>
      </c>
      <c r="H3601" t="str">
        <f t="shared" si="168"/>
        <v>60-69</v>
      </c>
      <c r="I3601" t="str">
        <f t="shared" si="169"/>
        <v>10-19</v>
      </c>
      <c r="J3601">
        <f t="shared" si="170"/>
        <v>8.0300000000000007E-3</v>
      </c>
    </row>
    <row r="3602" spans="1:10">
      <c r="A3602" t="s">
        <v>3684</v>
      </c>
      <c r="B3602">
        <v>22</v>
      </c>
      <c r="C3602" t="s">
        <v>7</v>
      </c>
      <c r="D3602">
        <v>17</v>
      </c>
      <c r="E3602">
        <v>38</v>
      </c>
      <c r="F3602">
        <v>8.9999999999999998E-4</v>
      </c>
      <c r="G3602">
        <v>0</v>
      </c>
      <c r="H3602" t="str">
        <f t="shared" si="168"/>
        <v>30-39</v>
      </c>
      <c r="I3602" t="str">
        <f t="shared" si="169"/>
        <v>10-19</v>
      </c>
      <c r="J3602">
        <f t="shared" si="170"/>
        <v>8.9999999999999998E-4</v>
      </c>
    </row>
    <row r="3603" spans="1:10">
      <c r="A3603" t="s">
        <v>3685</v>
      </c>
      <c r="B3603">
        <v>54</v>
      </c>
      <c r="C3603" t="s">
        <v>9</v>
      </c>
      <c r="D3603">
        <v>16</v>
      </c>
      <c r="E3603">
        <v>69</v>
      </c>
      <c r="F3603">
        <v>1.5049999999999999E-2</v>
      </c>
      <c r="G3603">
        <v>0</v>
      </c>
      <c r="H3603" t="str">
        <f t="shared" si="168"/>
        <v>60-69</v>
      </c>
      <c r="I3603" t="str">
        <f t="shared" si="169"/>
        <v>10-19</v>
      </c>
      <c r="J3603">
        <f t="shared" si="170"/>
        <v>1.5049999999999999E-2</v>
      </c>
    </row>
    <row r="3604" spans="1:10">
      <c r="A3604" t="s">
        <v>3686</v>
      </c>
      <c r="B3604">
        <v>24</v>
      </c>
      <c r="C3604" t="s">
        <v>9</v>
      </c>
      <c r="D3604">
        <v>24</v>
      </c>
      <c r="E3604">
        <v>47</v>
      </c>
      <c r="F3604">
        <v>2.3600000000000001E-3</v>
      </c>
      <c r="G3604">
        <v>0</v>
      </c>
      <c r="H3604" t="str">
        <f t="shared" si="168"/>
        <v>40-49</v>
      </c>
      <c r="I3604" t="str">
        <f t="shared" si="169"/>
        <v>20-29</v>
      </c>
      <c r="J3604">
        <f t="shared" si="170"/>
        <v>2.3600000000000001E-3</v>
      </c>
    </row>
    <row r="3605" spans="1:10">
      <c r="A3605" t="s">
        <v>3687</v>
      </c>
      <c r="B3605">
        <v>55</v>
      </c>
      <c r="C3605" t="s">
        <v>9</v>
      </c>
      <c r="D3605">
        <v>25</v>
      </c>
      <c r="E3605">
        <v>79</v>
      </c>
      <c r="F3605">
        <v>4.5769999999999998E-2</v>
      </c>
      <c r="G3605">
        <v>0</v>
      </c>
      <c r="H3605" t="str">
        <f t="shared" si="168"/>
        <v>70-79</v>
      </c>
      <c r="I3605" t="str">
        <f t="shared" si="169"/>
        <v>20-29</v>
      </c>
      <c r="J3605">
        <f t="shared" si="170"/>
        <v>4.5769999999999998E-2</v>
      </c>
    </row>
    <row r="3606" spans="1:10">
      <c r="A3606" t="s">
        <v>3688</v>
      </c>
      <c r="B3606">
        <v>52</v>
      </c>
      <c r="C3606" t="s">
        <v>7</v>
      </c>
      <c r="D3606">
        <v>28</v>
      </c>
      <c r="E3606">
        <v>79</v>
      </c>
      <c r="F3606">
        <v>2.8719999999999999E-2</v>
      </c>
      <c r="G3606">
        <v>0</v>
      </c>
      <c r="H3606" t="str">
        <f t="shared" si="168"/>
        <v>70-79</v>
      </c>
      <c r="I3606" t="str">
        <f t="shared" si="169"/>
        <v>20-29</v>
      </c>
      <c r="J3606">
        <f t="shared" si="170"/>
        <v>2.8719999999999999E-2</v>
      </c>
    </row>
    <row r="3607" spans="1:10">
      <c r="A3607" t="s">
        <v>3689</v>
      </c>
      <c r="B3607">
        <v>49</v>
      </c>
      <c r="C3607" t="s">
        <v>7</v>
      </c>
      <c r="D3607">
        <v>20</v>
      </c>
      <c r="E3607">
        <v>68</v>
      </c>
      <c r="F3607">
        <v>1.125E-2</v>
      </c>
      <c r="G3607">
        <v>0</v>
      </c>
      <c r="H3607" t="str">
        <f t="shared" si="168"/>
        <v>60-69</v>
      </c>
      <c r="I3607" t="str">
        <f t="shared" si="169"/>
        <v>20-29</v>
      </c>
      <c r="J3607">
        <f t="shared" si="170"/>
        <v>1.125E-2</v>
      </c>
    </row>
    <row r="3608" spans="1:10">
      <c r="A3608" t="s">
        <v>3690</v>
      </c>
      <c r="B3608">
        <v>24</v>
      </c>
      <c r="C3608" t="s">
        <v>7</v>
      </c>
      <c r="D3608">
        <v>25</v>
      </c>
      <c r="E3608">
        <v>48</v>
      </c>
      <c r="F3608">
        <v>1.73E-3</v>
      </c>
      <c r="G3608">
        <v>0</v>
      </c>
      <c r="H3608" t="str">
        <f t="shared" si="168"/>
        <v>40-49</v>
      </c>
      <c r="I3608" t="str">
        <f t="shared" si="169"/>
        <v>20-29</v>
      </c>
      <c r="J3608">
        <f t="shared" si="170"/>
        <v>1.73E-3</v>
      </c>
    </row>
    <row r="3609" spans="1:10">
      <c r="A3609" t="s">
        <v>3691</v>
      </c>
      <c r="B3609">
        <v>49</v>
      </c>
      <c r="C3609" t="s">
        <v>7</v>
      </c>
      <c r="D3609">
        <v>15</v>
      </c>
      <c r="E3609">
        <v>63</v>
      </c>
      <c r="F3609">
        <v>6.2500000000000003E-3</v>
      </c>
      <c r="G3609">
        <v>0</v>
      </c>
      <c r="H3609" t="str">
        <f t="shared" si="168"/>
        <v>60-69</v>
      </c>
      <c r="I3609" t="str">
        <f t="shared" si="169"/>
        <v>10-19</v>
      </c>
      <c r="J3609">
        <f t="shared" si="170"/>
        <v>6.2500000000000003E-3</v>
      </c>
    </row>
    <row r="3610" spans="1:10">
      <c r="A3610" t="s">
        <v>3692</v>
      </c>
      <c r="B3610">
        <v>29</v>
      </c>
      <c r="C3610" t="s">
        <v>9</v>
      </c>
      <c r="D3610">
        <v>21</v>
      </c>
      <c r="E3610">
        <v>49</v>
      </c>
      <c r="F3610">
        <v>2.33E-3</v>
      </c>
      <c r="G3610">
        <v>0</v>
      </c>
      <c r="H3610" t="str">
        <f t="shared" si="168"/>
        <v>40-49</v>
      </c>
      <c r="I3610" t="str">
        <f t="shared" si="169"/>
        <v>20-29</v>
      </c>
      <c r="J3610">
        <f t="shared" si="170"/>
        <v>2.33E-3</v>
      </c>
    </row>
    <row r="3611" spans="1:10">
      <c r="A3611" t="s">
        <v>3693</v>
      </c>
      <c r="B3611">
        <v>56</v>
      </c>
      <c r="C3611" t="s">
        <v>9</v>
      </c>
      <c r="D3611">
        <v>11</v>
      </c>
      <c r="E3611">
        <v>66</v>
      </c>
      <c r="F3611">
        <v>1.095E-2</v>
      </c>
      <c r="G3611">
        <v>0</v>
      </c>
      <c r="H3611" t="str">
        <f t="shared" si="168"/>
        <v>60-69</v>
      </c>
      <c r="I3611" t="str">
        <f t="shared" si="169"/>
        <v>10-19</v>
      </c>
      <c r="J3611">
        <f t="shared" si="170"/>
        <v>1.095E-2</v>
      </c>
    </row>
    <row r="3612" spans="1:10">
      <c r="A3612" t="s">
        <v>3694</v>
      </c>
      <c r="B3612">
        <v>47</v>
      </c>
      <c r="C3612" t="s">
        <v>9</v>
      </c>
      <c r="D3612">
        <v>29</v>
      </c>
      <c r="E3612">
        <v>75</v>
      </c>
      <c r="F3612">
        <v>2.1340000000000001E-2</v>
      </c>
      <c r="G3612">
        <v>0</v>
      </c>
      <c r="H3612" t="str">
        <f t="shared" si="168"/>
        <v>70-79</v>
      </c>
      <c r="I3612" t="str">
        <f t="shared" si="169"/>
        <v>20-29</v>
      </c>
      <c r="J3612">
        <f t="shared" si="170"/>
        <v>2.1340000000000001E-2</v>
      </c>
    </row>
    <row r="3613" spans="1:10">
      <c r="A3613" t="s">
        <v>3695</v>
      </c>
      <c r="B3613">
        <v>20</v>
      </c>
      <c r="C3613" t="s">
        <v>7</v>
      </c>
      <c r="D3613">
        <v>20</v>
      </c>
      <c r="E3613">
        <v>39</v>
      </c>
      <c r="F3613">
        <v>1.08E-3</v>
      </c>
      <c r="G3613">
        <v>0</v>
      </c>
      <c r="H3613" t="str">
        <f t="shared" si="168"/>
        <v>30-39</v>
      </c>
      <c r="I3613" t="str">
        <f t="shared" si="169"/>
        <v>20-29</v>
      </c>
      <c r="J3613">
        <f t="shared" si="170"/>
        <v>1.08E-3</v>
      </c>
    </row>
    <row r="3614" spans="1:10">
      <c r="A3614" t="s">
        <v>3696</v>
      </c>
      <c r="B3614">
        <v>34</v>
      </c>
      <c r="C3614" t="s">
        <v>9</v>
      </c>
      <c r="D3614">
        <v>11</v>
      </c>
      <c r="E3614">
        <v>44</v>
      </c>
      <c r="F3614">
        <v>1.2800000000000001E-3</v>
      </c>
      <c r="G3614">
        <v>0</v>
      </c>
      <c r="H3614" t="str">
        <f t="shared" si="168"/>
        <v>40-49</v>
      </c>
      <c r="I3614" t="str">
        <f t="shared" si="169"/>
        <v>10-19</v>
      </c>
      <c r="J3614">
        <f t="shared" si="170"/>
        <v>1.2800000000000001E-3</v>
      </c>
    </row>
    <row r="3615" spans="1:10">
      <c r="A3615" t="s">
        <v>3697</v>
      </c>
      <c r="B3615">
        <v>34</v>
      </c>
      <c r="C3615" t="s">
        <v>7</v>
      </c>
      <c r="D3615">
        <v>19</v>
      </c>
      <c r="E3615">
        <v>52</v>
      </c>
      <c r="F3615">
        <v>2.2300000000000002E-3</v>
      </c>
      <c r="G3615">
        <v>0</v>
      </c>
      <c r="H3615" t="str">
        <f t="shared" si="168"/>
        <v>50-59</v>
      </c>
      <c r="I3615" t="str">
        <f t="shared" si="169"/>
        <v>10-19</v>
      </c>
      <c r="J3615">
        <f t="shared" si="170"/>
        <v>2.2300000000000002E-3</v>
      </c>
    </row>
    <row r="3616" spans="1:10">
      <c r="A3616" t="s">
        <v>3698</v>
      </c>
      <c r="B3616">
        <v>49</v>
      </c>
      <c r="C3616" t="s">
        <v>7</v>
      </c>
      <c r="D3616">
        <v>21</v>
      </c>
      <c r="E3616">
        <v>69</v>
      </c>
      <c r="F3616">
        <v>1.2659999999999999E-2</v>
      </c>
      <c r="G3616">
        <v>0</v>
      </c>
      <c r="H3616" t="str">
        <f t="shared" si="168"/>
        <v>60-69</v>
      </c>
      <c r="I3616" t="str">
        <f t="shared" si="169"/>
        <v>20-29</v>
      </c>
      <c r="J3616">
        <f t="shared" si="170"/>
        <v>1.2659999999999999E-2</v>
      </c>
    </row>
    <row r="3617" spans="1:10">
      <c r="A3617" t="s">
        <v>3699</v>
      </c>
      <c r="B3617">
        <v>56</v>
      </c>
      <c r="C3617" t="s">
        <v>9</v>
      </c>
      <c r="D3617">
        <v>30</v>
      </c>
      <c r="E3617">
        <v>85</v>
      </c>
      <c r="F3617">
        <v>5.6829999999999999E-2</v>
      </c>
      <c r="G3617">
        <v>0</v>
      </c>
      <c r="H3617" t="str">
        <f t="shared" si="168"/>
        <v>80-89</v>
      </c>
      <c r="I3617" t="str">
        <f t="shared" si="169"/>
        <v>30-39</v>
      </c>
      <c r="J3617">
        <f t="shared" si="170"/>
        <v>5.6829999999999999E-2</v>
      </c>
    </row>
    <row r="3618" spans="1:10">
      <c r="A3618" t="s">
        <v>3700</v>
      </c>
      <c r="B3618">
        <v>56</v>
      </c>
      <c r="C3618" t="s">
        <v>9</v>
      </c>
      <c r="D3618">
        <v>5</v>
      </c>
      <c r="E3618">
        <v>60</v>
      </c>
      <c r="F3618">
        <v>4.8900000000000002E-3</v>
      </c>
      <c r="G3618">
        <v>0</v>
      </c>
      <c r="H3618" t="str">
        <f t="shared" si="168"/>
        <v>60-69</v>
      </c>
      <c r="I3618" t="str">
        <f t="shared" si="169"/>
        <v>0-9</v>
      </c>
      <c r="J3618">
        <f t="shared" si="170"/>
        <v>4.8900000000000002E-3</v>
      </c>
    </row>
    <row r="3619" spans="1:10">
      <c r="A3619" t="s">
        <v>3701</v>
      </c>
      <c r="B3619">
        <v>39</v>
      </c>
      <c r="C3619" t="s">
        <v>9</v>
      </c>
      <c r="D3619">
        <v>6</v>
      </c>
      <c r="E3619">
        <v>44</v>
      </c>
      <c r="F3619">
        <v>1.06E-3</v>
      </c>
      <c r="G3619">
        <v>0</v>
      </c>
      <c r="H3619" t="str">
        <f t="shared" si="168"/>
        <v>40-49</v>
      </c>
      <c r="I3619" t="str">
        <f t="shared" si="169"/>
        <v>0-9</v>
      </c>
      <c r="J3619">
        <f t="shared" si="170"/>
        <v>1.06E-3</v>
      </c>
    </row>
    <row r="3620" spans="1:10">
      <c r="A3620" t="s">
        <v>3702</v>
      </c>
      <c r="B3620">
        <v>22</v>
      </c>
      <c r="C3620" t="s">
        <v>9</v>
      </c>
      <c r="D3620">
        <v>25</v>
      </c>
      <c r="E3620">
        <v>46</v>
      </c>
      <c r="F3620">
        <v>2.49E-3</v>
      </c>
      <c r="G3620">
        <v>0</v>
      </c>
      <c r="H3620" t="str">
        <f t="shared" si="168"/>
        <v>40-49</v>
      </c>
      <c r="I3620" t="str">
        <f t="shared" si="169"/>
        <v>20-29</v>
      </c>
      <c r="J3620">
        <f t="shared" si="170"/>
        <v>2.49E-3</v>
      </c>
    </row>
    <row r="3621" spans="1:10">
      <c r="A3621" t="s">
        <v>3703</v>
      </c>
      <c r="B3621">
        <v>24</v>
      </c>
      <c r="C3621" t="s">
        <v>7</v>
      </c>
      <c r="D3621">
        <v>11</v>
      </c>
      <c r="E3621">
        <v>34</v>
      </c>
      <c r="F3621">
        <v>4.8000000000000001E-4</v>
      </c>
      <c r="G3621">
        <v>0</v>
      </c>
      <c r="H3621" t="str">
        <f t="shared" si="168"/>
        <v>30-39</v>
      </c>
      <c r="I3621" t="str">
        <f t="shared" si="169"/>
        <v>10-19</v>
      </c>
      <c r="J3621">
        <f t="shared" si="170"/>
        <v>4.8000000000000001E-4</v>
      </c>
    </row>
    <row r="3622" spans="1:10">
      <c r="A3622" t="s">
        <v>3704</v>
      </c>
      <c r="B3622">
        <v>62</v>
      </c>
      <c r="C3622" t="s">
        <v>9</v>
      </c>
      <c r="D3622">
        <v>7</v>
      </c>
      <c r="E3622">
        <v>68</v>
      </c>
      <c r="F3622">
        <v>1.0489999999999999E-2</v>
      </c>
      <c r="G3622">
        <v>0</v>
      </c>
      <c r="H3622" t="str">
        <f t="shared" si="168"/>
        <v>60-69</v>
      </c>
      <c r="I3622" t="str">
        <f t="shared" si="169"/>
        <v>0-9</v>
      </c>
      <c r="J3622">
        <f t="shared" si="170"/>
        <v>1.0489999999999999E-2</v>
      </c>
    </row>
    <row r="3623" spans="1:10">
      <c r="A3623" t="s">
        <v>3705</v>
      </c>
      <c r="B3623">
        <v>37</v>
      </c>
      <c r="C3623" t="s">
        <v>7</v>
      </c>
      <c r="D3623">
        <v>8</v>
      </c>
      <c r="E3623">
        <v>44</v>
      </c>
      <c r="F3623">
        <v>8.1999999999999998E-4</v>
      </c>
      <c r="G3623">
        <v>0</v>
      </c>
      <c r="H3623" t="str">
        <f t="shared" si="168"/>
        <v>40-49</v>
      </c>
      <c r="I3623" t="str">
        <f t="shared" si="169"/>
        <v>0-9</v>
      </c>
      <c r="J3623">
        <f t="shared" si="170"/>
        <v>8.1999999999999998E-4</v>
      </c>
    </row>
    <row r="3624" spans="1:10">
      <c r="A3624" t="s">
        <v>3706</v>
      </c>
      <c r="B3624">
        <v>42</v>
      </c>
      <c r="C3624" t="s">
        <v>9</v>
      </c>
      <c r="D3624">
        <v>1</v>
      </c>
      <c r="E3624">
        <v>42</v>
      </c>
      <c r="F3624">
        <v>3.8999999999999999E-4</v>
      </c>
      <c r="G3624">
        <v>0</v>
      </c>
      <c r="H3624" t="str">
        <f t="shared" si="168"/>
        <v>40-49</v>
      </c>
      <c r="I3624" t="str">
        <f t="shared" si="169"/>
        <v>0-9</v>
      </c>
      <c r="J3624">
        <f t="shared" si="170"/>
        <v>3.8999999999999999E-4</v>
      </c>
    </row>
    <row r="3625" spans="1:10">
      <c r="A3625" t="s">
        <v>3707</v>
      </c>
      <c r="B3625">
        <v>48</v>
      </c>
      <c r="C3625" t="s">
        <v>7</v>
      </c>
      <c r="D3625">
        <v>4</v>
      </c>
      <c r="E3625">
        <v>51</v>
      </c>
      <c r="F3625">
        <v>1.25E-3</v>
      </c>
      <c r="G3625">
        <v>0</v>
      </c>
      <c r="H3625" t="str">
        <f t="shared" si="168"/>
        <v>50-59</v>
      </c>
      <c r="I3625" t="str">
        <f t="shared" si="169"/>
        <v>0-9</v>
      </c>
      <c r="J3625">
        <f t="shared" si="170"/>
        <v>1.25E-3</v>
      </c>
    </row>
    <row r="3626" spans="1:10">
      <c r="A3626" t="s">
        <v>3708</v>
      </c>
      <c r="B3626">
        <v>48</v>
      </c>
      <c r="C3626" t="s">
        <v>7</v>
      </c>
      <c r="D3626">
        <v>28</v>
      </c>
      <c r="E3626">
        <v>75</v>
      </c>
      <c r="F3626">
        <v>1.8970000000000001E-2</v>
      </c>
      <c r="G3626">
        <v>0</v>
      </c>
      <c r="H3626" t="str">
        <f t="shared" si="168"/>
        <v>70-79</v>
      </c>
      <c r="I3626" t="str">
        <f t="shared" si="169"/>
        <v>20-29</v>
      </c>
      <c r="J3626">
        <f t="shared" si="170"/>
        <v>1.8970000000000001E-2</v>
      </c>
    </row>
    <row r="3627" spans="1:10">
      <c r="A3627" t="s">
        <v>3709</v>
      </c>
      <c r="B3627">
        <v>44</v>
      </c>
      <c r="C3627" t="s">
        <v>9</v>
      </c>
      <c r="D3627">
        <v>2</v>
      </c>
      <c r="E3627">
        <v>45</v>
      </c>
      <c r="F3627">
        <v>7.6999999999999996E-4</v>
      </c>
      <c r="G3627">
        <v>0</v>
      </c>
      <c r="H3627" t="str">
        <f t="shared" si="168"/>
        <v>40-49</v>
      </c>
      <c r="I3627" t="str">
        <f t="shared" si="169"/>
        <v>0-9</v>
      </c>
      <c r="J3627">
        <f t="shared" si="170"/>
        <v>7.6999999999999996E-4</v>
      </c>
    </row>
    <row r="3628" spans="1:10">
      <c r="A3628" t="s">
        <v>3710</v>
      </c>
      <c r="B3628">
        <v>33</v>
      </c>
      <c r="C3628" t="s">
        <v>9</v>
      </c>
      <c r="D3628">
        <v>25</v>
      </c>
      <c r="E3628">
        <v>57</v>
      </c>
      <c r="F3628">
        <v>4.7800000000000004E-3</v>
      </c>
      <c r="G3628">
        <v>0</v>
      </c>
      <c r="H3628" t="str">
        <f t="shared" si="168"/>
        <v>50-59</v>
      </c>
      <c r="I3628" t="str">
        <f t="shared" si="169"/>
        <v>20-29</v>
      </c>
      <c r="J3628">
        <f t="shared" si="170"/>
        <v>4.7800000000000004E-3</v>
      </c>
    </row>
    <row r="3629" spans="1:10">
      <c r="A3629" t="s">
        <v>3711</v>
      </c>
      <c r="B3629">
        <v>25</v>
      </c>
      <c r="C3629" t="s">
        <v>7</v>
      </c>
      <c r="D3629">
        <v>6</v>
      </c>
      <c r="E3629">
        <v>30</v>
      </c>
      <c r="F3629">
        <v>2.7999999999999998E-4</v>
      </c>
      <c r="G3629">
        <v>0</v>
      </c>
      <c r="H3629" t="str">
        <f t="shared" si="168"/>
        <v>30-39</v>
      </c>
      <c r="I3629" t="str">
        <f t="shared" si="169"/>
        <v>0-9</v>
      </c>
      <c r="J3629">
        <f t="shared" si="170"/>
        <v>2.7999999999999998E-4</v>
      </c>
    </row>
    <row r="3630" spans="1:10">
      <c r="A3630" t="s">
        <v>3712</v>
      </c>
      <c r="B3630">
        <v>53</v>
      </c>
      <c r="C3630" t="s">
        <v>9</v>
      </c>
      <c r="D3630">
        <v>4</v>
      </c>
      <c r="E3630">
        <v>56</v>
      </c>
      <c r="F3630">
        <v>3.0899999999999999E-3</v>
      </c>
      <c r="G3630">
        <v>0</v>
      </c>
      <c r="H3630" t="str">
        <f t="shared" si="168"/>
        <v>50-59</v>
      </c>
      <c r="I3630" t="str">
        <f t="shared" si="169"/>
        <v>0-9</v>
      </c>
      <c r="J3630">
        <f t="shared" si="170"/>
        <v>3.0899999999999999E-3</v>
      </c>
    </row>
    <row r="3631" spans="1:10">
      <c r="A3631" t="s">
        <v>3713</v>
      </c>
      <c r="B3631">
        <v>51</v>
      </c>
      <c r="C3631" t="s">
        <v>7</v>
      </c>
      <c r="D3631">
        <v>24</v>
      </c>
      <c r="E3631">
        <v>74</v>
      </c>
      <c r="F3631">
        <v>2.0979999999999999E-2</v>
      </c>
      <c r="G3631">
        <v>0</v>
      </c>
      <c r="H3631" t="str">
        <f t="shared" si="168"/>
        <v>70-79</v>
      </c>
      <c r="I3631" t="str">
        <f t="shared" si="169"/>
        <v>20-29</v>
      </c>
      <c r="J3631">
        <f t="shared" si="170"/>
        <v>2.0979999999999999E-2</v>
      </c>
    </row>
    <row r="3632" spans="1:10">
      <c r="A3632" t="s">
        <v>3714</v>
      </c>
      <c r="B3632">
        <v>40</v>
      </c>
      <c r="C3632" t="s">
        <v>9</v>
      </c>
      <c r="D3632">
        <v>14</v>
      </c>
      <c r="E3632">
        <v>53</v>
      </c>
      <c r="F3632">
        <v>2.9499999999999999E-3</v>
      </c>
      <c r="G3632">
        <v>0</v>
      </c>
      <c r="H3632" t="str">
        <f t="shared" si="168"/>
        <v>50-59</v>
      </c>
      <c r="I3632" t="str">
        <f t="shared" si="169"/>
        <v>10-19</v>
      </c>
      <c r="J3632">
        <f t="shared" si="170"/>
        <v>2.9499999999999999E-3</v>
      </c>
    </row>
    <row r="3633" spans="1:10">
      <c r="A3633" t="s">
        <v>3715</v>
      </c>
      <c r="B3633">
        <v>52</v>
      </c>
      <c r="C3633" t="s">
        <v>9</v>
      </c>
      <c r="D3633">
        <v>12</v>
      </c>
      <c r="E3633">
        <v>63</v>
      </c>
      <c r="F3633">
        <v>8.0300000000000007E-3</v>
      </c>
      <c r="G3633">
        <v>0</v>
      </c>
      <c r="H3633" t="str">
        <f t="shared" si="168"/>
        <v>60-69</v>
      </c>
      <c r="I3633" t="str">
        <f t="shared" si="169"/>
        <v>10-19</v>
      </c>
      <c r="J3633">
        <f t="shared" si="170"/>
        <v>8.0300000000000007E-3</v>
      </c>
    </row>
    <row r="3634" spans="1:10">
      <c r="A3634" t="s">
        <v>3716</v>
      </c>
      <c r="B3634">
        <v>49</v>
      </c>
      <c r="C3634" t="s">
        <v>9</v>
      </c>
      <c r="D3634">
        <v>1</v>
      </c>
      <c r="E3634">
        <v>49</v>
      </c>
      <c r="F3634">
        <v>7.7999999999999999E-4</v>
      </c>
      <c r="G3634">
        <v>0</v>
      </c>
      <c r="H3634" t="str">
        <f t="shared" si="168"/>
        <v>40-49</v>
      </c>
      <c r="I3634" t="str">
        <f t="shared" si="169"/>
        <v>0-9</v>
      </c>
      <c r="J3634">
        <f t="shared" si="170"/>
        <v>7.7999999999999999E-4</v>
      </c>
    </row>
    <row r="3635" spans="1:10">
      <c r="A3635" t="s">
        <v>3717</v>
      </c>
      <c r="B3635">
        <v>45</v>
      </c>
      <c r="C3635" t="s">
        <v>9</v>
      </c>
      <c r="D3635">
        <v>28</v>
      </c>
      <c r="E3635">
        <v>72</v>
      </c>
      <c r="F3635">
        <v>1.7160000000000002E-2</v>
      </c>
      <c r="G3635">
        <v>0</v>
      </c>
      <c r="H3635" t="str">
        <f t="shared" si="168"/>
        <v>70-79</v>
      </c>
      <c r="I3635" t="str">
        <f t="shared" si="169"/>
        <v>20-29</v>
      </c>
      <c r="J3635">
        <f t="shared" si="170"/>
        <v>1.7160000000000002E-2</v>
      </c>
    </row>
    <row r="3636" spans="1:10">
      <c r="A3636" t="s">
        <v>3718</v>
      </c>
      <c r="B3636">
        <v>39</v>
      </c>
      <c r="C3636" t="s">
        <v>9</v>
      </c>
      <c r="D3636">
        <v>27</v>
      </c>
      <c r="E3636">
        <v>65</v>
      </c>
      <c r="F3636">
        <v>9.6200000000000001E-3</v>
      </c>
      <c r="G3636">
        <v>0</v>
      </c>
      <c r="H3636" t="str">
        <f t="shared" si="168"/>
        <v>60-69</v>
      </c>
      <c r="I3636" t="str">
        <f t="shared" si="169"/>
        <v>20-29</v>
      </c>
      <c r="J3636">
        <f t="shared" si="170"/>
        <v>9.6200000000000001E-3</v>
      </c>
    </row>
    <row r="3637" spans="1:10">
      <c r="A3637" t="s">
        <v>3719</v>
      </c>
      <c r="B3637">
        <v>61</v>
      </c>
      <c r="C3637" t="s">
        <v>9</v>
      </c>
      <c r="D3637">
        <v>10</v>
      </c>
      <c r="E3637">
        <v>70</v>
      </c>
      <c r="F3637">
        <v>1.4999999999999999E-2</v>
      </c>
      <c r="G3637">
        <v>0</v>
      </c>
      <c r="H3637" t="str">
        <f t="shared" si="168"/>
        <v>70-79</v>
      </c>
      <c r="I3637" t="str">
        <f t="shared" si="169"/>
        <v>10-19</v>
      </c>
      <c r="J3637">
        <f t="shared" si="170"/>
        <v>1.4999999999999999E-2</v>
      </c>
    </row>
    <row r="3638" spans="1:10">
      <c r="A3638" t="s">
        <v>3720</v>
      </c>
      <c r="B3638">
        <v>61</v>
      </c>
      <c r="C3638" t="s">
        <v>7</v>
      </c>
      <c r="D3638">
        <v>21</v>
      </c>
      <c r="E3638">
        <v>81</v>
      </c>
      <c r="F3638">
        <v>4.4880000000000003E-2</v>
      </c>
      <c r="G3638">
        <v>0</v>
      </c>
      <c r="H3638" t="str">
        <f t="shared" si="168"/>
        <v>80-89</v>
      </c>
      <c r="I3638" t="str">
        <f t="shared" si="169"/>
        <v>20-29</v>
      </c>
      <c r="J3638">
        <f t="shared" si="170"/>
        <v>4.4880000000000003E-2</v>
      </c>
    </row>
    <row r="3639" spans="1:10">
      <c r="A3639" t="s">
        <v>3721</v>
      </c>
      <c r="B3639">
        <v>21</v>
      </c>
      <c r="C3639" t="s">
        <v>7</v>
      </c>
      <c r="D3639">
        <v>9</v>
      </c>
      <c r="E3639">
        <v>29</v>
      </c>
      <c r="F3639">
        <v>3.6000000000000002E-4</v>
      </c>
      <c r="G3639">
        <v>0</v>
      </c>
      <c r="H3639" t="str">
        <f t="shared" si="168"/>
        <v>20-29</v>
      </c>
      <c r="I3639" t="str">
        <f t="shared" si="169"/>
        <v>0-9</v>
      </c>
      <c r="J3639">
        <f t="shared" si="170"/>
        <v>3.6000000000000002E-4</v>
      </c>
    </row>
    <row r="3640" spans="1:10">
      <c r="A3640" t="s">
        <v>3722</v>
      </c>
      <c r="B3640">
        <v>22</v>
      </c>
      <c r="C3640" t="s">
        <v>7</v>
      </c>
      <c r="D3640">
        <v>5</v>
      </c>
      <c r="E3640">
        <v>26</v>
      </c>
      <c r="F3640">
        <v>2.7E-4</v>
      </c>
      <c r="G3640">
        <v>0</v>
      </c>
      <c r="H3640" t="str">
        <f t="shared" si="168"/>
        <v>20-29</v>
      </c>
      <c r="I3640" t="str">
        <f t="shared" si="169"/>
        <v>0-9</v>
      </c>
      <c r="J3640">
        <f t="shared" si="170"/>
        <v>2.7E-4</v>
      </c>
    </row>
    <row r="3641" spans="1:10">
      <c r="A3641" t="s">
        <v>3723</v>
      </c>
      <c r="B3641">
        <v>20</v>
      </c>
      <c r="C3641" t="s">
        <v>7</v>
      </c>
      <c r="D3641">
        <v>5</v>
      </c>
      <c r="E3641">
        <v>24</v>
      </c>
      <c r="F3641">
        <v>3.2000000000000003E-4</v>
      </c>
      <c r="G3641">
        <v>0</v>
      </c>
      <c r="H3641" t="str">
        <f t="shared" si="168"/>
        <v>20-29</v>
      </c>
      <c r="I3641" t="str">
        <f t="shared" si="169"/>
        <v>0-9</v>
      </c>
      <c r="J3641">
        <f t="shared" si="170"/>
        <v>3.2000000000000003E-4</v>
      </c>
    </row>
    <row r="3642" spans="1:10">
      <c r="A3642" t="s">
        <v>3724</v>
      </c>
      <c r="B3642">
        <v>50</v>
      </c>
      <c r="C3642" t="s">
        <v>9</v>
      </c>
      <c r="D3642">
        <v>25</v>
      </c>
      <c r="E3642">
        <v>74</v>
      </c>
      <c r="F3642">
        <v>2.6859999999999998E-2</v>
      </c>
      <c r="G3642">
        <v>0</v>
      </c>
      <c r="H3642" t="str">
        <f t="shared" si="168"/>
        <v>70-79</v>
      </c>
      <c r="I3642" t="str">
        <f t="shared" si="169"/>
        <v>20-29</v>
      </c>
      <c r="J3642">
        <f t="shared" si="170"/>
        <v>2.6859999999999998E-2</v>
      </c>
    </row>
    <row r="3643" spans="1:10">
      <c r="A3643" t="s">
        <v>3725</v>
      </c>
      <c r="B3643">
        <v>33</v>
      </c>
      <c r="C3643" t="s">
        <v>7</v>
      </c>
      <c r="D3643">
        <v>28</v>
      </c>
      <c r="E3643">
        <v>60</v>
      </c>
      <c r="F3643">
        <v>4.0499999999999998E-3</v>
      </c>
      <c r="G3643">
        <v>0</v>
      </c>
      <c r="H3643" t="str">
        <f t="shared" si="168"/>
        <v>60-69</v>
      </c>
      <c r="I3643" t="str">
        <f t="shared" si="169"/>
        <v>20-29</v>
      </c>
      <c r="J3643">
        <f t="shared" si="170"/>
        <v>4.0499999999999998E-3</v>
      </c>
    </row>
    <row r="3644" spans="1:10">
      <c r="A3644" t="s">
        <v>3726</v>
      </c>
      <c r="B3644">
        <v>59</v>
      </c>
      <c r="C3644" t="s">
        <v>7</v>
      </c>
      <c r="D3644">
        <v>14</v>
      </c>
      <c r="E3644">
        <v>72</v>
      </c>
      <c r="F3644">
        <v>1.393E-2</v>
      </c>
      <c r="G3644">
        <v>0</v>
      </c>
      <c r="H3644" t="str">
        <f t="shared" si="168"/>
        <v>70-79</v>
      </c>
      <c r="I3644" t="str">
        <f t="shared" si="169"/>
        <v>10-19</v>
      </c>
      <c r="J3644">
        <f t="shared" si="170"/>
        <v>1.393E-2</v>
      </c>
    </row>
    <row r="3645" spans="1:10">
      <c r="A3645" t="s">
        <v>3727</v>
      </c>
      <c r="B3645">
        <v>31</v>
      </c>
      <c r="C3645" t="s">
        <v>7</v>
      </c>
      <c r="D3645">
        <v>30</v>
      </c>
      <c r="E3645">
        <v>60</v>
      </c>
      <c r="F3645">
        <v>3.3700000000000002E-3</v>
      </c>
      <c r="G3645">
        <v>0</v>
      </c>
      <c r="H3645" t="str">
        <f t="shared" si="168"/>
        <v>60-69</v>
      </c>
      <c r="I3645" t="str">
        <f t="shared" si="169"/>
        <v>30-39</v>
      </c>
      <c r="J3645">
        <f t="shared" si="170"/>
        <v>3.3700000000000002E-3</v>
      </c>
    </row>
    <row r="3646" spans="1:10">
      <c r="A3646" t="s">
        <v>3728</v>
      </c>
      <c r="B3646">
        <v>62</v>
      </c>
      <c r="C3646" t="s">
        <v>9</v>
      </c>
      <c r="D3646">
        <v>6</v>
      </c>
      <c r="E3646">
        <v>67</v>
      </c>
      <c r="F3646">
        <v>9.2800000000000001E-3</v>
      </c>
      <c r="G3646">
        <v>0</v>
      </c>
      <c r="H3646" t="str">
        <f t="shared" si="168"/>
        <v>60-69</v>
      </c>
      <c r="I3646" t="str">
        <f t="shared" si="169"/>
        <v>0-9</v>
      </c>
      <c r="J3646">
        <f t="shared" si="170"/>
        <v>9.2800000000000001E-3</v>
      </c>
    </row>
    <row r="3647" spans="1:10">
      <c r="A3647" t="s">
        <v>3729</v>
      </c>
      <c r="B3647">
        <v>30</v>
      </c>
      <c r="C3647" t="s">
        <v>9</v>
      </c>
      <c r="D3647">
        <v>1</v>
      </c>
      <c r="E3647">
        <v>30</v>
      </c>
      <c r="F3647">
        <v>2.5000000000000001E-4</v>
      </c>
      <c r="G3647">
        <v>0</v>
      </c>
      <c r="H3647" t="str">
        <f t="shared" si="168"/>
        <v>30-39</v>
      </c>
      <c r="I3647" t="str">
        <f t="shared" si="169"/>
        <v>0-9</v>
      </c>
      <c r="J3647">
        <f t="shared" si="170"/>
        <v>2.5000000000000001E-4</v>
      </c>
    </row>
    <row r="3648" spans="1:10">
      <c r="A3648" t="s">
        <v>3730</v>
      </c>
      <c r="B3648">
        <v>60</v>
      </c>
      <c r="C3648" t="s">
        <v>7</v>
      </c>
      <c r="D3648">
        <v>12</v>
      </c>
      <c r="E3648">
        <v>71</v>
      </c>
      <c r="F3648">
        <v>1.11E-2</v>
      </c>
      <c r="G3648">
        <v>0</v>
      </c>
      <c r="H3648" t="str">
        <f t="shared" si="168"/>
        <v>70-79</v>
      </c>
      <c r="I3648" t="str">
        <f t="shared" si="169"/>
        <v>10-19</v>
      </c>
      <c r="J3648">
        <f t="shared" si="170"/>
        <v>1.11E-2</v>
      </c>
    </row>
    <row r="3649" spans="1:10">
      <c r="A3649" t="s">
        <v>3731</v>
      </c>
      <c r="B3649">
        <v>40</v>
      </c>
      <c r="C3649" t="s">
        <v>7</v>
      </c>
      <c r="D3649">
        <v>1</v>
      </c>
      <c r="E3649">
        <v>40</v>
      </c>
      <c r="F3649">
        <v>2.3000000000000001E-4</v>
      </c>
      <c r="G3649">
        <v>0</v>
      </c>
      <c r="H3649" t="str">
        <f t="shared" si="168"/>
        <v>40-49</v>
      </c>
      <c r="I3649" t="str">
        <f t="shared" si="169"/>
        <v>0-9</v>
      </c>
      <c r="J3649">
        <f t="shared" si="170"/>
        <v>2.3000000000000001E-4</v>
      </c>
    </row>
    <row r="3650" spans="1:10">
      <c r="A3650" t="s">
        <v>3732</v>
      </c>
      <c r="B3650">
        <v>50</v>
      </c>
      <c r="C3650" t="s">
        <v>7</v>
      </c>
      <c r="D3650">
        <v>2</v>
      </c>
      <c r="E3650">
        <v>51</v>
      </c>
      <c r="F3650">
        <v>7.2000000000000005E-4</v>
      </c>
      <c r="G3650">
        <v>0</v>
      </c>
      <c r="H3650" t="str">
        <f t="shared" si="168"/>
        <v>50-59</v>
      </c>
      <c r="I3650" t="str">
        <f t="shared" si="169"/>
        <v>0-9</v>
      </c>
      <c r="J3650">
        <f t="shared" si="170"/>
        <v>7.2000000000000005E-4</v>
      </c>
    </row>
    <row r="3651" spans="1:10">
      <c r="A3651" t="s">
        <v>3733</v>
      </c>
      <c r="B3651">
        <v>46</v>
      </c>
      <c r="C3651" t="s">
        <v>7</v>
      </c>
      <c r="D3651">
        <v>2</v>
      </c>
      <c r="E3651">
        <v>47</v>
      </c>
      <c r="F3651">
        <v>4.6000000000000001E-4</v>
      </c>
      <c r="G3651">
        <v>0</v>
      </c>
      <c r="H3651" t="str">
        <f t="shared" ref="H3651:H3714" si="171">FLOOR(E3651,10) &amp; "-" &amp; FLOOR(E3651,10)+9</f>
        <v>40-49</v>
      </c>
      <c r="I3651" t="str">
        <f t="shared" ref="I3651:I3714" si="172">FLOOR(D3651, 10) &amp; "-"&amp;FLOOR(D3651, 10)+9</f>
        <v>0-9</v>
      </c>
      <c r="J3651">
        <f t="shared" ref="J3651:J3714" si="173">F3651</f>
        <v>4.6000000000000001E-4</v>
      </c>
    </row>
    <row r="3652" spans="1:10">
      <c r="A3652" t="s">
        <v>3734</v>
      </c>
      <c r="B3652">
        <v>53</v>
      </c>
      <c r="C3652" t="s">
        <v>9</v>
      </c>
      <c r="D3652">
        <v>6</v>
      </c>
      <c r="E3652">
        <v>58</v>
      </c>
      <c r="F3652">
        <v>4.1399999999999996E-3</v>
      </c>
      <c r="G3652">
        <v>0</v>
      </c>
      <c r="H3652" t="str">
        <f t="shared" si="171"/>
        <v>50-59</v>
      </c>
      <c r="I3652" t="str">
        <f t="shared" si="172"/>
        <v>0-9</v>
      </c>
      <c r="J3652">
        <f t="shared" si="173"/>
        <v>4.1399999999999996E-3</v>
      </c>
    </row>
    <row r="3653" spans="1:10">
      <c r="A3653" t="s">
        <v>3735</v>
      </c>
      <c r="B3653">
        <v>34</v>
      </c>
      <c r="C3653" t="s">
        <v>9</v>
      </c>
      <c r="D3653">
        <v>3</v>
      </c>
      <c r="E3653">
        <v>36</v>
      </c>
      <c r="F3653">
        <v>4.6999999999999999E-4</v>
      </c>
      <c r="G3653">
        <v>0</v>
      </c>
      <c r="H3653" t="str">
        <f t="shared" si="171"/>
        <v>30-39</v>
      </c>
      <c r="I3653" t="str">
        <f t="shared" si="172"/>
        <v>0-9</v>
      </c>
      <c r="J3653">
        <f t="shared" si="173"/>
        <v>4.6999999999999999E-4</v>
      </c>
    </row>
    <row r="3654" spans="1:10">
      <c r="A3654" t="s">
        <v>3736</v>
      </c>
      <c r="B3654">
        <v>50</v>
      </c>
      <c r="C3654" t="s">
        <v>7</v>
      </c>
      <c r="D3654">
        <v>15</v>
      </c>
      <c r="E3654">
        <v>64</v>
      </c>
      <c r="F3654">
        <v>6.8599999999999998E-3</v>
      </c>
      <c r="G3654">
        <v>0</v>
      </c>
      <c r="H3654" t="str">
        <f t="shared" si="171"/>
        <v>60-69</v>
      </c>
      <c r="I3654" t="str">
        <f t="shared" si="172"/>
        <v>10-19</v>
      </c>
      <c r="J3654">
        <f t="shared" si="173"/>
        <v>6.8599999999999998E-3</v>
      </c>
    </row>
    <row r="3655" spans="1:10">
      <c r="A3655" t="s">
        <v>3737</v>
      </c>
      <c r="B3655">
        <v>54</v>
      </c>
      <c r="C3655" t="s">
        <v>9</v>
      </c>
      <c r="D3655">
        <v>15</v>
      </c>
      <c r="E3655">
        <v>68</v>
      </c>
      <c r="F3655">
        <v>1.3690000000000001E-2</v>
      </c>
      <c r="G3655">
        <v>0</v>
      </c>
      <c r="H3655" t="str">
        <f t="shared" si="171"/>
        <v>60-69</v>
      </c>
      <c r="I3655" t="str">
        <f t="shared" si="172"/>
        <v>10-19</v>
      </c>
      <c r="J3655">
        <f t="shared" si="173"/>
        <v>1.3690000000000001E-2</v>
      </c>
    </row>
    <row r="3656" spans="1:10">
      <c r="A3656" t="s">
        <v>3738</v>
      </c>
      <c r="B3656">
        <v>60</v>
      </c>
      <c r="C3656" t="s">
        <v>9</v>
      </c>
      <c r="D3656">
        <v>1</v>
      </c>
      <c r="E3656">
        <v>60</v>
      </c>
      <c r="F3656">
        <v>2.0500000000000002E-3</v>
      </c>
      <c r="G3656">
        <v>0</v>
      </c>
      <c r="H3656" t="str">
        <f t="shared" si="171"/>
        <v>60-69</v>
      </c>
      <c r="I3656" t="str">
        <f t="shared" si="172"/>
        <v>0-9</v>
      </c>
      <c r="J3656">
        <f t="shared" si="173"/>
        <v>2.0500000000000002E-3</v>
      </c>
    </row>
    <row r="3657" spans="1:10">
      <c r="A3657" t="s">
        <v>3739</v>
      </c>
      <c r="B3657">
        <v>36</v>
      </c>
      <c r="C3657" t="s">
        <v>9</v>
      </c>
      <c r="D3657">
        <v>5</v>
      </c>
      <c r="E3657">
        <v>40</v>
      </c>
      <c r="F3657">
        <v>7.2000000000000005E-4</v>
      </c>
      <c r="G3657">
        <v>0</v>
      </c>
      <c r="H3657" t="str">
        <f t="shared" si="171"/>
        <v>40-49</v>
      </c>
      <c r="I3657" t="str">
        <f t="shared" si="172"/>
        <v>0-9</v>
      </c>
      <c r="J3657">
        <f t="shared" si="173"/>
        <v>7.2000000000000005E-4</v>
      </c>
    </row>
    <row r="3658" spans="1:10">
      <c r="A3658" t="s">
        <v>3740</v>
      </c>
      <c r="B3658">
        <v>59</v>
      </c>
      <c r="C3658" t="s">
        <v>7</v>
      </c>
      <c r="D3658">
        <v>22</v>
      </c>
      <c r="E3658">
        <v>80</v>
      </c>
      <c r="F3658">
        <v>3.986E-2</v>
      </c>
      <c r="G3658">
        <v>0</v>
      </c>
      <c r="H3658" t="str">
        <f t="shared" si="171"/>
        <v>80-89</v>
      </c>
      <c r="I3658" t="str">
        <f t="shared" si="172"/>
        <v>20-29</v>
      </c>
      <c r="J3658">
        <f t="shared" si="173"/>
        <v>3.986E-2</v>
      </c>
    </row>
    <row r="3659" spans="1:10">
      <c r="A3659" t="s">
        <v>3741</v>
      </c>
      <c r="B3659">
        <v>56</v>
      </c>
      <c r="C3659" t="s">
        <v>9</v>
      </c>
      <c r="D3659">
        <v>7</v>
      </c>
      <c r="E3659">
        <v>62</v>
      </c>
      <c r="F3659">
        <v>6.5399999999999998E-3</v>
      </c>
      <c r="G3659">
        <v>0</v>
      </c>
      <c r="H3659" t="str">
        <f t="shared" si="171"/>
        <v>60-69</v>
      </c>
      <c r="I3659" t="str">
        <f t="shared" si="172"/>
        <v>0-9</v>
      </c>
      <c r="J3659">
        <f t="shared" si="173"/>
        <v>6.5399999999999998E-3</v>
      </c>
    </row>
    <row r="3660" spans="1:10">
      <c r="A3660" t="s">
        <v>3742</v>
      </c>
      <c r="B3660">
        <v>29</v>
      </c>
      <c r="C3660" t="s">
        <v>7</v>
      </c>
      <c r="D3660">
        <v>8</v>
      </c>
      <c r="E3660">
        <v>36</v>
      </c>
      <c r="F3660">
        <v>4.6999999999999999E-4</v>
      </c>
      <c r="G3660">
        <v>0</v>
      </c>
      <c r="H3660" t="str">
        <f t="shared" si="171"/>
        <v>30-39</v>
      </c>
      <c r="I3660" t="str">
        <f t="shared" si="172"/>
        <v>0-9</v>
      </c>
      <c r="J3660">
        <f t="shared" si="173"/>
        <v>4.6999999999999999E-4</v>
      </c>
    </row>
    <row r="3661" spans="1:10">
      <c r="A3661" t="s">
        <v>3743</v>
      </c>
      <c r="B3661">
        <v>65</v>
      </c>
      <c r="C3661" t="s">
        <v>9</v>
      </c>
      <c r="D3661">
        <v>13</v>
      </c>
      <c r="E3661">
        <v>77</v>
      </c>
      <c r="F3661">
        <v>2.9190000000000001E-2</v>
      </c>
      <c r="G3661">
        <v>0</v>
      </c>
      <c r="H3661" t="str">
        <f t="shared" si="171"/>
        <v>70-79</v>
      </c>
      <c r="I3661" t="str">
        <f t="shared" si="172"/>
        <v>10-19</v>
      </c>
      <c r="J3661">
        <f t="shared" si="173"/>
        <v>2.9190000000000001E-2</v>
      </c>
    </row>
    <row r="3662" spans="1:10">
      <c r="A3662" t="s">
        <v>3744</v>
      </c>
      <c r="B3662">
        <v>35</v>
      </c>
      <c r="C3662" t="s">
        <v>9</v>
      </c>
      <c r="D3662">
        <v>8</v>
      </c>
      <c r="E3662">
        <v>42</v>
      </c>
      <c r="F3662">
        <v>1.0200000000000001E-3</v>
      </c>
      <c r="G3662">
        <v>0</v>
      </c>
      <c r="H3662" t="str">
        <f t="shared" si="171"/>
        <v>40-49</v>
      </c>
      <c r="I3662" t="str">
        <f t="shared" si="172"/>
        <v>0-9</v>
      </c>
      <c r="J3662">
        <f t="shared" si="173"/>
        <v>1.0200000000000001E-3</v>
      </c>
    </row>
    <row r="3663" spans="1:10">
      <c r="A3663" t="s">
        <v>3745</v>
      </c>
      <c r="B3663">
        <v>39</v>
      </c>
      <c r="C3663" t="s">
        <v>7</v>
      </c>
      <c r="D3663">
        <v>11</v>
      </c>
      <c r="E3663">
        <v>49</v>
      </c>
      <c r="F3663">
        <v>1.49E-3</v>
      </c>
      <c r="G3663">
        <v>0</v>
      </c>
      <c r="H3663" t="str">
        <f t="shared" si="171"/>
        <v>40-49</v>
      </c>
      <c r="I3663" t="str">
        <f t="shared" si="172"/>
        <v>10-19</v>
      </c>
      <c r="J3663">
        <f t="shared" si="173"/>
        <v>1.49E-3</v>
      </c>
    </row>
    <row r="3664" spans="1:10">
      <c r="A3664" t="s">
        <v>3746</v>
      </c>
      <c r="B3664">
        <v>57</v>
      </c>
      <c r="C3664" t="s">
        <v>7</v>
      </c>
      <c r="D3664">
        <v>17</v>
      </c>
      <c r="E3664">
        <v>73</v>
      </c>
      <c r="F3664">
        <v>1.7350000000000001E-2</v>
      </c>
      <c r="G3664">
        <v>0</v>
      </c>
      <c r="H3664" t="str">
        <f t="shared" si="171"/>
        <v>70-79</v>
      </c>
      <c r="I3664" t="str">
        <f t="shared" si="172"/>
        <v>10-19</v>
      </c>
      <c r="J3664">
        <f t="shared" si="173"/>
        <v>1.7350000000000001E-2</v>
      </c>
    </row>
    <row r="3665" spans="1:10">
      <c r="A3665" t="s">
        <v>3747</v>
      </c>
      <c r="B3665">
        <v>37</v>
      </c>
      <c r="C3665" t="s">
        <v>7</v>
      </c>
      <c r="D3665">
        <v>25</v>
      </c>
      <c r="E3665">
        <v>61</v>
      </c>
      <c r="F3665">
        <v>5.4599999999999996E-3</v>
      </c>
      <c r="G3665">
        <v>0</v>
      </c>
      <c r="H3665" t="str">
        <f t="shared" si="171"/>
        <v>60-69</v>
      </c>
      <c r="I3665" t="str">
        <f t="shared" si="172"/>
        <v>20-29</v>
      </c>
      <c r="J3665">
        <f t="shared" si="173"/>
        <v>5.4599999999999996E-3</v>
      </c>
    </row>
    <row r="3666" spans="1:10">
      <c r="A3666" t="s">
        <v>3748</v>
      </c>
      <c r="B3666">
        <v>43</v>
      </c>
      <c r="C3666" t="s">
        <v>9</v>
      </c>
      <c r="D3666">
        <v>22</v>
      </c>
      <c r="E3666">
        <v>64</v>
      </c>
      <c r="F3666">
        <v>9.3299999999999998E-3</v>
      </c>
      <c r="G3666">
        <v>0</v>
      </c>
      <c r="H3666" t="str">
        <f t="shared" si="171"/>
        <v>60-69</v>
      </c>
      <c r="I3666" t="str">
        <f t="shared" si="172"/>
        <v>20-29</v>
      </c>
      <c r="J3666">
        <f t="shared" si="173"/>
        <v>9.3299999999999998E-3</v>
      </c>
    </row>
    <row r="3667" spans="1:10">
      <c r="A3667" t="s">
        <v>3749</v>
      </c>
      <c r="B3667">
        <v>22</v>
      </c>
      <c r="C3667" t="s">
        <v>7</v>
      </c>
      <c r="D3667">
        <v>24</v>
      </c>
      <c r="E3667">
        <v>45</v>
      </c>
      <c r="F3667">
        <v>1.3799999999999999E-3</v>
      </c>
      <c r="G3667">
        <v>0</v>
      </c>
      <c r="H3667" t="str">
        <f t="shared" si="171"/>
        <v>40-49</v>
      </c>
      <c r="I3667" t="str">
        <f t="shared" si="172"/>
        <v>20-29</v>
      </c>
      <c r="J3667">
        <f t="shared" si="173"/>
        <v>1.3799999999999999E-3</v>
      </c>
    </row>
    <row r="3668" spans="1:10">
      <c r="A3668" t="s">
        <v>3750</v>
      </c>
      <c r="B3668">
        <v>23</v>
      </c>
      <c r="C3668" t="s">
        <v>9</v>
      </c>
      <c r="D3668">
        <v>26</v>
      </c>
      <c r="E3668">
        <v>48</v>
      </c>
      <c r="F3668">
        <v>2.7399999999999998E-3</v>
      </c>
      <c r="G3668">
        <v>0</v>
      </c>
      <c r="H3668" t="str">
        <f t="shared" si="171"/>
        <v>40-49</v>
      </c>
      <c r="I3668" t="str">
        <f t="shared" si="172"/>
        <v>20-29</v>
      </c>
      <c r="J3668">
        <f t="shared" si="173"/>
        <v>2.7399999999999998E-3</v>
      </c>
    </row>
    <row r="3669" spans="1:10">
      <c r="A3669" t="s">
        <v>3751</v>
      </c>
      <c r="B3669">
        <v>29</v>
      </c>
      <c r="C3669" t="s">
        <v>9</v>
      </c>
      <c r="D3669">
        <v>21</v>
      </c>
      <c r="E3669">
        <v>49</v>
      </c>
      <c r="F3669">
        <v>2.33E-3</v>
      </c>
      <c r="G3669">
        <v>0</v>
      </c>
      <c r="H3669" t="str">
        <f t="shared" si="171"/>
        <v>40-49</v>
      </c>
      <c r="I3669" t="str">
        <f t="shared" si="172"/>
        <v>20-29</v>
      </c>
      <c r="J3669">
        <f t="shared" si="173"/>
        <v>2.33E-3</v>
      </c>
    </row>
    <row r="3670" spans="1:10">
      <c r="A3670" t="s">
        <v>3752</v>
      </c>
      <c r="B3670">
        <v>30</v>
      </c>
      <c r="C3670" t="s">
        <v>9</v>
      </c>
      <c r="D3670">
        <v>13</v>
      </c>
      <c r="E3670">
        <v>42</v>
      </c>
      <c r="F3670">
        <v>1.24E-3</v>
      </c>
      <c r="G3670">
        <v>0</v>
      </c>
      <c r="H3670" t="str">
        <f t="shared" si="171"/>
        <v>40-49</v>
      </c>
      <c r="I3670" t="str">
        <f t="shared" si="172"/>
        <v>10-19</v>
      </c>
      <c r="J3670">
        <f t="shared" si="173"/>
        <v>1.24E-3</v>
      </c>
    </row>
    <row r="3671" spans="1:10">
      <c r="A3671" t="s">
        <v>3753</v>
      </c>
      <c r="B3671">
        <v>50</v>
      </c>
      <c r="C3671" t="s">
        <v>9</v>
      </c>
      <c r="D3671">
        <v>28</v>
      </c>
      <c r="E3671">
        <v>77</v>
      </c>
      <c r="F3671">
        <v>3.006E-2</v>
      </c>
      <c r="G3671">
        <v>0</v>
      </c>
      <c r="H3671" t="str">
        <f t="shared" si="171"/>
        <v>70-79</v>
      </c>
      <c r="I3671" t="str">
        <f t="shared" si="172"/>
        <v>20-29</v>
      </c>
      <c r="J3671">
        <f t="shared" si="173"/>
        <v>3.006E-2</v>
      </c>
    </row>
    <row r="3672" spans="1:10">
      <c r="A3672" t="s">
        <v>3754</v>
      </c>
      <c r="B3672">
        <v>56</v>
      </c>
      <c r="C3672" t="s">
        <v>9</v>
      </c>
      <c r="D3672">
        <v>13</v>
      </c>
      <c r="E3672">
        <v>68</v>
      </c>
      <c r="F3672">
        <v>1.3690000000000001E-2</v>
      </c>
      <c r="G3672">
        <v>0</v>
      </c>
      <c r="H3672" t="str">
        <f t="shared" si="171"/>
        <v>60-69</v>
      </c>
      <c r="I3672" t="str">
        <f t="shared" si="172"/>
        <v>10-19</v>
      </c>
      <c r="J3672">
        <f t="shared" si="173"/>
        <v>1.3690000000000001E-2</v>
      </c>
    </row>
    <row r="3673" spans="1:10">
      <c r="A3673" t="s">
        <v>3755</v>
      </c>
      <c r="B3673">
        <v>59</v>
      </c>
      <c r="C3673" t="s">
        <v>7</v>
      </c>
      <c r="D3673">
        <v>9</v>
      </c>
      <c r="E3673">
        <v>67</v>
      </c>
      <c r="F3673">
        <v>7.0400000000000003E-3</v>
      </c>
      <c r="G3673">
        <v>0</v>
      </c>
      <c r="H3673" t="str">
        <f t="shared" si="171"/>
        <v>60-69</v>
      </c>
      <c r="I3673" t="str">
        <f t="shared" si="172"/>
        <v>0-9</v>
      </c>
      <c r="J3673">
        <f t="shared" si="173"/>
        <v>7.0400000000000003E-3</v>
      </c>
    </row>
    <row r="3674" spans="1:10">
      <c r="A3674" t="s">
        <v>3756</v>
      </c>
      <c r="B3674">
        <v>37</v>
      </c>
      <c r="C3674" t="s">
        <v>7</v>
      </c>
      <c r="D3674">
        <v>21</v>
      </c>
      <c r="E3674">
        <v>57</v>
      </c>
      <c r="F3674">
        <v>3.6900000000000001E-3</v>
      </c>
      <c r="G3674">
        <v>0</v>
      </c>
      <c r="H3674" t="str">
        <f t="shared" si="171"/>
        <v>50-59</v>
      </c>
      <c r="I3674" t="str">
        <f t="shared" si="172"/>
        <v>20-29</v>
      </c>
      <c r="J3674">
        <f t="shared" si="173"/>
        <v>3.6900000000000001E-3</v>
      </c>
    </row>
    <row r="3675" spans="1:10">
      <c r="A3675" t="s">
        <v>3757</v>
      </c>
      <c r="B3675">
        <v>41</v>
      </c>
      <c r="C3675" t="s">
        <v>9</v>
      </c>
      <c r="D3675">
        <v>29</v>
      </c>
      <c r="E3675">
        <v>69</v>
      </c>
      <c r="F3675">
        <v>1.1730000000000001E-2</v>
      </c>
      <c r="G3675">
        <v>0</v>
      </c>
      <c r="H3675" t="str">
        <f t="shared" si="171"/>
        <v>60-69</v>
      </c>
      <c r="I3675" t="str">
        <f t="shared" si="172"/>
        <v>20-29</v>
      </c>
      <c r="J3675">
        <f t="shared" si="173"/>
        <v>1.1730000000000001E-2</v>
      </c>
    </row>
    <row r="3676" spans="1:10">
      <c r="A3676" t="s">
        <v>3758</v>
      </c>
      <c r="B3676">
        <v>51</v>
      </c>
      <c r="C3676" t="s">
        <v>7</v>
      </c>
      <c r="D3676">
        <v>25</v>
      </c>
      <c r="E3676">
        <v>75</v>
      </c>
      <c r="F3676">
        <v>2.325E-2</v>
      </c>
      <c r="G3676">
        <v>0</v>
      </c>
      <c r="H3676" t="str">
        <f t="shared" si="171"/>
        <v>70-79</v>
      </c>
      <c r="I3676" t="str">
        <f t="shared" si="172"/>
        <v>20-29</v>
      </c>
      <c r="J3676">
        <f t="shared" si="173"/>
        <v>2.325E-2</v>
      </c>
    </row>
    <row r="3677" spans="1:10">
      <c r="A3677" t="s">
        <v>3759</v>
      </c>
      <c r="B3677">
        <v>62</v>
      </c>
      <c r="C3677" t="s">
        <v>9</v>
      </c>
      <c r="D3677">
        <v>28</v>
      </c>
      <c r="E3677">
        <v>89</v>
      </c>
      <c r="F3677">
        <v>0.11724</v>
      </c>
      <c r="G3677">
        <v>0</v>
      </c>
      <c r="H3677" t="str">
        <f t="shared" si="171"/>
        <v>80-89</v>
      </c>
      <c r="I3677" t="str">
        <f t="shared" si="172"/>
        <v>20-29</v>
      </c>
      <c r="J3677">
        <f t="shared" si="173"/>
        <v>0.11724</v>
      </c>
    </row>
    <row r="3678" spans="1:10">
      <c r="A3678" t="s">
        <v>3760</v>
      </c>
      <c r="B3678">
        <v>24</v>
      </c>
      <c r="C3678" t="s">
        <v>9</v>
      </c>
      <c r="D3678">
        <v>26</v>
      </c>
      <c r="E3678">
        <v>49</v>
      </c>
      <c r="F3678">
        <v>2.81E-3</v>
      </c>
      <c r="G3678">
        <v>0</v>
      </c>
      <c r="H3678" t="str">
        <f t="shared" si="171"/>
        <v>40-49</v>
      </c>
      <c r="I3678" t="str">
        <f t="shared" si="172"/>
        <v>20-29</v>
      </c>
      <c r="J3678">
        <f t="shared" si="173"/>
        <v>2.81E-3</v>
      </c>
    </row>
    <row r="3679" spans="1:10">
      <c r="A3679" t="s">
        <v>3761</v>
      </c>
      <c r="B3679">
        <v>54</v>
      </c>
      <c r="C3679" t="s">
        <v>9</v>
      </c>
      <c r="D3679">
        <v>5</v>
      </c>
      <c r="E3679">
        <v>58</v>
      </c>
      <c r="F3679">
        <v>4.0400000000000002E-3</v>
      </c>
      <c r="G3679">
        <v>0</v>
      </c>
      <c r="H3679" t="str">
        <f t="shared" si="171"/>
        <v>50-59</v>
      </c>
      <c r="I3679" t="str">
        <f t="shared" si="172"/>
        <v>0-9</v>
      </c>
      <c r="J3679">
        <f t="shared" si="173"/>
        <v>4.0400000000000002E-3</v>
      </c>
    </row>
    <row r="3680" spans="1:10">
      <c r="A3680" t="s">
        <v>3762</v>
      </c>
      <c r="B3680">
        <v>27</v>
      </c>
      <c r="C3680" t="s">
        <v>7</v>
      </c>
      <c r="D3680">
        <v>4</v>
      </c>
      <c r="E3680">
        <v>30</v>
      </c>
      <c r="F3680">
        <v>2.2000000000000001E-4</v>
      </c>
      <c r="G3680">
        <v>0</v>
      </c>
      <c r="H3680" t="str">
        <f t="shared" si="171"/>
        <v>30-39</v>
      </c>
      <c r="I3680" t="str">
        <f t="shared" si="172"/>
        <v>0-9</v>
      </c>
      <c r="J3680">
        <f t="shared" si="173"/>
        <v>2.2000000000000001E-4</v>
      </c>
    </row>
    <row r="3681" spans="1:10">
      <c r="A3681" t="s">
        <v>3763</v>
      </c>
      <c r="B3681">
        <v>42</v>
      </c>
      <c r="C3681" t="s">
        <v>9</v>
      </c>
      <c r="D3681">
        <v>10</v>
      </c>
      <c r="E3681">
        <v>51</v>
      </c>
      <c r="F3681">
        <v>2.2799999999999999E-3</v>
      </c>
      <c r="G3681">
        <v>0</v>
      </c>
      <c r="H3681" t="str">
        <f t="shared" si="171"/>
        <v>50-59</v>
      </c>
      <c r="I3681" t="str">
        <f t="shared" si="172"/>
        <v>10-19</v>
      </c>
      <c r="J3681">
        <f t="shared" si="173"/>
        <v>2.2799999999999999E-3</v>
      </c>
    </row>
    <row r="3682" spans="1:10">
      <c r="A3682" t="s">
        <v>3764</v>
      </c>
      <c r="B3682">
        <v>25</v>
      </c>
      <c r="C3682" t="s">
        <v>7</v>
      </c>
      <c r="D3682">
        <v>28</v>
      </c>
      <c r="E3682">
        <v>52</v>
      </c>
      <c r="F3682">
        <v>2.0200000000000001E-3</v>
      </c>
      <c r="G3682">
        <v>0</v>
      </c>
      <c r="H3682" t="str">
        <f t="shared" si="171"/>
        <v>50-59</v>
      </c>
      <c r="I3682" t="str">
        <f t="shared" si="172"/>
        <v>20-29</v>
      </c>
      <c r="J3682">
        <f t="shared" si="173"/>
        <v>2.0200000000000001E-3</v>
      </c>
    </row>
    <row r="3683" spans="1:10">
      <c r="A3683" t="s">
        <v>3765</v>
      </c>
      <c r="B3683">
        <v>52</v>
      </c>
      <c r="C3683" t="s">
        <v>9</v>
      </c>
      <c r="D3683">
        <v>7</v>
      </c>
      <c r="E3683">
        <v>58</v>
      </c>
      <c r="F3683">
        <v>4.2599999999999999E-3</v>
      </c>
      <c r="G3683">
        <v>0</v>
      </c>
      <c r="H3683" t="str">
        <f t="shared" si="171"/>
        <v>50-59</v>
      </c>
      <c r="I3683" t="str">
        <f t="shared" si="172"/>
        <v>0-9</v>
      </c>
      <c r="J3683">
        <f t="shared" si="173"/>
        <v>4.2599999999999999E-3</v>
      </c>
    </row>
    <row r="3684" spans="1:10">
      <c r="A3684" t="s">
        <v>3766</v>
      </c>
      <c r="B3684">
        <v>21</v>
      </c>
      <c r="C3684" t="s">
        <v>7</v>
      </c>
      <c r="D3684">
        <v>7</v>
      </c>
      <c r="E3684">
        <v>27</v>
      </c>
      <c r="F3684">
        <v>2.9999999999999997E-4</v>
      </c>
      <c r="G3684">
        <v>0</v>
      </c>
      <c r="H3684" t="str">
        <f t="shared" si="171"/>
        <v>20-29</v>
      </c>
      <c r="I3684" t="str">
        <f t="shared" si="172"/>
        <v>0-9</v>
      </c>
      <c r="J3684">
        <f t="shared" si="173"/>
        <v>2.9999999999999997E-4</v>
      </c>
    </row>
    <row r="3685" spans="1:10">
      <c r="A3685" t="s">
        <v>3767</v>
      </c>
      <c r="B3685">
        <v>58</v>
      </c>
      <c r="C3685" t="s">
        <v>9</v>
      </c>
      <c r="D3685">
        <v>25</v>
      </c>
      <c r="E3685">
        <v>82</v>
      </c>
      <c r="F3685">
        <v>6.3329999999999997E-2</v>
      </c>
      <c r="G3685">
        <v>0</v>
      </c>
      <c r="H3685" t="str">
        <f t="shared" si="171"/>
        <v>80-89</v>
      </c>
      <c r="I3685" t="str">
        <f t="shared" si="172"/>
        <v>20-29</v>
      </c>
      <c r="J3685">
        <f t="shared" si="173"/>
        <v>6.3329999999999997E-2</v>
      </c>
    </row>
    <row r="3686" spans="1:10">
      <c r="A3686" t="s">
        <v>3768</v>
      </c>
      <c r="B3686">
        <v>53</v>
      </c>
      <c r="C3686" t="s">
        <v>7</v>
      </c>
      <c r="D3686">
        <v>2</v>
      </c>
      <c r="E3686">
        <v>54</v>
      </c>
      <c r="F3686">
        <v>1.16E-3</v>
      </c>
      <c r="G3686">
        <v>0</v>
      </c>
      <c r="H3686" t="str">
        <f t="shared" si="171"/>
        <v>50-59</v>
      </c>
      <c r="I3686" t="str">
        <f t="shared" si="172"/>
        <v>0-9</v>
      </c>
      <c r="J3686">
        <f t="shared" si="173"/>
        <v>1.16E-3</v>
      </c>
    </row>
    <row r="3687" spans="1:10">
      <c r="A3687" t="s">
        <v>3769</v>
      </c>
      <c r="B3687">
        <v>34</v>
      </c>
      <c r="C3687" t="s">
        <v>7</v>
      </c>
      <c r="D3687">
        <v>23</v>
      </c>
      <c r="E3687">
        <v>56</v>
      </c>
      <c r="F3687">
        <v>3.3700000000000002E-3</v>
      </c>
      <c r="G3687">
        <v>0</v>
      </c>
      <c r="H3687" t="str">
        <f t="shared" si="171"/>
        <v>50-59</v>
      </c>
      <c r="I3687" t="str">
        <f t="shared" si="172"/>
        <v>20-29</v>
      </c>
      <c r="J3687">
        <f t="shared" si="173"/>
        <v>3.3700000000000002E-3</v>
      </c>
    </row>
    <row r="3688" spans="1:10">
      <c r="A3688" t="s">
        <v>3770</v>
      </c>
      <c r="B3688">
        <v>43</v>
      </c>
      <c r="C3688" t="s">
        <v>9</v>
      </c>
      <c r="D3688">
        <v>6</v>
      </c>
      <c r="E3688">
        <v>48</v>
      </c>
      <c r="F3688">
        <v>1.4499999999999999E-3</v>
      </c>
      <c r="G3688">
        <v>0</v>
      </c>
      <c r="H3688" t="str">
        <f t="shared" si="171"/>
        <v>40-49</v>
      </c>
      <c r="I3688" t="str">
        <f t="shared" si="172"/>
        <v>0-9</v>
      </c>
      <c r="J3688">
        <f t="shared" si="173"/>
        <v>1.4499999999999999E-3</v>
      </c>
    </row>
    <row r="3689" spans="1:10">
      <c r="A3689" t="s">
        <v>3771</v>
      </c>
      <c r="B3689">
        <v>60</v>
      </c>
      <c r="C3689" t="s">
        <v>7</v>
      </c>
      <c r="D3689">
        <v>28</v>
      </c>
      <c r="E3689">
        <v>87</v>
      </c>
      <c r="F3689">
        <v>7.2980000000000003E-2</v>
      </c>
      <c r="G3689">
        <v>0</v>
      </c>
      <c r="H3689" t="str">
        <f t="shared" si="171"/>
        <v>80-89</v>
      </c>
      <c r="I3689" t="str">
        <f t="shared" si="172"/>
        <v>20-29</v>
      </c>
      <c r="J3689">
        <f t="shared" si="173"/>
        <v>7.2980000000000003E-2</v>
      </c>
    </row>
    <row r="3690" spans="1:10">
      <c r="A3690" t="s">
        <v>3772</v>
      </c>
      <c r="B3690">
        <v>65</v>
      </c>
      <c r="C3690" t="s">
        <v>7</v>
      </c>
      <c r="D3690">
        <v>5</v>
      </c>
      <c r="E3690">
        <v>69</v>
      </c>
      <c r="F3690">
        <v>6.9199999999999999E-3</v>
      </c>
      <c r="G3690">
        <v>0</v>
      </c>
      <c r="H3690" t="str">
        <f t="shared" si="171"/>
        <v>60-69</v>
      </c>
      <c r="I3690" t="str">
        <f t="shared" si="172"/>
        <v>0-9</v>
      </c>
      <c r="J3690">
        <f t="shared" si="173"/>
        <v>6.9199999999999999E-3</v>
      </c>
    </row>
    <row r="3691" spans="1:10">
      <c r="A3691" t="s">
        <v>3773</v>
      </c>
      <c r="B3691">
        <v>47</v>
      </c>
      <c r="C3691" t="s">
        <v>9</v>
      </c>
      <c r="D3691">
        <v>28</v>
      </c>
      <c r="E3691">
        <v>74</v>
      </c>
      <c r="F3691">
        <v>2.1340000000000001E-2</v>
      </c>
      <c r="G3691">
        <v>0</v>
      </c>
      <c r="H3691" t="str">
        <f t="shared" si="171"/>
        <v>70-79</v>
      </c>
      <c r="I3691" t="str">
        <f t="shared" si="172"/>
        <v>20-29</v>
      </c>
      <c r="J3691">
        <f t="shared" si="173"/>
        <v>2.1340000000000001E-2</v>
      </c>
    </row>
    <row r="3692" spans="1:10">
      <c r="A3692" t="s">
        <v>3774</v>
      </c>
      <c r="B3692">
        <v>45</v>
      </c>
      <c r="C3692" t="s">
        <v>9</v>
      </c>
      <c r="D3692">
        <v>10</v>
      </c>
      <c r="E3692">
        <v>54</v>
      </c>
      <c r="F3692">
        <v>2.99E-3</v>
      </c>
      <c r="G3692">
        <v>0</v>
      </c>
      <c r="H3692" t="str">
        <f t="shared" si="171"/>
        <v>50-59</v>
      </c>
      <c r="I3692" t="str">
        <f t="shared" si="172"/>
        <v>10-19</v>
      </c>
      <c r="J3692">
        <f t="shared" si="173"/>
        <v>2.99E-3</v>
      </c>
    </row>
    <row r="3693" spans="1:10">
      <c r="A3693" t="s">
        <v>3775</v>
      </c>
      <c r="B3693">
        <v>46</v>
      </c>
      <c r="C3693" t="s">
        <v>9</v>
      </c>
      <c r="D3693">
        <v>29</v>
      </c>
      <c r="E3693">
        <v>74</v>
      </c>
      <c r="F3693">
        <v>1.9089999999999999E-2</v>
      </c>
      <c r="G3693">
        <v>0</v>
      </c>
      <c r="H3693" t="str">
        <f t="shared" si="171"/>
        <v>70-79</v>
      </c>
      <c r="I3693" t="str">
        <f t="shared" si="172"/>
        <v>20-29</v>
      </c>
      <c r="J3693">
        <f t="shared" si="173"/>
        <v>1.9089999999999999E-2</v>
      </c>
    </row>
    <row r="3694" spans="1:10">
      <c r="A3694" t="s">
        <v>3776</v>
      </c>
      <c r="B3694">
        <v>39</v>
      </c>
      <c r="C3694" t="s">
        <v>9</v>
      </c>
      <c r="D3694">
        <v>1</v>
      </c>
      <c r="E3694">
        <v>39</v>
      </c>
      <c r="F3694">
        <v>2.9E-4</v>
      </c>
      <c r="G3694">
        <v>0</v>
      </c>
      <c r="H3694" t="str">
        <f t="shared" si="171"/>
        <v>30-39</v>
      </c>
      <c r="I3694" t="str">
        <f t="shared" si="172"/>
        <v>0-9</v>
      </c>
      <c r="J3694">
        <f t="shared" si="173"/>
        <v>2.9E-4</v>
      </c>
    </row>
    <row r="3695" spans="1:10">
      <c r="A3695" t="s">
        <v>3777</v>
      </c>
      <c r="B3695">
        <v>62</v>
      </c>
      <c r="C3695" t="s">
        <v>9</v>
      </c>
      <c r="D3695">
        <v>10</v>
      </c>
      <c r="E3695">
        <v>71</v>
      </c>
      <c r="F3695">
        <v>1.5980000000000001E-2</v>
      </c>
      <c r="G3695">
        <v>0</v>
      </c>
      <c r="H3695" t="str">
        <f t="shared" si="171"/>
        <v>70-79</v>
      </c>
      <c r="I3695" t="str">
        <f t="shared" si="172"/>
        <v>10-19</v>
      </c>
      <c r="J3695">
        <f t="shared" si="173"/>
        <v>1.5980000000000001E-2</v>
      </c>
    </row>
    <row r="3696" spans="1:10">
      <c r="A3696" t="s">
        <v>3778</v>
      </c>
      <c r="B3696">
        <v>58</v>
      </c>
      <c r="C3696" t="s">
        <v>9</v>
      </c>
      <c r="D3696">
        <v>3</v>
      </c>
      <c r="E3696">
        <v>60</v>
      </c>
      <c r="F3696">
        <v>4.0800000000000003E-3</v>
      </c>
      <c r="G3696">
        <v>0</v>
      </c>
      <c r="H3696" t="str">
        <f t="shared" si="171"/>
        <v>60-69</v>
      </c>
      <c r="I3696" t="str">
        <f t="shared" si="172"/>
        <v>0-9</v>
      </c>
      <c r="J3696">
        <f t="shared" si="173"/>
        <v>4.0800000000000003E-3</v>
      </c>
    </row>
    <row r="3697" spans="1:10">
      <c r="A3697" t="s">
        <v>3779</v>
      </c>
      <c r="B3697">
        <v>29</v>
      </c>
      <c r="C3697" t="s">
        <v>7</v>
      </c>
      <c r="D3697">
        <v>16</v>
      </c>
      <c r="E3697">
        <v>44</v>
      </c>
      <c r="F3697">
        <v>1.15E-3</v>
      </c>
      <c r="G3697">
        <v>0</v>
      </c>
      <c r="H3697" t="str">
        <f t="shared" si="171"/>
        <v>40-49</v>
      </c>
      <c r="I3697" t="str">
        <f t="shared" si="172"/>
        <v>10-19</v>
      </c>
      <c r="J3697">
        <f t="shared" si="173"/>
        <v>1.15E-3</v>
      </c>
    </row>
    <row r="3698" spans="1:10">
      <c r="A3698" t="s">
        <v>3780</v>
      </c>
      <c r="B3698">
        <v>35</v>
      </c>
      <c r="C3698" t="s">
        <v>7</v>
      </c>
      <c r="D3698">
        <v>13</v>
      </c>
      <c r="E3698">
        <v>47</v>
      </c>
      <c r="F3698">
        <v>1.32E-3</v>
      </c>
      <c r="G3698">
        <v>0</v>
      </c>
      <c r="H3698" t="str">
        <f t="shared" si="171"/>
        <v>40-49</v>
      </c>
      <c r="I3698" t="str">
        <f t="shared" si="172"/>
        <v>10-19</v>
      </c>
      <c r="J3698">
        <f t="shared" si="173"/>
        <v>1.32E-3</v>
      </c>
    </row>
    <row r="3699" spans="1:10">
      <c r="A3699" t="s">
        <v>3781</v>
      </c>
      <c r="B3699">
        <v>45</v>
      </c>
      <c r="C3699" t="s">
        <v>9</v>
      </c>
      <c r="D3699">
        <v>19</v>
      </c>
      <c r="E3699">
        <v>63</v>
      </c>
      <c r="F3699">
        <v>8.4899999999999993E-3</v>
      </c>
      <c r="G3699">
        <v>0</v>
      </c>
      <c r="H3699" t="str">
        <f t="shared" si="171"/>
        <v>60-69</v>
      </c>
      <c r="I3699" t="str">
        <f t="shared" si="172"/>
        <v>10-19</v>
      </c>
      <c r="J3699">
        <f t="shared" si="173"/>
        <v>8.4899999999999993E-3</v>
      </c>
    </row>
    <row r="3700" spans="1:10">
      <c r="A3700" t="s">
        <v>3782</v>
      </c>
      <c r="B3700">
        <v>24</v>
      </c>
      <c r="C3700" t="s">
        <v>7</v>
      </c>
      <c r="D3700">
        <v>8</v>
      </c>
      <c r="E3700">
        <v>31</v>
      </c>
      <c r="F3700">
        <v>3.5E-4</v>
      </c>
      <c r="G3700">
        <v>0</v>
      </c>
      <c r="H3700" t="str">
        <f t="shared" si="171"/>
        <v>30-39</v>
      </c>
      <c r="I3700" t="str">
        <f t="shared" si="172"/>
        <v>0-9</v>
      </c>
      <c r="J3700">
        <f t="shared" si="173"/>
        <v>3.5E-4</v>
      </c>
    </row>
    <row r="3701" spans="1:10">
      <c r="A3701" t="s">
        <v>3783</v>
      </c>
      <c r="B3701">
        <v>45</v>
      </c>
      <c r="C3701" t="s">
        <v>7</v>
      </c>
      <c r="D3701">
        <v>4</v>
      </c>
      <c r="E3701">
        <v>48</v>
      </c>
      <c r="F3701">
        <v>9.7999999999999997E-4</v>
      </c>
      <c r="G3701">
        <v>0</v>
      </c>
      <c r="H3701" t="str">
        <f t="shared" si="171"/>
        <v>40-49</v>
      </c>
      <c r="I3701" t="str">
        <f t="shared" si="172"/>
        <v>0-9</v>
      </c>
      <c r="J3701">
        <f t="shared" si="173"/>
        <v>9.7999999999999997E-4</v>
      </c>
    </row>
    <row r="3702" spans="1:10">
      <c r="A3702" t="s">
        <v>3784</v>
      </c>
      <c r="B3702">
        <v>63</v>
      </c>
      <c r="C3702" t="s">
        <v>9</v>
      </c>
      <c r="D3702">
        <v>5</v>
      </c>
      <c r="E3702">
        <v>67</v>
      </c>
      <c r="F3702">
        <v>8.5199999999999998E-3</v>
      </c>
      <c r="G3702">
        <v>0</v>
      </c>
      <c r="H3702" t="str">
        <f t="shared" si="171"/>
        <v>60-69</v>
      </c>
      <c r="I3702" t="str">
        <f t="shared" si="172"/>
        <v>0-9</v>
      </c>
      <c r="J3702">
        <f t="shared" si="173"/>
        <v>8.5199999999999998E-3</v>
      </c>
    </row>
    <row r="3703" spans="1:10">
      <c r="A3703" t="s">
        <v>3785</v>
      </c>
      <c r="B3703">
        <v>37</v>
      </c>
      <c r="C3703" t="s">
        <v>9</v>
      </c>
      <c r="D3703">
        <v>25</v>
      </c>
      <c r="E3703">
        <v>61</v>
      </c>
      <c r="F3703">
        <v>7.0200000000000002E-3</v>
      </c>
      <c r="G3703">
        <v>0</v>
      </c>
      <c r="H3703" t="str">
        <f t="shared" si="171"/>
        <v>60-69</v>
      </c>
      <c r="I3703" t="str">
        <f t="shared" si="172"/>
        <v>20-29</v>
      </c>
      <c r="J3703">
        <f t="shared" si="173"/>
        <v>7.0200000000000002E-3</v>
      </c>
    </row>
    <row r="3704" spans="1:10">
      <c r="A3704" t="s">
        <v>3786</v>
      </c>
      <c r="B3704">
        <v>53</v>
      </c>
      <c r="C3704" t="s">
        <v>7</v>
      </c>
      <c r="D3704">
        <v>10</v>
      </c>
      <c r="E3704">
        <v>62</v>
      </c>
      <c r="F3704">
        <v>4.7299999999999998E-3</v>
      </c>
      <c r="G3704">
        <v>0</v>
      </c>
      <c r="H3704" t="str">
        <f t="shared" si="171"/>
        <v>60-69</v>
      </c>
      <c r="I3704" t="str">
        <f t="shared" si="172"/>
        <v>10-19</v>
      </c>
      <c r="J3704">
        <f t="shared" si="173"/>
        <v>4.7299999999999998E-3</v>
      </c>
    </row>
    <row r="3705" spans="1:10">
      <c r="A3705" t="s">
        <v>3787</v>
      </c>
      <c r="B3705">
        <v>58</v>
      </c>
      <c r="C3705" t="s">
        <v>9</v>
      </c>
      <c r="D3705">
        <v>16</v>
      </c>
      <c r="E3705">
        <v>73</v>
      </c>
      <c r="F3705">
        <v>2.367E-2</v>
      </c>
      <c r="G3705">
        <v>0</v>
      </c>
      <c r="H3705" t="str">
        <f t="shared" si="171"/>
        <v>70-79</v>
      </c>
      <c r="I3705" t="str">
        <f t="shared" si="172"/>
        <v>10-19</v>
      </c>
      <c r="J3705">
        <f t="shared" si="173"/>
        <v>2.367E-2</v>
      </c>
    </row>
    <row r="3706" spans="1:10">
      <c r="A3706" t="s">
        <v>3788</v>
      </c>
      <c r="B3706">
        <v>27</v>
      </c>
      <c r="C3706" t="s">
        <v>7</v>
      </c>
      <c r="D3706">
        <v>18</v>
      </c>
      <c r="E3706">
        <v>44</v>
      </c>
      <c r="F3706">
        <v>1.23E-3</v>
      </c>
      <c r="G3706">
        <v>0</v>
      </c>
      <c r="H3706" t="str">
        <f t="shared" si="171"/>
        <v>40-49</v>
      </c>
      <c r="I3706" t="str">
        <f t="shared" si="172"/>
        <v>10-19</v>
      </c>
      <c r="J3706">
        <f t="shared" si="173"/>
        <v>1.23E-3</v>
      </c>
    </row>
    <row r="3707" spans="1:10">
      <c r="A3707" t="s">
        <v>3789</v>
      </c>
      <c r="B3707">
        <v>24</v>
      </c>
      <c r="C3707" t="s">
        <v>7</v>
      </c>
      <c r="D3707">
        <v>29</v>
      </c>
      <c r="E3707">
        <v>52</v>
      </c>
      <c r="F3707">
        <v>1.8699999999999999E-3</v>
      </c>
      <c r="G3707">
        <v>0</v>
      </c>
      <c r="H3707" t="str">
        <f t="shared" si="171"/>
        <v>50-59</v>
      </c>
      <c r="I3707" t="str">
        <f t="shared" si="172"/>
        <v>20-29</v>
      </c>
      <c r="J3707">
        <f t="shared" si="173"/>
        <v>1.8699999999999999E-3</v>
      </c>
    </row>
    <row r="3708" spans="1:10">
      <c r="A3708" t="s">
        <v>3790</v>
      </c>
      <c r="B3708">
        <v>41</v>
      </c>
      <c r="C3708" t="s">
        <v>9</v>
      </c>
      <c r="D3708">
        <v>29</v>
      </c>
      <c r="E3708">
        <v>69</v>
      </c>
      <c r="F3708">
        <v>1.1730000000000001E-2</v>
      </c>
      <c r="G3708">
        <v>0</v>
      </c>
      <c r="H3708" t="str">
        <f t="shared" si="171"/>
        <v>60-69</v>
      </c>
      <c r="I3708" t="str">
        <f t="shared" si="172"/>
        <v>20-29</v>
      </c>
      <c r="J3708">
        <f t="shared" si="173"/>
        <v>1.1730000000000001E-2</v>
      </c>
    </row>
    <row r="3709" spans="1:10">
      <c r="A3709" t="s">
        <v>3791</v>
      </c>
      <c r="B3709">
        <v>44</v>
      </c>
      <c r="C3709" t="s">
        <v>7</v>
      </c>
      <c r="D3709">
        <v>27</v>
      </c>
      <c r="E3709">
        <v>70</v>
      </c>
      <c r="F3709">
        <v>1.2659999999999999E-2</v>
      </c>
      <c r="G3709">
        <v>0</v>
      </c>
      <c r="H3709" t="str">
        <f t="shared" si="171"/>
        <v>70-79</v>
      </c>
      <c r="I3709" t="str">
        <f t="shared" si="172"/>
        <v>20-29</v>
      </c>
      <c r="J3709">
        <f t="shared" si="173"/>
        <v>1.2659999999999999E-2</v>
      </c>
    </row>
    <row r="3710" spans="1:10">
      <c r="A3710" t="s">
        <v>3792</v>
      </c>
      <c r="B3710">
        <v>49</v>
      </c>
      <c r="C3710" t="s">
        <v>7</v>
      </c>
      <c r="D3710">
        <v>14</v>
      </c>
      <c r="E3710">
        <v>62</v>
      </c>
      <c r="F3710">
        <v>5.5599999999999998E-3</v>
      </c>
      <c r="G3710">
        <v>0</v>
      </c>
      <c r="H3710" t="str">
        <f t="shared" si="171"/>
        <v>60-69</v>
      </c>
      <c r="I3710" t="str">
        <f t="shared" si="172"/>
        <v>10-19</v>
      </c>
      <c r="J3710">
        <f t="shared" si="173"/>
        <v>5.5599999999999998E-3</v>
      </c>
    </row>
    <row r="3711" spans="1:10">
      <c r="A3711" t="s">
        <v>3793</v>
      </c>
      <c r="B3711">
        <v>64</v>
      </c>
      <c r="C3711" t="s">
        <v>7</v>
      </c>
      <c r="D3711">
        <v>28</v>
      </c>
      <c r="E3711">
        <v>91</v>
      </c>
      <c r="F3711">
        <v>0.11754000000000001</v>
      </c>
      <c r="G3711">
        <v>0</v>
      </c>
      <c r="H3711" t="str">
        <f t="shared" si="171"/>
        <v>90-99</v>
      </c>
      <c r="I3711" t="str">
        <f t="shared" si="172"/>
        <v>20-29</v>
      </c>
      <c r="J3711">
        <f t="shared" si="173"/>
        <v>0.11754000000000001</v>
      </c>
    </row>
    <row r="3712" spans="1:10">
      <c r="A3712" t="s">
        <v>3794</v>
      </c>
      <c r="B3712">
        <v>34</v>
      </c>
      <c r="C3712" t="s">
        <v>9</v>
      </c>
      <c r="D3712">
        <v>17</v>
      </c>
      <c r="E3712">
        <v>50</v>
      </c>
      <c r="F3712">
        <v>2.4599999999999999E-3</v>
      </c>
      <c r="G3712">
        <v>0</v>
      </c>
      <c r="H3712" t="str">
        <f t="shared" si="171"/>
        <v>50-59</v>
      </c>
      <c r="I3712" t="str">
        <f t="shared" si="172"/>
        <v>10-19</v>
      </c>
      <c r="J3712">
        <f t="shared" si="173"/>
        <v>2.4599999999999999E-3</v>
      </c>
    </row>
    <row r="3713" spans="1:10">
      <c r="A3713" t="s">
        <v>3795</v>
      </c>
      <c r="B3713">
        <v>58</v>
      </c>
      <c r="C3713" t="s">
        <v>7</v>
      </c>
      <c r="D3713">
        <v>20</v>
      </c>
      <c r="E3713">
        <v>77</v>
      </c>
      <c r="F3713">
        <v>2.836E-2</v>
      </c>
      <c r="G3713">
        <v>0</v>
      </c>
      <c r="H3713" t="str">
        <f t="shared" si="171"/>
        <v>70-79</v>
      </c>
      <c r="I3713" t="str">
        <f t="shared" si="172"/>
        <v>20-29</v>
      </c>
      <c r="J3713">
        <f t="shared" si="173"/>
        <v>2.836E-2</v>
      </c>
    </row>
    <row r="3714" spans="1:10">
      <c r="A3714" t="s">
        <v>3796</v>
      </c>
      <c r="B3714">
        <v>62</v>
      </c>
      <c r="C3714" t="s">
        <v>7</v>
      </c>
      <c r="D3714">
        <v>16</v>
      </c>
      <c r="E3714">
        <v>77</v>
      </c>
      <c r="F3714">
        <v>2.5159999999999998E-2</v>
      </c>
      <c r="G3714">
        <v>0</v>
      </c>
      <c r="H3714" t="str">
        <f t="shared" si="171"/>
        <v>70-79</v>
      </c>
      <c r="I3714" t="str">
        <f t="shared" si="172"/>
        <v>10-19</v>
      </c>
      <c r="J3714">
        <f t="shared" si="173"/>
        <v>2.5159999999999998E-2</v>
      </c>
    </row>
    <row r="3715" spans="1:10">
      <c r="A3715" t="s">
        <v>3797</v>
      </c>
      <c r="B3715">
        <v>46</v>
      </c>
      <c r="C3715" t="s">
        <v>7</v>
      </c>
      <c r="D3715">
        <v>2</v>
      </c>
      <c r="E3715">
        <v>47</v>
      </c>
      <c r="F3715">
        <v>4.6000000000000001E-4</v>
      </c>
      <c r="G3715">
        <v>0</v>
      </c>
      <c r="H3715" t="str">
        <f t="shared" ref="H3715:H3778" si="174">FLOOR(E3715,10) &amp; "-" &amp; FLOOR(E3715,10)+9</f>
        <v>40-49</v>
      </c>
      <c r="I3715" t="str">
        <f t="shared" ref="I3715:I3778" si="175">FLOOR(D3715, 10) &amp; "-"&amp;FLOOR(D3715, 10)+9</f>
        <v>0-9</v>
      </c>
      <c r="J3715">
        <f t="shared" ref="J3715:J3778" si="176">F3715</f>
        <v>4.6000000000000001E-4</v>
      </c>
    </row>
    <row r="3716" spans="1:10">
      <c r="A3716" t="s">
        <v>3798</v>
      </c>
      <c r="B3716">
        <v>37</v>
      </c>
      <c r="C3716" t="s">
        <v>7</v>
      </c>
      <c r="D3716">
        <v>27</v>
      </c>
      <c r="E3716">
        <v>63</v>
      </c>
      <c r="F3716">
        <v>6.0499999999999998E-3</v>
      </c>
      <c r="G3716">
        <v>0</v>
      </c>
      <c r="H3716" t="str">
        <f t="shared" si="174"/>
        <v>60-69</v>
      </c>
      <c r="I3716" t="str">
        <f t="shared" si="175"/>
        <v>20-29</v>
      </c>
      <c r="J3716">
        <f t="shared" si="176"/>
        <v>6.0499999999999998E-3</v>
      </c>
    </row>
    <row r="3717" spans="1:10">
      <c r="A3717" t="s">
        <v>3799</v>
      </c>
      <c r="B3717">
        <v>36</v>
      </c>
      <c r="C3717" t="s">
        <v>7</v>
      </c>
      <c r="D3717">
        <v>21</v>
      </c>
      <c r="E3717">
        <v>56</v>
      </c>
      <c r="F3717">
        <v>3.3700000000000002E-3</v>
      </c>
      <c r="G3717">
        <v>0</v>
      </c>
      <c r="H3717" t="str">
        <f t="shared" si="174"/>
        <v>50-59</v>
      </c>
      <c r="I3717" t="str">
        <f t="shared" si="175"/>
        <v>20-29</v>
      </c>
      <c r="J3717">
        <f t="shared" si="176"/>
        <v>3.3700000000000002E-3</v>
      </c>
    </row>
    <row r="3718" spans="1:10">
      <c r="A3718" t="s">
        <v>3800</v>
      </c>
      <c r="B3718">
        <v>36</v>
      </c>
      <c r="C3718" t="s">
        <v>9</v>
      </c>
      <c r="D3718">
        <v>12</v>
      </c>
      <c r="E3718">
        <v>47</v>
      </c>
      <c r="F3718">
        <v>1.6299999999999999E-3</v>
      </c>
      <c r="G3718">
        <v>0</v>
      </c>
      <c r="H3718" t="str">
        <f t="shared" si="174"/>
        <v>40-49</v>
      </c>
      <c r="I3718" t="str">
        <f t="shared" si="175"/>
        <v>10-19</v>
      </c>
      <c r="J3718">
        <f t="shared" si="176"/>
        <v>1.6299999999999999E-3</v>
      </c>
    </row>
    <row r="3719" spans="1:10">
      <c r="A3719" t="s">
        <v>3801</v>
      </c>
      <c r="B3719">
        <v>51</v>
      </c>
      <c r="C3719" t="s">
        <v>7</v>
      </c>
      <c r="D3719">
        <v>8</v>
      </c>
      <c r="E3719">
        <v>58</v>
      </c>
      <c r="F3719">
        <v>2.9199999999999999E-3</v>
      </c>
      <c r="G3719">
        <v>0</v>
      </c>
      <c r="H3719" t="str">
        <f t="shared" si="174"/>
        <v>50-59</v>
      </c>
      <c r="I3719" t="str">
        <f t="shared" si="175"/>
        <v>0-9</v>
      </c>
      <c r="J3719">
        <f t="shared" si="176"/>
        <v>2.9199999999999999E-3</v>
      </c>
    </row>
    <row r="3720" spans="1:10">
      <c r="A3720" t="s">
        <v>3802</v>
      </c>
      <c r="B3720">
        <v>47</v>
      </c>
      <c r="C3720" t="s">
        <v>9</v>
      </c>
      <c r="D3720">
        <v>22</v>
      </c>
      <c r="E3720">
        <v>68</v>
      </c>
      <c r="F3720">
        <v>1.405E-2</v>
      </c>
      <c r="G3720">
        <v>0</v>
      </c>
      <c r="H3720" t="str">
        <f t="shared" si="174"/>
        <v>60-69</v>
      </c>
      <c r="I3720" t="str">
        <f t="shared" si="175"/>
        <v>20-29</v>
      </c>
      <c r="J3720">
        <f t="shared" si="176"/>
        <v>1.405E-2</v>
      </c>
    </row>
    <row r="3721" spans="1:10">
      <c r="A3721" t="s">
        <v>3803</v>
      </c>
      <c r="B3721">
        <v>65</v>
      </c>
      <c r="C3721" t="s">
        <v>7</v>
      </c>
      <c r="D3721">
        <v>16</v>
      </c>
      <c r="E3721">
        <v>80</v>
      </c>
      <c r="F3721">
        <v>3.5810000000000002E-2</v>
      </c>
      <c r="G3721">
        <v>0</v>
      </c>
      <c r="H3721" t="str">
        <f t="shared" si="174"/>
        <v>80-89</v>
      </c>
      <c r="I3721" t="str">
        <f t="shared" si="175"/>
        <v>10-19</v>
      </c>
      <c r="J3721">
        <f t="shared" si="176"/>
        <v>3.5810000000000002E-2</v>
      </c>
    </row>
    <row r="3722" spans="1:10">
      <c r="A3722" t="s">
        <v>3804</v>
      </c>
      <c r="B3722">
        <v>44</v>
      </c>
      <c r="C3722" t="s">
        <v>7</v>
      </c>
      <c r="D3722">
        <v>20</v>
      </c>
      <c r="E3722">
        <v>63</v>
      </c>
      <c r="F3722">
        <v>6.6400000000000001E-3</v>
      </c>
      <c r="G3722">
        <v>0</v>
      </c>
      <c r="H3722" t="str">
        <f t="shared" si="174"/>
        <v>60-69</v>
      </c>
      <c r="I3722" t="str">
        <f t="shared" si="175"/>
        <v>20-29</v>
      </c>
      <c r="J3722">
        <f t="shared" si="176"/>
        <v>6.6400000000000001E-3</v>
      </c>
    </row>
    <row r="3723" spans="1:10">
      <c r="A3723" t="s">
        <v>3805</v>
      </c>
      <c r="B3723">
        <v>44</v>
      </c>
      <c r="C3723" t="s">
        <v>7</v>
      </c>
      <c r="D3723">
        <v>2</v>
      </c>
      <c r="E3723">
        <v>45</v>
      </c>
      <c r="F3723">
        <v>4.2000000000000002E-4</v>
      </c>
      <c r="G3723">
        <v>0</v>
      </c>
      <c r="H3723" t="str">
        <f t="shared" si="174"/>
        <v>40-49</v>
      </c>
      <c r="I3723" t="str">
        <f t="shared" si="175"/>
        <v>0-9</v>
      </c>
      <c r="J3723">
        <f t="shared" si="176"/>
        <v>4.2000000000000002E-4</v>
      </c>
    </row>
    <row r="3724" spans="1:10">
      <c r="A3724" t="s">
        <v>3806</v>
      </c>
      <c r="B3724">
        <v>61</v>
      </c>
      <c r="C3724" t="s">
        <v>7</v>
      </c>
      <c r="D3724">
        <v>4</v>
      </c>
      <c r="E3724">
        <v>64</v>
      </c>
      <c r="F3724">
        <v>4.2700000000000004E-3</v>
      </c>
      <c r="G3724">
        <v>0</v>
      </c>
      <c r="H3724" t="str">
        <f t="shared" si="174"/>
        <v>60-69</v>
      </c>
      <c r="I3724" t="str">
        <f t="shared" si="175"/>
        <v>0-9</v>
      </c>
      <c r="J3724">
        <f t="shared" si="176"/>
        <v>4.2700000000000004E-3</v>
      </c>
    </row>
    <row r="3725" spans="1:10">
      <c r="A3725" t="s">
        <v>3807</v>
      </c>
      <c r="B3725">
        <v>35</v>
      </c>
      <c r="C3725" t="s">
        <v>7</v>
      </c>
      <c r="D3725">
        <v>12</v>
      </c>
      <c r="E3725">
        <v>46</v>
      </c>
      <c r="F3725">
        <v>1.15E-3</v>
      </c>
      <c r="G3725">
        <v>0</v>
      </c>
      <c r="H3725" t="str">
        <f t="shared" si="174"/>
        <v>40-49</v>
      </c>
      <c r="I3725" t="str">
        <f t="shared" si="175"/>
        <v>10-19</v>
      </c>
      <c r="J3725">
        <f t="shared" si="176"/>
        <v>1.15E-3</v>
      </c>
    </row>
    <row r="3726" spans="1:10">
      <c r="A3726" t="s">
        <v>3808</v>
      </c>
      <c r="B3726">
        <v>58</v>
      </c>
      <c r="C3726" t="s">
        <v>7</v>
      </c>
      <c r="D3726">
        <v>14</v>
      </c>
      <c r="E3726">
        <v>71</v>
      </c>
      <c r="F3726">
        <v>1.2619999999999999E-2</v>
      </c>
      <c r="G3726">
        <v>0</v>
      </c>
      <c r="H3726" t="str">
        <f t="shared" si="174"/>
        <v>70-79</v>
      </c>
      <c r="I3726" t="str">
        <f t="shared" si="175"/>
        <v>10-19</v>
      </c>
      <c r="J3726">
        <f t="shared" si="176"/>
        <v>1.2619999999999999E-2</v>
      </c>
    </row>
    <row r="3727" spans="1:10">
      <c r="A3727" t="s">
        <v>3809</v>
      </c>
      <c r="B3727">
        <v>22</v>
      </c>
      <c r="C3727" t="s">
        <v>7</v>
      </c>
      <c r="D3727">
        <v>12</v>
      </c>
      <c r="E3727">
        <v>33</v>
      </c>
      <c r="F3727">
        <v>4.4000000000000002E-4</v>
      </c>
      <c r="G3727">
        <v>0</v>
      </c>
      <c r="H3727" t="str">
        <f t="shared" si="174"/>
        <v>30-39</v>
      </c>
      <c r="I3727" t="str">
        <f t="shared" si="175"/>
        <v>10-19</v>
      </c>
      <c r="J3727">
        <f t="shared" si="176"/>
        <v>4.4000000000000002E-4</v>
      </c>
    </row>
    <row r="3728" spans="1:10">
      <c r="A3728" t="s">
        <v>3810</v>
      </c>
      <c r="B3728">
        <v>49</v>
      </c>
      <c r="C3728" t="s">
        <v>7</v>
      </c>
      <c r="D3728">
        <v>19</v>
      </c>
      <c r="E3728">
        <v>67</v>
      </c>
      <c r="F3728">
        <v>1.001E-2</v>
      </c>
      <c r="G3728">
        <v>0</v>
      </c>
      <c r="H3728" t="str">
        <f t="shared" si="174"/>
        <v>60-69</v>
      </c>
      <c r="I3728" t="str">
        <f t="shared" si="175"/>
        <v>10-19</v>
      </c>
      <c r="J3728">
        <f t="shared" si="176"/>
        <v>1.001E-2</v>
      </c>
    </row>
    <row r="3729" spans="1:10">
      <c r="A3729" t="s">
        <v>3811</v>
      </c>
      <c r="B3729">
        <v>45</v>
      </c>
      <c r="C3729" t="s">
        <v>7</v>
      </c>
      <c r="D3729">
        <v>27</v>
      </c>
      <c r="E3729">
        <v>71</v>
      </c>
      <c r="F3729">
        <v>1.404E-2</v>
      </c>
      <c r="G3729">
        <v>0</v>
      </c>
      <c r="H3729" t="str">
        <f t="shared" si="174"/>
        <v>70-79</v>
      </c>
      <c r="I3729" t="str">
        <f t="shared" si="175"/>
        <v>20-29</v>
      </c>
      <c r="J3729">
        <f t="shared" si="176"/>
        <v>1.404E-2</v>
      </c>
    </row>
    <row r="3730" spans="1:10">
      <c r="A3730" t="s">
        <v>3812</v>
      </c>
      <c r="B3730">
        <v>47</v>
      </c>
      <c r="C3730" t="s">
        <v>7</v>
      </c>
      <c r="D3730">
        <v>22</v>
      </c>
      <c r="E3730">
        <v>68</v>
      </c>
      <c r="F3730">
        <v>1.141E-2</v>
      </c>
      <c r="G3730">
        <v>0</v>
      </c>
      <c r="H3730" t="str">
        <f t="shared" si="174"/>
        <v>60-69</v>
      </c>
      <c r="I3730" t="str">
        <f t="shared" si="175"/>
        <v>20-29</v>
      </c>
      <c r="J3730">
        <f t="shared" si="176"/>
        <v>1.141E-2</v>
      </c>
    </row>
    <row r="3731" spans="1:10">
      <c r="A3731" t="s">
        <v>3813</v>
      </c>
      <c r="B3731">
        <v>31</v>
      </c>
      <c r="C3731" t="s">
        <v>7</v>
      </c>
      <c r="D3731">
        <v>1</v>
      </c>
      <c r="E3731">
        <v>31</v>
      </c>
      <c r="F3731">
        <v>1.2E-4</v>
      </c>
      <c r="G3731">
        <v>0</v>
      </c>
      <c r="H3731" t="str">
        <f t="shared" si="174"/>
        <v>30-39</v>
      </c>
      <c r="I3731" t="str">
        <f t="shared" si="175"/>
        <v>0-9</v>
      </c>
      <c r="J3731">
        <f t="shared" si="176"/>
        <v>1.2E-4</v>
      </c>
    </row>
    <row r="3732" spans="1:10">
      <c r="A3732" t="s">
        <v>3814</v>
      </c>
      <c r="B3732">
        <v>38</v>
      </c>
      <c r="C3732" t="s">
        <v>9</v>
      </c>
      <c r="D3732">
        <v>30</v>
      </c>
      <c r="E3732">
        <v>67</v>
      </c>
      <c r="F3732">
        <v>8.6599999999999993E-3</v>
      </c>
      <c r="G3732">
        <v>0</v>
      </c>
      <c r="H3732" t="str">
        <f t="shared" si="174"/>
        <v>60-69</v>
      </c>
      <c r="I3732" t="str">
        <f t="shared" si="175"/>
        <v>30-39</v>
      </c>
      <c r="J3732">
        <f t="shared" si="176"/>
        <v>8.6599999999999993E-3</v>
      </c>
    </row>
    <row r="3733" spans="1:10">
      <c r="A3733" t="s">
        <v>3815</v>
      </c>
      <c r="B3733">
        <v>49</v>
      </c>
      <c r="C3733" t="s">
        <v>7</v>
      </c>
      <c r="D3733">
        <v>28</v>
      </c>
      <c r="E3733">
        <v>76</v>
      </c>
      <c r="F3733">
        <v>2.0979999999999999E-2</v>
      </c>
      <c r="G3733">
        <v>0</v>
      </c>
      <c r="H3733" t="str">
        <f t="shared" si="174"/>
        <v>70-79</v>
      </c>
      <c r="I3733" t="str">
        <f t="shared" si="175"/>
        <v>20-29</v>
      </c>
      <c r="J3733">
        <f t="shared" si="176"/>
        <v>2.0979999999999999E-2</v>
      </c>
    </row>
    <row r="3734" spans="1:10">
      <c r="A3734" t="s">
        <v>3816</v>
      </c>
      <c r="B3734">
        <v>63</v>
      </c>
      <c r="C3734" t="s">
        <v>9</v>
      </c>
      <c r="D3734">
        <v>12</v>
      </c>
      <c r="E3734">
        <v>74</v>
      </c>
      <c r="F3734">
        <v>2.223E-2</v>
      </c>
      <c r="G3734">
        <v>0</v>
      </c>
      <c r="H3734" t="str">
        <f t="shared" si="174"/>
        <v>70-79</v>
      </c>
      <c r="I3734" t="str">
        <f t="shared" si="175"/>
        <v>10-19</v>
      </c>
      <c r="J3734">
        <f t="shared" si="176"/>
        <v>2.223E-2</v>
      </c>
    </row>
    <row r="3735" spans="1:10">
      <c r="A3735" t="s">
        <v>3817</v>
      </c>
      <c r="B3735">
        <v>37</v>
      </c>
      <c r="C3735" t="s">
        <v>7</v>
      </c>
      <c r="D3735">
        <v>15</v>
      </c>
      <c r="E3735">
        <v>51</v>
      </c>
      <c r="F3735">
        <v>1.92E-3</v>
      </c>
      <c r="G3735">
        <v>0</v>
      </c>
      <c r="H3735" t="str">
        <f t="shared" si="174"/>
        <v>50-59</v>
      </c>
      <c r="I3735" t="str">
        <f t="shared" si="175"/>
        <v>10-19</v>
      </c>
      <c r="J3735">
        <f t="shared" si="176"/>
        <v>1.92E-3</v>
      </c>
    </row>
    <row r="3736" spans="1:10">
      <c r="A3736" t="s">
        <v>3818</v>
      </c>
      <c r="B3736">
        <v>64</v>
      </c>
      <c r="C3736" t="s">
        <v>9</v>
      </c>
      <c r="D3736">
        <v>21</v>
      </c>
      <c r="E3736">
        <v>84</v>
      </c>
      <c r="F3736">
        <v>8.0629999999999993E-2</v>
      </c>
      <c r="G3736">
        <v>0</v>
      </c>
      <c r="H3736" t="str">
        <f t="shared" si="174"/>
        <v>80-89</v>
      </c>
      <c r="I3736" t="str">
        <f t="shared" si="175"/>
        <v>20-29</v>
      </c>
      <c r="J3736">
        <f t="shared" si="176"/>
        <v>8.0629999999999993E-2</v>
      </c>
    </row>
    <row r="3737" spans="1:10">
      <c r="A3737" t="s">
        <v>3819</v>
      </c>
      <c r="B3737">
        <v>33</v>
      </c>
      <c r="C3737" t="s">
        <v>7</v>
      </c>
      <c r="D3737">
        <v>18</v>
      </c>
      <c r="E3737">
        <v>50</v>
      </c>
      <c r="F3737">
        <v>1.8600000000000001E-3</v>
      </c>
      <c r="G3737">
        <v>0</v>
      </c>
      <c r="H3737" t="str">
        <f t="shared" si="174"/>
        <v>50-59</v>
      </c>
      <c r="I3737" t="str">
        <f t="shared" si="175"/>
        <v>10-19</v>
      </c>
      <c r="J3737">
        <f t="shared" si="176"/>
        <v>1.8600000000000001E-3</v>
      </c>
    </row>
    <row r="3738" spans="1:10">
      <c r="A3738" t="s">
        <v>3820</v>
      </c>
      <c r="B3738">
        <v>40</v>
      </c>
      <c r="C3738" t="s">
        <v>9</v>
      </c>
      <c r="D3738">
        <v>24</v>
      </c>
      <c r="E3738">
        <v>63</v>
      </c>
      <c r="F3738">
        <v>8.5900000000000004E-3</v>
      </c>
      <c r="G3738">
        <v>0</v>
      </c>
      <c r="H3738" t="str">
        <f t="shared" si="174"/>
        <v>60-69</v>
      </c>
      <c r="I3738" t="str">
        <f t="shared" si="175"/>
        <v>20-29</v>
      </c>
      <c r="J3738">
        <f t="shared" si="176"/>
        <v>8.5900000000000004E-3</v>
      </c>
    </row>
    <row r="3739" spans="1:10">
      <c r="A3739" t="s">
        <v>3821</v>
      </c>
      <c r="B3739">
        <v>31</v>
      </c>
      <c r="C3739" t="s">
        <v>9</v>
      </c>
      <c r="D3739">
        <v>28</v>
      </c>
      <c r="E3739">
        <v>58</v>
      </c>
      <c r="F3739">
        <v>4.3899999999999998E-3</v>
      </c>
      <c r="G3739">
        <v>0</v>
      </c>
      <c r="H3739" t="str">
        <f t="shared" si="174"/>
        <v>50-59</v>
      </c>
      <c r="I3739" t="str">
        <f t="shared" si="175"/>
        <v>20-29</v>
      </c>
      <c r="J3739">
        <f t="shared" si="176"/>
        <v>4.3899999999999998E-3</v>
      </c>
    </row>
    <row r="3740" spans="1:10">
      <c r="A3740" t="s">
        <v>3822</v>
      </c>
      <c r="B3740">
        <v>42</v>
      </c>
      <c r="C3740" t="s">
        <v>7</v>
      </c>
      <c r="D3740">
        <v>20</v>
      </c>
      <c r="E3740">
        <v>61</v>
      </c>
      <c r="F3740">
        <v>5.4000000000000003E-3</v>
      </c>
      <c r="G3740">
        <v>0</v>
      </c>
      <c r="H3740" t="str">
        <f t="shared" si="174"/>
        <v>60-69</v>
      </c>
      <c r="I3740" t="str">
        <f t="shared" si="175"/>
        <v>20-29</v>
      </c>
      <c r="J3740">
        <f t="shared" si="176"/>
        <v>5.4000000000000003E-3</v>
      </c>
    </row>
    <row r="3741" spans="1:10">
      <c r="A3741" t="s">
        <v>3823</v>
      </c>
      <c r="B3741">
        <v>34</v>
      </c>
      <c r="C3741" t="s">
        <v>7</v>
      </c>
      <c r="D3741">
        <v>11</v>
      </c>
      <c r="E3741">
        <v>44</v>
      </c>
      <c r="F3741">
        <v>9.3000000000000005E-4</v>
      </c>
      <c r="G3741">
        <v>0</v>
      </c>
      <c r="H3741" t="str">
        <f t="shared" si="174"/>
        <v>40-49</v>
      </c>
      <c r="I3741" t="str">
        <f t="shared" si="175"/>
        <v>10-19</v>
      </c>
      <c r="J3741">
        <f t="shared" si="176"/>
        <v>9.3000000000000005E-4</v>
      </c>
    </row>
    <row r="3742" spans="1:10">
      <c r="A3742" t="s">
        <v>3824</v>
      </c>
      <c r="B3742">
        <v>25</v>
      </c>
      <c r="C3742" t="s">
        <v>9</v>
      </c>
      <c r="D3742">
        <v>21</v>
      </c>
      <c r="E3742">
        <v>45</v>
      </c>
      <c r="F3742">
        <v>1.98E-3</v>
      </c>
      <c r="G3742">
        <v>0</v>
      </c>
      <c r="H3742" t="str">
        <f t="shared" si="174"/>
        <v>40-49</v>
      </c>
      <c r="I3742" t="str">
        <f t="shared" si="175"/>
        <v>20-29</v>
      </c>
      <c r="J3742">
        <f t="shared" si="176"/>
        <v>1.98E-3</v>
      </c>
    </row>
    <row r="3743" spans="1:10">
      <c r="A3743" t="s">
        <v>3825</v>
      </c>
      <c r="B3743">
        <v>60</v>
      </c>
      <c r="C3743" t="s">
        <v>7</v>
      </c>
      <c r="D3743">
        <v>6</v>
      </c>
      <c r="E3743">
        <v>65</v>
      </c>
      <c r="F3743">
        <v>5.6299999999999996E-3</v>
      </c>
      <c r="G3743">
        <v>0</v>
      </c>
      <c r="H3743" t="str">
        <f t="shared" si="174"/>
        <v>60-69</v>
      </c>
      <c r="I3743" t="str">
        <f t="shared" si="175"/>
        <v>0-9</v>
      </c>
      <c r="J3743">
        <f t="shared" si="176"/>
        <v>5.6299999999999996E-3</v>
      </c>
    </row>
    <row r="3744" spans="1:10">
      <c r="A3744" t="s">
        <v>3826</v>
      </c>
      <c r="B3744">
        <v>65</v>
      </c>
      <c r="C3744" t="s">
        <v>9</v>
      </c>
      <c r="D3744">
        <v>16</v>
      </c>
      <c r="E3744">
        <v>80</v>
      </c>
      <c r="F3744">
        <v>4.65E-2</v>
      </c>
      <c r="G3744">
        <v>0</v>
      </c>
      <c r="H3744" t="str">
        <f t="shared" si="174"/>
        <v>80-89</v>
      </c>
      <c r="I3744" t="str">
        <f t="shared" si="175"/>
        <v>10-19</v>
      </c>
      <c r="J3744">
        <f t="shared" si="176"/>
        <v>4.65E-2</v>
      </c>
    </row>
    <row r="3745" spans="1:10">
      <c r="A3745" t="s">
        <v>3827</v>
      </c>
      <c r="B3745">
        <v>43</v>
      </c>
      <c r="C3745" t="s">
        <v>9</v>
      </c>
      <c r="D3745">
        <v>25</v>
      </c>
      <c r="E3745">
        <v>67</v>
      </c>
      <c r="F3745">
        <v>1.278E-2</v>
      </c>
      <c r="G3745">
        <v>0</v>
      </c>
      <c r="H3745" t="str">
        <f t="shared" si="174"/>
        <v>60-69</v>
      </c>
      <c r="I3745" t="str">
        <f t="shared" si="175"/>
        <v>20-29</v>
      </c>
      <c r="J3745">
        <f t="shared" si="176"/>
        <v>1.278E-2</v>
      </c>
    </row>
    <row r="3746" spans="1:10">
      <c r="A3746" t="s">
        <v>3828</v>
      </c>
      <c r="B3746">
        <v>21</v>
      </c>
      <c r="C3746" t="s">
        <v>9</v>
      </c>
      <c r="D3746">
        <v>4</v>
      </c>
      <c r="E3746">
        <v>24</v>
      </c>
      <c r="F3746">
        <v>6.6E-4</v>
      </c>
      <c r="G3746">
        <v>0</v>
      </c>
      <c r="H3746" t="str">
        <f t="shared" si="174"/>
        <v>20-29</v>
      </c>
      <c r="I3746" t="str">
        <f t="shared" si="175"/>
        <v>0-9</v>
      </c>
      <c r="J3746">
        <f t="shared" si="176"/>
        <v>6.6E-4</v>
      </c>
    </row>
    <row r="3747" spans="1:10">
      <c r="A3747" t="s">
        <v>3829</v>
      </c>
      <c r="B3747">
        <v>52</v>
      </c>
      <c r="C3747" t="s">
        <v>7</v>
      </c>
      <c r="D3747">
        <v>23</v>
      </c>
      <c r="E3747">
        <v>74</v>
      </c>
      <c r="F3747">
        <v>2.0979999999999999E-2</v>
      </c>
      <c r="G3747">
        <v>0</v>
      </c>
      <c r="H3747" t="str">
        <f t="shared" si="174"/>
        <v>70-79</v>
      </c>
      <c r="I3747" t="str">
        <f t="shared" si="175"/>
        <v>20-29</v>
      </c>
      <c r="J3747">
        <f t="shared" si="176"/>
        <v>2.0979999999999999E-2</v>
      </c>
    </row>
    <row r="3748" spans="1:10">
      <c r="A3748" t="s">
        <v>3830</v>
      </c>
      <c r="B3748">
        <v>55</v>
      </c>
      <c r="C3748" t="s">
        <v>9</v>
      </c>
      <c r="D3748">
        <v>18</v>
      </c>
      <c r="E3748">
        <v>72</v>
      </c>
      <c r="F3748">
        <v>2.1139999999999999E-2</v>
      </c>
      <c r="G3748">
        <v>0</v>
      </c>
      <c r="H3748" t="str">
        <f t="shared" si="174"/>
        <v>70-79</v>
      </c>
      <c r="I3748" t="str">
        <f t="shared" si="175"/>
        <v>10-19</v>
      </c>
      <c r="J3748">
        <f t="shared" si="176"/>
        <v>2.1139999999999999E-2</v>
      </c>
    </row>
    <row r="3749" spans="1:10">
      <c r="A3749" t="s">
        <v>3831</v>
      </c>
      <c r="B3749">
        <v>24</v>
      </c>
      <c r="C3749" t="s">
        <v>9</v>
      </c>
      <c r="D3749">
        <v>7</v>
      </c>
      <c r="E3749">
        <v>30</v>
      </c>
      <c r="F3749">
        <v>4.8999999999999998E-4</v>
      </c>
      <c r="G3749">
        <v>0</v>
      </c>
      <c r="H3749" t="str">
        <f t="shared" si="174"/>
        <v>30-39</v>
      </c>
      <c r="I3749" t="str">
        <f t="shared" si="175"/>
        <v>0-9</v>
      </c>
      <c r="J3749">
        <f t="shared" si="176"/>
        <v>4.8999999999999998E-4</v>
      </c>
    </row>
    <row r="3750" spans="1:10">
      <c r="A3750" t="s">
        <v>3832</v>
      </c>
      <c r="B3750">
        <v>62</v>
      </c>
      <c r="C3750" t="s">
        <v>7</v>
      </c>
      <c r="D3750">
        <v>13</v>
      </c>
      <c r="E3750">
        <v>74</v>
      </c>
      <c r="F3750">
        <v>1.6240000000000001E-2</v>
      </c>
      <c r="G3750">
        <v>0</v>
      </c>
      <c r="H3750" t="str">
        <f t="shared" si="174"/>
        <v>70-79</v>
      </c>
      <c r="I3750" t="str">
        <f t="shared" si="175"/>
        <v>10-19</v>
      </c>
      <c r="J3750">
        <f t="shared" si="176"/>
        <v>1.6240000000000001E-2</v>
      </c>
    </row>
    <row r="3751" spans="1:10">
      <c r="A3751" t="s">
        <v>3833</v>
      </c>
      <c r="B3751">
        <v>41</v>
      </c>
      <c r="C3751" t="s">
        <v>9</v>
      </c>
      <c r="D3751">
        <v>18</v>
      </c>
      <c r="E3751">
        <v>58</v>
      </c>
      <c r="F3751">
        <v>5.1700000000000001E-3</v>
      </c>
      <c r="G3751">
        <v>0</v>
      </c>
      <c r="H3751" t="str">
        <f t="shared" si="174"/>
        <v>50-59</v>
      </c>
      <c r="I3751" t="str">
        <f t="shared" si="175"/>
        <v>10-19</v>
      </c>
      <c r="J3751">
        <f t="shared" si="176"/>
        <v>5.1700000000000001E-3</v>
      </c>
    </row>
    <row r="3752" spans="1:10">
      <c r="A3752" t="s">
        <v>3834</v>
      </c>
      <c r="B3752">
        <v>44</v>
      </c>
      <c r="C3752" t="s">
        <v>7</v>
      </c>
      <c r="D3752">
        <v>4</v>
      </c>
      <c r="E3752">
        <v>47</v>
      </c>
      <c r="F3752">
        <v>8.8000000000000003E-4</v>
      </c>
      <c r="G3752">
        <v>0</v>
      </c>
      <c r="H3752" t="str">
        <f t="shared" si="174"/>
        <v>40-49</v>
      </c>
      <c r="I3752" t="str">
        <f t="shared" si="175"/>
        <v>0-9</v>
      </c>
      <c r="J3752">
        <f t="shared" si="176"/>
        <v>8.8000000000000003E-4</v>
      </c>
    </row>
    <row r="3753" spans="1:10">
      <c r="A3753" t="s">
        <v>3835</v>
      </c>
      <c r="B3753">
        <v>38</v>
      </c>
      <c r="C3753" t="s">
        <v>7</v>
      </c>
      <c r="D3753">
        <v>20</v>
      </c>
      <c r="E3753">
        <v>57</v>
      </c>
      <c r="F3753">
        <v>3.65E-3</v>
      </c>
      <c r="G3753">
        <v>0</v>
      </c>
      <c r="H3753" t="str">
        <f t="shared" si="174"/>
        <v>50-59</v>
      </c>
      <c r="I3753" t="str">
        <f t="shared" si="175"/>
        <v>20-29</v>
      </c>
      <c r="J3753">
        <f t="shared" si="176"/>
        <v>3.65E-3</v>
      </c>
    </row>
    <row r="3754" spans="1:10">
      <c r="A3754" t="s">
        <v>3836</v>
      </c>
      <c r="B3754">
        <v>34</v>
      </c>
      <c r="C3754" t="s">
        <v>7</v>
      </c>
      <c r="D3754">
        <v>15</v>
      </c>
      <c r="E3754">
        <v>48</v>
      </c>
      <c r="F3754">
        <v>1.48E-3</v>
      </c>
      <c r="G3754">
        <v>0</v>
      </c>
      <c r="H3754" t="str">
        <f t="shared" si="174"/>
        <v>40-49</v>
      </c>
      <c r="I3754" t="str">
        <f t="shared" si="175"/>
        <v>10-19</v>
      </c>
      <c r="J3754">
        <f t="shared" si="176"/>
        <v>1.48E-3</v>
      </c>
    </row>
    <row r="3755" spans="1:10">
      <c r="A3755" t="s">
        <v>3837</v>
      </c>
      <c r="B3755">
        <v>29</v>
      </c>
      <c r="C3755" t="s">
        <v>7</v>
      </c>
      <c r="D3755">
        <v>22</v>
      </c>
      <c r="E3755">
        <v>50</v>
      </c>
      <c r="F3755">
        <v>2.0200000000000001E-3</v>
      </c>
      <c r="G3755">
        <v>0</v>
      </c>
      <c r="H3755" t="str">
        <f t="shared" si="174"/>
        <v>50-59</v>
      </c>
      <c r="I3755" t="str">
        <f t="shared" si="175"/>
        <v>20-29</v>
      </c>
      <c r="J3755">
        <f t="shared" si="176"/>
        <v>2.0200000000000001E-3</v>
      </c>
    </row>
    <row r="3756" spans="1:10">
      <c r="A3756" t="s">
        <v>3838</v>
      </c>
      <c r="B3756">
        <v>34</v>
      </c>
      <c r="C3756" t="s">
        <v>7</v>
      </c>
      <c r="D3756">
        <v>27</v>
      </c>
      <c r="E3756">
        <v>60</v>
      </c>
      <c r="F3756">
        <v>4.4600000000000004E-3</v>
      </c>
      <c r="G3756">
        <v>0</v>
      </c>
      <c r="H3756" t="str">
        <f t="shared" si="174"/>
        <v>60-69</v>
      </c>
      <c r="I3756" t="str">
        <f t="shared" si="175"/>
        <v>20-29</v>
      </c>
      <c r="J3756">
        <f t="shared" si="176"/>
        <v>4.4600000000000004E-3</v>
      </c>
    </row>
    <row r="3757" spans="1:10">
      <c r="A3757" t="s">
        <v>3839</v>
      </c>
      <c r="B3757">
        <v>34</v>
      </c>
      <c r="C3757" t="s">
        <v>7</v>
      </c>
      <c r="D3757">
        <v>15</v>
      </c>
      <c r="E3757">
        <v>48</v>
      </c>
      <c r="F3757">
        <v>1.48E-3</v>
      </c>
      <c r="G3757">
        <v>0</v>
      </c>
      <c r="H3757" t="str">
        <f t="shared" si="174"/>
        <v>40-49</v>
      </c>
      <c r="I3757" t="str">
        <f t="shared" si="175"/>
        <v>10-19</v>
      </c>
      <c r="J3757">
        <f t="shared" si="176"/>
        <v>1.48E-3</v>
      </c>
    </row>
    <row r="3758" spans="1:10">
      <c r="A3758" t="s">
        <v>3840</v>
      </c>
      <c r="B3758">
        <v>20</v>
      </c>
      <c r="C3758" t="s">
        <v>9</v>
      </c>
      <c r="D3758">
        <v>10</v>
      </c>
      <c r="E3758">
        <v>29</v>
      </c>
      <c r="F3758">
        <v>7.1000000000000002E-4</v>
      </c>
      <c r="G3758">
        <v>0</v>
      </c>
      <c r="H3758" t="str">
        <f t="shared" si="174"/>
        <v>20-29</v>
      </c>
      <c r="I3758" t="str">
        <f t="shared" si="175"/>
        <v>10-19</v>
      </c>
      <c r="J3758">
        <f t="shared" si="176"/>
        <v>7.1000000000000002E-4</v>
      </c>
    </row>
    <row r="3759" spans="1:10">
      <c r="A3759" t="s">
        <v>3841</v>
      </c>
      <c r="B3759">
        <v>59</v>
      </c>
      <c r="C3759" t="s">
        <v>7</v>
      </c>
      <c r="D3759">
        <v>16</v>
      </c>
      <c r="E3759">
        <v>74</v>
      </c>
      <c r="F3759">
        <v>1.865E-2</v>
      </c>
      <c r="G3759">
        <v>0</v>
      </c>
      <c r="H3759" t="str">
        <f t="shared" si="174"/>
        <v>70-79</v>
      </c>
      <c r="I3759" t="str">
        <f t="shared" si="175"/>
        <v>10-19</v>
      </c>
      <c r="J3759">
        <f t="shared" si="176"/>
        <v>1.865E-2</v>
      </c>
    </row>
    <row r="3760" spans="1:10">
      <c r="A3760" t="s">
        <v>3842</v>
      </c>
      <c r="B3760">
        <v>55</v>
      </c>
      <c r="C3760" t="s">
        <v>9</v>
      </c>
      <c r="D3760">
        <v>19</v>
      </c>
      <c r="E3760">
        <v>73</v>
      </c>
      <c r="F3760">
        <v>2.3859999999999999E-2</v>
      </c>
      <c r="G3760">
        <v>0</v>
      </c>
      <c r="H3760" t="str">
        <f t="shared" si="174"/>
        <v>70-79</v>
      </c>
      <c r="I3760" t="str">
        <f t="shared" si="175"/>
        <v>10-19</v>
      </c>
      <c r="J3760">
        <f t="shared" si="176"/>
        <v>2.3859999999999999E-2</v>
      </c>
    </row>
    <row r="3761" spans="1:10">
      <c r="A3761" t="s">
        <v>3843</v>
      </c>
      <c r="B3761">
        <v>53</v>
      </c>
      <c r="C3761" t="s">
        <v>9</v>
      </c>
      <c r="D3761">
        <v>19</v>
      </c>
      <c r="E3761">
        <v>71</v>
      </c>
      <c r="F3761">
        <v>1.8769999999999998E-2</v>
      </c>
      <c r="G3761">
        <v>0</v>
      </c>
      <c r="H3761" t="str">
        <f t="shared" si="174"/>
        <v>70-79</v>
      </c>
      <c r="I3761" t="str">
        <f t="shared" si="175"/>
        <v>10-19</v>
      </c>
      <c r="J3761">
        <f t="shared" si="176"/>
        <v>1.8769999999999998E-2</v>
      </c>
    </row>
    <row r="3762" spans="1:10">
      <c r="A3762" t="s">
        <v>3844</v>
      </c>
      <c r="B3762">
        <v>44</v>
      </c>
      <c r="C3762" t="s">
        <v>9</v>
      </c>
      <c r="D3762">
        <v>24</v>
      </c>
      <c r="E3762">
        <v>67</v>
      </c>
      <c r="F3762">
        <v>1.273E-2</v>
      </c>
      <c r="G3762">
        <v>0</v>
      </c>
      <c r="H3762" t="str">
        <f t="shared" si="174"/>
        <v>60-69</v>
      </c>
      <c r="I3762" t="str">
        <f t="shared" si="175"/>
        <v>20-29</v>
      </c>
      <c r="J3762">
        <f t="shared" si="176"/>
        <v>1.273E-2</v>
      </c>
    </row>
    <row r="3763" spans="1:10">
      <c r="A3763" t="s">
        <v>3845</v>
      </c>
      <c r="B3763">
        <v>43</v>
      </c>
      <c r="C3763" t="s">
        <v>7</v>
      </c>
      <c r="D3763">
        <v>26</v>
      </c>
      <c r="E3763">
        <v>68</v>
      </c>
      <c r="F3763">
        <v>1.141E-2</v>
      </c>
      <c r="G3763">
        <v>0</v>
      </c>
      <c r="H3763" t="str">
        <f t="shared" si="174"/>
        <v>60-69</v>
      </c>
      <c r="I3763" t="str">
        <f t="shared" si="175"/>
        <v>20-29</v>
      </c>
      <c r="J3763">
        <f t="shared" si="176"/>
        <v>1.141E-2</v>
      </c>
    </row>
    <row r="3764" spans="1:10">
      <c r="A3764" t="s">
        <v>3846</v>
      </c>
      <c r="B3764">
        <v>43</v>
      </c>
      <c r="C3764" t="s">
        <v>7</v>
      </c>
      <c r="D3764">
        <v>29</v>
      </c>
      <c r="E3764">
        <v>71</v>
      </c>
      <c r="F3764">
        <v>1.141E-2</v>
      </c>
      <c r="G3764">
        <v>0</v>
      </c>
      <c r="H3764" t="str">
        <f t="shared" si="174"/>
        <v>70-79</v>
      </c>
      <c r="I3764" t="str">
        <f t="shared" si="175"/>
        <v>20-29</v>
      </c>
      <c r="J3764">
        <f t="shared" si="176"/>
        <v>1.141E-2</v>
      </c>
    </row>
    <row r="3765" spans="1:10">
      <c r="A3765" t="s">
        <v>3847</v>
      </c>
      <c r="B3765">
        <v>54</v>
      </c>
      <c r="C3765" t="s">
        <v>9</v>
      </c>
      <c r="D3765">
        <v>12</v>
      </c>
      <c r="E3765">
        <v>65</v>
      </c>
      <c r="F3765">
        <v>9.8300000000000002E-3</v>
      </c>
      <c r="G3765">
        <v>0</v>
      </c>
      <c r="H3765" t="str">
        <f t="shared" si="174"/>
        <v>60-69</v>
      </c>
      <c r="I3765" t="str">
        <f t="shared" si="175"/>
        <v>10-19</v>
      </c>
      <c r="J3765">
        <f t="shared" si="176"/>
        <v>9.8300000000000002E-3</v>
      </c>
    </row>
    <row r="3766" spans="1:10">
      <c r="A3766" t="s">
        <v>3848</v>
      </c>
      <c r="B3766">
        <v>40</v>
      </c>
      <c r="C3766" t="s">
        <v>7</v>
      </c>
      <c r="D3766">
        <v>28</v>
      </c>
      <c r="E3766">
        <v>67</v>
      </c>
      <c r="F3766">
        <v>8.3099999999999997E-3</v>
      </c>
      <c r="G3766">
        <v>0</v>
      </c>
      <c r="H3766" t="str">
        <f t="shared" si="174"/>
        <v>60-69</v>
      </c>
      <c r="I3766" t="str">
        <f t="shared" si="175"/>
        <v>20-29</v>
      </c>
      <c r="J3766">
        <f t="shared" si="176"/>
        <v>8.3099999999999997E-3</v>
      </c>
    </row>
    <row r="3767" spans="1:10">
      <c r="A3767" t="s">
        <v>3849</v>
      </c>
      <c r="B3767">
        <v>54</v>
      </c>
      <c r="C3767" t="s">
        <v>9</v>
      </c>
      <c r="D3767">
        <v>19</v>
      </c>
      <c r="E3767">
        <v>72</v>
      </c>
      <c r="F3767">
        <v>2.1139999999999999E-2</v>
      </c>
      <c r="G3767">
        <v>0</v>
      </c>
      <c r="H3767" t="str">
        <f t="shared" si="174"/>
        <v>70-79</v>
      </c>
      <c r="I3767" t="str">
        <f t="shared" si="175"/>
        <v>10-19</v>
      </c>
      <c r="J3767">
        <f t="shared" si="176"/>
        <v>2.1139999999999999E-2</v>
      </c>
    </row>
    <row r="3768" spans="1:10">
      <c r="A3768" t="s">
        <v>3850</v>
      </c>
      <c r="B3768">
        <v>52</v>
      </c>
      <c r="C3768" t="s">
        <v>9</v>
      </c>
      <c r="D3768">
        <v>23</v>
      </c>
      <c r="E3768">
        <v>74</v>
      </c>
      <c r="F3768">
        <v>2.665E-2</v>
      </c>
      <c r="G3768">
        <v>0</v>
      </c>
      <c r="H3768" t="str">
        <f t="shared" si="174"/>
        <v>70-79</v>
      </c>
      <c r="I3768" t="str">
        <f t="shared" si="175"/>
        <v>20-29</v>
      </c>
      <c r="J3768">
        <f t="shared" si="176"/>
        <v>2.665E-2</v>
      </c>
    </row>
    <row r="3769" spans="1:10">
      <c r="A3769" t="s">
        <v>3851</v>
      </c>
      <c r="B3769">
        <v>58</v>
      </c>
      <c r="C3769" t="s">
        <v>7</v>
      </c>
      <c r="D3769">
        <v>8</v>
      </c>
      <c r="E3769">
        <v>65</v>
      </c>
      <c r="F3769">
        <v>5.9300000000000004E-3</v>
      </c>
      <c r="G3769">
        <v>0</v>
      </c>
      <c r="H3769" t="str">
        <f t="shared" si="174"/>
        <v>60-69</v>
      </c>
      <c r="I3769" t="str">
        <f t="shared" si="175"/>
        <v>0-9</v>
      </c>
      <c r="J3769">
        <f t="shared" si="176"/>
        <v>5.9300000000000004E-3</v>
      </c>
    </row>
    <row r="3770" spans="1:10">
      <c r="A3770" t="s">
        <v>3852</v>
      </c>
      <c r="B3770">
        <v>61</v>
      </c>
      <c r="C3770" t="s">
        <v>7</v>
      </c>
      <c r="D3770">
        <v>18</v>
      </c>
      <c r="E3770">
        <v>78</v>
      </c>
      <c r="F3770">
        <v>2.9340000000000001E-2</v>
      </c>
      <c r="G3770">
        <v>0</v>
      </c>
      <c r="H3770" t="str">
        <f t="shared" si="174"/>
        <v>70-79</v>
      </c>
      <c r="I3770" t="str">
        <f t="shared" si="175"/>
        <v>10-19</v>
      </c>
      <c r="J3770">
        <f t="shared" si="176"/>
        <v>2.9340000000000001E-2</v>
      </c>
    </row>
    <row r="3771" spans="1:10">
      <c r="A3771" t="s">
        <v>3853</v>
      </c>
      <c r="B3771">
        <v>37</v>
      </c>
      <c r="C3771" t="s">
        <v>7</v>
      </c>
      <c r="D3771">
        <v>19</v>
      </c>
      <c r="E3771">
        <v>55</v>
      </c>
      <c r="F3771">
        <v>2.9499999999999999E-3</v>
      </c>
      <c r="G3771">
        <v>0</v>
      </c>
      <c r="H3771" t="str">
        <f t="shared" si="174"/>
        <v>50-59</v>
      </c>
      <c r="I3771" t="str">
        <f t="shared" si="175"/>
        <v>10-19</v>
      </c>
      <c r="J3771">
        <f t="shared" si="176"/>
        <v>2.9499999999999999E-3</v>
      </c>
    </row>
    <row r="3772" spans="1:10">
      <c r="A3772" t="s">
        <v>3854</v>
      </c>
      <c r="B3772">
        <v>48</v>
      </c>
      <c r="C3772" t="s">
        <v>7</v>
      </c>
      <c r="D3772">
        <v>16</v>
      </c>
      <c r="E3772">
        <v>63</v>
      </c>
      <c r="F3772">
        <v>6.3899999999999998E-3</v>
      </c>
      <c r="G3772">
        <v>0</v>
      </c>
      <c r="H3772" t="str">
        <f t="shared" si="174"/>
        <v>60-69</v>
      </c>
      <c r="I3772" t="str">
        <f t="shared" si="175"/>
        <v>10-19</v>
      </c>
      <c r="J3772">
        <f t="shared" si="176"/>
        <v>6.3899999999999998E-3</v>
      </c>
    </row>
    <row r="3773" spans="1:10">
      <c r="A3773" t="s">
        <v>3855</v>
      </c>
      <c r="B3773">
        <v>30</v>
      </c>
      <c r="C3773" t="s">
        <v>7</v>
      </c>
      <c r="D3773">
        <v>1</v>
      </c>
      <c r="E3773">
        <v>30</v>
      </c>
      <c r="F3773">
        <v>1.2E-4</v>
      </c>
      <c r="G3773">
        <v>0</v>
      </c>
      <c r="H3773" t="str">
        <f t="shared" si="174"/>
        <v>30-39</v>
      </c>
      <c r="I3773" t="str">
        <f t="shared" si="175"/>
        <v>0-9</v>
      </c>
      <c r="J3773">
        <f t="shared" si="176"/>
        <v>1.2E-4</v>
      </c>
    </row>
    <row r="3774" spans="1:10">
      <c r="A3774" t="s">
        <v>3856</v>
      </c>
      <c r="B3774">
        <v>23</v>
      </c>
      <c r="C3774" t="s">
        <v>9</v>
      </c>
      <c r="D3774">
        <v>29</v>
      </c>
      <c r="E3774">
        <v>51</v>
      </c>
      <c r="F3774">
        <v>2.7399999999999998E-3</v>
      </c>
      <c r="G3774">
        <v>0</v>
      </c>
      <c r="H3774" t="str">
        <f t="shared" si="174"/>
        <v>50-59</v>
      </c>
      <c r="I3774" t="str">
        <f t="shared" si="175"/>
        <v>20-29</v>
      </c>
      <c r="J3774">
        <f t="shared" si="176"/>
        <v>2.7399999999999998E-3</v>
      </c>
    </row>
    <row r="3775" spans="1:10">
      <c r="A3775" t="s">
        <v>3857</v>
      </c>
      <c r="B3775">
        <v>29</v>
      </c>
      <c r="C3775" t="s">
        <v>7</v>
      </c>
      <c r="D3775">
        <v>3</v>
      </c>
      <c r="E3775">
        <v>31</v>
      </c>
      <c r="F3775">
        <v>2.1000000000000001E-4</v>
      </c>
      <c r="G3775">
        <v>0</v>
      </c>
      <c r="H3775" t="str">
        <f t="shared" si="174"/>
        <v>30-39</v>
      </c>
      <c r="I3775" t="str">
        <f t="shared" si="175"/>
        <v>0-9</v>
      </c>
      <c r="J3775">
        <f t="shared" si="176"/>
        <v>2.1000000000000001E-4</v>
      </c>
    </row>
    <row r="3776" spans="1:10">
      <c r="A3776" t="s">
        <v>3858</v>
      </c>
      <c r="B3776">
        <v>37</v>
      </c>
      <c r="C3776" t="s">
        <v>9</v>
      </c>
      <c r="D3776">
        <v>19</v>
      </c>
      <c r="E3776">
        <v>55</v>
      </c>
      <c r="F3776">
        <v>3.82E-3</v>
      </c>
      <c r="G3776">
        <v>0</v>
      </c>
      <c r="H3776" t="str">
        <f t="shared" si="174"/>
        <v>50-59</v>
      </c>
      <c r="I3776" t="str">
        <f t="shared" si="175"/>
        <v>10-19</v>
      </c>
      <c r="J3776">
        <f t="shared" si="176"/>
        <v>3.82E-3</v>
      </c>
    </row>
    <row r="3777" spans="1:10">
      <c r="A3777" t="s">
        <v>3859</v>
      </c>
      <c r="B3777">
        <v>21</v>
      </c>
      <c r="C3777" t="s">
        <v>7</v>
      </c>
      <c r="D3777">
        <v>23</v>
      </c>
      <c r="E3777">
        <v>43</v>
      </c>
      <c r="F3777">
        <v>1.2800000000000001E-3</v>
      </c>
      <c r="G3777">
        <v>0</v>
      </c>
      <c r="H3777" t="str">
        <f t="shared" si="174"/>
        <v>40-49</v>
      </c>
      <c r="I3777" t="str">
        <f t="shared" si="175"/>
        <v>20-29</v>
      </c>
      <c r="J3777">
        <f t="shared" si="176"/>
        <v>1.2800000000000001E-3</v>
      </c>
    </row>
    <row r="3778" spans="1:10">
      <c r="A3778" t="s">
        <v>3860</v>
      </c>
      <c r="B3778">
        <v>28</v>
      </c>
      <c r="C3778" t="s">
        <v>9</v>
      </c>
      <c r="D3778">
        <v>13</v>
      </c>
      <c r="E3778">
        <v>40</v>
      </c>
      <c r="F3778">
        <v>1.1100000000000001E-3</v>
      </c>
      <c r="G3778">
        <v>0</v>
      </c>
      <c r="H3778" t="str">
        <f t="shared" si="174"/>
        <v>40-49</v>
      </c>
      <c r="I3778" t="str">
        <f t="shared" si="175"/>
        <v>10-19</v>
      </c>
      <c r="J3778">
        <f t="shared" si="176"/>
        <v>1.1100000000000001E-3</v>
      </c>
    </row>
    <row r="3779" spans="1:10">
      <c r="A3779" t="s">
        <v>3861</v>
      </c>
      <c r="B3779">
        <v>54</v>
      </c>
      <c r="C3779" t="s">
        <v>7</v>
      </c>
      <c r="D3779">
        <v>23</v>
      </c>
      <c r="E3779">
        <v>76</v>
      </c>
      <c r="F3779">
        <v>2.58E-2</v>
      </c>
      <c r="G3779">
        <v>0</v>
      </c>
      <c r="H3779" t="str">
        <f t="shared" ref="H3779:H3842" si="177">FLOOR(E3779,10) &amp; "-" &amp; FLOOR(E3779,10)+9</f>
        <v>70-79</v>
      </c>
      <c r="I3779" t="str">
        <f t="shared" ref="I3779:I3842" si="178">FLOOR(D3779, 10) &amp; "-"&amp;FLOOR(D3779, 10)+9</f>
        <v>20-29</v>
      </c>
      <c r="J3779">
        <f t="shared" ref="J3779:J3842" si="179">F3779</f>
        <v>2.58E-2</v>
      </c>
    </row>
    <row r="3780" spans="1:10">
      <c r="A3780" t="s">
        <v>3862</v>
      </c>
      <c r="B3780">
        <v>56</v>
      </c>
      <c r="C3780" t="s">
        <v>7</v>
      </c>
      <c r="D3780">
        <v>26</v>
      </c>
      <c r="E3780">
        <v>81</v>
      </c>
      <c r="F3780">
        <v>4.4880000000000003E-2</v>
      </c>
      <c r="G3780">
        <v>0</v>
      </c>
      <c r="H3780" t="str">
        <f t="shared" si="177"/>
        <v>80-89</v>
      </c>
      <c r="I3780" t="str">
        <f t="shared" si="178"/>
        <v>20-29</v>
      </c>
      <c r="J3780">
        <f t="shared" si="179"/>
        <v>4.4880000000000003E-2</v>
      </c>
    </row>
    <row r="3781" spans="1:10">
      <c r="A3781" t="s">
        <v>3863</v>
      </c>
      <c r="B3781">
        <v>29</v>
      </c>
      <c r="C3781" t="s">
        <v>7</v>
      </c>
      <c r="D3781">
        <v>25</v>
      </c>
      <c r="E3781">
        <v>53</v>
      </c>
      <c r="F3781">
        <v>2.5899999999999999E-3</v>
      </c>
      <c r="G3781">
        <v>0</v>
      </c>
      <c r="H3781" t="str">
        <f t="shared" si="177"/>
        <v>50-59</v>
      </c>
      <c r="I3781" t="str">
        <f t="shared" si="178"/>
        <v>20-29</v>
      </c>
      <c r="J3781">
        <f t="shared" si="179"/>
        <v>2.5899999999999999E-3</v>
      </c>
    </row>
    <row r="3782" spans="1:10">
      <c r="A3782" t="s">
        <v>3864</v>
      </c>
      <c r="B3782">
        <v>40</v>
      </c>
      <c r="C3782" t="s">
        <v>9</v>
      </c>
      <c r="D3782">
        <v>28</v>
      </c>
      <c r="E3782">
        <v>67</v>
      </c>
      <c r="F3782">
        <v>1.064E-2</v>
      </c>
      <c r="G3782">
        <v>0</v>
      </c>
      <c r="H3782" t="str">
        <f t="shared" si="177"/>
        <v>60-69</v>
      </c>
      <c r="I3782" t="str">
        <f t="shared" si="178"/>
        <v>20-29</v>
      </c>
      <c r="J3782">
        <f t="shared" si="179"/>
        <v>1.064E-2</v>
      </c>
    </row>
    <row r="3783" spans="1:10">
      <c r="A3783" t="s">
        <v>3865</v>
      </c>
      <c r="B3783">
        <v>65</v>
      </c>
      <c r="C3783" t="s">
        <v>9</v>
      </c>
      <c r="D3783">
        <v>25</v>
      </c>
      <c r="E3783">
        <v>89</v>
      </c>
      <c r="F3783">
        <v>0.14881</v>
      </c>
      <c r="G3783">
        <v>1</v>
      </c>
      <c r="H3783" t="str">
        <f t="shared" si="177"/>
        <v>80-89</v>
      </c>
      <c r="I3783" t="str">
        <f t="shared" si="178"/>
        <v>20-29</v>
      </c>
      <c r="J3783">
        <f t="shared" si="179"/>
        <v>0.14881</v>
      </c>
    </row>
    <row r="3784" spans="1:10">
      <c r="A3784" t="s">
        <v>3866</v>
      </c>
      <c r="B3784">
        <v>24</v>
      </c>
      <c r="C3784" t="s">
        <v>9</v>
      </c>
      <c r="D3784">
        <v>20</v>
      </c>
      <c r="E3784">
        <v>43</v>
      </c>
      <c r="F3784">
        <v>1.8500000000000001E-3</v>
      </c>
      <c r="G3784">
        <v>0</v>
      </c>
      <c r="H3784" t="str">
        <f t="shared" si="177"/>
        <v>40-49</v>
      </c>
      <c r="I3784" t="str">
        <f t="shared" si="178"/>
        <v>20-29</v>
      </c>
      <c r="J3784">
        <f t="shared" si="179"/>
        <v>1.8500000000000001E-3</v>
      </c>
    </row>
    <row r="3785" spans="1:10">
      <c r="A3785" t="s">
        <v>3867</v>
      </c>
      <c r="B3785">
        <v>30</v>
      </c>
      <c r="C3785" t="s">
        <v>9</v>
      </c>
      <c r="D3785">
        <v>24</v>
      </c>
      <c r="E3785">
        <v>53</v>
      </c>
      <c r="F3785">
        <v>3.3600000000000001E-3</v>
      </c>
      <c r="G3785">
        <v>0</v>
      </c>
      <c r="H3785" t="str">
        <f t="shared" si="177"/>
        <v>50-59</v>
      </c>
      <c r="I3785" t="str">
        <f t="shared" si="178"/>
        <v>20-29</v>
      </c>
      <c r="J3785">
        <f t="shared" si="179"/>
        <v>3.3600000000000001E-3</v>
      </c>
    </row>
    <row r="3786" spans="1:10">
      <c r="A3786" t="s">
        <v>3868</v>
      </c>
      <c r="B3786">
        <v>31</v>
      </c>
      <c r="C3786" t="s">
        <v>9</v>
      </c>
      <c r="D3786">
        <v>27</v>
      </c>
      <c r="E3786">
        <v>57</v>
      </c>
      <c r="F3786">
        <v>4.3899999999999998E-3</v>
      </c>
      <c r="G3786">
        <v>0</v>
      </c>
      <c r="H3786" t="str">
        <f t="shared" si="177"/>
        <v>50-59</v>
      </c>
      <c r="I3786" t="str">
        <f t="shared" si="178"/>
        <v>20-29</v>
      </c>
      <c r="J3786">
        <f t="shared" si="179"/>
        <v>4.3899999999999998E-3</v>
      </c>
    </row>
    <row r="3787" spans="1:10">
      <c r="A3787" t="s">
        <v>3869</v>
      </c>
      <c r="B3787">
        <v>51</v>
      </c>
      <c r="C3787" t="s">
        <v>9</v>
      </c>
      <c r="D3787">
        <v>24</v>
      </c>
      <c r="E3787">
        <v>74</v>
      </c>
      <c r="F3787">
        <v>2.6859999999999998E-2</v>
      </c>
      <c r="G3787">
        <v>0</v>
      </c>
      <c r="H3787" t="str">
        <f t="shared" si="177"/>
        <v>70-79</v>
      </c>
      <c r="I3787" t="str">
        <f t="shared" si="178"/>
        <v>20-29</v>
      </c>
      <c r="J3787">
        <f t="shared" si="179"/>
        <v>2.6859999999999998E-2</v>
      </c>
    </row>
    <row r="3788" spans="1:10">
      <c r="A3788" t="s">
        <v>3870</v>
      </c>
      <c r="B3788">
        <v>45</v>
      </c>
      <c r="C3788" t="s">
        <v>7</v>
      </c>
      <c r="D3788">
        <v>19</v>
      </c>
      <c r="E3788">
        <v>63</v>
      </c>
      <c r="F3788">
        <v>6.5500000000000003E-3</v>
      </c>
      <c r="G3788">
        <v>0</v>
      </c>
      <c r="H3788" t="str">
        <f t="shared" si="177"/>
        <v>60-69</v>
      </c>
      <c r="I3788" t="str">
        <f t="shared" si="178"/>
        <v>10-19</v>
      </c>
      <c r="J3788">
        <f t="shared" si="179"/>
        <v>6.5500000000000003E-3</v>
      </c>
    </row>
    <row r="3789" spans="1:10">
      <c r="A3789" t="s">
        <v>3871</v>
      </c>
      <c r="B3789">
        <v>46</v>
      </c>
      <c r="C3789" t="s">
        <v>7</v>
      </c>
      <c r="D3789">
        <v>13</v>
      </c>
      <c r="E3789">
        <v>58</v>
      </c>
      <c r="F3789">
        <v>3.5999999999999999E-3</v>
      </c>
      <c r="G3789">
        <v>0</v>
      </c>
      <c r="H3789" t="str">
        <f t="shared" si="177"/>
        <v>50-59</v>
      </c>
      <c r="I3789" t="str">
        <f t="shared" si="178"/>
        <v>10-19</v>
      </c>
      <c r="J3789">
        <f t="shared" si="179"/>
        <v>3.5999999999999999E-3</v>
      </c>
    </row>
    <row r="3790" spans="1:10">
      <c r="A3790" t="s">
        <v>3872</v>
      </c>
      <c r="B3790">
        <v>41</v>
      </c>
      <c r="C3790" t="s">
        <v>9</v>
      </c>
      <c r="D3790">
        <v>6</v>
      </c>
      <c r="E3790">
        <v>46</v>
      </c>
      <c r="F3790">
        <v>1.2199999999999999E-3</v>
      </c>
      <c r="G3790">
        <v>0</v>
      </c>
      <c r="H3790" t="str">
        <f t="shared" si="177"/>
        <v>40-49</v>
      </c>
      <c r="I3790" t="str">
        <f t="shared" si="178"/>
        <v>0-9</v>
      </c>
      <c r="J3790">
        <f t="shared" si="179"/>
        <v>1.2199999999999999E-3</v>
      </c>
    </row>
    <row r="3791" spans="1:10">
      <c r="A3791" t="s">
        <v>3873</v>
      </c>
      <c r="B3791">
        <v>65</v>
      </c>
      <c r="C3791" t="s">
        <v>7</v>
      </c>
      <c r="D3791">
        <v>14</v>
      </c>
      <c r="E3791">
        <v>78</v>
      </c>
      <c r="F3791">
        <v>2.564E-2</v>
      </c>
      <c r="G3791">
        <v>0</v>
      </c>
      <c r="H3791" t="str">
        <f t="shared" si="177"/>
        <v>70-79</v>
      </c>
      <c r="I3791" t="str">
        <f t="shared" si="178"/>
        <v>10-19</v>
      </c>
      <c r="J3791">
        <f t="shared" si="179"/>
        <v>2.564E-2</v>
      </c>
    </row>
    <row r="3792" spans="1:10">
      <c r="A3792" t="s">
        <v>3874</v>
      </c>
      <c r="B3792">
        <v>31</v>
      </c>
      <c r="C3792" t="s">
        <v>9</v>
      </c>
      <c r="D3792">
        <v>9</v>
      </c>
      <c r="E3792">
        <v>39</v>
      </c>
      <c r="F3792">
        <v>8.1999999999999998E-4</v>
      </c>
      <c r="G3792">
        <v>0</v>
      </c>
      <c r="H3792" t="str">
        <f t="shared" si="177"/>
        <v>30-39</v>
      </c>
      <c r="I3792" t="str">
        <f t="shared" si="178"/>
        <v>0-9</v>
      </c>
      <c r="J3792">
        <f t="shared" si="179"/>
        <v>8.1999999999999998E-4</v>
      </c>
    </row>
    <row r="3793" spans="1:10">
      <c r="A3793" t="s">
        <v>3875</v>
      </c>
      <c r="B3793">
        <v>61</v>
      </c>
      <c r="C3793" t="s">
        <v>9</v>
      </c>
      <c r="D3793">
        <v>21</v>
      </c>
      <c r="E3793">
        <v>81</v>
      </c>
      <c r="F3793">
        <v>5.6829999999999999E-2</v>
      </c>
      <c r="G3793">
        <v>0</v>
      </c>
      <c r="H3793" t="str">
        <f t="shared" si="177"/>
        <v>80-89</v>
      </c>
      <c r="I3793" t="str">
        <f t="shared" si="178"/>
        <v>20-29</v>
      </c>
      <c r="J3793">
        <f t="shared" si="179"/>
        <v>5.6829999999999999E-2</v>
      </c>
    </row>
    <row r="3794" spans="1:10">
      <c r="A3794" t="s">
        <v>3876</v>
      </c>
      <c r="B3794">
        <v>26</v>
      </c>
      <c r="C3794" t="s">
        <v>9</v>
      </c>
      <c r="D3794">
        <v>17</v>
      </c>
      <c r="E3794">
        <v>42</v>
      </c>
      <c r="F3794">
        <v>1.56E-3</v>
      </c>
      <c r="G3794">
        <v>0</v>
      </c>
      <c r="H3794" t="str">
        <f t="shared" si="177"/>
        <v>40-49</v>
      </c>
      <c r="I3794" t="str">
        <f t="shared" si="178"/>
        <v>10-19</v>
      </c>
      <c r="J3794">
        <f t="shared" si="179"/>
        <v>1.56E-3</v>
      </c>
    </row>
    <row r="3795" spans="1:10">
      <c r="A3795" t="s">
        <v>3877</v>
      </c>
      <c r="B3795">
        <v>23</v>
      </c>
      <c r="C3795" t="s">
        <v>9</v>
      </c>
      <c r="D3795">
        <v>18</v>
      </c>
      <c r="E3795">
        <v>40</v>
      </c>
      <c r="F3795">
        <v>1.4599999999999999E-3</v>
      </c>
      <c r="G3795">
        <v>0</v>
      </c>
      <c r="H3795" t="str">
        <f t="shared" si="177"/>
        <v>40-49</v>
      </c>
      <c r="I3795" t="str">
        <f t="shared" si="178"/>
        <v>10-19</v>
      </c>
      <c r="J3795">
        <f t="shared" si="179"/>
        <v>1.4599999999999999E-3</v>
      </c>
    </row>
    <row r="3796" spans="1:10">
      <c r="A3796" t="s">
        <v>3878</v>
      </c>
      <c r="B3796">
        <v>30</v>
      </c>
      <c r="C3796" t="s">
        <v>7</v>
      </c>
      <c r="D3796">
        <v>1</v>
      </c>
      <c r="E3796">
        <v>30</v>
      </c>
      <c r="F3796">
        <v>1.2E-4</v>
      </c>
      <c r="G3796">
        <v>0</v>
      </c>
      <c r="H3796" t="str">
        <f t="shared" si="177"/>
        <v>30-39</v>
      </c>
      <c r="I3796" t="str">
        <f t="shared" si="178"/>
        <v>0-9</v>
      </c>
      <c r="J3796">
        <f t="shared" si="179"/>
        <v>1.2E-4</v>
      </c>
    </row>
    <row r="3797" spans="1:10">
      <c r="A3797" t="s">
        <v>3879</v>
      </c>
      <c r="B3797">
        <v>20</v>
      </c>
      <c r="C3797" t="s">
        <v>9</v>
      </c>
      <c r="D3797">
        <v>11</v>
      </c>
      <c r="E3797">
        <v>30</v>
      </c>
      <c r="F3797">
        <v>7.1000000000000002E-4</v>
      </c>
      <c r="G3797">
        <v>0</v>
      </c>
      <c r="H3797" t="str">
        <f t="shared" si="177"/>
        <v>30-39</v>
      </c>
      <c r="I3797" t="str">
        <f t="shared" si="178"/>
        <v>10-19</v>
      </c>
      <c r="J3797">
        <f t="shared" si="179"/>
        <v>7.1000000000000002E-4</v>
      </c>
    </row>
    <row r="3798" spans="1:10">
      <c r="A3798" t="s">
        <v>3880</v>
      </c>
      <c r="B3798">
        <v>56</v>
      </c>
      <c r="C3798" t="s">
        <v>9</v>
      </c>
      <c r="D3798">
        <v>19</v>
      </c>
      <c r="E3798">
        <v>74</v>
      </c>
      <c r="F3798">
        <v>2.6550000000000001E-2</v>
      </c>
      <c r="G3798">
        <v>0</v>
      </c>
      <c r="H3798" t="str">
        <f t="shared" si="177"/>
        <v>70-79</v>
      </c>
      <c r="I3798" t="str">
        <f t="shared" si="178"/>
        <v>10-19</v>
      </c>
      <c r="J3798">
        <f t="shared" si="179"/>
        <v>2.6550000000000001E-2</v>
      </c>
    </row>
    <row r="3799" spans="1:10">
      <c r="A3799" t="s">
        <v>3881</v>
      </c>
      <c r="B3799">
        <v>31</v>
      </c>
      <c r="C3799" t="s">
        <v>7</v>
      </c>
      <c r="D3799">
        <v>7</v>
      </c>
      <c r="E3799">
        <v>37</v>
      </c>
      <c r="F3799">
        <v>4.8000000000000001E-4</v>
      </c>
      <c r="G3799">
        <v>0</v>
      </c>
      <c r="H3799" t="str">
        <f t="shared" si="177"/>
        <v>30-39</v>
      </c>
      <c r="I3799" t="str">
        <f t="shared" si="178"/>
        <v>0-9</v>
      </c>
      <c r="J3799">
        <f t="shared" si="179"/>
        <v>4.8000000000000001E-4</v>
      </c>
    </row>
    <row r="3800" spans="1:10">
      <c r="A3800" t="s">
        <v>3882</v>
      </c>
      <c r="B3800">
        <v>54</v>
      </c>
      <c r="C3800" t="s">
        <v>7</v>
      </c>
      <c r="D3800">
        <v>7</v>
      </c>
      <c r="E3800">
        <v>60</v>
      </c>
      <c r="F3800">
        <v>3.48E-3</v>
      </c>
      <c r="G3800">
        <v>0</v>
      </c>
      <c r="H3800" t="str">
        <f t="shared" si="177"/>
        <v>60-69</v>
      </c>
      <c r="I3800" t="str">
        <f t="shared" si="178"/>
        <v>0-9</v>
      </c>
      <c r="J3800">
        <f t="shared" si="179"/>
        <v>3.48E-3</v>
      </c>
    </row>
    <row r="3801" spans="1:10">
      <c r="A3801" t="s">
        <v>3883</v>
      </c>
      <c r="B3801">
        <v>63</v>
      </c>
      <c r="C3801" t="s">
        <v>9</v>
      </c>
      <c r="D3801">
        <v>30</v>
      </c>
      <c r="E3801">
        <v>92</v>
      </c>
      <c r="F3801">
        <v>0.13258</v>
      </c>
      <c r="G3801">
        <v>0</v>
      </c>
      <c r="H3801" t="str">
        <f t="shared" si="177"/>
        <v>90-99</v>
      </c>
      <c r="I3801" t="str">
        <f t="shared" si="178"/>
        <v>30-39</v>
      </c>
      <c r="J3801">
        <f t="shared" si="179"/>
        <v>0.13258</v>
      </c>
    </row>
    <row r="3802" spans="1:10">
      <c r="A3802" t="s">
        <v>3884</v>
      </c>
      <c r="B3802">
        <v>31</v>
      </c>
      <c r="C3802" t="s">
        <v>9</v>
      </c>
      <c r="D3802">
        <v>29</v>
      </c>
      <c r="E3802">
        <v>59</v>
      </c>
      <c r="F3802">
        <v>4.3899999999999998E-3</v>
      </c>
      <c r="G3802">
        <v>0</v>
      </c>
      <c r="H3802" t="str">
        <f t="shared" si="177"/>
        <v>50-59</v>
      </c>
      <c r="I3802" t="str">
        <f t="shared" si="178"/>
        <v>20-29</v>
      </c>
      <c r="J3802">
        <f t="shared" si="179"/>
        <v>4.3899999999999998E-3</v>
      </c>
    </row>
    <row r="3803" spans="1:10">
      <c r="A3803" t="s">
        <v>3885</v>
      </c>
      <c r="B3803">
        <v>31</v>
      </c>
      <c r="C3803" t="s">
        <v>9</v>
      </c>
      <c r="D3803">
        <v>17</v>
      </c>
      <c r="E3803">
        <v>47</v>
      </c>
      <c r="F3803">
        <v>1.97E-3</v>
      </c>
      <c r="G3803">
        <v>0</v>
      </c>
      <c r="H3803" t="str">
        <f t="shared" si="177"/>
        <v>40-49</v>
      </c>
      <c r="I3803" t="str">
        <f t="shared" si="178"/>
        <v>10-19</v>
      </c>
      <c r="J3803">
        <f t="shared" si="179"/>
        <v>1.97E-3</v>
      </c>
    </row>
    <row r="3804" spans="1:10">
      <c r="A3804" t="s">
        <v>3886</v>
      </c>
      <c r="B3804">
        <v>21</v>
      </c>
      <c r="C3804" t="s">
        <v>9</v>
      </c>
      <c r="D3804">
        <v>20</v>
      </c>
      <c r="E3804">
        <v>40</v>
      </c>
      <c r="F3804">
        <v>1.67E-3</v>
      </c>
      <c r="G3804">
        <v>0</v>
      </c>
      <c r="H3804" t="str">
        <f t="shared" si="177"/>
        <v>40-49</v>
      </c>
      <c r="I3804" t="str">
        <f t="shared" si="178"/>
        <v>20-29</v>
      </c>
      <c r="J3804">
        <f t="shared" si="179"/>
        <v>1.67E-3</v>
      </c>
    </row>
    <row r="3805" spans="1:10">
      <c r="A3805" t="s">
        <v>3887</v>
      </c>
      <c r="B3805">
        <v>27</v>
      </c>
      <c r="C3805" t="s">
        <v>7</v>
      </c>
      <c r="D3805">
        <v>26</v>
      </c>
      <c r="E3805">
        <v>52</v>
      </c>
      <c r="F3805">
        <v>2.3800000000000002E-3</v>
      </c>
      <c r="G3805">
        <v>0</v>
      </c>
      <c r="H3805" t="str">
        <f t="shared" si="177"/>
        <v>50-59</v>
      </c>
      <c r="I3805" t="str">
        <f t="shared" si="178"/>
        <v>20-29</v>
      </c>
      <c r="J3805">
        <f t="shared" si="179"/>
        <v>2.3800000000000002E-3</v>
      </c>
    </row>
    <row r="3806" spans="1:10">
      <c r="A3806" t="s">
        <v>3888</v>
      </c>
      <c r="B3806">
        <v>26</v>
      </c>
      <c r="C3806" t="s">
        <v>7</v>
      </c>
      <c r="D3806">
        <v>12</v>
      </c>
      <c r="E3806">
        <v>37</v>
      </c>
      <c r="F3806">
        <v>6.4999999999999997E-4</v>
      </c>
      <c r="G3806">
        <v>0</v>
      </c>
      <c r="H3806" t="str">
        <f t="shared" si="177"/>
        <v>30-39</v>
      </c>
      <c r="I3806" t="str">
        <f t="shared" si="178"/>
        <v>10-19</v>
      </c>
      <c r="J3806">
        <f t="shared" si="179"/>
        <v>6.4999999999999997E-4</v>
      </c>
    </row>
    <row r="3807" spans="1:10">
      <c r="A3807" t="s">
        <v>3889</v>
      </c>
      <c r="B3807">
        <v>30</v>
      </c>
      <c r="C3807" t="s">
        <v>9</v>
      </c>
      <c r="D3807">
        <v>29</v>
      </c>
      <c r="E3807">
        <v>58</v>
      </c>
      <c r="F3807">
        <v>4.0499999999999998E-3</v>
      </c>
      <c r="G3807">
        <v>0</v>
      </c>
      <c r="H3807" t="str">
        <f t="shared" si="177"/>
        <v>50-59</v>
      </c>
      <c r="I3807" t="str">
        <f t="shared" si="178"/>
        <v>20-29</v>
      </c>
      <c r="J3807">
        <f t="shared" si="179"/>
        <v>4.0499999999999998E-3</v>
      </c>
    </row>
    <row r="3808" spans="1:10">
      <c r="A3808" t="s">
        <v>3890</v>
      </c>
      <c r="B3808">
        <v>29</v>
      </c>
      <c r="C3808" t="s">
        <v>7</v>
      </c>
      <c r="D3808">
        <v>20</v>
      </c>
      <c r="E3808">
        <v>48</v>
      </c>
      <c r="F3808">
        <v>1.6900000000000001E-3</v>
      </c>
      <c r="G3808">
        <v>0</v>
      </c>
      <c r="H3808" t="str">
        <f t="shared" si="177"/>
        <v>40-49</v>
      </c>
      <c r="I3808" t="str">
        <f t="shared" si="178"/>
        <v>20-29</v>
      </c>
      <c r="J3808">
        <f t="shared" si="179"/>
        <v>1.6900000000000001E-3</v>
      </c>
    </row>
    <row r="3809" spans="1:10">
      <c r="A3809" t="s">
        <v>3891</v>
      </c>
      <c r="B3809">
        <v>62</v>
      </c>
      <c r="C3809" t="s">
        <v>7</v>
      </c>
      <c r="D3809">
        <v>18</v>
      </c>
      <c r="E3809">
        <v>79</v>
      </c>
      <c r="F3809">
        <v>3.3279999999999997E-2</v>
      </c>
      <c r="G3809">
        <v>0</v>
      </c>
      <c r="H3809" t="str">
        <f t="shared" si="177"/>
        <v>70-79</v>
      </c>
      <c r="I3809" t="str">
        <f t="shared" si="178"/>
        <v>10-19</v>
      </c>
      <c r="J3809">
        <f t="shared" si="179"/>
        <v>3.3279999999999997E-2</v>
      </c>
    </row>
    <row r="3810" spans="1:10">
      <c r="A3810" t="s">
        <v>3892</v>
      </c>
      <c r="B3810">
        <v>27</v>
      </c>
      <c r="C3810" t="s">
        <v>7</v>
      </c>
      <c r="D3810">
        <v>22</v>
      </c>
      <c r="E3810">
        <v>48</v>
      </c>
      <c r="F3810">
        <v>1.73E-3</v>
      </c>
      <c r="G3810">
        <v>0</v>
      </c>
      <c r="H3810" t="str">
        <f t="shared" si="177"/>
        <v>40-49</v>
      </c>
      <c r="I3810" t="str">
        <f t="shared" si="178"/>
        <v>20-29</v>
      </c>
      <c r="J3810">
        <f t="shared" si="179"/>
        <v>1.73E-3</v>
      </c>
    </row>
    <row r="3811" spans="1:10">
      <c r="A3811" t="s">
        <v>3893</v>
      </c>
      <c r="B3811">
        <v>43</v>
      </c>
      <c r="C3811" t="s">
        <v>9</v>
      </c>
      <c r="D3811">
        <v>5</v>
      </c>
      <c r="E3811">
        <v>47</v>
      </c>
      <c r="F3811">
        <v>1.2800000000000001E-3</v>
      </c>
      <c r="G3811">
        <v>0</v>
      </c>
      <c r="H3811" t="str">
        <f t="shared" si="177"/>
        <v>40-49</v>
      </c>
      <c r="I3811" t="str">
        <f t="shared" si="178"/>
        <v>0-9</v>
      </c>
      <c r="J3811">
        <f t="shared" si="179"/>
        <v>1.2800000000000001E-3</v>
      </c>
    </row>
    <row r="3812" spans="1:10">
      <c r="A3812" t="s">
        <v>3894</v>
      </c>
      <c r="B3812">
        <v>32</v>
      </c>
      <c r="C3812" t="s">
        <v>9</v>
      </c>
      <c r="D3812">
        <v>26</v>
      </c>
      <c r="E3812">
        <v>57</v>
      </c>
      <c r="F3812">
        <v>4.7800000000000004E-3</v>
      </c>
      <c r="G3812">
        <v>0</v>
      </c>
      <c r="H3812" t="str">
        <f t="shared" si="177"/>
        <v>50-59</v>
      </c>
      <c r="I3812" t="str">
        <f t="shared" si="178"/>
        <v>20-29</v>
      </c>
      <c r="J3812">
        <f t="shared" si="179"/>
        <v>4.7800000000000004E-3</v>
      </c>
    </row>
    <row r="3813" spans="1:10">
      <c r="A3813" t="s">
        <v>3895</v>
      </c>
      <c r="B3813">
        <v>50</v>
      </c>
      <c r="C3813" t="s">
        <v>7</v>
      </c>
      <c r="D3813">
        <v>26</v>
      </c>
      <c r="E3813">
        <v>75</v>
      </c>
      <c r="F3813">
        <v>2.325E-2</v>
      </c>
      <c r="G3813">
        <v>0</v>
      </c>
      <c r="H3813" t="str">
        <f t="shared" si="177"/>
        <v>70-79</v>
      </c>
      <c r="I3813" t="str">
        <f t="shared" si="178"/>
        <v>20-29</v>
      </c>
      <c r="J3813">
        <f t="shared" si="179"/>
        <v>2.325E-2</v>
      </c>
    </row>
    <row r="3814" spans="1:10">
      <c r="A3814" t="s">
        <v>3896</v>
      </c>
      <c r="B3814">
        <v>57</v>
      </c>
      <c r="C3814" t="s">
        <v>7</v>
      </c>
      <c r="D3814">
        <v>4</v>
      </c>
      <c r="E3814">
        <v>60</v>
      </c>
      <c r="F3814">
        <v>2.7399999999999998E-3</v>
      </c>
      <c r="G3814">
        <v>0</v>
      </c>
      <c r="H3814" t="str">
        <f t="shared" si="177"/>
        <v>60-69</v>
      </c>
      <c r="I3814" t="str">
        <f t="shared" si="178"/>
        <v>0-9</v>
      </c>
      <c r="J3814">
        <f t="shared" si="179"/>
        <v>2.7399999999999998E-3</v>
      </c>
    </row>
    <row r="3815" spans="1:10">
      <c r="A3815" t="s">
        <v>3897</v>
      </c>
      <c r="B3815">
        <v>61</v>
      </c>
      <c r="C3815" t="s">
        <v>7</v>
      </c>
      <c r="D3815">
        <v>11</v>
      </c>
      <c r="E3815">
        <v>71</v>
      </c>
      <c r="F3815">
        <v>1.035E-2</v>
      </c>
      <c r="G3815">
        <v>0</v>
      </c>
      <c r="H3815" t="str">
        <f t="shared" si="177"/>
        <v>70-79</v>
      </c>
      <c r="I3815" t="str">
        <f t="shared" si="178"/>
        <v>10-19</v>
      </c>
      <c r="J3815">
        <f t="shared" si="179"/>
        <v>1.035E-2</v>
      </c>
    </row>
    <row r="3816" spans="1:10">
      <c r="A3816" t="s">
        <v>3898</v>
      </c>
      <c r="B3816">
        <v>64</v>
      </c>
      <c r="C3816" t="s">
        <v>7</v>
      </c>
      <c r="D3816">
        <v>18</v>
      </c>
      <c r="E3816">
        <v>81</v>
      </c>
      <c r="F3816">
        <v>4.3799999999999999E-2</v>
      </c>
      <c r="G3816">
        <v>0</v>
      </c>
      <c r="H3816" t="str">
        <f t="shared" si="177"/>
        <v>80-89</v>
      </c>
      <c r="I3816" t="str">
        <f t="shared" si="178"/>
        <v>10-19</v>
      </c>
      <c r="J3816">
        <f t="shared" si="179"/>
        <v>4.3799999999999999E-2</v>
      </c>
    </row>
    <row r="3817" spans="1:10">
      <c r="A3817" t="s">
        <v>3899</v>
      </c>
      <c r="B3817">
        <v>61</v>
      </c>
      <c r="C3817" t="s">
        <v>9</v>
      </c>
      <c r="D3817">
        <v>7</v>
      </c>
      <c r="E3817">
        <v>67</v>
      </c>
      <c r="F3817">
        <v>1.0019999999999999E-2</v>
      </c>
      <c r="G3817">
        <v>0</v>
      </c>
      <c r="H3817" t="str">
        <f t="shared" si="177"/>
        <v>60-69</v>
      </c>
      <c r="I3817" t="str">
        <f t="shared" si="178"/>
        <v>0-9</v>
      </c>
      <c r="J3817">
        <f t="shared" si="179"/>
        <v>1.0019999999999999E-2</v>
      </c>
    </row>
    <row r="3818" spans="1:10">
      <c r="A3818" t="s">
        <v>3900</v>
      </c>
      <c r="B3818">
        <v>32</v>
      </c>
      <c r="C3818" t="s">
        <v>7</v>
      </c>
      <c r="D3818">
        <v>10</v>
      </c>
      <c r="E3818">
        <v>41</v>
      </c>
      <c r="F3818">
        <v>7.7999999999999999E-4</v>
      </c>
      <c r="G3818">
        <v>0</v>
      </c>
      <c r="H3818" t="str">
        <f t="shared" si="177"/>
        <v>40-49</v>
      </c>
      <c r="I3818" t="str">
        <f t="shared" si="178"/>
        <v>10-19</v>
      </c>
      <c r="J3818">
        <f t="shared" si="179"/>
        <v>7.7999999999999999E-4</v>
      </c>
    </row>
    <row r="3819" spans="1:10">
      <c r="A3819" t="s">
        <v>3901</v>
      </c>
      <c r="B3819">
        <v>47</v>
      </c>
      <c r="C3819" t="s">
        <v>9</v>
      </c>
      <c r="D3819">
        <v>13</v>
      </c>
      <c r="E3819">
        <v>59</v>
      </c>
      <c r="F3819">
        <v>5.3800000000000002E-3</v>
      </c>
      <c r="G3819">
        <v>0</v>
      </c>
      <c r="H3819" t="str">
        <f t="shared" si="177"/>
        <v>50-59</v>
      </c>
      <c r="I3819" t="str">
        <f t="shared" si="178"/>
        <v>10-19</v>
      </c>
      <c r="J3819">
        <f t="shared" si="179"/>
        <v>5.3800000000000002E-3</v>
      </c>
    </row>
    <row r="3820" spans="1:10">
      <c r="A3820" t="s">
        <v>3902</v>
      </c>
      <c r="B3820">
        <v>26</v>
      </c>
      <c r="C3820" t="s">
        <v>7</v>
      </c>
      <c r="D3820">
        <v>11</v>
      </c>
      <c r="E3820">
        <v>36</v>
      </c>
      <c r="F3820">
        <v>5.5999999999999995E-4</v>
      </c>
      <c r="G3820">
        <v>0</v>
      </c>
      <c r="H3820" t="str">
        <f t="shared" si="177"/>
        <v>30-39</v>
      </c>
      <c r="I3820" t="str">
        <f t="shared" si="178"/>
        <v>10-19</v>
      </c>
      <c r="J3820">
        <f t="shared" si="179"/>
        <v>5.5999999999999995E-4</v>
      </c>
    </row>
    <row r="3821" spans="1:10">
      <c r="A3821" t="s">
        <v>3903</v>
      </c>
      <c r="B3821">
        <v>39</v>
      </c>
      <c r="C3821" t="s">
        <v>7</v>
      </c>
      <c r="D3821">
        <v>16</v>
      </c>
      <c r="E3821">
        <v>54</v>
      </c>
      <c r="F3821">
        <v>2.5400000000000002E-3</v>
      </c>
      <c r="G3821">
        <v>0</v>
      </c>
      <c r="H3821" t="str">
        <f t="shared" si="177"/>
        <v>50-59</v>
      </c>
      <c r="I3821" t="str">
        <f t="shared" si="178"/>
        <v>10-19</v>
      </c>
      <c r="J3821">
        <f t="shared" si="179"/>
        <v>2.5400000000000002E-3</v>
      </c>
    </row>
    <row r="3822" spans="1:10">
      <c r="A3822" t="s">
        <v>3904</v>
      </c>
      <c r="B3822">
        <v>63</v>
      </c>
      <c r="C3822" t="s">
        <v>9</v>
      </c>
      <c r="D3822">
        <v>23</v>
      </c>
      <c r="E3822">
        <v>85</v>
      </c>
      <c r="F3822">
        <v>9.1270000000000004E-2</v>
      </c>
      <c r="G3822">
        <v>0</v>
      </c>
      <c r="H3822" t="str">
        <f t="shared" si="177"/>
        <v>80-89</v>
      </c>
      <c r="I3822" t="str">
        <f t="shared" si="178"/>
        <v>20-29</v>
      </c>
      <c r="J3822">
        <f t="shared" si="179"/>
        <v>9.1270000000000004E-2</v>
      </c>
    </row>
    <row r="3823" spans="1:10">
      <c r="A3823" t="s">
        <v>3905</v>
      </c>
      <c r="B3823">
        <v>32</v>
      </c>
      <c r="C3823" t="s">
        <v>9</v>
      </c>
      <c r="D3823">
        <v>3</v>
      </c>
      <c r="E3823">
        <v>34</v>
      </c>
      <c r="F3823">
        <v>4.0999999999999999E-4</v>
      </c>
      <c r="G3823">
        <v>0</v>
      </c>
      <c r="H3823" t="str">
        <f t="shared" si="177"/>
        <v>30-39</v>
      </c>
      <c r="I3823" t="str">
        <f t="shared" si="178"/>
        <v>0-9</v>
      </c>
      <c r="J3823">
        <f t="shared" si="179"/>
        <v>4.0999999999999999E-4</v>
      </c>
    </row>
    <row r="3824" spans="1:10">
      <c r="A3824" t="s">
        <v>3906</v>
      </c>
      <c r="B3824">
        <v>56</v>
      </c>
      <c r="C3824" t="s">
        <v>9</v>
      </c>
      <c r="D3824">
        <v>18</v>
      </c>
      <c r="E3824">
        <v>73</v>
      </c>
      <c r="F3824">
        <v>2.3859999999999999E-2</v>
      </c>
      <c r="G3824">
        <v>0</v>
      </c>
      <c r="H3824" t="str">
        <f t="shared" si="177"/>
        <v>70-79</v>
      </c>
      <c r="I3824" t="str">
        <f t="shared" si="178"/>
        <v>10-19</v>
      </c>
      <c r="J3824">
        <f t="shared" si="179"/>
        <v>2.3859999999999999E-2</v>
      </c>
    </row>
    <row r="3825" spans="1:10">
      <c r="A3825" t="s">
        <v>3907</v>
      </c>
      <c r="B3825">
        <v>23</v>
      </c>
      <c r="C3825" t="s">
        <v>9</v>
      </c>
      <c r="D3825">
        <v>18</v>
      </c>
      <c r="E3825">
        <v>40</v>
      </c>
      <c r="F3825">
        <v>1.4599999999999999E-3</v>
      </c>
      <c r="G3825">
        <v>0</v>
      </c>
      <c r="H3825" t="str">
        <f t="shared" si="177"/>
        <v>40-49</v>
      </c>
      <c r="I3825" t="str">
        <f t="shared" si="178"/>
        <v>10-19</v>
      </c>
      <c r="J3825">
        <f t="shared" si="179"/>
        <v>1.4599999999999999E-3</v>
      </c>
    </row>
    <row r="3826" spans="1:10">
      <c r="A3826" t="s">
        <v>3908</v>
      </c>
      <c r="B3826">
        <v>44</v>
      </c>
      <c r="C3826" t="s">
        <v>9</v>
      </c>
      <c r="D3826">
        <v>7</v>
      </c>
      <c r="E3826">
        <v>50</v>
      </c>
      <c r="F3826">
        <v>1.83E-3</v>
      </c>
      <c r="G3826">
        <v>0</v>
      </c>
      <c r="H3826" t="str">
        <f t="shared" si="177"/>
        <v>50-59</v>
      </c>
      <c r="I3826" t="str">
        <f t="shared" si="178"/>
        <v>0-9</v>
      </c>
      <c r="J3826">
        <f t="shared" si="179"/>
        <v>1.83E-3</v>
      </c>
    </row>
    <row r="3827" spans="1:10">
      <c r="A3827" t="s">
        <v>3909</v>
      </c>
      <c r="B3827">
        <v>63</v>
      </c>
      <c r="C3827" t="s">
        <v>9</v>
      </c>
      <c r="D3827">
        <v>28</v>
      </c>
      <c r="E3827">
        <v>90</v>
      </c>
      <c r="F3827">
        <v>0.13258</v>
      </c>
      <c r="G3827">
        <v>0</v>
      </c>
      <c r="H3827" t="str">
        <f t="shared" si="177"/>
        <v>90-99</v>
      </c>
      <c r="I3827" t="str">
        <f t="shared" si="178"/>
        <v>20-29</v>
      </c>
      <c r="J3827">
        <f t="shared" si="179"/>
        <v>0.13258</v>
      </c>
    </row>
    <row r="3828" spans="1:10">
      <c r="A3828" t="s">
        <v>3910</v>
      </c>
      <c r="B3828">
        <v>31</v>
      </c>
      <c r="C3828" t="s">
        <v>9</v>
      </c>
      <c r="D3828">
        <v>17</v>
      </c>
      <c r="E3828">
        <v>47</v>
      </c>
      <c r="F3828">
        <v>1.97E-3</v>
      </c>
      <c r="G3828">
        <v>0</v>
      </c>
      <c r="H3828" t="str">
        <f t="shared" si="177"/>
        <v>40-49</v>
      </c>
      <c r="I3828" t="str">
        <f t="shared" si="178"/>
        <v>10-19</v>
      </c>
      <c r="J3828">
        <f t="shared" si="179"/>
        <v>1.97E-3</v>
      </c>
    </row>
    <row r="3829" spans="1:10">
      <c r="A3829" t="s">
        <v>3911</v>
      </c>
      <c r="B3829">
        <v>33</v>
      </c>
      <c r="C3829" t="s">
        <v>9</v>
      </c>
      <c r="D3829">
        <v>4</v>
      </c>
      <c r="E3829">
        <v>36</v>
      </c>
      <c r="F3829">
        <v>5.1999999999999995E-4</v>
      </c>
      <c r="G3829">
        <v>0</v>
      </c>
      <c r="H3829" t="str">
        <f t="shared" si="177"/>
        <v>30-39</v>
      </c>
      <c r="I3829" t="str">
        <f t="shared" si="178"/>
        <v>0-9</v>
      </c>
      <c r="J3829">
        <f t="shared" si="179"/>
        <v>5.1999999999999995E-4</v>
      </c>
    </row>
    <row r="3830" spans="1:10">
      <c r="A3830" t="s">
        <v>3912</v>
      </c>
      <c r="B3830">
        <v>34</v>
      </c>
      <c r="C3830" t="s">
        <v>9</v>
      </c>
      <c r="D3830">
        <v>23</v>
      </c>
      <c r="E3830">
        <v>56</v>
      </c>
      <c r="F3830">
        <v>4.3899999999999998E-3</v>
      </c>
      <c r="G3830">
        <v>0</v>
      </c>
      <c r="H3830" t="str">
        <f t="shared" si="177"/>
        <v>50-59</v>
      </c>
      <c r="I3830" t="str">
        <f t="shared" si="178"/>
        <v>20-29</v>
      </c>
      <c r="J3830">
        <f t="shared" si="179"/>
        <v>4.3899999999999998E-3</v>
      </c>
    </row>
    <row r="3831" spans="1:10">
      <c r="A3831" t="s">
        <v>3913</v>
      </c>
      <c r="B3831">
        <v>51</v>
      </c>
      <c r="C3831" t="s">
        <v>7</v>
      </c>
      <c r="D3831">
        <v>7</v>
      </c>
      <c r="E3831">
        <v>57</v>
      </c>
      <c r="F3831">
        <v>2.5799999999999998E-3</v>
      </c>
      <c r="G3831">
        <v>0</v>
      </c>
      <c r="H3831" t="str">
        <f t="shared" si="177"/>
        <v>50-59</v>
      </c>
      <c r="I3831" t="str">
        <f t="shared" si="178"/>
        <v>0-9</v>
      </c>
      <c r="J3831">
        <f t="shared" si="179"/>
        <v>2.5799999999999998E-3</v>
      </c>
    </row>
    <row r="3832" spans="1:10">
      <c r="A3832" t="s">
        <v>3914</v>
      </c>
      <c r="B3832">
        <v>22</v>
      </c>
      <c r="C3832" t="s">
        <v>9</v>
      </c>
      <c r="D3832">
        <v>30</v>
      </c>
      <c r="E3832">
        <v>51</v>
      </c>
      <c r="F3832">
        <v>2.6700000000000001E-3</v>
      </c>
      <c r="G3832">
        <v>0</v>
      </c>
      <c r="H3832" t="str">
        <f t="shared" si="177"/>
        <v>50-59</v>
      </c>
      <c r="I3832" t="str">
        <f t="shared" si="178"/>
        <v>30-39</v>
      </c>
      <c r="J3832">
        <f t="shared" si="179"/>
        <v>2.6700000000000001E-3</v>
      </c>
    </row>
    <row r="3833" spans="1:10">
      <c r="A3833" t="s">
        <v>3915</v>
      </c>
      <c r="B3833">
        <v>27</v>
      </c>
      <c r="C3833" t="s">
        <v>9</v>
      </c>
      <c r="D3833">
        <v>30</v>
      </c>
      <c r="E3833">
        <v>56</v>
      </c>
      <c r="F3833">
        <v>3.2799999999999999E-3</v>
      </c>
      <c r="G3833">
        <v>0</v>
      </c>
      <c r="H3833" t="str">
        <f t="shared" si="177"/>
        <v>50-59</v>
      </c>
      <c r="I3833" t="str">
        <f t="shared" si="178"/>
        <v>30-39</v>
      </c>
      <c r="J3833">
        <f t="shared" si="179"/>
        <v>3.2799999999999999E-3</v>
      </c>
    </row>
    <row r="3834" spans="1:10">
      <c r="A3834" t="s">
        <v>3916</v>
      </c>
      <c r="B3834">
        <v>62</v>
      </c>
      <c r="C3834" t="s">
        <v>7</v>
      </c>
      <c r="D3834">
        <v>27</v>
      </c>
      <c r="E3834">
        <v>88</v>
      </c>
      <c r="F3834">
        <v>9.3240000000000003E-2</v>
      </c>
      <c r="G3834">
        <v>0</v>
      </c>
      <c r="H3834" t="str">
        <f t="shared" si="177"/>
        <v>80-89</v>
      </c>
      <c r="I3834" t="str">
        <f t="shared" si="178"/>
        <v>20-29</v>
      </c>
      <c r="J3834">
        <f t="shared" si="179"/>
        <v>9.3240000000000003E-2</v>
      </c>
    </row>
    <row r="3835" spans="1:10">
      <c r="A3835" t="s">
        <v>3917</v>
      </c>
      <c r="B3835">
        <v>31</v>
      </c>
      <c r="C3835" t="s">
        <v>7</v>
      </c>
      <c r="D3835">
        <v>13</v>
      </c>
      <c r="E3835">
        <v>43</v>
      </c>
      <c r="F3835">
        <v>1.01E-3</v>
      </c>
      <c r="G3835">
        <v>0</v>
      </c>
      <c r="H3835" t="str">
        <f t="shared" si="177"/>
        <v>40-49</v>
      </c>
      <c r="I3835" t="str">
        <f t="shared" si="178"/>
        <v>10-19</v>
      </c>
      <c r="J3835">
        <f t="shared" si="179"/>
        <v>1.01E-3</v>
      </c>
    </row>
    <row r="3836" spans="1:10">
      <c r="A3836" t="s">
        <v>3918</v>
      </c>
      <c r="B3836">
        <v>45</v>
      </c>
      <c r="C3836" t="s">
        <v>9</v>
      </c>
      <c r="D3836">
        <v>2</v>
      </c>
      <c r="E3836">
        <v>46</v>
      </c>
      <c r="F3836">
        <v>8.1999999999999998E-4</v>
      </c>
      <c r="G3836">
        <v>0</v>
      </c>
      <c r="H3836" t="str">
        <f t="shared" si="177"/>
        <v>40-49</v>
      </c>
      <c r="I3836" t="str">
        <f t="shared" si="178"/>
        <v>0-9</v>
      </c>
      <c r="J3836">
        <f t="shared" si="179"/>
        <v>8.1999999999999998E-4</v>
      </c>
    </row>
    <row r="3837" spans="1:10">
      <c r="A3837" t="s">
        <v>3919</v>
      </c>
      <c r="B3837">
        <v>59</v>
      </c>
      <c r="C3837" t="s">
        <v>9</v>
      </c>
      <c r="D3837">
        <v>22</v>
      </c>
      <c r="E3837">
        <v>80</v>
      </c>
      <c r="F3837">
        <v>5.0909999999999997E-2</v>
      </c>
      <c r="G3837">
        <v>0</v>
      </c>
      <c r="H3837" t="str">
        <f t="shared" si="177"/>
        <v>80-89</v>
      </c>
      <c r="I3837" t="str">
        <f t="shared" si="178"/>
        <v>20-29</v>
      </c>
      <c r="J3837">
        <f t="shared" si="179"/>
        <v>5.0909999999999997E-2</v>
      </c>
    </row>
    <row r="3838" spans="1:10">
      <c r="A3838" t="s">
        <v>3920</v>
      </c>
      <c r="B3838">
        <v>63</v>
      </c>
      <c r="C3838" t="s">
        <v>7</v>
      </c>
      <c r="D3838">
        <v>19</v>
      </c>
      <c r="E3838">
        <v>81</v>
      </c>
      <c r="F3838">
        <v>4.41E-2</v>
      </c>
      <c r="G3838">
        <v>0</v>
      </c>
      <c r="H3838" t="str">
        <f t="shared" si="177"/>
        <v>80-89</v>
      </c>
      <c r="I3838" t="str">
        <f t="shared" si="178"/>
        <v>10-19</v>
      </c>
      <c r="J3838">
        <f t="shared" si="179"/>
        <v>4.41E-2</v>
      </c>
    </row>
    <row r="3839" spans="1:10">
      <c r="A3839" t="s">
        <v>3921</v>
      </c>
      <c r="B3839">
        <v>39</v>
      </c>
      <c r="C3839" t="s">
        <v>7</v>
      </c>
      <c r="D3839">
        <v>7</v>
      </c>
      <c r="E3839">
        <v>45</v>
      </c>
      <c r="F3839">
        <v>8.4999999999999995E-4</v>
      </c>
      <c r="G3839">
        <v>0</v>
      </c>
      <c r="H3839" t="str">
        <f t="shared" si="177"/>
        <v>40-49</v>
      </c>
      <c r="I3839" t="str">
        <f t="shared" si="178"/>
        <v>0-9</v>
      </c>
      <c r="J3839">
        <f t="shared" si="179"/>
        <v>8.4999999999999995E-4</v>
      </c>
    </row>
    <row r="3840" spans="1:10">
      <c r="A3840" t="s">
        <v>3922</v>
      </c>
      <c r="B3840">
        <v>37</v>
      </c>
      <c r="C3840" t="s">
        <v>7</v>
      </c>
      <c r="D3840">
        <v>14</v>
      </c>
      <c r="E3840">
        <v>50</v>
      </c>
      <c r="F3840">
        <v>1.75E-3</v>
      </c>
      <c r="G3840">
        <v>0</v>
      </c>
      <c r="H3840" t="str">
        <f t="shared" si="177"/>
        <v>50-59</v>
      </c>
      <c r="I3840" t="str">
        <f t="shared" si="178"/>
        <v>10-19</v>
      </c>
      <c r="J3840">
        <f t="shared" si="179"/>
        <v>1.75E-3</v>
      </c>
    </row>
    <row r="3841" spans="1:10">
      <c r="A3841" t="s">
        <v>3923</v>
      </c>
      <c r="B3841">
        <v>46</v>
      </c>
      <c r="C3841" t="s">
        <v>9</v>
      </c>
      <c r="D3841">
        <v>13</v>
      </c>
      <c r="E3841">
        <v>58</v>
      </c>
      <c r="F3841">
        <v>4.8399999999999997E-3</v>
      </c>
      <c r="G3841">
        <v>0</v>
      </c>
      <c r="H3841" t="str">
        <f t="shared" si="177"/>
        <v>50-59</v>
      </c>
      <c r="I3841" t="str">
        <f t="shared" si="178"/>
        <v>10-19</v>
      </c>
      <c r="J3841">
        <f t="shared" si="179"/>
        <v>4.8399999999999997E-3</v>
      </c>
    </row>
    <row r="3842" spans="1:10">
      <c r="A3842" t="s">
        <v>3924</v>
      </c>
      <c r="B3842">
        <v>51</v>
      </c>
      <c r="C3842" t="s">
        <v>7</v>
      </c>
      <c r="D3842">
        <v>9</v>
      </c>
      <c r="E3842">
        <v>59</v>
      </c>
      <c r="F3842">
        <v>3.3300000000000001E-3</v>
      </c>
      <c r="G3842">
        <v>0</v>
      </c>
      <c r="H3842" t="str">
        <f t="shared" si="177"/>
        <v>50-59</v>
      </c>
      <c r="I3842" t="str">
        <f t="shared" si="178"/>
        <v>0-9</v>
      </c>
      <c r="J3842">
        <f t="shared" si="179"/>
        <v>3.3300000000000001E-3</v>
      </c>
    </row>
    <row r="3843" spans="1:10">
      <c r="A3843" t="s">
        <v>3925</v>
      </c>
      <c r="B3843">
        <v>45</v>
      </c>
      <c r="C3843" t="s">
        <v>7</v>
      </c>
      <c r="D3843">
        <v>2</v>
      </c>
      <c r="E3843">
        <v>46</v>
      </c>
      <c r="F3843">
        <v>4.4000000000000002E-4</v>
      </c>
      <c r="G3843">
        <v>0</v>
      </c>
      <c r="H3843" t="str">
        <f t="shared" ref="H3843:H3906" si="180">FLOOR(E3843,10) &amp; "-" &amp; FLOOR(E3843,10)+9</f>
        <v>40-49</v>
      </c>
      <c r="I3843" t="str">
        <f t="shared" ref="I3843:I3906" si="181">FLOOR(D3843, 10) &amp; "-"&amp;FLOOR(D3843, 10)+9</f>
        <v>0-9</v>
      </c>
      <c r="J3843">
        <f t="shared" ref="J3843:J3906" si="182">F3843</f>
        <v>4.4000000000000002E-4</v>
      </c>
    </row>
    <row r="3844" spans="1:10">
      <c r="A3844" t="s">
        <v>3926</v>
      </c>
      <c r="B3844">
        <v>62</v>
      </c>
      <c r="C3844" t="s">
        <v>9</v>
      </c>
      <c r="D3844">
        <v>23</v>
      </c>
      <c r="E3844">
        <v>84</v>
      </c>
      <c r="F3844">
        <v>8.0629999999999993E-2</v>
      </c>
      <c r="G3844">
        <v>0</v>
      </c>
      <c r="H3844" t="str">
        <f t="shared" si="180"/>
        <v>80-89</v>
      </c>
      <c r="I3844" t="str">
        <f t="shared" si="181"/>
        <v>20-29</v>
      </c>
      <c r="J3844">
        <f t="shared" si="182"/>
        <v>8.0629999999999993E-2</v>
      </c>
    </row>
    <row r="3845" spans="1:10">
      <c r="A3845" t="s">
        <v>3927</v>
      </c>
      <c r="B3845">
        <v>27</v>
      </c>
      <c r="C3845" t="s">
        <v>7</v>
      </c>
      <c r="D3845">
        <v>6</v>
      </c>
      <c r="E3845">
        <v>32</v>
      </c>
      <c r="F3845">
        <v>2.9E-4</v>
      </c>
      <c r="G3845">
        <v>0</v>
      </c>
      <c r="H3845" t="str">
        <f t="shared" si="180"/>
        <v>30-39</v>
      </c>
      <c r="I3845" t="str">
        <f t="shared" si="181"/>
        <v>0-9</v>
      </c>
      <c r="J3845">
        <f t="shared" si="182"/>
        <v>2.9E-4</v>
      </c>
    </row>
    <row r="3846" spans="1:10">
      <c r="A3846" t="s">
        <v>3928</v>
      </c>
      <c r="B3846">
        <v>31</v>
      </c>
      <c r="C3846" t="s">
        <v>9</v>
      </c>
      <c r="D3846">
        <v>18</v>
      </c>
      <c r="E3846">
        <v>48</v>
      </c>
      <c r="F3846">
        <v>2.1299999999999999E-3</v>
      </c>
      <c r="G3846">
        <v>0</v>
      </c>
      <c r="H3846" t="str">
        <f t="shared" si="180"/>
        <v>40-49</v>
      </c>
      <c r="I3846" t="str">
        <f t="shared" si="181"/>
        <v>10-19</v>
      </c>
      <c r="J3846">
        <f t="shared" si="182"/>
        <v>2.1299999999999999E-3</v>
      </c>
    </row>
    <row r="3847" spans="1:10">
      <c r="A3847" t="s">
        <v>3929</v>
      </c>
      <c r="B3847">
        <v>36</v>
      </c>
      <c r="C3847" t="s">
        <v>7</v>
      </c>
      <c r="D3847">
        <v>22</v>
      </c>
      <c r="E3847">
        <v>57</v>
      </c>
      <c r="F3847">
        <v>3.6900000000000001E-3</v>
      </c>
      <c r="G3847">
        <v>0</v>
      </c>
      <c r="H3847" t="str">
        <f t="shared" si="180"/>
        <v>50-59</v>
      </c>
      <c r="I3847" t="str">
        <f t="shared" si="181"/>
        <v>20-29</v>
      </c>
      <c r="J3847">
        <f t="shared" si="182"/>
        <v>3.6900000000000001E-3</v>
      </c>
    </row>
    <row r="3848" spans="1:10">
      <c r="A3848" t="s">
        <v>3930</v>
      </c>
      <c r="B3848">
        <v>38</v>
      </c>
      <c r="C3848" t="s">
        <v>9</v>
      </c>
      <c r="D3848">
        <v>18</v>
      </c>
      <c r="E3848">
        <v>55</v>
      </c>
      <c r="F3848">
        <v>3.7499999999999999E-3</v>
      </c>
      <c r="G3848">
        <v>0</v>
      </c>
      <c r="H3848" t="str">
        <f t="shared" si="180"/>
        <v>50-59</v>
      </c>
      <c r="I3848" t="str">
        <f t="shared" si="181"/>
        <v>10-19</v>
      </c>
      <c r="J3848">
        <f t="shared" si="182"/>
        <v>3.7499999999999999E-3</v>
      </c>
    </row>
    <row r="3849" spans="1:10">
      <c r="A3849" t="s">
        <v>3931</v>
      </c>
      <c r="B3849">
        <v>36</v>
      </c>
      <c r="C3849" t="s">
        <v>7</v>
      </c>
      <c r="D3849">
        <v>4</v>
      </c>
      <c r="E3849">
        <v>39</v>
      </c>
      <c r="F3849">
        <v>4.8999999999999998E-4</v>
      </c>
      <c r="G3849">
        <v>0</v>
      </c>
      <c r="H3849" t="str">
        <f t="shared" si="180"/>
        <v>30-39</v>
      </c>
      <c r="I3849" t="str">
        <f t="shared" si="181"/>
        <v>0-9</v>
      </c>
      <c r="J3849">
        <f t="shared" si="182"/>
        <v>4.8999999999999998E-4</v>
      </c>
    </row>
    <row r="3850" spans="1:10">
      <c r="A3850" t="s">
        <v>3932</v>
      </c>
      <c r="B3850">
        <v>32</v>
      </c>
      <c r="C3850" t="s">
        <v>7</v>
      </c>
      <c r="D3850">
        <v>3</v>
      </c>
      <c r="E3850">
        <v>34</v>
      </c>
      <c r="F3850">
        <v>2.5000000000000001E-4</v>
      </c>
      <c r="G3850">
        <v>0</v>
      </c>
      <c r="H3850" t="str">
        <f t="shared" si="180"/>
        <v>30-39</v>
      </c>
      <c r="I3850" t="str">
        <f t="shared" si="181"/>
        <v>0-9</v>
      </c>
      <c r="J3850">
        <f t="shared" si="182"/>
        <v>2.5000000000000001E-4</v>
      </c>
    </row>
    <row r="3851" spans="1:10">
      <c r="A3851" t="s">
        <v>3933</v>
      </c>
      <c r="B3851">
        <v>28</v>
      </c>
      <c r="C3851" t="s">
        <v>7</v>
      </c>
      <c r="D3851">
        <v>17</v>
      </c>
      <c r="E3851">
        <v>44</v>
      </c>
      <c r="F3851">
        <v>1.1800000000000001E-3</v>
      </c>
      <c r="G3851">
        <v>0</v>
      </c>
      <c r="H3851" t="str">
        <f t="shared" si="180"/>
        <v>40-49</v>
      </c>
      <c r="I3851" t="str">
        <f t="shared" si="181"/>
        <v>10-19</v>
      </c>
      <c r="J3851">
        <f t="shared" si="182"/>
        <v>1.1800000000000001E-3</v>
      </c>
    </row>
    <row r="3852" spans="1:10">
      <c r="A3852" t="s">
        <v>3934</v>
      </c>
      <c r="B3852">
        <v>26</v>
      </c>
      <c r="C3852" t="s">
        <v>9</v>
      </c>
      <c r="D3852">
        <v>4</v>
      </c>
      <c r="E3852">
        <v>29</v>
      </c>
      <c r="F3852">
        <v>3.8999999999999999E-4</v>
      </c>
      <c r="G3852">
        <v>0</v>
      </c>
      <c r="H3852" t="str">
        <f t="shared" si="180"/>
        <v>20-29</v>
      </c>
      <c r="I3852" t="str">
        <f t="shared" si="181"/>
        <v>0-9</v>
      </c>
      <c r="J3852">
        <f t="shared" si="182"/>
        <v>3.8999999999999999E-4</v>
      </c>
    </row>
    <row r="3853" spans="1:10">
      <c r="A3853" t="s">
        <v>3935</v>
      </c>
      <c r="B3853">
        <v>31</v>
      </c>
      <c r="C3853" t="s">
        <v>7</v>
      </c>
      <c r="D3853">
        <v>3</v>
      </c>
      <c r="E3853">
        <v>33</v>
      </c>
      <c r="F3853">
        <v>2.3000000000000001E-4</v>
      </c>
      <c r="G3853">
        <v>0</v>
      </c>
      <c r="H3853" t="str">
        <f t="shared" si="180"/>
        <v>30-39</v>
      </c>
      <c r="I3853" t="str">
        <f t="shared" si="181"/>
        <v>0-9</v>
      </c>
      <c r="J3853">
        <f t="shared" si="182"/>
        <v>2.3000000000000001E-4</v>
      </c>
    </row>
    <row r="3854" spans="1:10">
      <c r="A3854" t="s">
        <v>3936</v>
      </c>
      <c r="B3854">
        <v>35</v>
      </c>
      <c r="C3854" t="s">
        <v>7</v>
      </c>
      <c r="D3854">
        <v>14</v>
      </c>
      <c r="E3854">
        <v>48</v>
      </c>
      <c r="F3854">
        <v>1.47E-3</v>
      </c>
      <c r="G3854">
        <v>0</v>
      </c>
      <c r="H3854" t="str">
        <f t="shared" si="180"/>
        <v>40-49</v>
      </c>
      <c r="I3854" t="str">
        <f t="shared" si="181"/>
        <v>10-19</v>
      </c>
      <c r="J3854">
        <f t="shared" si="182"/>
        <v>1.47E-3</v>
      </c>
    </row>
    <row r="3855" spans="1:10">
      <c r="A3855" t="s">
        <v>3937</v>
      </c>
      <c r="B3855">
        <v>29</v>
      </c>
      <c r="C3855" t="s">
        <v>7</v>
      </c>
      <c r="D3855">
        <v>15</v>
      </c>
      <c r="E3855">
        <v>43</v>
      </c>
      <c r="F3855">
        <v>1.07E-3</v>
      </c>
      <c r="G3855">
        <v>0</v>
      </c>
      <c r="H3855" t="str">
        <f t="shared" si="180"/>
        <v>40-49</v>
      </c>
      <c r="I3855" t="str">
        <f t="shared" si="181"/>
        <v>10-19</v>
      </c>
      <c r="J3855">
        <f t="shared" si="182"/>
        <v>1.07E-3</v>
      </c>
    </row>
    <row r="3856" spans="1:10">
      <c r="A3856" t="s">
        <v>3938</v>
      </c>
      <c r="B3856">
        <v>52</v>
      </c>
      <c r="C3856" t="s">
        <v>7</v>
      </c>
      <c r="D3856">
        <v>25</v>
      </c>
      <c r="E3856">
        <v>76</v>
      </c>
      <c r="F3856">
        <v>2.58E-2</v>
      </c>
      <c r="G3856">
        <v>0</v>
      </c>
      <c r="H3856" t="str">
        <f t="shared" si="180"/>
        <v>70-79</v>
      </c>
      <c r="I3856" t="str">
        <f t="shared" si="181"/>
        <v>20-29</v>
      </c>
      <c r="J3856">
        <f t="shared" si="182"/>
        <v>2.58E-2</v>
      </c>
    </row>
    <row r="3857" spans="1:10">
      <c r="A3857" t="s">
        <v>3939</v>
      </c>
      <c r="B3857">
        <v>40</v>
      </c>
      <c r="C3857" t="s">
        <v>7</v>
      </c>
      <c r="D3857">
        <v>2</v>
      </c>
      <c r="E3857">
        <v>41</v>
      </c>
      <c r="F3857">
        <v>3.4000000000000002E-4</v>
      </c>
      <c r="G3857">
        <v>0</v>
      </c>
      <c r="H3857" t="str">
        <f t="shared" si="180"/>
        <v>40-49</v>
      </c>
      <c r="I3857" t="str">
        <f t="shared" si="181"/>
        <v>0-9</v>
      </c>
      <c r="J3857">
        <f t="shared" si="182"/>
        <v>3.4000000000000002E-4</v>
      </c>
    </row>
    <row r="3858" spans="1:10">
      <c r="A3858" t="s">
        <v>3940</v>
      </c>
      <c r="B3858">
        <v>41</v>
      </c>
      <c r="C3858" t="s">
        <v>7</v>
      </c>
      <c r="D3858">
        <v>28</v>
      </c>
      <c r="E3858">
        <v>68</v>
      </c>
      <c r="F3858">
        <v>9.2399999999999999E-3</v>
      </c>
      <c r="G3858">
        <v>0</v>
      </c>
      <c r="H3858" t="str">
        <f t="shared" si="180"/>
        <v>60-69</v>
      </c>
      <c r="I3858" t="str">
        <f t="shared" si="181"/>
        <v>20-29</v>
      </c>
      <c r="J3858">
        <f t="shared" si="182"/>
        <v>9.2399999999999999E-3</v>
      </c>
    </row>
    <row r="3859" spans="1:10">
      <c r="A3859" t="s">
        <v>3941</v>
      </c>
      <c r="B3859">
        <v>42</v>
      </c>
      <c r="C3859" t="s">
        <v>9</v>
      </c>
      <c r="D3859">
        <v>15</v>
      </c>
      <c r="E3859">
        <v>56</v>
      </c>
      <c r="F3859">
        <v>3.9899999999999996E-3</v>
      </c>
      <c r="G3859">
        <v>0</v>
      </c>
      <c r="H3859" t="str">
        <f t="shared" si="180"/>
        <v>50-59</v>
      </c>
      <c r="I3859" t="str">
        <f t="shared" si="181"/>
        <v>10-19</v>
      </c>
      <c r="J3859">
        <f t="shared" si="182"/>
        <v>3.9899999999999996E-3</v>
      </c>
    </row>
    <row r="3860" spans="1:10">
      <c r="A3860" t="s">
        <v>3942</v>
      </c>
      <c r="B3860">
        <v>45</v>
      </c>
      <c r="C3860" t="s">
        <v>9</v>
      </c>
      <c r="D3860">
        <v>13</v>
      </c>
      <c r="E3860">
        <v>57</v>
      </c>
      <c r="F3860">
        <v>4.3600000000000002E-3</v>
      </c>
      <c r="G3860">
        <v>0</v>
      </c>
      <c r="H3860" t="str">
        <f t="shared" si="180"/>
        <v>50-59</v>
      </c>
      <c r="I3860" t="str">
        <f t="shared" si="181"/>
        <v>10-19</v>
      </c>
      <c r="J3860">
        <f t="shared" si="182"/>
        <v>4.3600000000000002E-3</v>
      </c>
    </row>
    <row r="3861" spans="1:10">
      <c r="A3861" t="s">
        <v>3943</v>
      </c>
      <c r="B3861">
        <v>24</v>
      </c>
      <c r="C3861" t="s">
        <v>9</v>
      </c>
      <c r="D3861">
        <v>8</v>
      </c>
      <c r="E3861">
        <v>31</v>
      </c>
      <c r="F3861">
        <v>5.2999999999999998E-4</v>
      </c>
      <c r="G3861">
        <v>0</v>
      </c>
      <c r="H3861" t="str">
        <f t="shared" si="180"/>
        <v>30-39</v>
      </c>
      <c r="I3861" t="str">
        <f t="shared" si="181"/>
        <v>0-9</v>
      </c>
      <c r="J3861">
        <f t="shared" si="182"/>
        <v>5.2999999999999998E-4</v>
      </c>
    </row>
    <row r="3862" spans="1:10">
      <c r="A3862" t="s">
        <v>3944</v>
      </c>
      <c r="B3862">
        <v>62</v>
      </c>
      <c r="C3862" t="s">
        <v>9</v>
      </c>
      <c r="D3862">
        <v>24</v>
      </c>
      <c r="E3862">
        <v>85</v>
      </c>
      <c r="F3862">
        <v>9.1270000000000004E-2</v>
      </c>
      <c r="G3862">
        <v>0</v>
      </c>
      <c r="H3862" t="str">
        <f t="shared" si="180"/>
        <v>80-89</v>
      </c>
      <c r="I3862" t="str">
        <f t="shared" si="181"/>
        <v>20-29</v>
      </c>
      <c r="J3862">
        <f t="shared" si="182"/>
        <v>9.1270000000000004E-2</v>
      </c>
    </row>
    <row r="3863" spans="1:10">
      <c r="A3863" t="s">
        <v>3945</v>
      </c>
      <c r="B3863">
        <v>24</v>
      </c>
      <c r="C3863" t="s">
        <v>9</v>
      </c>
      <c r="D3863">
        <v>27</v>
      </c>
      <c r="E3863">
        <v>50</v>
      </c>
      <c r="F3863">
        <v>2.81E-3</v>
      </c>
      <c r="G3863">
        <v>0</v>
      </c>
      <c r="H3863" t="str">
        <f t="shared" si="180"/>
        <v>50-59</v>
      </c>
      <c r="I3863" t="str">
        <f t="shared" si="181"/>
        <v>20-29</v>
      </c>
      <c r="J3863">
        <f t="shared" si="182"/>
        <v>2.81E-3</v>
      </c>
    </row>
    <row r="3864" spans="1:10">
      <c r="A3864" t="s">
        <v>3946</v>
      </c>
      <c r="B3864">
        <v>55</v>
      </c>
      <c r="C3864" t="s">
        <v>9</v>
      </c>
      <c r="D3864">
        <v>6</v>
      </c>
      <c r="E3864">
        <v>60</v>
      </c>
      <c r="F3864">
        <v>5.0899999999999999E-3</v>
      </c>
      <c r="G3864">
        <v>0</v>
      </c>
      <c r="H3864" t="str">
        <f t="shared" si="180"/>
        <v>60-69</v>
      </c>
      <c r="I3864" t="str">
        <f t="shared" si="181"/>
        <v>0-9</v>
      </c>
      <c r="J3864">
        <f t="shared" si="182"/>
        <v>5.0899999999999999E-3</v>
      </c>
    </row>
    <row r="3865" spans="1:10">
      <c r="A3865" t="s">
        <v>3947</v>
      </c>
      <c r="B3865">
        <v>23</v>
      </c>
      <c r="C3865" t="s">
        <v>7</v>
      </c>
      <c r="D3865">
        <v>4</v>
      </c>
      <c r="E3865">
        <v>26</v>
      </c>
      <c r="F3865">
        <v>2.4000000000000001E-4</v>
      </c>
      <c r="G3865">
        <v>0</v>
      </c>
      <c r="H3865" t="str">
        <f t="shared" si="180"/>
        <v>20-29</v>
      </c>
      <c r="I3865" t="str">
        <f t="shared" si="181"/>
        <v>0-9</v>
      </c>
      <c r="J3865">
        <f t="shared" si="182"/>
        <v>2.4000000000000001E-4</v>
      </c>
    </row>
    <row r="3866" spans="1:10">
      <c r="A3866" t="s">
        <v>3948</v>
      </c>
      <c r="B3866">
        <v>54</v>
      </c>
      <c r="C3866" t="s">
        <v>7</v>
      </c>
      <c r="D3866">
        <v>1</v>
      </c>
      <c r="E3866">
        <v>54</v>
      </c>
      <c r="F3866">
        <v>5.1000000000000004E-4</v>
      </c>
      <c r="G3866">
        <v>0</v>
      </c>
      <c r="H3866" t="str">
        <f t="shared" si="180"/>
        <v>50-59</v>
      </c>
      <c r="I3866" t="str">
        <f t="shared" si="181"/>
        <v>0-9</v>
      </c>
      <c r="J3866">
        <f t="shared" si="182"/>
        <v>5.1000000000000004E-4</v>
      </c>
    </row>
    <row r="3867" spans="1:10">
      <c r="A3867" t="s">
        <v>3949</v>
      </c>
      <c r="B3867">
        <v>40</v>
      </c>
      <c r="C3867" t="s">
        <v>9</v>
      </c>
      <c r="D3867">
        <v>12</v>
      </c>
      <c r="E3867">
        <v>51</v>
      </c>
      <c r="F3867">
        <v>2.3400000000000001E-3</v>
      </c>
      <c r="G3867">
        <v>0</v>
      </c>
      <c r="H3867" t="str">
        <f t="shared" si="180"/>
        <v>50-59</v>
      </c>
      <c r="I3867" t="str">
        <f t="shared" si="181"/>
        <v>10-19</v>
      </c>
      <c r="J3867">
        <f t="shared" si="182"/>
        <v>2.3400000000000001E-3</v>
      </c>
    </row>
    <row r="3868" spans="1:10">
      <c r="A3868" t="s">
        <v>3950</v>
      </c>
      <c r="B3868">
        <v>63</v>
      </c>
      <c r="C3868" t="s">
        <v>9</v>
      </c>
      <c r="D3868">
        <v>8</v>
      </c>
      <c r="E3868">
        <v>70</v>
      </c>
      <c r="F3868">
        <v>1.2489999999999999E-2</v>
      </c>
      <c r="G3868">
        <v>1</v>
      </c>
      <c r="H3868" t="str">
        <f t="shared" si="180"/>
        <v>70-79</v>
      </c>
      <c r="I3868" t="str">
        <f t="shared" si="181"/>
        <v>0-9</v>
      </c>
      <c r="J3868">
        <f t="shared" si="182"/>
        <v>1.2489999999999999E-2</v>
      </c>
    </row>
    <row r="3869" spans="1:10">
      <c r="A3869" t="s">
        <v>3951</v>
      </c>
      <c r="B3869">
        <v>23</v>
      </c>
      <c r="C3869" t="s">
        <v>9</v>
      </c>
      <c r="D3869">
        <v>27</v>
      </c>
      <c r="E3869">
        <v>49</v>
      </c>
      <c r="F3869">
        <v>2.7399999999999998E-3</v>
      </c>
      <c r="G3869">
        <v>0</v>
      </c>
      <c r="H3869" t="str">
        <f t="shared" si="180"/>
        <v>40-49</v>
      </c>
      <c r="I3869" t="str">
        <f t="shared" si="181"/>
        <v>20-29</v>
      </c>
      <c r="J3869">
        <f t="shared" si="182"/>
        <v>2.7399999999999998E-3</v>
      </c>
    </row>
    <row r="3870" spans="1:10">
      <c r="A3870" t="s">
        <v>3952</v>
      </c>
      <c r="B3870">
        <v>34</v>
      </c>
      <c r="C3870" t="s">
        <v>7</v>
      </c>
      <c r="D3870">
        <v>25</v>
      </c>
      <c r="E3870">
        <v>58</v>
      </c>
      <c r="F3870">
        <v>4.0499999999999998E-3</v>
      </c>
      <c r="G3870">
        <v>0</v>
      </c>
      <c r="H3870" t="str">
        <f t="shared" si="180"/>
        <v>50-59</v>
      </c>
      <c r="I3870" t="str">
        <f t="shared" si="181"/>
        <v>20-29</v>
      </c>
      <c r="J3870">
        <f t="shared" si="182"/>
        <v>4.0499999999999998E-3</v>
      </c>
    </row>
    <row r="3871" spans="1:10">
      <c r="A3871" t="s">
        <v>3953</v>
      </c>
      <c r="B3871">
        <v>24</v>
      </c>
      <c r="C3871" t="s">
        <v>7</v>
      </c>
      <c r="D3871">
        <v>1</v>
      </c>
      <c r="E3871">
        <v>24</v>
      </c>
      <c r="F3871">
        <v>1.8000000000000001E-4</v>
      </c>
      <c r="G3871">
        <v>0</v>
      </c>
      <c r="H3871" t="str">
        <f t="shared" si="180"/>
        <v>20-29</v>
      </c>
      <c r="I3871" t="str">
        <f t="shared" si="181"/>
        <v>0-9</v>
      </c>
      <c r="J3871">
        <f t="shared" si="182"/>
        <v>1.8000000000000001E-4</v>
      </c>
    </row>
    <row r="3872" spans="1:10">
      <c r="A3872" t="s">
        <v>3954</v>
      </c>
      <c r="B3872">
        <v>56</v>
      </c>
      <c r="C3872" t="s">
        <v>9</v>
      </c>
      <c r="D3872">
        <v>21</v>
      </c>
      <c r="E3872">
        <v>76</v>
      </c>
      <c r="F3872">
        <v>3.32E-2</v>
      </c>
      <c r="G3872">
        <v>0</v>
      </c>
      <c r="H3872" t="str">
        <f t="shared" si="180"/>
        <v>70-79</v>
      </c>
      <c r="I3872" t="str">
        <f t="shared" si="181"/>
        <v>20-29</v>
      </c>
      <c r="J3872">
        <f t="shared" si="182"/>
        <v>3.32E-2</v>
      </c>
    </row>
    <row r="3873" spans="1:10">
      <c r="A3873" t="s">
        <v>3955</v>
      </c>
      <c r="B3873">
        <v>44</v>
      </c>
      <c r="C3873" t="s">
        <v>7</v>
      </c>
      <c r="D3873">
        <v>15</v>
      </c>
      <c r="E3873">
        <v>58</v>
      </c>
      <c r="F3873">
        <v>3.7200000000000002E-3</v>
      </c>
      <c r="G3873">
        <v>0</v>
      </c>
      <c r="H3873" t="str">
        <f t="shared" si="180"/>
        <v>50-59</v>
      </c>
      <c r="I3873" t="str">
        <f t="shared" si="181"/>
        <v>10-19</v>
      </c>
      <c r="J3873">
        <f t="shared" si="182"/>
        <v>3.7200000000000002E-3</v>
      </c>
    </row>
    <row r="3874" spans="1:10">
      <c r="A3874" t="s">
        <v>3956</v>
      </c>
      <c r="B3874">
        <v>51</v>
      </c>
      <c r="C3874" t="s">
        <v>9</v>
      </c>
      <c r="D3874">
        <v>20</v>
      </c>
      <c r="E3874">
        <v>70</v>
      </c>
      <c r="F3874">
        <v>1.6879999999999999E-2</v>
      </c>
      <c r="G3874">
        <v>0</v>
      </c>
      <c r="H3874" t="str">
        <f t="shared" si="180"/>
        <v>70-79</v>
      </c>
      <c r="I3874" t="str">
        <f t="shared" si="181"/>
        <v>20-29</v>
      </c>
      <c r="J3874">
        <f t="shared" si="182"/>
        <v>1.6879999999999999E-2</v>
      </c>
    </row>
    <row r="3875" spans="1:10">
      <c r="A3875" t="s">
        <v>3957</v>
      </c>
      <c r="B3875">
        <v>60</v>
      </c>
      <c r="C3875" t="s">
        <v>9</v>
      </c>
      <c r="D3875">
        <v>15</v>
      </c>
      <c r="E3875">
        <v>74</v>
      </c>
      <c r="F3875">
        <v>2.5520000000000001E-2</v>
      </c>
      <c r="G3875">
        <v>0</v>
      </c>
      <c r="H3875" t="str">
        <f t="shared" si="180"/>
        <v>70-79</v>
      </c>
      <c r="I3875" t="str">
        <f t="shared" si="181"/>
        <v>10-19</v>
      </c>
      <c r="J3875">
        <f t="shared" si="182"/>
        <v>2.5520000000000001E-2</v>
      </c>
    </row>
    <row r="3876" spans="1:10">
      <c r="A3876" t="s">
        <v>3958</v>
      </c>
      <c r="B3876">
        <v>49</v>
      </c>
      <c r="C3876" t="s">
        <v>7</v>
      </c>
      <c r="D3876">
        <v>18</v>
      </c>
      <c r="E3876">
        <v>66</v>
      </c>
      <c r="F3876">
        <v>8.9499999999999996E-3</v>
      </c>
      <c r="G3876">
        <v>0</v>
      </c>
      <c r="H3876" t="str">
        <f t="shared" si="180"/>
        <v>60-69</v>
      </c>
      <c r="I3876" t="str">
        <f t="shared" si="181"/>
        <v>10-19</v>
      </c>
      <c r="J3876">
        <f t="shared" si="182"/>
        <v>8.9499999999999996E-3</v>
      </c>
    </row>
    <row r="3877" spans="1:10">
      <c r="A3877" t="s">
        <v>3959</v>
      </c>
      <c r="B3877">
        <v>38</v>
      </c>
      <c r="C3877" t="s">
        <v>7</v>
      </c>
      <c r="D3877">
        <v>21</v>
      </c>
      <c r="E3877">
        <v>58</v>
      </c>
      <c r="F3877">
        <v>4.0499999999999998E-3</v>
      </c>
      <c r="G3877">
        <v>0</v>
      </c>
      <c r="H3877" t="str">
        <f t="shared" si="180"/>
        <v>50-59</v>
      </c>
      <c r="I3877" t="str">
        <f t="shared" si="181"/>
        <v>20-29</v>
      </c>
      <c r="J3877">
        <f t="shared" si="182"/>
        <v>4.0499999999999998E-3</v>
      </c>
    </row>
    <row r="3878" spans="1:10">
      <c r="A3878" t="s">
        <v>3960</v>
      </c>
      <c r="B3878">
        <v>44</v>
      </c>
      <c r="C3878" t="s">
        <v>7</v>
      </c>
      <c r="D3878">
        <v>9</v>
      </c>
      <c r="E3878">
        <v>52</v>
      </c>
      <c r="F3878">
        <v>1.7899999999999999E-3</v>
      </c>
      <c r="G3878">
        <v>0</v>
      </c>
      <c r="H3878" t="str">
        <f t="shared" si="180"/>
        <v>50-59</v>
      </c>
      <c r="I3878" t="str">
        <f t="shared" si="181"/>
        <v>0-9</v>
      </c>
      <c r="J3878">
        <f t="shared" si="182"/>
        <v>1.7899999999999999E-3</v>
      </c>
    </row>
    <row r="3879" spans="1:10">
      <c r="A3879" t="s">
        <v>3961</v>
      </c>
      <c r="B3879">
        <v>21</v>
      </c>
      <c r="C3879" t="s">
        <v>7</v>
      </c>
      <c r="D3879">
        <v>14</v>
      </c>
      <c r="E3879">
        <v>34</v>
      </c>
      <c r="F3879">
        <v>5.4000000000000001E-4</v>
      </c>
      <c r="G3879">
        <v>0</v>
      </c>
      <c r="H3879" t="str">
        <f t="shared" si="180"/>
        <v>30-39</v>
      </c>
      <c r="I3879" t="str">
        <f t="shared" si="181"/>
        <v>10-19</v>
      </c>
      <c r="J3879">
        <f t="shared" si="182"/>
        <v>5.4000000000000001E-4</v>
      </c>
    </row>
    <row r="3880" spans="1:10">
      <c r="A3880" t="s">
        <v>3962</v>
      </c>
      <c r="B3880">
        <v>49</v>
      </c>
      <c r="C3880" t="s">
        <v>7</v>
      </c>
      <c r="D3880">
        <v>14</v>
      </c>
      <c r="E3880">
        <v>62</v>
      </c>
      <c r="F3880">
        <v>5.5599999999999998E-3</v>
      </c>
      <c r="G3880">
        <v>0</v>
      </c>
      <c r="H3880" t="str">
        <f t="shared" si="180"/>
        <v>60-69</v>
      </c>
      <c r="I3880" t="str">
        <f t="shared" si="181"/>
        <v>10-19</v>
      </c>
      <c r="J3880">
        <f t="shared" si="182"/>
        <v>5.5599999999999998E-3</v>
      </c>
    </row>
    <row r="3881" spans="1:10">
      <c r="A3881" t="s">
        <v>3963</v>
      </c>
      <c r="B3881">
        <v>34</v>
      </c>
      <c r="C3881" t="s">
        <v>9</v>
      </c>
      <c r="D3881">
        <v>13</v>
      </c>
      <c r="E3881">
        <v>46</v>
      </c>
      <c r="F3881">
        <v>1.56E-3</v>
      </c>
      <c r="G3881">
        <v>0</v>
      </c>
      <c r="H3881" t="str">
        <f t="shared" si="180"/>
        <v>40-49</v>
      </c>
      <c r="I3881" t="str">
        <f t="shared" si="181"/>
        <v>10-19</v>
      </c>
      <c r="J3881">
        <f t="shared" si="182"/>
        <v>1.56E-3</v>
      </c>
    </row>
    <row r="3882" spans="1:10">
      <c r="A3882" t="s">
        <v>3964</v>
      </c>
      <c r="B3882">
        <v>33</v>
      </c>
      <c r="C3882" t="s">
        <v>9</v>
      </c>
      <c r="D3882">
        <v>13</v>
      </c>
      <c r="E3882">
        <v>45</v>
      </c>
      <c r="F3882">
        <v>1.4499999999999999E-3</v>
      </c>
      <c r="G3882">
        <v>0</v>
      </c>
      <c r="H3882" t="str">
        <f t="shared" si="180"/>
        <v>40-49</v>
      </c>
      <c r="I3882" t="str">
        <f t="shared" si="181"/>
        <v>10-19</v>
      </c>
      <c r="J3882">
        <f t="shared" si="182"/>
        <v>1.4499999999999999E-3</v>
      </c>
    </row>
    <row r="3883" spans="1:10">
      <c r="A3883" t="s">
        <v>3965</v>
      </c>
      <c r="B3883">
        <v>48</v>
      </c>
      <c r="C3883" t="s">
        <v>7</v>
      </c>
      <c r="D3883">
        <v>15</v>
      </c>
      <c r="E3883">
        <v>62</v>
      </c>
      <c r="F3883">
        <v>5.6600000000000001E-3</v>
      </c>
      <c r="G3883">
        <v>0</v>
      </c>
      <c r="H3883" t="str">
        <f t="shared" si="180"/>
        <v>60-69</v>
      </c>
      <c r="I3883" t="str">
        <f t="shared" si="181"/>
        <v>10-19</v>
      </c>
      <c r="J3883">
        <f t="shared" si="182"/>
        <v>5.6600000000000001E-3</v>
      </c>
    </row>
    <row r="3884" spans="1:10">
      <c r="A3884" t="s">
        <v>3966</v>
      </c>
      <c r="B3884">
        <v>41</v>
      </c>
      <c r="C3884" t="s">
        <v>7</v>
      </c>
      <c r="D3884">
        <v>11</v>
      </c>
      <c r="E3884">
        <v>51</v>
      </c>
      <c r="F3884">
        <v>1.8E-3</v>
      </c>
      <c r="G3884">
        <v>0</v>
      </c>
      <c r="H3884" t="str">
        <f t="shared" si="180"/>
        <v>50-59</v>
      </c>
      <c r="I3884" t="str">
        <f t="shared" si="181"/>
        <v>10-19</v>
      </c>
      <c r="J3884">
        <f t="shared" si="182"/>
        <v>1.8E-3</v>
      </c>
    </row>
    <row r="3885" spans="1:10">
      <c r="A3885" t="s">
        <v>3967</v>
      </c>
      <c r="B3885">
        <v>53</v>
      </c>
      <c r="C3885" t="s">
        <v>9</v>
      </c>
      <c r="D3885">
        <v>7</v>
      </c>
      <c r="E3885">
        <v>59</v>
      </c>
      <c r="F3885">
        <v>4.7400000000000003E-3</v>
      </c>
      <c r="G3885">
        <v>0</v>
      </c>
      <c r="H3885" t="str">
        <f t="shared" si="180"/>
        <v>50-59</v>
      </c>
      <c r="I3885" t="str">
        <f t="shared" si="181"/>
        <v>0-9</v>
      </c>
      <c r="J3885">
        <f t="shared" si="182"/>
        <v>4.7400000000000003E-3</v>
      </c>
    </row>
    <row r="3886" spans="1:10">
      <c r="A3886" t="s">
        <v>3968</v>
      </c>
      <c r="B3886">
        <v>56</v>
      </c>
      <c r="C3886" t="s">
        <v>7</v>
      </c>
      <c r="D3886">
        <v>7</v>
      </c>
      <c r="E3886">
        <v>62</v>
      </c>
      <c r="F3886">
        <v>4.3299999999999996E-3</v>
      </c>
      <c r="G3886">
        <v>0</v>
      </c>
      <c r="H3886" t="str">
        <f t="shared" si="180"/>
        <v>60-69</v>
      </c>
      <c r="I3886" t="str">
        <f t="shared" si="181"/>
        <v>0-9</v>
      </c>
      <c r="J3886">
        <f t="shared" si="182"/>
        <v>4.3299999999999996E-3</v>
      </c>
    </row>
    <row r="3887" spans="1:10">
      <c r="A3887" t="s">
        <v>3969</v>
      </c>
      <c r="B3887">
        <v>59</v>
      </c>
      <c r="C3887" t="s">
        <v>7</v>
      </c>
      <c r="D3887">
        <v>12</v>
      </c>
      <c r="E3887">
        <v>70</v>
      </c>
      <c r="F3887">
        <v>1.009E-2</v>
      </c>
      <c r="G3887">
        <v>0</v>
      </c>
      <c r="H3887" t="str">
        <f t="shared" si="180"/>
        <v>70-79</v>
      </c>
      <c r="I3887" t="str">
        <f t="shared" si="181"/>
        <v>10-19</v>
      </c>
      <c r="J3887">
        <f t="shared" si="182"/>
        <v>1.009E-2</v>
      </c>
    </row>
    <row r="3888" spans="1:10">
      <c r="A3888" t="s">
        <v>3970</v>
      </c>
      <c r="B3888">
        <v>46</v>
      </c>
      <c r="C3888" t="s">
        <v>7</v>
      </c>
      <c r="D3888">
        <v>12</v>
      </c>
      <c r="E3888">
        <v>57</v>
      </c>
      <c r="F3888">
        <v>3.1199999999999999E-3</v>
      </c>
      <c r="G3888">
        <v>0</v>
      </c>
      <c r="H3888" t="str">
        <f t="shared" si="180"/>
        <v>50-59</v>
      </c>
      <c r="I3888" t="str">
        <f t="shared" si="181"/>
        <v>10-19</v>
      </c>
      <c r="J3888">
        <f t="shared" si="182"/>
        <v>3.1199999999999999E-3</v>
      </c>
    </row>
    <row r="3889" spans="1:10">
      <c r="A3889" t="s">
        <v>3971</v>
      </c>
      <c r="B3889">
        <v>29</v>
      </c>
      <c r="C3889" t="s">
        <v>9</v>
      </c>
      <c r="D3889">
        <v>16</v>
      </c>
      <c r="E3889">
        <v>44</v>
      </c>
      <c r="F3889">
        <v>1.6100000000000001E-3</v>
      </c>
      <c r="G3889">
        <v>0</v>
      </c>
      <c r="H3889" t="str">
        <f t="shared" si="180"/>
        <v>40-49</v>
      </c>
      <c r="I3889" t="str">
        <f t="shared" si="181"/>
        <v>10-19</v>
      </c>
      <c r="J3889">
        <f t="shared" si="182"/>
        <v>1.6100000000000001E-3</v>
      </c>
    </row>
    <row r="3890" spans="1:10">
      <c r="A3890" t="s">
        <v>3972</v>
      </c>
      <c r="B3890">
        <v>39</v>
      </c>
      <c r="C3890" t="s">
        <v>7</v>
      </c>
      <c r="D3890">
        <v>29</v>
      </c>
      <c r="E3890">
        <v>67</v>
      </c>
      <c r="F3890">
        <v>7.4700000000000001E-3</v>
      </c>
      <c r="G3890">
        <v>0</v>
      </c>
      <c r="H3890" t="str">
        <f t="shared" si="180"/>
        <v>60-69</v>
      </c>
      <c r="I3890" t="str">
        <f t="shared" si="181"/>
        <v>20-29</v>
      </c>
      <c r="J3890">
        <f t="shared" si="182"/>
        <v>7.4700000000000001E-3</v>
      </c>
    </row>
    <row r="3891" spans="1:10">
      <c r="A3891" t="s">
        <v>3973</v>
      </c>
      <c r="B3891">
        <v>59</v>
      </c>
      <c r="C3891" t="s">
        <v>9</v>
      </c>
      <c r="D3891">
        <v>14</v>
      </c>
      <c r="E3891">
        <v>72</v>
      </c>
      <c r="F3891">
        <v>2.0760000000000001E-2</v>
      </c>
      <c r="G3891">
        <v>0</v>
      </c>
      <c r="H3891" t="str">
        <f t="shared" si="180"/>
        <v>70-79</v>
      </c>
      <c r="I3891" t="str">
        <f t="shared" si="181"/>
        <v>10-19</v>
      </c>
      <c r="J3891">
        <f t="shared" si="182"/>
        <v>2.0760000000000001E-2</v>
      </c>
    </row>
    <row r="3892" spans="1:10">
      <c r="A3892" t="s">
        <v>3974</v>
      </c>
      <c r="B3892">
        <v>55</v>
      </c>
      <c r="C3892" t="s">
        <v>9</v>
      </c>
      <c r="D3892">
        <v>29</v>
      </c>
      <c r="E3892">
        <v>83</v>
      </c>
      <c r="F3892">
        <v>5.0909999999999997E-2</v>
      </c>
      <c r="G3892">
        <v>0</v>
      </c>
      <c r="H3892" t="str">
        <f t="shared" si="180"/>
        <v>80-89</v>
      </c>
      <c r="I3892" t="str">
        <f t="shared" si="181"/>
        <v>20-29</v>
      </c>
      <c r="J3892">
        <f t="shared" si="182"/>
        <v>5.0909999999999997E-2</v>
      </c>
    </row>
    <row r="3893" spans="1:10">
      <c r="A3893" t="s">
        <v>3975</v>
      </c>
      <c r="B3893">
        <v>53</v>
      </c>
      <c r="C3893" t="s">
        <v>9</v>
      </c>
      <c r="D3893">
        <v>14</v>
      </c>
      <c r="E3893">
        <v>66</v>
      </c>
      <c r="F3893">
        <v>1.116E-2</v>
      </c>
      <c r="G3893">
        <v>0</v>
      </c>
      <c r="H3893" t="str">
        <f t="shared" si="180"/>
        <v>60-69</v>
      </c>
      <c r="I3893" t="str">
        <f t="shared" si="181"/>
        <v>10-19</v>
      </c>
      <c r="J3893">
        <f t="shared" si="182"/>
        <v>1.116E-2</v>
      </c>
    </row>
    <row r="3894" spans="1:10">
      <c r="A3894" t="s">
        <v>3976</v>
      </c>
      <c r="B3894">
        <v>64</v>
      </c>
      <c r="C3894" t="s">
        <v>9</v>
      </c>
      <c r="D3894">
        <v>7</v>
      </c>
      <c r="E3894">
        <v>70</v>
      </c>
      <c r="F3894">
        <v>1.1650000000000001E-2</v>
      </c>
      <c r="G3894">
        <v>0</v>
      </c>
      <c r="H3894" t="str">
        <f t="shared" si="180"/>
        <v>70-79</v>
      </c>
      <c r="I3894" t="str">
        <f t="shared" si="181"/>
        <v>0-9</v>
      </c>
      <c r="J3894">
        <f t="shared" si="182"/>
        <v>1.1650000000000001E-2</v>
      </c>
    </row>
    <row r="3895" spans="1:10">
      <c r="A3895" t="s">
        <v>3977</v>
      </c>
      <c r="B3895">
        <v>37</v>
      </c>
      <c r="C3895" t="s">
        <v>7</v>
      </c>
      <c r="D3895">
        <v>24</v>
      </c>
      <c r="E3895">
        <v>60</v>
      </c>
      <c r="F3895">
        <v>4.9300000000000004E-3</v>
      </c>
      <c r="G3895">
        <v>0</v>
      </c>
      <c r="H3895" t="str">
        <f t="shared" si="180"/>
        <v>60-69</v>
      </c>
      <c r="I3895" t="str">
        <f t="shared" si="181"/>
        <v>20-29</v>
      </c>
      <c r="J3895">
        <f t="shared" si="182"/>
        <v>4.9300000000000004E-3</v>
      </c>
    </row>
    <row r="3896" spans="1:10">
      <c r="A3896" t="s">
        <v>3978</v>
      </c>
      <c r="B3896">
        <v>61</v>
      </c>
      <c r="C3896" t="s">
        <v>7</v>
      </c>
      <c r="D3896">
        <v>13</v>
      </c>
      <c r="E3896">
        <v>73</v>
      </c>
      <c r="F3896">
        <v>1.453E-2</v>
      </c>
      <c r="G3896">
        <v>0</v>
      </c>
      <c r="H3896" t="str">
        <f t="shared" si="180"/>
        <v>70-79</v>
      </c>
      <c r="I3896" t="str">
        <f t="shared" si="181"/>
        <v>10-19</v>
      </c>
      <c r="J3896">
        <f t="shared" si="182"/>
        <v>1.453E-2</v>
      </c>
    </row>
    <row r="3897" spans="1:10">
      <c r="A3897" t="s">
        <v>3979</v>
      </c>
      <c r="B3897">
        <v>29</v>
      </c>
      <c r="C3897" t="s">
        <v>9</v>
      </c>
      <c r="D3897">
        <v>14</v>
      </c>
      <c r="E3897">
        <v>42</v>
      </c>
      <c r="F3897">
        <v>1.3500000000000001E-3</v>
      </c>
      <c r="G3897">
        <v>0</v>
      </c>
      <c r="H3897" t="str">
        <f t="shared" si="180"/>
        <v>40-49</v>
      </c>
      <c r="I3897" t="str">
        <f t="shared" si="181"/>
        <v>10-19</v>
      </c>
      <c r="J3897">
        <f t="shared" si="182"/>
        <v>1.3500000000000001E-3</v>
      </c>
    </row>
    <row r="3898" spans="1:10">
      <c r="A3898" t="s">
        <v>3980</v>
      </c>
      <c r="B3898">
        <v>28</v>
      </c>
      <c r="C3898" t="s">
        <v>7</v>
      </c>
      <c r="D3898">
        <v>25</v>
      </c>
      <c r="E3898">
        <v>52</v>
      </c>
      <c r="F3898">
        <v>2.3800000000000002E-3</v>
      </c>
      <c r="G3898">
        <v>0</v>
      </c>
      <c r="H3898" t="str">
        <f t="shared" si="180"/>
        <v>50-59</v>
      </c>
      <c r="I3898" t="str">
        <f t="shared" si="181"/>
        <v>20-29</v>
      </c>
      <c r="J3898">
        <f t="shared" si="182"/>
        <v>2.3800000000000002E-3</v>
      </c>
    </row>
    <row r="3899" spans="1:10">
      <c r="A3899" t="s">
        <v>3981</v>
      </c>
      <c r="B3899">
        <v>59</v>
      </c>
      <c r="C3899" t="s">
        <v>7</v>
      </c>
      <c r="D3899">
        <v>17</v>
      </c>
      <c r="E3899">
        <v>75</v>
      </c>
      <c r="F3899">
        <v>2.1329999999999998E-2</v>
      </c>
      <c r="G3899">
        <v>0</v>
      </c>
      <c r="H3899" t="str">
        <f t="shared" si="180"/>
        <v>70-79</v>
      </c>
      <c r="I3899" t="str">
        <f t="shared" si="181"/>
        <v>10-19</v>
      </c>
      <c r="J3899">
        <f t="shared" si="182"/>
        <v>2.1329999999999998E-2</v>
      </c>
    </row>
    <row r="3900" spans="1:10">
      <c r="A3900" t="s">
        <v>3982</v>
      </c>
      <c r="B3900">
        <v>63</v>
      </c>
      <c r="C3900" t="s">
        <v>7</v>
      </c>
      <c r="D3900">
        <v>4</v>
      </c>
      <c r="E3900">
        <v>66</v>
      </c>
      <c r="F3900">
        <v>5.0800000000000003E-3</v>
      </c>
      <c r="G3900">
        <v>0</v>
      </c>
      <c r="H3900" t="str">
        <f t="shared" si="180"/>
        <v>60-69</v>
      </c>
      <c r="I3900" t="str">
        <f t="shared" si="181"/>
        <v>0-9</v>
      </c>
      <c r="J3900">
        <f t="shared" si="182"/>
        <v>5.0800000000000003E-3</v>
      </c>
    </row>
    <row r="3901" spans="1:10">
      <c r="A3901" t="s">
        <v>3983</v>
      </c>
      <c r="B3901">
        <v>20</v>
      </c>
      <c r="C3901" t="s">
        <v>7</v>
      </c>
      <c r="D3901">
        <v>30</v>
      </c>
      <c r="E3901">
        <v>49</v>
      </c>
      <c r="F3901">
        <v>1.3799999999999999E-3</v>
      </c>
      <c r="G3901">
        <v>0</v>
      </c>
      <c r="H3901" t="str">
        <f t="shared" si="180"/>
        <v>40-49</v>
      </c>
      <c r="I3901" t="str">
        <f t="shared" si="181"/>
        <v>30-39</v>
      </c>
      <c r="J3901">
        <f t="shared" si="182"/>
        <v>1.3799999999999999E-3</v>
      </c>
    </row>
    <row r="3902" spans="1:10">
      <c r="A3902" t="s">
        <v>3984</v>
      </c>
      <c r="B3902">
        <v>25</v>
      </c>
      <c r="C3902" t="s">
        <v>7</v>
      </c>
      <c r="D3902">
        <v>11</v>
      </c>
      <c r="E3902">
        <v>35</v>
      </c>
      <c r="F3902">
        <v>5.1999999999999995E-4</v>
      </c>
      <c r="G3902">
        <v>0</v>
      </c>
      <c r="H3902" t="str">
        <f t="shared" si="180"/>
        <v>30-39</v>
      </c>
      <c r="I3902" t="str">
        <f t="shared" si="181"/>
        <v>10-19</v>
      </c>
      <c r="J3902">
        <f t="shared" si="182"/>
        <v>5.1999999999999995E-4</v>
      </c>
    </row>
    <row r="3903" spans="1:10">
      <c r="A3903" t="s">
        <v>3985</v>
      </c>
      <c r="B3903">
        <v>29</v>
      </c>
      <c r="C3903" t="s">
        <v>9</v>
      </c>
      <c r="D3903">
        <v>7</v>
      </c>
      <c r="E3903">
        <v>35</v>
      </c>
      <c r="F3903">
        <v>5.5999999999999995E-4</v>
      </c>
      <c r="G3903">
        <v>0</v>
      </c>
      <c r="H3903" t="str">
        <f t="shared" si="180"/>
        <v>30-39</v>
      </c>
      <c r="I3903" t="str">
        <f t="shared" si="181"/>
        <v>0-9</v>
      </c>
      <c r="J3903">
        <f t="shared" si="182"/>
        <v>5.5999999999999995E-4</v>
      </c>
    </row>
    <row r="3904" spans="1:10">
      <c r="A3904" t="s">
        <v>3986</v>
      </c>
      <c r="B3904">
        <v>59</v>
      </c>
      <c r="C3904" t="s">
        <v>9</v>
      </c>
      <c r="D3904">
        <v>30</v>
      </c>
      <c r="E3904">
        <v>88</v>
      </c>
      <c r="F3904">
        <v>8.0629999999999993E-2</v>
      </c>
      <c r="G3904">
        <v>0</v>
      </c>
      <c r="H3904" t="str">
        <f t="shared" si="180"/>
        <v>80-89</v>
      </c>
      <c r="I3904" t="str">
        <f t="shared" si="181"/>
        <v>30-39</v>
      </c>
      <c r="J3904">
        <f t="shared" si="182"/>
        <v>8.0629999999999993E-2</v>
      </c>
    </row>
    <row r="3905" spans="1:10">
      <c r="A3905" t="s">
        <v>3987</v>
      </c>
      <c r="B3905">
        <v>48</v>
      </c>
      <c r="C3905" t="s">
        <v>9</v>
      </c>
      <c r="D3905">
        <v>16</v>
      </c>
      <c r="E3905">
        <v>63</v>
      </c>
      <c r="F3905">
        <v>8.4600000000000005E-3</v>
      </c>
      <c r="G3905">
        <v>0</v>
      </c>
      <c r="H3905" t="str">
        <f t="shared" si="180"/>
        <v>60-69</v>
      </c>
      <c r="I3905" t="str">
        <f t="shared" si="181"/>
        <v>10-19</v>
      </c>
      <c r="J3905">
        <f t="shared" si="182"/>
        <v>8.4600000000000005E-3</v>
      </c>
    </row>
    <row r="3906" spans="1:10">
      <c r="A3906" t="s">
        <v>3988</v>
      </c>
      <c r="B3906">
        <v>39</v>
      </c>
      <c r="C3906" t="s">
        <v>7</v>
      </c>
      <c r="D3906">
        <v>4</v>
      </c>
      <c r="E3906">
        <v>42</v>
      </c>
      <c r="F3906">
        <v>6.2E-4</v>
      </c>
      <c r="G3906">
        <v>0</v>
      </c>
      <c r="H3906" t="str">
        <f t="shared" si="180"/>
        <v>40-49</v>
      </c>
      <c r="I3906" t="str">
        <f t="shared" si="181"/>
        <v>0-9</v>
      </c>
      <c r="J3906">
        <f t="shared" si="182"/>
        <v>6.2E-4</v>
      </c>
    </row>
    <row r="3907" spans="1:10">
      <c r="A3907" t="s">
        <v>3989</v>
      </c>
      <c r="B3907">
        <v>29</v>
      </c>
      <c r="C3907" t="s">
        <v>9</v>
      </c>
      <c r="D3907">
        <v>6</v>
      </c>
      <c r="E3907">
        <v>34</v>
      </c>
      <c r="F3907">
        <v>5.1000000000000004E-4</v>
      </c>
      <c r="G3907">
        <v>0</v>
      </c>
      <c r="H3907" t="str">
        <f t="shared" ref="H3907:H3970" si="183">FLOOR(E3907,10) &amp; "-" &amp; FLOOR(E3907,10)+9</f>
        <v>30-39</v>
      </c>
      <c r="I3907" t="str">
        <f t="shared" ref="I3907:I3970" si="184">FLOOR(D3907, 10) &amp; "-"&amp;FLOOR(D3907, 10)+9</f>
        <v>0-9</v>
      </c>
      <c r="J3907">
        <f t="shared" ref="J3907:J3970" si="185">F3907</f>
        <v>5.1000000000000004E-4</v>
      </c>
    </row>
    <row r="3908" spans="1:10">
      <c r="A3908" t="s">
        <v>3990</v>
      </c>
      <c r="B3908">
        <v>59</v>
      </c>
      <c r="C3908" t="s">
        <v>9</v>
      </c>
      <c r="D3908">
        <v>14</v>
      </c>
      <c r="E3908">
        <v>72</v>
      </c>
      <c r="F3908">
        <v>2.0760000000000001E-2</v>
      </c>
      <c r="G3908">
        <v>0</v>
      </c>
      <c r="H3908" t="str">
        <f t="shared" si="183"/>
        <v>70-79</v>
      </c>
      <c r="I3908" t="str">
        <f t="shared" si="184"/>
        <v>10-19</v>
      </c>
      <c r="J3908">
        <f t="shared" si="185"/>
        <v>2.0760000000000001E-2</v>
      </c>
    </row>
    <row r="3909" spans="1:10">
      <c r="A3909" t="s">
        <v>3991</v>
      </c>
      <c r="B3909">
        <v>50</v>
      </c>
      <c r="C3909" t="s">
        <v>7</v>
      </c>
      <c r="D3909">
        <v>23</v>
      </c>
      <c r="E3909">
        <v>72</v>
      </c>
      <c r="F3909">
        <v>1.7170000000000001E-2</v>
      </c>
      <c r="G3909">
        <v>0</v>
      </c>
      <c r="H3909" t="str">
        <f t="shared" si="183"/>
        <v>70-79</v>
      </c>
      <c r="I3909" t="str">
        <f t="shared" si="184"/>
        <v>20-29</v>
      </c>
      <c r="J3909">
        <f t="shared" si="185"/>
        <v>1.7170000000000001E-2</v>
      </c>
    </row>
    <row r="3910" spans="1:10">
      <c r="A3910" t="s">
        <v>3992</v>
      </c>
      <c r="B3910">
        <v>35</v>
      </c>
      <c r="C3910" t="s">
        <v>7</v>
      </c>
      <c r="D3910">
        <v>4</v>
      </c>
      <c r="E3910">
        <v>38</v>
      </c>
      <c r="F3910">
        <v>4.4000000000000002E-4</v>
      </c>
      <c r="G3910">
        <v>0</v>
      </c>
      <c r="H3910" t="str">
        <f t="shared" si="183"/>
        <v>30-39</v>
      </c>
      <c r="I3910" t="str">
        <f t="shared" si="184"/>
        <v>0-9</v>
      </c>
      <c r="J3910">
        <f t="shared" si="185"/>
        <v>4.4000000000000002E-4</v>
      </c>
    </row>
    <row r="3911" spans="1:10">
      <c r="A3911" t="s">
        <v>3993</v>
      </c>
      <c r="B3911">
        <v>48</v>
      </c>
      <c r="C3911" t="s">
        <v>7</v>
      </c>
      <c r="D3911">
        <v>4</v>
      </c>
      <c r="E3911">
        <v>51</v>
      </c>
      <c r="F3911">
        <v>1.25E-3</v>
      </c>
      <c r="G3911">
        <v>0</v>
      </c>
      <c r="H3911" t="str">
        <f t="shared" si="183"/>
        <v>50-59</v>
      </c>
      <c r="I3911" t="str">
        <f t="shared" si="184"/>
        <v>0-9</v>
      </c>
      <c r="J3911">
        <f t="shared" si="185"/>
        <v>1.25E-3</v>
      </c>
    </row>
    <row r="3912" spans="1:10">
      <c r="A3912" t="s">
        <v>3994</v>
      </c>
      <c r="B3912">
        <v>44</v>
      </c>
      <c r="C3912" t="s">
        <v>9</v>
      </c>
      <c r="D3912">
        <v>16</v>
      </c>
      <c r="E3912">
        <v>59</v>
      </c>
      <c r="F3912">
        <v>5.6100000000000004E-3</v>
      </c>
      <c r="G3912">
        <v>0</v>
      </c>
      <c r="H3912" t="str">
        <f t="shared" si="183"/>
        <v>50-59</v>
      </c>
      <c r="I3912" t="str">
        <f t="shared" si="184"/>
        <v>10-19</v>
      </c>
      <c r="J3912">
        <f t="shared" si="185"/>
        <v>5.6100000000000004E-3</v>
      </c>
    </row>
    <row r="3913" spans="1:10">
      <c r="A3913" t="s">
        <v>3995</v>
      </c>
      <c r="B3913">
        <v>21</v>
      </c>
      <c r="C3913" t="s">
        <v>7</v>
      </c>
      <c r="D3913">
        <v>19</v>
      </c>
      <c r="E3913">
        <v>39</v>
      </c>
      <c r="F3913">
        <v>1.06E-3</v>
      </c>
      <c r="G3913">
        <v>0</v>
      </c>
      <c r="H3913" t="str">
        <f t="shared" si="183"/>
        <v>30-39</v>
      </c>
      <c r="I3913" t="str">
        <f t="shared" si="184"/>
        <v>10-19</v>
      </c>
      <c r="J3913">
        <f t="shared" si="185"/>
        <v>1.06E-3</v>
      </c>
    </row>
    <row r="3914" spans="1:10">
      <c r="A3914" t="s">
        <v>3996</v>
      </c>
      <c r="B3914">
        <v>48</v>
      </c>
      <c r="C3914" t="s">
        <v>7</v>
      </c>
      <c r="D3914">
        <v>19</v>
      </c>
      <c r="E3914">
        <v>66</v>
      </c>
      <c r="F3914">
        <v>9.0399999999999994E-3</v>
      </c>
      <c r="G3914">
        <v>0</v>
      </c>
      <c r="H3914" t="str">
        <f t="shared" si="183"/>
        <v>60-69</v>
      </c>
      <c r="I3914" t="str">
        <f t="shared" si="184"/>
        <v>10-19</v>
      </c>
      <c r="J3914">
        <f t="shared" si="185"/>
        <v>9.0399999999999994E-3</v>
      </c>
    </row>
    <row r="3915" spans="1:10">
      <c r="A3915" t="s">
        <v>3997</v>
      </c>
      <c r="B3915">
        <v>21</v>
      </c>
      <c r="C3915" t="s">
        <v>7</v>
      </c>
      <c r="D3915">
        <v>16</v>
      </c>
      <c r="E3915">
        <v>36</v>
      </c>
      <c r="F3915">
        <v>7.2999999999999996E-4</v>
      </c>
      <c r="G3915">
        <v>0</v>
      </c>
      <c r="H3915" t="str">
        <f t="shared" si="183"/>
        <v>30-39</v>
      </c>
      <c r="I3915" t="str">
        <f t="shared" si="184"/>
        <v>10-19</v>
      </c>
      <c r="J3915">
        <f t="shared" si="185"/>
        <v>7.2999999999999996E-4</v>
      </c>
    </row>
    <row r="3916" spans="1:10">
      <c r="A3916" t="s">
        <v>3998</v>
      </c>
      <c r="B3916">
        <v>41</v>
      </c>
      <c r="C3916" t="s">
        <v>7</v>
      </c>
      <c r="D3916">
        <v>3</v>
      </c>
      <c r="E3916">
        <v>43</v>
      </c>
      <c r="F3916">
        <v>5.1999999999999995E-4</v>
      </c>
      <c r="G3916">
        <v>0</v>
      </c>
      <c r="H3916" t="str">
        <f t="shared" si="183"/>
        <v>40-49</v>
      </c>
      <c r="I3916" t="str">
        <f t="shared" si="184"/>
        <v>0-9</v>
      </c>
      <c r="J3916">
        <f t="shared" si="185"/>
        <v>5.1999999999999995E-4</v>
      </c>
    </row>
    <row r="3917" spans="1:10">
      <c r="A3917" t="s">
        <v>3999</v>
      </c>
      <c r="B3917">
        <v>28</v>
      </c>
      <c r="C3917" t="s">
        <v>9</v>
      </c>
      <c r="D3917">
        <v>20</v>
      </c>
      <c r="E3917">
        <v>47</v>
      </c>
      <c r="F3917">
        <v>2.0300000000000001E-3</v>
      </c>
      <c r="G3917">
        <v>0</v>
      </c>
      <c r="H3917" t="str">
        <f t="shared" si="183"/>
        <v>40-49</v>
      </c>
      <c r="I3917" t="str">
        <f t="shared" si="184"/>
        <v>20-29</v>
      </c>
      <c r="J3917">
        <f t="shared" si="185"/>
        <v>2.0300000000000001E-3</v>
      </c>
    </row>
    <row r="3918" spans="1:10">
      <c r="A3918" t="s">
        <v>4000</v>
      </c>
      <c r="B3918">
        <v>29</v>
      </c>
      <c r="C3918" t="s">
        <v>7</v>
      </c>
      <c r="D3918">
        <v>4</v>
      </c>
      <c r="E3918">
        <v>32</v>
      </c>
      <c r="F3918">
        <v>2.4000000000000001E-4</v>
      </c>
      <c r="G3918">
        <v>0</v>
      </c>
      <c r="H3918" t="str">
        <f t="shared" si="183"/>
        <v>30-39</v>
      </c>
      <c r="I3918" t="str">
        <f t="shared" si="184"/>
        <v>0-9</v>
      </c>
      <c r="J3918">
        <f t="shared" si="185"/>
        <v>2.4000000000000001E-4</v>
      </c>
    </row>
    <row r="3919" spans="1:10">
      <c r="A3919" t="s">
        <v>4001</v>
      </c>
      <c r="B3919">
        <v>62</v>
      </c>
      <c r="C3919" t="s">
        <v>7</v>
      </c>
      <c r="D3919">
        <v>7</v>
      </c>
      <c r="E3919">
        <v>68</v>
      </c>
      <c r="F3919">
        <v>7.0200000000000002E-3</v>
      </c>
      <c r="G3919">
        <v>0</v>
      </c>
      <c r="H3919" t="str">
        <f t="shared" si="183"/>
        <v>60-69</v>
      </c>
      <c r="I3919" t="str">
        <f t="shared" si="184"/>
        <v>0-9</v>
      </c>
      <c r="J3919">
        <f t="shared" si="185"/>
        <v>7.0200000000000002E-3</v>
      </c>
    </row>
    <row r="3920" spans="1:10">
      <c r="A3920" t="s">
        <v>4002</v>
      </c>
      <c r="B3920">
        <v>65</v>
      </c>
      <c r="C3920" t="s">
        <v>7</v>
      </c>
      <c r="D3920">
        <v>26</v>
      </c>
      <c r="E3920">
        <v>90</v>
      </c>
      <c r="F3920">
        <v>0.13125000000000001</v>
      </c>
      <c r="G3920">
        <v>1</v>
      </c>
      <c r="H3920" t="str">
        <f t="shared" si="183"/>
        <v>90-99</v>
      </c>
      <c r="I3920" t="str">
        <f t="shared" si="184"/>
        <v>20-29</v>
      </c>
      <c r="J3920">
        <f t="shared" si="185"/>
        <v>0.13125000000000001</v>
      </c>
    </row>
    <row r="3921" spans="1:10">
      <c r="A3921" t="s">
        <v>4003</v>
      </c>
      <c r="B3921">
        <v>58</v>
      </c>
      <c r="C3921" t="s">
        <v>9</v>
      </c>
      <c r="D3921">
        <v>26</v>
      </c>
      <c r="E3921">
        <v>83</v>
      </c>
      <c r="F3921">
        <v>7.1389999999999995E-2</v>
      </c>
      <c r="G3921">
        <v>0</v>
      </c>
      <c r="H3921" t="str">
        <f t="shared" si="183"/>
        <v>80-89</v>
      </c>
      <c r="I3921" t="str">
        <f t="shared" si="184"/>
        <v>20-29</v>
      </c>
      <c r="J3921">
        <f t="shared" si="185"/>
        <v>7.1389999999999995E-2</v>
      </c>
    </row>
    <row r="3922" spans="1:10">
      <c r="A3922" t="s">
        <v>4004</v>
      </c>
      <c r="B3922">
        <v>57</v>
      </c>
      <c r="C3922" t="s">
        <v>7</v>
      </c>
      <c r="D3922">
        <v>14</v>
      </c>
      <c r="E3922">
        <v>70</v>
      </c>
      <c r="F3922">
        <v>1.1520000000000001E-2</v>
      </c>
      <c r="G3922">
        <v>0</v>
      </c>
      <c r="H3922" t="str">
        <f t="shared" si="183"/>
        <v>70-79</v>
      </c>
      <c r="I3922" t="str">
        <f t="shared" si="184"/>
        <v>10-19</v>
      </c>
      <c r="J3922">
        <f t="shared" si="185"/>
        <v>1.1520000000000001E-2</v>
      </c>
    </row>
    <row r="3923" spans="1:10">
      <c r="A3923" t="s">
        <v>4005</v>
      </c>
      <c r="B3923">
        <v>36</v>
      </c>
      <c r="C3923" t="s">
        <v>7</v>
      </c>
      <c r="D3923">
        <v>7</v>
      </c>
      <c r="E3923">
        <v>42</v>
      </c>
      <c r="F3923">
        <v>7.2999999999999996E-4</v>
      </c>
      <c r="G3923">
        <v>0</v>
      </c>
      <c r="H3923" t="str">
        <f t="shared" si="183"/>
        <v>40-49</v>
      </c>
      <c r="I3923" t="str">
        <f t="shared" si="184"/>
        <v>0-9</v>
      </c>
      <c r="J3923">
        <f t="shared" si="185"/>
        <v>7.2999999999999996E-4</v>
      </c>
    </row>
    <row r="3924" spans="1:10">
      <c r="A3924" t="s">
        <v>4006</v>
      </c>
      <c r="B3924">
        <v>21</v>
      </c>
      <c r="C3924" t="s">
        <v>9</v>
      </c>
      <c r="D3924">
        <v>16</v>
      </c>
      <c r="E3924">
        <v>36</v>
      </c>
      <c r="F3924">
        <v>1.01E-3</v>
      </c>
      <c r="G3924">
        <v>0</v>
      </c>
      <c r="H3924" t="str">
        <f t="shared" si="183"/>
        <v>30-39</v>
      </c>
      <c r="I3924" t="str">
        <f t="shared" si="184"/>
        <v>10-19</v>
      </c>
      <c r="J3924">
        <f t="shared" si="185"/>
        <v>1.01E-3</v>
      </c>
    </row>
    <row r="3925" spans="1:10">
      <c r="A3925" t="s">
        <v>4007</v>
      </c>
      <c r="B3925">
        <v>61</v>
      </c>
      <c r="C3925" t="s">
        <v>7</v>
      </c>
      <c r="D3925">
        <v>8</v>
      </c>
      <c r="E3925">
        <v>68</v>
      </c>
      <c r="F3925">
        <v>7.2500000000000004E-3</v>
      </c>
      <c r="G3925">
        <v>0</v>
      </c>
      <c r="H3925" t="str">
        <f t="shared" si="183"/>
        <v>60-69</v>
      </c>
      <c r="I3925" t="str">
        <f t="shared" si="184"/>
        <v>0-9</v>
      </c>
      <c r="J3925">
        <f t="shared" si="185"/>
        <v>7.2500000000000004E-3</v>
      </c>
    </row>
    <row r="3926" spans="1:10">
      <c r="A3926" t="s">
        <v>4008</v>
      </c>
      <c r="B3926">
        <v>47</v>
      </c>
      <c r="C3926" t="s">
        <v>9</v>
      </c>
      <c r="D3926">
        <v>11</v>
      </c>
      <c r="E3926">
        <v>57</v>
      </c>
      <c r="F3926">
        <v>4.1900000000000001E-3</v>
      </c>
      <c r="G3926">
        <v>0</v>
      </c>
      <c r="H3926" t="str">
        <f t="shared" si="183"/>
        <v>50-59</v>
      </c>
      <c r="I3926" t="str">
        <f t="shared" si="184"/>
        <v>10-19</v>
      </c>
      <c r="J3926">
        <f t="shared" si="185"/>
        <v>4.1900000000000001E-3</v>
      </c>
    </row>
    <row r="3927" spans="1:10">
      <c r="A3927" t="s">
        <v>4009</v>
      </c>
      <c r="B3927">
        <v>62</v>
      </c>
      <c r="C3927" t="s">
        <v>7</v>
      </c>
      <c r="D3927">
        <v>15</v>
      </c>
      <c r="E3927">
        <v>76</v>
      </c>
      <c r="F3927">
        <v>2.1930000000000002E-2</v>
      </c>
      <c r="G3927">
        <v>0</v>
      </c>
      <c r="H3927" t="str">
        <f t="shared" si="183"/>
        <v>70-79</v>
      </c>
      <c r="I3927" t="str">
        <f t="shared" si="184"/>
        <v>10-19</v>
      </c>
      <c r="J3927">
        <f t="shared" si="185"/>
        <v>2.1930000000000002E-2</v>
      </c>
    </row>
    <row r="3928" spans="1:10">
      <c r="A3928" t="s">
        <v>4010</v>
      </c>
      <c r="B3928">
        <v>22</v>
      </c>
      <c r="C3928" t="s">
        <v>7</v>
      </c>
      <c r="D3928">
        <v>5</v>
      </c>
      <c r="E3928">
        <v>26</v>
      </c>
      <c r="F3928">
        <v>2.7E-4</v>
      </c>
      <c r="G3928">
        <v>0</v>
      </c>
      <c r="H3928" t="str">
        <f t="shared" si="183"/>
        <v>20-29</v>
      </c>
      <c r="I3928" t="str">
        <f t="shared" si="184"/>
        <v>0-9</v>
      </c>
      <c r="J3928">
        <f t="shared" si="185"/>
        <v>2.7E-4</v>
      </c>
    </row>
    <row r="3929" spans="1:10">
      <c r="A3929" t="s">
        <v>4011</v>
      </c>
      <c r="B3929">
        <v>20</v>
      </c>
      <c r="C3929" t="s">
        <v>7</v>
      </c>
      <c r="D3929">
        <v>24</v>
      </c>
      <c r="E3929">
        <v>43</v>
      </c>
      <c r="F3929">
        <v>1.2800000000000001E-3</v>
      </c>
      <c r="G3929">
        <v>0</v>
      </c>
      <c r="H3929" t="str">
        <f t="shared" si="183"/>
        <v>40-49</v>
      </c>
      <c r="I3929" t="str">
        <f t="shared" si="184"/>
        <v>20-29</v>
      </c>
      <c r="J3929">
        <f t="shared" si="185"/>
        <v>1.2800000000000001E-3</v>
      </c>
    </row>
    <row r="3930" spans="1:10">
      <c r="A3930" t="s">
        <v>4012</v>
      </c>
      <c r="B3930">
        <v>32</v>
      </c>
      <c r="C3930" t="s">
        <v>9</v>
      </c>
      <c r="D3930">
        <v>29</v>
      </c>
      <c r="E3930">
        <v>60</v>
      </c>
      <c r="F3930">
        <v>4.7800000000000004E-3</v>
      </c>
      <c r="G3930">
        <v>0</v>
      </c>
      <c r="H3930" t="str">
        <f t="shared" si="183"/>
        <v>60-69</v>
      </c>
      <c r="I3930" t="str">
        <f t="shared" si="184"/>
        <v>20-29</v>
      </c>
      <c r="J3930">
        <f t="shared" si="185"/>
        <v>4.7800000000000004E-3</v>
      </c>
    </row>
    <row r="3931" spans="1:10">
      <c r="A3931" t="s">
        <v>4013</v>
      </c>
      <c r="B3931">
        <v>64</v>
      </c>
      <c r="C3931" t="s">
        <v>9</v>
      </c>
      <c r="D3931">
        <v>22</v>
      </c>
      <c r="E3931">
        <v>85</v>
      </c>
      <c r="F3931">
        <v>9.1270000000000004E-2</v>
      </c>
      <c r="G3931">
        <v>0</v>
      </c>
      <c r="H3931" t="str">
        <f t="shared" si="183"/>
        <v>80-89</v>
      </c>
      <c r="I3931" t="str">
        <f t="shared" si="184"/>
        <v>20-29</v>
      </c>
      <c r="J3931">
        <f t="shared" si="185"/>
        <v>9.1270000000000004E-2</v>
      </c>
    </row>
    <row r="3932" spans="1:10">
      <c r="A3932" t="s">
        <v>4014</v>
      </c>
      <c r="B3932">
        <v>43</v>
      </c>
      <c r="C3932" t="s">
        <v>7</v>
      </c>
      <c r="D3932">
        <v>26</v>
      </c>
      <c r="E3932">
        <v>68</v>
      </c>
      <c r="F3932">
        <v>1.141E-2</v>
      </c>
      <c r="G3932">
        <v>0</v>
      </c>
      <c r="H3932" t="str">
        <f t="shared" si="183"/>
        <v>60-69</v>
      </c>
      <c r="I3932" t="str">
        <f t="shared" si="184"/>
        <v>20-29</v>
      </c>
      <c r="J3932">
        <f t="shared" si="185"/>
        <v>1.141E-2</v>
      </c>
    </row>
    <row r="3933" spans="1:10">
      <c r="A3933" t="s">
        <v>4015</v>
      </c>
      <c r="B3933">
        <v>47</v>
      </c>
      <c r="C3933" t="s">
        <v>7</v>
      </c>
      <c r="D3933">
        <v>14</v>
      </c>
      <c r="E3933">
        <v>60</v>
      </c>
      <c r="F3933">
        <v>4.5199999999999997E-3</v>
      </c>
      <c r="G3933">
        <v>0</v>
      </c>
      <c r="H3933" t="str">
        <f t="shared" si="183"/>
        <v>60-69</v>
      </c>
      <c r="I3933" t="str">
        <f t="shared" si="184"/>
        <v>10-19</v>
      </c>
      <c r="J3933">
        <f t="shared" si="185"/>
        <v>4.5199999999999997E-3</v>
      </c>
    </row>
    <row r="3934" spans="1:10">
      <c r="A3934" t="s">
        <v>4016</v>
      </c>
      <c r="B3934">
        <v>42</v>
      </c>
      <c r="C3934" t="s">
        <v>9</v>
      </c>
      <c r="D3934">
        <v>24</v>
      </c>
      <c r="E3934">
        <v>65</v>
      </c>
      <c r="F3934">
        <v>1.0449999999999999E-2</v>
      </c>
      <c r="G3934">
        <v>0</v>
      </c>
      <c r="H3934" t="str">
        <f t="shared" si="183"/>
        <v>60-69</v>
      </c>
      <c r="I3934" t="str">
        <f t="shared" si="184"/>
        <v>20-29</v>
      </c>
      <c r="J3934">
        <f t="shared" si="185"/>
        <v>1.0449999999999999E-2</v>
      </c>
    </row>
    <row r="3935" spans="1:10">
      <c r="A3935" t="s">
        <v>4017</v>
      </c>
      <c r="B3935">
        <v>38</v>
      </c>
      <c r="C3935" t="s">
        <v>9</v>
      </c>
      <c r="D3935">
        <v>9</v>
      </c>
      <c r="E3935">
        <v>46</v>
      </c>
      <c r="F3935">
        <v>1.3600000000000001E-3</v>
      </c>
      <c r="G3935">
        <v>0</v>
      </c>
      <c r="H3935" t="str">
        <f t="shared" si="183"/>
        <v>40-49</v>
      </c>
      <c r="I3935" t="str">
        <f t="shared" si="184"/>
        <v>0-9</v>
      </c>
      <c r="J3935">
        <f t="shared" si="185"/>
        <v>1.3600000000000001E-3</v>
      </c>
    </row>
    <row r="3936" spans="1:10">
      <c r="A3936" t="s">
        <v>4018</v>
      </c>
      <c r="B3936">
        <v>62</v>
      </c>
      <c r="C3936" t="s">
        <v>7</v>
      </c>
      <c r="D3936">
        <v>3</v>
      </c>
      <c r="E3936">
        <v>64</v>
      </c>
      <c r="F3936">
        <v>3.3300000000000001E-3</v>
      </c>
      <c r="G3936">
        <v>0</v>
      </c>
      <c r="H3936" t="str">
        <f t="shared" si="183"/>
        <v>60-69</v>
      </c>
      <c r="I3936" t="str">
        <f t="shared" si="184"/>
        <v>0-9</v>
      </c>
      <c r="J3936">
        <f t="shared" si="185"/>
        <v>3.3300000000000001E-3</v>
      </c>
    </row>
    <row r="3937" spans="1:10">
      <c r="A3937" t="s">
        <v>4019</v>
      </c>
      <c r="B3937">
        <v>52</v>
      </c>
      <c r="C3937" t="s">
        <v>9</v>
      </c>
      <c r="D3937">
        <v>29</v>
      </c>
      <c r="E3937">
        <v>80</v>
      </c>
      <c r="F3937">
        <v>3.7220000000000003E-2</v>
      </c>
      <c r="G3937">
        <v>0</v>
      </c>
      <c r="H3937" t="str">
        <f t="shared" si="183"/>
        <v>80-89</v>
      </c>
      <c r="I3937" t="str">
        <f t="shared" si="184"/>
        <v>20-29</v>
      </c>
      <c r="J3937">
        <f t="shared" si="185"/>
        <v>3.7220000000000003E-2</v>
      </c>
    </row>
    <row r="3938" spans="1:10">
      <c r="A3938" t="s">
        <v>4020</v>
      </c>
      <c r="B3938">
        <v>26</v>
      </c>
      <c r="C3938" t="s">
        <v>9</v>
      </c>
      <c r="D3938">
        <v>8</v>
      </c>
      <c r="E3938">
        <v>33</v>
      </c>
      <c r="F3938">
        <v>5.4000000000000001E-4</v>
      </c>
      <c r="G3938">
        <v>0</v>
      </c>
      <c r="H3938" t="str">
        <f t="shared" si="183"/>
        <v>30-39</v>
      </c>
      <c r="I3938" t="str">
        <f t="shared" si="184"/>
        <v>0-9</v>
      </c>
      <c r="J3938">
        <f t="shared" si="185"/>
        <v>5.4000000000000001E-4</v>
      </c>
    </row>
    <row r="3939" spans="1:10">
      <c r="A3939" t="s">
        <v>4021</v>
      </c>
      <c r="B3939">
        <v>29</v>
      </c>
      <c r="C3939" t="s">
        <v>7</v>
      </c>
      <c r="D3939">
        <v>19</v>
      </c>
      <c r="E3939">
        <v>47</v>
      </c>
      <c r="F3939">
        <v>1.5200000000000001E-3</v>
      </c>
      <c r="G3939">
        <v>0</v>
      </c>
      <c r="H3939" t="str">
        <f t="shared" si="183"/>
        <v>40-49</v>
      </c>
      <c r="I3939" t="str">
        <f t="shared" si="184"/>
        <v>10-19</v>
      </c>
      <c r="J3939">
        <f t="shared" si="185"/>
        <v>1.5200000000000001E-3</v>
      </c>
    </row>
    <row r="3940" spans="1:10">
      <c r="A3940" t="s">
        <v>4022</v>
      </c>
      <c r="B3940">
        <v>24</v>
      </c>
      <c r="C3940" t="s">
        <v>7</v>
      </c>
      <c r="D3940">
        <v>1</v>
      </c>
      <c r="E3940">
        <v>24</v>
      </c>
      <c r="F3940">
        <v>1.8000000000000001E-4</v>
      </c>
      <c r="G3940">
        <v>0</v>
      </c>
      <c r="H3940" t="str">
        <f t="shared" si="183"/>
        <v>20-29</v>
      </c>
      <c r="I3940" t="str">
        <f t="shared" si="184"/>
        <v>0-9</v>
      </c>
      <c r="J3940">
        <f t="shared" si="185"/>
        <v>1.8000000000000001E-4</v>
      </c>
    </row>
    <row r="3941" spans="1:10">
      <c r="A3941" t="s">
        <v>4023</v>
      </c>
      <c r="B3941">
        <v>41</v>
      </c>
      <c r="C3941" t="s">
        <v>7</v>
      </c>
      <c r="D3941">
        <v>28</v>
      </c>
      <c r="E3941">
        <v>68</v>
      </c>
      <c r="F3941">
        <v>9.2399999999999999E-3</v>
      </c>
      <c r="G3941">
        <v>0</v>
      </c>
      <c r="H3941" t="str">
        <f t="shared" si="183"/>
        <v>60-69</v>
      </c>
      <c r="I3941" t="str">
        <f t="shared" si="184"/>
        <v>20-29</v>
      </c>
      <c r="J3941">
        <f t="shared" si="185"/>
        <v>9.2399999999999999E-3</v>
      </c>
    </row>
    <row r="3942" spans="1:10">
      <c r="A3942" t="s">
        <v>4024</v>
      </c>
      <c r="B3942">
        <v>57</v>
      </c>
      <c r="C3942" t="s">
        <v>7</v>
      </c>
      <c r="D3942">
        <v>21</v>
      </c>
      <c r="E3942">
        <v>77</v>
      </c>
      <c r="F3942">
        <v>2.8719999999999999E-2</v>
      </c>
      <c r="G3942">
        <v>0</v>
      </c>
      <c r="H3942" t="str">
        <f t="shared" si="183"/>
        <v>70-79</v>
      </c>
      <c r="I3942" t="str">
        <f t="shared" si="184"/>
        <v>20-29</v>
      </c>
      <c r="J3942">
        <f t="shared" si="185"/>
        <v>2.8719999999999999E-2</v>
      </c>
    </row>
    <row r="3943" spans="1:10">
      <c r="A3943" t="s">
        <v>4025</v>
      </c>
      <c r="B3943">
        <v>60</v>
      </c>
      <c r="C3943" t="s">
        <v>9</v>
      </c>
      <c r="D3943">
        <v>28</v>
      </c>
      <c r="E3943">
        <v>87</v>
      </c>
      <c r="F3943">
        <v>9.1270000000000004E-2</v>
      </c>
      <c r="G3943">
        <v>0</v>
      </c>
      <c r="H3943" t="str">
        <f t="shared" si="183"/>
        <v>80-89</v>
      </c>
      <c r="I3943" t="str">
        <f t="shared" si="184"/>
        <v>20-29</v>
      </c>
      <c r="J3943">
        <f t="shared" si="185"/>
        <v>9.1270000000000004E-2</v>
      </c>
    </row>
    <row r="3944" spans="1:10">
      <c r="A3944" t="s">
        <v>4026</v>
      </c>
      <c r="B3944">
        <v>59</v>
      </c>
      <c r="C3944" t="s">
        <v>9</v>
      </c>
      <c r="D3944">
        <v>4</v>
      </c>
      <c r="E3944">
        <v>62</v>
      </c>
      <c r="F3944">
        <v>5.5500000000000002E-3</v>
      </c>
      <c r="G3944">
        <v>0</v>
      </c>
      <c r="H3944" t="str">
        <f t="shared" si="183"/>
        <v>60-69</v>
      </c>
      <c r="I3944" t="str">
        <f t="shared" si="184"/>
        <v>0-9</v>
      </c>
      <c r="J3944">
        <f t="shared" si="185"/>
        <v>5.5500000000000002E-3</v>
      </c>
    </row>
    <row r="3945" spans="1:10">
      <c r="A3945" t="s">
        <v>4027</v>
      </c>
      <c r="B3945">
        <v>25</v>
      </c>
      <c r="C3945" t="s">
        <v>9</v>
      </c>
      <c r="D3945">
        <v>6</v>
      </c>
      <c r="E3945">
        <v>30</v>
      </c>
      <c r="F3945">
        <v>4.4000000000000002E-4</v>
      </c>
      <c r="G3945">
        <v>0</v>
      </c>
      <c r="H3945" t="str">
        <f t="shared" si="183"/>
        <v>30-39</v>
      </c>
      <c r="I3945" t="str">
        <f t="shared" si="184"/>
        <v>0-9</v>
      </c>
      <c r="J3945">
        <f t="shared" si="185"/>
        <v>4.4000000000000002E-4</v>
      </c>
    </row>
    <row r="3946" spans="1:10">
      <c r="A3946" t="s">
        <v>4028</v>
      </c>
      <c r="B3946">
        <v>20</v>
      </c>
      <c r="C3946" t="s">
        <v>7</v>
      </c>
      <c r="D3946">
        <v>14</v>
      </c>
      <c r="E3946">
        <v>33</v>
      </c>
      <c r="F3946">
        <v>4.8000000000000001E-4</v>
      </c>
      <c r="G3946">
        <v>0</v>
      </c>
      <c r="H3946" t="str">
        <f t="shared" si="183"/>
        <v>30-39</v>
      </c>
      <c r="I3946" t="str">
        <f t="shared" si="184"/>
        <v>10-19</v>
      </c>
      <c r="J3946">
        <f t="shared" si="185"/>
        <v>4.8000000000000001E-4</v>
      </c>
    </row>
    <row r="3947" spans="1:10">
      <c r="A3947" t="s">
        <v>4029</v>
      </c>
      <c r="B3947">
        <v>23</v>
      </c>
      <c r="C3947" t="s">
        <v>9</v>
      </c>
      <c r="D3947">
        <v>23</v>
      </c>
      <c r="E3947">
        <v>45</v>
      </c>
      <c r="F3947">
        <v>2.16E-3</v>
      </c>
      <c r="G3947">
        <v>0</v>
      </c>
      <c r="H3947" t="str">
        <f t="shared" si="183"/>
        <v>40-49</v>
      </c>
      <c r="I3947" t="str">
        <f t="shared" si="184"/>
        <v>20-29</v>
      </c>
      <c r="J3947">
        <f t="shared" si="185"/>
        <v>2.16E-3</v>
      </c>
    </row>
    <row r="3948" spans="1:10">
      <c r="A3948" t="s">
        <v>4030</v>
      </c>
      <c r="B3948">
        <v>53</v>
      </c>
      <c r="C3948" t="s">
        <v>9</v>
      </c>
      <c r="D3948">
        <v>7</v>
      </c>
      <c r="E3948">
        <v>59</v>
      </c>
      <c r="F3948">
        <v>4.7400000000000003E-3</v>
      </c>
      <c r="G3948">
        <v>0</v>
      </c>
      <c r="H3948" t="str">
        <f t="shared" si="183"/>
        <v>50-59</v>
      </c>
      <c r="I3948" t="str">
        <f t="shared" si="184"/>
        <v>0-9</v>
      </c>
      <c r="J3948">
        <f t="shared" si="185"/>
        <v>4.7400000000000003E-3</v>
      </c>
    </row>
    <row r="3949" spans="1:10">
      <c r="A3949" t="s">
        <v>4031</v>
      </c>
      <c r="B3949">
        <v>51</v>
      </c>
      <c r="C3949" t="s">
        <v>7</v>
      </c>
      <c r="D3949">
        <v>20</v>
      </c>
      <c r="E3949">
        <v>70</v>
      </c>
      <c r="F3949">
        <v>1.3610000000000001E-2</v>
      </c>
      <c r="G3949">
        <v>0</v>
      </c>
      <c r="H3949" t="str">
        <f t="shared" si="183"/>
        <v>70-79</v>
      </c>
      <c r="I3949" t="str">
        <f t="shared" si="184"/>
        <v>20-29</v>
      </c>
      <c r="J3949">
        <f t="shared" si="185"/>
        <v>1.3610000000000001E-2</v>
      </c>
    </row>
    <row r="3950" spans="1:10">
      <c r="A3950" t="s">
        <v>4032</v>
      </c>
      <c r="B3950">
        <v>63</v>
      </c>
      <c r="C3950" t="s">
        <v>7</v>
      </c>
      <c r="D3950">
        <v>19</v>
      </c>
      <c r="E3950">
        <v>81</v>
      </c>
      <c r="F3950">
        <v>4.41E-2</v>
      </c>
      <c r="G3950">
        <v>0</v>
      </c>
      <c r="H3950" t="str">
        <f t="shared" si="183"/>
        <v>80-89</v>
      </c>
      <c r="I3950" t="str">
        <f t="shared" si="184"/>
        <v>10-19</v>
      </c>
      <c r="J3950">
        <f t="shared" si="185"/>
        <v>4.41E-2</v>
      </c>
    </row>
    <row r="3951" spans="1:10">
      <c r="A3951" t="s">
        <v>4033</v>
      </c>
      <c r="B3951">
        <v>31</v>
      </c>
      <c r="C3951" t="s">
        <v>9</v>
      </c>
      <c r="D3951">
        <v>17</v>
      </c>
      <c r="E3951">
        <v>47</v>
      </c>
      <c r="F3951">
        <v>1.97E-3</v>
      </c>
      <c r="G3951">
        <v>0</v>
      </c>
      <c r="H3951" t="str">
        <f t="shared" si="183"/>
        <v>40-49</v>
      </c>
      <c r="I3951" t="str">
        <f t="shared" si="184"/>
        <v>10-19</v>
      </c>
      <c r="J3951">
        <f t="shared" si="185"/>
        <v>1.97E-3</v>
      </c>
    </row>
    <row r="3952" spans="1:10">
      <c r="A3952" t="s">
        <v>4034</v>
      </c>
      <c r="B3952">
        <v>32</v>
      </c>
      <c r="C3952" t="s">
        <v>9</v>
      </c>
      <c r="D3952">
        <v>9</v>
      </c>
      <c r="E3952">
        <v>40</v>
      </c>
      <c r="F3952">
        <v>9.1E-4</v>
      </c>
      <c r="G3952">
        <v>0</v>
      </c>
      <c r="H3952" t="str">
        <f t="shared" si="183"/>
        <v>40-49</v>
      </c>
      <c r="I3952" t="str">
        <f t="shared" si="184"/>
        <v>0-9</v>
      </c>
      <c r="J3952">
        <f t="shared" si="185"/>
        <v>9.1E-4</v>
      </c>
    </row>
    <row r="3953" spans="1:10">
      <c r="A3953" t="s">
        <v>4035</v>
      </c>
      <c r="B3953">
        <v>32</v>
      </c>
      <c r="C3953" t="s">
        <v>9</v>
      </c>
      <c r="D3953">
        <v>23</v>
      </c>
      <c r="E3953">
        <v>54</v>
      </c>
      <c r="F3953">
        <v>3.6700000000000001E-3</v>
      </c>
      <c r="G3953">
        <v>0</v>
      </c>
      <c r="H3953" t="str">
        <f t="shared" si="183"/>
        <v>50-59</v>
      </c>
      <c r="I3953" t="str">
        <f t="shared" si="184"/>
        <v>20-29</v>
      </c>
      <c r="J3953">
        <f t="shared" si="185"/>
        <v>3.6700000000000001E-3</v>
      </c>
    </row>
    <row r="3954" spans="1:10">
      <c r="A3954" t="s">
        <v>4036</v>
      </c>
      <c r="B3954">
        <v>32</v>
      </c>
      <c r="C3954" t="s">
        <v>7</v>
      </c>
      <c r="D3954">
        <v>6</v>
      </c>
      <c r="E3954">
        <v>37</v>
      </c>
      <c r="F3954">
        <v>4.4999999999999999E-4</v>
      </c>
      <c r="G3954">
        <v>0</v>
      </c>
      <c r="H3954" t="str">
        <f t="shared" si="183"/>
        <v>30-39</v>
      </c>
      <c r="I3954" t="str">
        <f t="shared" si="184"/>
        <v>0-9</v>
      </c>
      <c r="J3954">
        <f t="shared" si="185"/>
        <v>4.4999999999999999E-4</v>
      </c>
    </row>
    <row r="3955" spans="1:10">
      <c r="A3955" t="s">
        <v>4037</v>
      </c>
      <c r="B3955">
        <v>34</v>
      </c>
      <c r="C3955" t="s">
        <v>9</v>
      </c>
      <c r="D3955">
        <v>6</v>
      </c>
      <c r="E3955">
        <v>39</v>
      </c>
      <c r="F3955">
        <v>6.9999999999999999E-4</v>
      </c>
      <c r="G3955">
        <v>0</v>
      </c>
      <c r="H3955" t="str">
        <f t="shared" si="183"/>
        <v>30-39</v>
      </c>
      <c r="I3955" t="str">
        <f t="shared" si="184"/>
        <v>0-9</v>
      </c>
      <c r="J3955">
        <f t="shared" si="185"/>
        <v>6.9999999999999999E-4</v>
      </c>
    </row>
    <row r="3956" spans="1:10">
      <c r="A3956" t="s">
        <v>4038</v>
      </c>
      <c r="B3956">
        <v>38</v>
      </c>
      <c r="C3956" t="s">
        <v>9</v>
      </c>
      <c r="D3956">
        <v>20</v>
      </c>
      <c r="E3956">
        <v>57</v>
      </c>
      <c r="F3956">
        <v>4.7299999999999998E-3</v>
      </c>
      <c r="G3956">
        <v>0</v>
      </c>
      <c r="H3956" t="str">
        <f t="shared" si="183"/>
        <v>50-59</v>
      </c>
      <c r="I3956" t="str">
        <f t="shared" si="184"/>
        <v>20-29</v>
      </c>
      <c r="J3956">
        <f t="shared" si="185"/>
        <v>4.7299999999999998E-3</v>
      </c>
    </row>
    <row r="3957" spans="1:10">
      <c r="A3957" t="s">
        <v>4039</v>
      </c>
      <c r="B3957">
        <v>33</v>
      </c>
      <c r="C3957" t="s">
        <v>9</v>
      </c>
      <c r="D3957">
        <v>14</v>
      </c>
      <c r="E3957">
        <v>46</v>
      </c>
      <c r="F3957">
        <v>1.6299999999999999E-3</v>
      </c>
      <c r="G3957">
        <v>0</v>
      </c>
      <c r="H3957" t="str">
        <f t="shared" si="183"/>
        <v>40-49</v>
      </c>
      <c r="I3957" t="str">
        <f t="shared" si="184"/>
        <v>10-19</v>
      </c>
      <c r="J3957">
        <f t="shared" si="185"/>
        <v>1.6299999999999999E-3</v>
      </c>
    </row>
    <row r="3958" spans="1:10">
      <c r="A3958" t="s">
        <v>4040</v>
      </c>
      <c r="B3958">
        <v>35</v>
      </c>
      <c r="C3958" t="s">
        <v>9</v>
      </c>
      <c r="D3958">
        <v>17</v>
      </c>
      <c r="E3958">
        <v>51</v>
      </c>
      <c r="F3958">
        <v>2.65E-3</v>
      </c>
      <c r="G3958">
        <v>0</v>
      </c>
      <c r="H3958" t="str">
        <f t="shared" si="183"/>
        <v>50-59</v>
      </c>
      <c r="I3958" t="str">
        <f t="shared" si="184"/>
        <v>10-19</v>
      </c>
      <c r="J3958">
        <f t="shared" si="185"/>
        <v>2.65E-3</v>
      </c>
    </row>
    <row r="3959" spans="1:10">
      <c r="A3959" t="s">
        <v>4041</v>
      </c>
      <c r="B3959">
        <v>63</v>
      </c>
      <c r="C3959" t="s">
        <v>9</v>
      </c>
      <c r="D3959">
        <v>9</v>
      </c>
      <c r="E3959">
        <v>71</v>
      </c>
      <c r="F3959">
        <v>1.451E-2</v>
      </c>
      <c r="G3959">
        <v>0</v>
      </c>
      <c r="H3959" t="str">
        <f t="shared" si="183"/>
        <v>70-79</v>
      </c>
      <c r="I3959" t="str">
        <f t="shared" si="184"/>
        <v>0-9</v>
      </c>
      <c r="J3959">
        <f t="shared" si="185"/>
        <v>1.451E-2</v>
      </c>
    </row>
    <row r="3960" spans="1:10">
      <c r="A3960" t="s">
        <v>4042</v>
      </c>
      <c r="B3960">
        <v>23</v>
      </c>
      <c r="C3960" t="s">
        <v>9</v>
      </c>
      <c r="D3960">
        <v>3</v>
      </c>
      <c r="E3960">
        <v>25</v>
      </c>
      <c r="F3960">
        <v>5.0000000000000001E-4</v>
      </c>
      <c r="G3960">
        <v>0</v>
      </c>
      <c r="H3960" t="str">
        <f t="shared" si="183"/>
        <v>20-29</v>
      </c>
      <c r="I3960" t="str">
        <f t="shared" si="184"/>
        <v>0-9</v>
      </c>
      <c r="J3960">
        <f t="shared" si="185"/>
        <v>5.0000000000000001E-4</v>
      </c>
    </row>
    <row r="3961" spans="1:10">
      <c r="A3961" t="s">
        <v>4043</v>
      </c>
      <c r="B3961">
        <v>23</v>
      </c>
      <c r="C3961" t="s">
        <v>7</v>
      </c>
      <c r="D3961">
        <v>20</v>
      </c>
      <c r="E3961">
        <v>42</v>
      </c>
      <c r="F3961">
        <v>1.23E-3</v>
      </c>
      <c r="G3961">
        <v>0</v>
      </c>
      <c r="H3961" t="str">
        <f t="shared" si="183"/>
        <v>40-49</v>
      </c>
      <c r="I3961" t="str">
        <f t="shared" si="184"/>
        <v>20-29</v>
      </c>
      <c r="J3961">
        <f t="shared" si="185"/>
        <v>1.23E-3</v>
      </c>
    </row>
    <row r="3962" spans="1:10">
      <c r="A3962" t="s">
        <v>4044</v>
      </c>
      <c r="B3962">
        <v>63</v>
      </c>
      <c r="C3962" t="s">
        <v>7</v>
      </c>
      <c r="D3962">
        <v>25</v>
      </c>
      <c r="E3962">
        <v>87</v>
      </c>
      <c r="F3962">
        <v>9.3240000000000003E-2</v>
      </c>
      <c r="G3962">
        <v>0</v>
      </c>
      <c r="H3962" t="str">
        <f t="shared" si="183"/>
        <v>80-89</v>
      </c>
      <c r="I3962" t="str">
        <f t="shared" si="184"/>
        <v>20-29</v>
      </c>
      <c r="J3962">
        <f t="shared" si="185"/>
        <v>9.3240000000000003E-2</v>
      </c>
    </row>
    <row r="3963" spans="1:10">
      <c r="A3963" t="s">
        <v>4045</v>
      </c>
      <c r="B3963">
        <v>63</v>
      </c>
      <c r="C3963" t="s">
        <v>9</v>
      </c>
      <c r="D3963">
        <v>3</v>
      </c>
      <c r="E3963">
        <v>65</v>
      </c>
      <c r="F3963">
        <v>5.5100000000000001E-3</v>
      </c>
      <c r="G3963">
        <v>0</v>
      </c>
      <c r="H3963" t="str">
        <f t="shared" si="183"/>
        <v>60-69</v>
      </c>
      <c r="I3963" t="str">
        <f t="shared" si="184"/>
        <v>0-9</v>
      </c>
      <c r="J3963">
        <f t="shared" si="185"/>
        <v>5.5100000000000001E-3</v>
      </c>
    </row>
    <row r="3964" spans="1:10">
      <c r="A3964" t="s">
        <v>4046</v>
      </c>
      <c r="B3964">
        <v>43</v>
      </c>
      <c r="C3964" t="s">
        <v>7</v>
      </c>
      <c r="D3964">
        <v>23</v>
      </c>
      <c r="E3964">
        <v>65</v>
      </c>
      <c r="F3964">
        <v>8.3099999999999997E-3</v>
      </c>
      <c r="G3964">
        <v>0</v>
      </c>
      <c r="H3964" t="str">
        <f t="shared" si="183"/>
        <v>60-69</v>
      </c>
      <c r="I3964" t="str">
        <f t="shared" si="184"/>
        <v>20-29</v>
      </c>
      <c r="J3964">
        <f t="shared" si="185"/>
        <v>8.3099999999999997E-3</v>
      </c>
    </row>
    <row r="3965" spans="1:10">
      <c r="A3965" t="s">
        <v>4047</v>
      </c>
      <c r="B3965">
        <v>24</v>
      </c>
      <c r="C3965" t="s">
        <v>9</v>
      </c>
      <c r="D3965">
        <v>19</v>
      </c>
      <c r="E3965">
        <v>42</v>
      </c>
      <c r="F3965">
        <v>1.72E-3</v>
      </c>
      <c r="G3965">
        <v>0</v>
      </c>
      <c r="H3965" t="str">
        <f t="shared" si="183"/>
        <v>40-49</v>
      </c>
      <c r="I3965" t="str">
        <f t="shared" si="184"/>
        <v>10-19</v>
      </c>
      <c r="J3965">
        <f t="shared" si="185"/>
        <v>1.72E-3</v>
      </c>
    </row>
    <row r="3966" spans="1:10">
      <c r="A3966" t="s">
        <v>4048</v>
      </c>
      <c r="B3966">
        <v>48</v>
      </c>
      <c r="C3966" t="s">
        <v>7</v>
      </c>
      <c r="D3966">
        <v>12</v>
      </c>
      <c r="E3966">
        <v>59</v>
      </c>
      <c r="F3966">
        <v>3.82E-3</v>
      </c>
      <c r="G3966">
        <v>0</v>
      </c>
      <c r="H3966" t="str">
        <f t="shared" si="183"/>
        <v>50-59</v>
      </c>
      <c r="I3966" t="str">
        <f t="shared" si="184"/>
        <v>10-19</v>
      </c>
      <c r="J3966">
        <f t="shared" si="185"/>
        <v>3.82E-3</v>
      </c>
    </row>
    <row r="3967" spans="1:10">
      <c r="A3967" t="s">
        <v>4049</v>
      </c>
      <c r="B3967">
        <v>51</v>
      </c>
      <c r="C3967" t="s">
        <v>7</v>
      </c>
      <c r="D3967">
        <v>10</v>
      </c>
      <c r="E3967">
        <v>60</v>
      </c>
      <c r="F3967">
        <v>3.8300000000000001E-3</v>
      </c>
      <c r="G3967">
        <v>0</v>
      </c>
      <c r="H3967" t="str">
        <f t="shared" si="183"/>
        <v>60-69</v>
      </c>
      <c r="I3967" t="str">
        <f t="shared" si="184"/>
        <v>10-19</v>
      </c>
      <c r="J3967">
        <f t="shared" si="185"/>
        <v>3.8300000000000001E-3</v>
      </c>
    </row>
    <row r="3968" spans="1:10">
      <c r="A3968" t="s">
        <v>4050</v>
      </c>
      <c r="B3968">
        <v>32</v>
      </c>
      <c r="C3968" t="s">
        <v>7</v>
      </c>
      <c r="D3968">
        <v>8</v>
      </c>
      <c r="E3968">
        <v>39</v>
      </c>
      <c r="F3968">
        <v>6.2E-4</v>
      </c>
      <c r="G3968">
        <v>0</v>
      </c>
      <c r="H3968" t="str">
        <f t="shared" si="183"/>
        <v>30-39</v>
      </c>
      <c r="I3968" t="str">
        <f t="shared" si="184"/>
        <v>0-9</v>
      </c>
      <c r="J3968">
        <f t="shared" si="185"/>
        <v>6.2E-4</v>
      </c>
    </row>
    <row r="3969" spans="1:10">
      <c r="A3969" t="s">
        <v>4051</v>
      </c>
      <c r="B3969">
        <v>42</v>
      </c>
      <c r="C3969" t="s">
        <v>9</v>
      </c>
      <c r="D3969">
        <v>14</v>
      </c>
      <c r="E3969">
        <v>55</v>
      </c>
      <c r="F3969">
        <v>3.5899999999999999E-3</v>
      </c>
      <c r="G3969">
        <v>0</v>
      </c>
      <c r="H3969" t="str">
        <f t="shared" si="183"/>
        <v>50-59</v>
      </c>
      <c r="I3969" t="str">
        <f t="shared" si="184"/>
        <v>10-19</v>
      </c>
      <c r="J3969">
        <f t="shared" si="185"/>
        <v>3.5899999999999999E-3</v>
      </c>
    </row>
    <row r="3970" spans="1:10">
      <c r="A3970" t="s">
        <v>4052</v>
      </c>
      <c r="B3970">
        <v>45</v>
      </c>
      <c r="C3970" t="s">
        <v>7</v>
      </c>
      <c r="D3970">
        <v>15</v>
      </c>
      <c r="E3970">
        <v>59</v>
      </c>
      <c r="F3970">
        <v>4.1200000000000004E-3</v>
      </c>
      <c r="G3970">
        <v>0</v>
      </c>
      <c r="H3970" t="str">
        <f t="shared" si="183"/>
        <v>50-59</v>
      </c>
      <c r="I3970" t="str">
        <f t="shared" si="184"/>
        <v>10-19</v>
      </c>
      <c r="J3970">
        <f t="shared" si="185"/>
        <v>4.1200000000000004E-3</v>
      </c>
    </row>
    <row r="3971" spans="1:10">
      <c r="A3971" t="s">
        <v>4053</v>
      </c>
      <c r="B3971">
        <v>29</v>
      </c>
      <c r="C3971" t="s">
        <v>7</v>
      </c>
      <c r="D3971">
        <v>5</v>
      </c>
      <c r="E3971">
        <v>33</v>
      </c>
      <c r="F3971">
        <v>2.7E-4</v>
      </c>
      <c r="G3971">
        <v>0</v>
      </c>
      <c r="H3971" t="str">
        <f t="shared" ref="H3971:H4034" si="186">FLOOR(E3971,10) &amp; "-" &amp; FLOOR(E3971,10)+9</f>
        <v>30-39</v>
      </c>
      <c r="I3971" t="str">
        <f t="shared" ref="I3971:I4034" si="187">FLOOR(D3971, 10) &amp; "-"&amp;FLOOR(D3971, 10)+9</f>
        <v>0-9</v>
      </c>
      <c r="J3971">
        <f t="shared" ref="J3971:J4034" si="188">F3971</f>
        <v>2.7E-4</v>
      </c>
    </row>
    <row r="3972" spans="1:10">
      <c r="A3972" t="s">
        <v>4054</v>
      </c>
      <c r="B3972">
        <v>21</v>
      </c>
      <c r="C3972" t="s">
        <v>9</v>
      </c>
      <c r="D3972">
        <v>28</v>
      </c>
      <c r="E3972">
        <v>48</v>
      </c>
      <c r="F3972">
        <v>2.6099999999999999E-3</v>
      </c>
      <c r="G3972">
        <v>0</v>
      </c>
      <c r="H3972" t="str">
        <f t="shared" si="186"/>
        <v>40-49</v>
      </c>
      <c r="I3972" t="str">
        <f t="shared" si="187"/>
        <v>20-29</v>
      </c>
      <c r="J3972">
        <f t="shared" si="188"/>
        <v>2.6099999999999999E-3</v>
      </c>
    </row>
    <row r="3973" spans="1:10">
      <c r="A3973" t="s">
        <v>4055</v>
      </c>
      <c r="B3973">
        <v>60</v>
      </c>
      <c r="C3973" t="s">
        <v>9</v>
      </c>
      <c r="D3973">
        <v>5</v>
      </c>
      <c r="E3973">
        <v>64</v>
      </c>
      <c r="F3973">
        <v>6.8500000000000002E-3</v>
      </c>
      <c r="G3973">
        <v>0</v>
      </c>
      <c r="H3973" t="str">
        <f t="shared" si="186"/>
        <v>60-69</v>
      </c>
      <c r="I3973" t="str">
        <f t="shared" si="187"/>
        <v>0-9</v>
      </c>
      <c r="J3973">
        <f t="shared" si="188"/>
        <v>6.8500000000000002E-3</v>
      </c>
    </row>
    <row r="3974" spans="1:10">
      <c r="A3974" t="s">
        <v>4056</v>
      </c>
      <c r="B3974">
        <v>62</v>
      </c>
      <c r="C3974" t="s">
        <v>9</v>
      </c>
      <c r="D3974">
        <v>29</v>
      </c>
      <c r="E3974">
        <v>90</v>
      </c>
      <c r="F3974">
        <v>0.11724</v>
      </c>
      <c r="G3974">
        <v>0</v>
      </c>
      <c r="H3974" t="str">
        <f t="shared" si="186"/>
        <v>90-99</v>
      </c>
      <c r="I3974" t="str">
        <f t="shared" si="187"/>
        <v>20-29</v>
      </c>
      <c r="J3974">
        <f t="shared" si="188"/>
        <v>0.11724</v>
      </c>
    </row>
    <row r="3975" spans="1:10">
      <c r="A3975" t="s">
        <v>4057</v>
      </c>
      <c r="B3975">
        <v>31</v>
      </c>
      <c r="C3975" t="s">
        <v>9</v>
      </c>
      <c r="D3975">
        <v>7</v>
      </c>
      <c r="E3975">
        <v>37</v>
      </c>
      <c r="F3975">
        <v>6.0999999999999997E-4</v>
      </c>
      <c r="G3975">
        <v>0</v>
      </c>
      <c r="H3975" t="str">
        <f t="shared" si="186"/>
        <v>30-39</v>
      </c>
      <c r="I3975" t="str">
        <f t="shared" si="187"/>
        <v>0-9</v>
      </c>
      <c r="J3975">
        <f t="shared" si="188"/>
        <v>6.0999999999999997E-4</v>
      </c>
    </row>
    <row r="3976" spans="1:10">
      <c r="A3976" t="s">
        <v>4058</v>
      </c>
      <c r="B3976">
        <v>29</v>
      </c>
      <c r="C3976" t="s">
        <v>9</v>
      </c>
      <c r="D3976">
        <v>9</v>
      </c>
      <c r="E3976">
        <v>37</v>
      </c>
      <c r="F3976">
        <v>6.9999999999999999E-4</v>
      </c>
      <c r="G3976">
        <v>0</v>
      </c>
      <c r="H3976" t="str">
        <f t="shared" si="186"/>
        <v>30-39</v>
      </c>
      <c r="I3976" t="str">
        <f t="shared" si="187"/>
        <v>0-9</v>
      </c>
      <c r="J3976">
        <f t="shared" si="188"/>
        <v>6.9999999999999999E-4</v>
      </c>
    </row>
    <row r="3977" spans="1:10">
      <c r="A3977" t="s">
        <v>4059</v>
      </c>
      <c r="B3977">
        <v>45</v>
      </c>
      <c r="C3977" t="s">
        <v>9</v>
      </c>
      <c r="D3977">
        <v>6</v>
      </c>
      <c r="E3977">
        <v>50</v>
      </c>
      <c r="F3977">
        <v>1.74E-3</v>
      </c>
      <c r="G3977">
        <v>0</v>
      </c>
      <c r="H3977" t="str">
        <f t="shared" si="186"/>
        <v>50-59</v>
      </c>
      <c r="I3977" t="str">
        <f t="shared" si="187"/>
        <v>0-9</v>
      </c>
      <c r="J3977">
        <f t="shared" si="188"/>
        <v>1.74E-3</v>
      </c>
    </row>
    <row r="3978" spans="1:10">
      <c r="A3978" t="s">
        <v>4060</v>
      </c>
      <c r="B3978">
        <v>55</v>
      </c>
      <c r="C3978" t="s">
        <v>9</v>
      </c>
      <c r="D3978">
        <v>9</v>
      </c>
      <c r="E3978">
        <v>63</v>
      </c>
      <c r="F3978">
        <v>7.9900000000000006E-3</v>
      </c>
      <c r="G3978">
        <v>0</v>
      </c>
      <c r="H3978" t="str">
        <f t="shared" si="186"/>
        <v>60-69</v>
      </c>
      <c r="I3978" t="str">
        <f t="shared" si="187"/>
        <v>0-9</v>
      </c>
      <c r="J3978">
        <f t="shared" si="188"/>
        <v>7.9900000000000006E-3</v>
      </c>
    </row>
    <row r="3979" spans="1:10">
      <c r="A3979" t="s">
        <v>4061</v>
      </c>
      <c r="B3979">
        <v>51</v>
      </c>
      <c r="C3979" t="s">
        <v>9</v>
      </c>
      <c r="D3979">
        <v>14</v>
      </c>
      <c r="E3979">
        <v>64</v>
      </c>
      <c r="F3979">
        <v>8.9599999999999992E-3</v>
      </c>
      <c r="G3979">
        <v>0</v>
      </c>
      <c r="H3979" t="str">
        <f t="shared" si="186"/>
        <v>60-69</v>
      </c>
      <c r="I3979" t="str">
        <f t="shared" si="187"/>
        <v>10-19</v>
      </c>
      <c r="J3979">
        <f t="shared" si="188"/>
        <v>8.9599999999999992E-3</v>
      </c>
    </row>
    <row r="3980" spans="1:10">
      <c r="A3980" t="s">
        <v>4062</v>
      </c>
      <c r="B3980">
        <v>51</v>
      </c>
      <c r="C3980" t="s">
        <v>9</v>
      </c>
      <c r="D3980">
        <v>22</v>
      </c>
      <c r="E3980">
        <v>72</v>
      </c>
      <c r="F3980">
        <v>2.1340000000000001E-2</v>
      </c>
      <c r="G3980">
        <v>0</v>
      </c>
      <c r="H3980" t="str">
        <f t="shared" si="186"/>
        <v>70-79</v>
      </c>
      <c r="I3980" t="str">
        <f t="shared" si="187"/>
        <v>20-29</v>
      </c>
      <c r="J3980">
        <f t="shared" si="188"/>
        <v>2.1340000000000001E-2</v>
      </c>
    </row>
    <row r="3981" spans="1:10">
      <c r="A3981" t="s">
        <v>4063</v>
      </c>
      <c r="B3981">
        <v>24</v>
      </c>
      <c r="C3981" t="s">
        <v>7</v>
      </c>
      <c r="D3981">
        <v>11</v>
      </c>
      <c r="E3981">
        <v>34</v>
      </c>
      <c r="F3981">
        <v>4.8000000000000001E-4</v>
      </c>
      <c r="G3981">
        <v>0</v>
      </c>
      <c r="H3981" t="str">
        <f t="shared" si="186"/>
        <v>30-39</v>
      </c>
      <c r="I3981" t="str">
        <f t="shared" si="187"/>
        <v>10-19</v>
      </c>
      <c r="J3981">
        <f t="shared" si="188"/>
        <v>4.8000000000000001E-4</v>
      </c>
    </row>
    <row r="3982" spans="1:10">
      <c r="A3982" t="s">
        <v>4064</v>
      </c>
      <c r="B3982">
        <v>29</v>
      </c>
      <c r="C3982" t="s">
        <v>7</v>
      </c>
      <c r="D3982">
        <v>8</v>
      </c>
      <c r="E3982">
        <v>36</v>
      </c>
      <c r="F3982">
        <v>4.6999999999999999E-4</v>
      </c>
      <c r="G3982">
        <v>0</v>
      </c>
      <c r="H3982" t="str">
        <f t="shared" si="186"/>
        <v>30-39</v>
      </c>
      <c r="I3982" t="str">
        <f t="shared" si="187"/>
        <v>0-9</v>
      </c>
      <c r="J3982">
        <f t="shared" si="188"/>
        <v>4.6999999999999999E-4</v>
      </c>
    </row>
    <row r="3983" spans="1:10">
      <c r="A3983" t="s">
        <v>4065</v>
      </c>
      <c r="B3983">
        <v>33</v>
      </c>
      <c r="C3983" t="s">
        <v>9</v>
      </c>
      <c r="D3983">
        <v>14</v>
      </c>
      <c r="E3983">
        <v>46</v>
      </c>
      <c r="F3983">
        <v>1.6299999999999999E-3</v>
      </c>
      <c r="G3983">
        <v>0</v>
      </c>
      <c r="H3983" t="str">
        <f t="shared" si="186"/>
        <v>40-49</v>
      </c>
      <c r="I3983" t="str">
        <f t="shared" si="187"/>
        <v>10-19</v>
      </c>
      <c r="J3983">
        <f t="shared" si="188"/>
        <v>1.6299999999999999E-3</v>
      </c>
    </row>
    <row r="3984" spans="1:10">
      <c r="A3984" t="s">
        <v>4066</v>
      </c>
      <c r="B3984">
        <v>60</v>
      </c>
      <c r="C3984" t="s">
        <v>9</v>
      </c>
      <c r="D3984">
        <v>6</v>
      </c>
      <c r="E3984">
        <v>65</v>
      </c>
      <c r="F3984">
        <v>8.1399999999999997E-3</v>
      </c>
      <c r="G3984">
        <v>0</v>
      </c>
      <c r="H3984" t="str">
        <f t="shared" si="186"/>
        <v>60-69</v>
      </c>
      <c r="I3984" t="str">
        <f t="shared" si="187"/>
        <v>0-9</v>
      </c>
      <c r="J3984">
        <f t="shared" si="188"/>
        <v>8.1399999999999997E-3</v>
      </c>
    </row>
    <row r="3985" spans="1:10">
      <c r="A3985" t="s">
        <v>4067</v>
      </c>
      <c r="B3985">
        <v>59</v>
      </c>
      <c r="C3985" t="s">
        <v>7</v>
      </c>
      <c r="D3985">
        <v>14</v>
      </c>
      <c r="E3985">
        <v>72</v>
      </c>
      <c r="F3985">
        <v>1.393E-2</v>
      </c>
      <c r="G3985">
        <v>0</v>
      </c>
      <c r="H3985" t="str">
        <f t="shared" si="186"/>
        <v>70-79</v>
      </c>
      <c r="I3985" t="str">
        <f t="shared" si="187"/>
        <v>10-19</v>
      </c>
      <c r="J3985">
        <f t="shared" si="188"/>
        <v>1.393E-2</v>
      </c>
    </row>
    <row r="3986" spans="1:10">
      <c r="A3986" t="s">
        <v>4068</v>
      </c>
      <c r="B3986">
        <v>53</v>
      </c>
      <c r="C3986" t="s">
        <v>9</v>
      </c>
      <c r="D3986">
        <v>10</v>
      </c>
      <c r="E3986">
        <v>62</v>
      </c>
      <c r="F3986">
        <v>7.2700000000000004E-3</v>
      </c>
      <c r="G3986">
        <v>0</v>
      </c>
      <c r="H3986" t="str">
        <f t="shared" si="186"/>
        <v>60-69</v>
      </c>
      <c r="I3986" t="str">
        <f t="shared" si="187"/>
        <v>10-19</v>
      </c>
      <c r="J3986">
        <f t="shared" si="188"/>
        <v>7.2700000000000004E-3</v>
      </c>
    </row>
    <row r="3987" spans="1:10">
      <c r="A3987" t="s">
        <v>4069</v>
      </c>
      <c r="B3987">
        <v>64</v>
      </c>
      <c r="C3987" t="s">
        <v>9</v>
      </c>
      <c r="D3987">
        <v>28</v>
      </c>
      <c r="E3987">
        <v>91</v>
      </c>
      <c r="F3987">
        <v>0.14893999999999999</v>
      </c>
      <c r="G3987">
        <v>0</v>
      </c>
      <c r="H3987" t="str">
        <f t="shared" si="186"/>
        <v>90-99</v>
      </c>
      <c r="I3987" t="str">
        <f t="shared" si="187"/>
        <v>20-29</v>
      </c>
      <c r="J3987">
        <f t="shared" si="188"/>
        <v>0.14893999999999999</v>
      </c>
    </row>
    <row r="3988" spans="1:10">
      <c r="A3988" t="s">
        <v>4070</v>
      </c>
      <c r="B3988">
        <v>50</v>
      </c>
      <c r="C3988" t="s">
        <v>9</v>
      </c>
      <c r="D3988">
        <v>3</v>
      </c>
      <c r="E3988">
        <v>52</v>
      </c>
      <c r="F3988">
        <v>1.7099999999999999E-3</v>
      </c>
      <c r="G3988">
        <v>0</v>
      </c>
      <c r="H3988" t="str">
        <f t="shared" si="186"/>
        <v>50-59</v>
      </c>
      <c r="I3988" t="str">
        <f t="shared" si="187"/>
        <v>0-9</v>
      </c>
      <c r="J3988">
        <f t="shared" si="188"/>
        <v>1.7099999999999999E-3</v>
      </c>
    </row>
    <row r="3989" spans="1:10">
      <c r="A3989" t="s">
        <v>4071</v>
      </c>
      <c r="B3989">
        <v>35</v>
      </c>
      <c r="C3989" t="s">
        <v>7</v>
      </c>
      <c r="D3989">
        <v>7</v>
      </c>
      <c r="E3989">
        <v>41</v>
      </c>
      <c r="F3989">
        <v>6.8000000000000005E-4</v>
      </c>
      <c r="G3989">
        <v>0</v>
      </c>
      <c r="H3989" t="str">
        <f t="shared" si="186"/>
        <v>40-49</v>
      </c>
      <c r="I3989" t="str">
        <f t="shared" si="187"/>
        <v>0-9</v>
      </c>
      <c r="J3989">
        <f t="shared" si="188"/>
        <v>6.8000000000000005E-4</v>
      </c>
    </row>
    <row r="3990" spans="1:10">
      <c r="A3990" t="s">
        <v>4072</v>
      </c>
      <c r="B3990">
        <v>40</v>
      </c>
      <c r="C3990" t="s">
        <v>7</v>
      </c>
      <c r="D3990">
        <v>21</v>
      </c>
      <c r="E3990">
        <v>60</v>
      </c>
      <c r="F3990">
        <v>4.9300000000000004E-3</v>
      </c>
      <c r="G3990">
        <v>0</v>
      </c>
      <c r="H3990" t="str">
        <f t="shared" si="186"/>
        <v>60-69</v>
      </c>
      <c r="I3990" t="str">
        <f t="shared" si="187"/>
        <v>20-29</v>
      </c>
      <c r="J3990">
        <f t="shared" si="188"/>
        <v>4.9300000000000004E-3</v>
      </c>
    </row>
    <row r="3991" spans="1:10">
      <c r="A3991" t="s">
        <v>4073</v>
      </c>
      <c r="B3991">
        <v>37</v>
      </c>
      <c r="C3991" t="s">
        <v>9</v>
      </c>
      <c r="D3991">
        <v>18</v>
      </c>
      <c r="E3991">
        <v>54</v>
      </c>
      <c r="F3991">
        <v>3.4199999999999999E-3</v>
      </c>
      <c r="G3991">
        <v>0</v>
      </c>
      <c r="H3991" t="str">
        <f t="shared" si="186"/>
        <v>50-59</v>
      </c>
      <c r="I3991" t="str">
        <f t="shared" si="187"/>
        <v>10-19</v>
      </c>
      <c r="J3991">
        <f t="shared" si="188"/>
        <v>3.4199999999999999E-3</v>
      </c>
    </row>
    <row r="3992" spans="1:10">
      <c r="A3992" t="s">
        <v>4074</v>
      </c>
      <c r="B3992">
        <v>64</v>
      </c>
      <c r="C3992" t="s">
        <v>7</v>
      </c>
      <c r="D3992">
        <v>7</v>
      </c>
      <c r="E3992">
        <v>70</v>
      </c>
      <c r="F3992">
        <v>8.2500000000000004E-3</v>
      </c>
      <c r="G3992">
        <v>0</v>
      </c>
      <c r="H3992" t="str">
        <f t="shared" si="186"/>
        <v>70-79</v>
      </c>
      <c r="I3992" t="str">
        <f t="shared" si="187"/>
        <v>0-9</v>
      </c>
      <c r="J3992">
        <f t="shared" si="188"/>
        <v>8.2500000000000004E-3</v>
      </c>
    </row>
    <row r="3993" spans="1:10">
      <c r="A3993" t="s">
        <v>4075</v>
      </c>
      <c r="B3993">
        <v>60</v>
      </c>
      <c r="C3993" t="s">
        <v>7</v>
      </c>
      <c r="D3993">
        <v>19</v>
      </c>
      <c r="E3993">
        <v>78</v>
      </c>
      <c r="F3993">
        <v>3.0339999999999999E-2</v>
      </c>
      <c r="G3993">
        <v>0</v>
      </c>
      <c r="H3993" t="str">
        <f t="shared" si="186"/>
        <v>70-79</v>
      </c>
      <c r="I3993" t="str">
        <f t="shared" si="187"/>
        <v>10-19</v>
      </c>
      <c r="J3993">
        <f t="shared" si="188"/>
        <v>3.0339999999999999E-2</v>
      </c>
    </row>
    <row r="3994" spans="1:10">
      <c r="A3994" t="s">
        <v>4076</v>
      </c>
      <c r="B3994">
        <v>57</v>
      </c>
      <c r="C3994" t="s">
        <v>9</v>
      </c>
      <c r="D3994">
        <v>20</v>
      </c>
      <c r="E3994">
        <v>76</v>
      </c>
      <c r="F3994">
        <v>3.32E-2</v>
      </c>
      <c r="G3994">
        <v>0</v>
      </c>
      <c r="H3994" t="str">
        <f t="shared" si="186"/>
        <v>70-79</v>
      </c>
      <c r="I3994" t="str">
        <f t="shared" si="187"/>
        <v>20-29</v>
      </c>
      <c r="J3994">
        <f t="shared" si="188"/>
        <v>3.32E-2</v>
      </c>
    </row>
    <row r="3995" spans="1:10">
      <c r="A3995" t="s">
        <v>4077</v>
      </c>
      <c r="B3995">
        <v>51</v>
      </c>
      <c r="C3995" t="s">
        <v>9</v>
      </c>
      <c r="D3995">
        <v>19</v>
      </c>
      <c r="E3995">
        <v>69</v>
      </c>
      <c r="F3995">
        <v>1.511E-2</v>
      </c>
      <c r="G3995">
        <v>0</v>
      </c>
      <c r="H3995" t="str">
        <f t="shared" si="186"/>
        <v>60-69</v>
      </c>
      <c r="I3995" t="str">
        <f t="shared" si="187"/>
        <v>10-19</v>
      </c>
      <c r="J3995">
        <f t="shared" si="188"/>
        <v>1.511E-2</v>
      </c>
    </row>
    <row r="3996" spans="1:10">
      <c r="A3996" t="s">
        <v>4078</v>
      </c>
      <c r="B3996">
        <v>52</v>
      </c>
      <c r="C3996" t="s">
        <v>9</v>
      </c>
      <c r="D3996">
        <v>29</v>
      </c>
      <c r="E3996">
        <v>80</v>
      </c>
      <c r="F3996">
        <v>3.7220000000000003E-2</v>
      </c>
      <c r="G3996">
        <v>0</v>
      </c>
      <c r="H3996" t="str">
        <f t="shared" si="186"/>
        <v>80-89</v>
      </c>
      <c r="I3996" t="str">
        <f t="shared" si="187"/>
        <v>20-29</v>
      </c>
      <c r="J3996">
        <f t="shared" si="188"/>
        <v>3.7220000000000003E-2</v>
      </c>
    </row>
    <row r="3997" spans="1:10">
      <c r="A3997" t="s">
        <v>4079</v>
      </c>
      <c r="B3997">
        <v>59</v>
      </c>
      <c r="C3997" t="s">
        <v>9</v>
      </c>
      <c r="D3997">
        <v>11</v>
      </c>
      <c r="E3997">
        <v>69</v>
      </c>
      <c r="F3997">
        <v>1.426E-2</v>
      </c>
      <c r="G3997">
        <v>0</v>
      </c>
      <c r="H3997" t="str">
        <f t="shared" si="186"/>
        <v>60-69</v>
      </c>
      <c r="I3997" t="str">
        <f t="shared" si="187"/>
        <v>10-19</v>
      </c>
      <c r="J3997">
        <f t="shared" si="188"/>
        <v>1.426E-2</v>
      </c>
    </row>
    <row r="3998" spans="1:10">
      <c r="A3998" t="s">
        <v>4080</v>
      </c>
      <c r="B3998">
        <v>58</v>
      </c>
      <c r="C3998" t="s">
        <v>7</v>
      </c>
      <c r="D3998">
        <v>29</v>
      </c>
      <c r="E3998">
        <v>86</v>
      </c>
      <c r="F3998">
        <v>5.704E-2</v>
      </c>
      <c r="G3998">
        <v>0</v>
      </c>
      <c r="H3998" t="str">
        <f t="shared" si="186"/>
        <v>80-89</v>
      </c>
      <c r="I3998" t="str">
        <f t="shared" si="187"/>
        <v>20-29</v>
      </c>
      <c r="J3998">
        <f t="shared" si="188"/>
        <v>5.704E-2</v>
      </c>
    </row>
    <row r="3999" spans="1:10">
      <c r="A3999" t="s">
        <v>4081</v>
      </c>
      <c r="B3999">
        <v>37</v>
      </c>
      <c r="C3999" t="s">
        <v>9</v>
      </c>
      <c r="D3999">
        <v>3</v>
      </c>
      <c r="E3999">
        <v>39</v>
      </c>
      <c r="F3999">
        <v>5.8E-4</v>
      </c>
      <c r="G3999">
        <v>0</v>
      </c>
      <c r="H3999" t="str">
        <f t="shared" si="186"/>
        <v>30-39</v>
      </c>
      <c r="I3999" t="str">
        <f t="shared" si="187"/>
        <v>0-9</v>
      </c>
      <c r="J3999">
        <f t="shared" si="188"/>
        <v>5.8E-4</v>
      </c>
    </row>
    <row r="4000" spans="1:10">
      <c r="A4000" t="s">
        <v>4082</v>
      </c>
      <c r="B4000">
        <v>37</v>
      </c>
      <c r="C4000" t="s">
        <v>9</v>
      </c>
      <c r="D4000">
        <v>23</v>
      </c>
      <c r="E4000">
        <v>59</v>
      </c>
      <c r="F4000">
        <v>5.7400000000000003E-3</v>
      </c>
      <c r="G4000">
        <v>0</v>
      </c>
      <c r="H4000" t="str">
        <f t="shared" si="186"/>
        <v>50-59</v>
      </c>
      <c r="I4000" t="str">
        <f t="shared" si="187"/>
        <v>20-29</v>
      </c>
      <c r="J4000">
        <f t="shared" si="188"/>
        <v>5.7400000000000003E-3</v>
      </c>
    </row>
    <row r="4001" spans="1:10">
      <c r="A4001" t="s">
        <v>4083</v>
      </c>
      <c r="B4001">
        <v>23</v>
      </c>
      <c r="C4001" t="s">
        <v>9</v>
      </c>
      <c r="D4001">
        <v>16</v>
      </c>
      <c r="E4001">
        <v>38</v>
      </c>
      <c r="F4001">
        <v>1.14E-3</v>
      </c>
      <c r="G4001">
        <v>0</v>
      </c>
      <c r="H4001" t="str">
        <f t="shared" si="186"/>
        <v>30-39</v>
      </c>
      <c r="I4001" t="str">
        <f t="shared" si="187"/>
        <v>10-19</v>
      </c>
      <c r="J4001">
        <f t="shared" si="188"/>
        <v>1.14E-3</v>
      </c>
    </row>
    <row r="4002" spans="1:10">
      <c r="A4002" t="s">
        <v>4084</v>
      </c>
      <c r="B4002">
        <v>40</v>
      </c>
      <c r="C4002" t="s">
        <v>7</v>
      </c>
      <c r="D4002">
        <v>12</v>
      </c>
      <c r="E4002">
        <v>51</v>
      </c>
      <c r="F4002">
        <v>1.8500000000000001E-3</v>
      </c>
      <c r="G4002">
        <v>0</v>
      </c>
      <c r="H4002" t="str">
        <f t="shared" si="186"/>
        <v>50-59</v>
      </c>
      <c r="I4002" t="str">
        <f t="shared" si="187"/>
        <v>10-19</v>
      </c>
      <c r="J4002">
        <f t="shared" si="188"/>
        <v>1.8500000000000001E-3</v>
      </c>
    </row>
    <row r="4003" spans="1:10">
      <c r="A4003" t="s">
        <v>4085</v>
      </c>
      <c r="B4003">
        <v>29</v>
      </c>
      <c r="C4003" t="s">
        <v>9</v>
      </c>
      <c r="D4003">
        <v>26</v>
      </c>
      <c r="E4003">
        <v>54</v>
      </c>
      <c r="F4003">
        <v>3.7499999999999999E-3</v>
      </c>
      <c r="G4003">
        <v>0</v>
      </c>
      <c r="H4003" t="str">
        <f t="shared" si="186"/>
        <v>50-59</v>
      </c>
      <c r="I4003" t="str">
        <f t="shared" si="187"/>
        <v>20-29</v>
      </c>
      <c r="J4003">
        <f t="shared" si="188"/>
        <v>3.7499999999999999E-3</v>
      </c>
    </row>
    <row r="4004" spans="1:10">
      <c r="A4004" t="s">
        <v>4086</v>
      </c>
      <c r="B4004">
        <v>40</v>
      </c>
      <c r="C4004" t="s">
        <v>7</v>
      </c>
      <c r="D4004">
        <v>20</v>
      </c>
      <c r="E4004">
        <v>59</v>
      </c>
      <c r="F4004">
        <v>4.4200000000000003E-3</v>
      </c>
      <c r="G4004">
        <v>0</v>
      </c>
      <c r="H4004" t="str">
        <f t="shared" si="186"/>
        <v>50-59</v>
      </c>
      <c r="I4004" t="str">
        <f t="shared" si="187"/>
        <v>20-29</v>
      </c>
      <c r="J4004">
        <f t="shared" si="188"/>
        <v>4.4200000000000003E-3</v>
      </c>
    </row>
    <row r="4005" spans="1:10">
      <c r="A4005" t="s">
        <v>4087</v>
      </c>
      <c r="B4005">
        <v>61</v>
      </c>
      <c r="C4005" t="s">
        <v>7</v>
      </c>
      <c r="D4005">
        <v>7</v>
      </c>
      <c r="E4005">
        <v>67</v>
      </c>
      <c r="F4005">
        <v>6.62E-3</v>
      </c>
      <c r="G4005">
        <v>0</v>
      </c>
      <c r="H4005" t="str">
        <f t="shared" si="186"/>
        <v>60-69</v>
      </c>
      <c r="I4005" t="str">
        <f t="shared" si="187"/>
        <v>0-9</v>
      </c>
      <c r="J4005">
        <f t="shared" si="188"/>
        <v>6.62E-3</v>
      </c>
    </row>
    <row r="4006" spans="1:10">
      <c r="A4006" t="s">
        <v>4088</v>
      </c>
      <c r="B4006">
        <v>27</v>
      </c>
      <c r="C4006" t="s">
        <v>7</v>
      </c>
      <c r="D4006">
        <v>10</v>
      </c>
      <c r="E4006">
        <v>36</v>
      </c>
      <c r="F4006">
        <v>5.4000000000000001E-4</v>
      </c>
      <c r="G4006">
        <v>0</v>
      </c>
      <c r="H4006" t="str">
        <f t="shared" si="186"/>
        <v>30-39</v>
      </c>
      <c r="I4006" t="str">
        <f t="shared" si="187"/>
        <v>10-19</v>
      </c>
      <c r="J4006">
        <f t="shared" si="188"/>
        <v>5.4000000000000001E-4</v>
      </c>
    </row>
    <row r="4007" spans="1:10">
      <c r="A4007" t="s">
        <v>4089</v>
      </c>
      <c r="B4007">
        <v>32</v>
      </c>
      <c r="C4007" t="s">
        <v>7</v>
      </c>
      <c r="D4007">
        <v>17</v>
      </c>
      <c r="E4007">
        <v>48</v>
      </c>
      <c r="F4007">
        <v>1.56E-3</v>
      </c>
      <c r="G4007">
        <v>0</v>
      </c>
      <c r="H4007" t="str">
        <f t="shared" si="186"/>
        <v>40-49</v>
      </c>
      <c r="I4007" t="str">
        <f t="shared" si="187"/>
        <v>10-19</v>
      </c>
      <c r="J4007">
        <f t="shared" si="188"/>
        <v>1.56E-3</v>
      </c>
    </row>
    <row r="4008" spans="1:10">
      <c r="A4008" t="s">
        <v>4090</v>
      </c>
      <c r="B4008">
        <v>44</v>
      </c>
      <c r="C4008" t="s">
        <v>7</v>
      </c>
      <c r="D4008">
        <v>14</v>
      </c>
      <c r="E4008">
        <v>57</v>
      </c>
      <c r="F4008">
        <v>3.32E-3</v>
      </c>
      <c r="G4008">
        <v>0</v>
      </c>
      <c r="H4008" t="str">
        <f t="shared" si="186"/>
        <v>50-59</v>
      </c>
      <c r="I4008" t="str">
        <f t="shared" si="187"/>
        <v>10-19</v>
      </c>
      <c r="J4008">
        <f t="shared" si="188"/>
        <v>3.32E-3</v>
      </c>
    </row>
    <row r="4009" spans="1:10">
      <c r="A4009" t="s">
        <v>4091</v>
      </c>
      <c r="B4009">
        <v>39</v>
      </c>
      <c r="C4009" t="s">
        <v>9</v>
      </c>
      <c r="D4009">
        <v>9</v>
      </c>
      <c r="E4009">
        <v>47</v>
      </c>
      <c r="F4009">
        <v>1.5E-3</v>
      </c>
      <c r="G4009">
        <v>0</v>
      </c>
      <c r="H4009" t="str">
        <f t="shared" si="186"/>
        <v>40-49</v>
      </c>
      <c r="I4009" t="str">
        <f t="shared" si="187"/>
        <v>0-9</v>
      </c>
      <c r="J4009">
        <f t="shared" si="188"/>
        <v>1.5E-3</v>
      </c>
    </row>
    <row r="4010" spans="1:10">
      <c r="A4010" t="s">
        <v>4092</v>
      </c>
      <c r="B4010">
        <v>21</v>
      </c>
      <c r="C4010" t="s">
        <v>7</v>
      </c>
      <c r="D4010">
        <v>21</v>
      </c>
      <c r="E4010">
        <v>41</v>
      </c>
      <c r="F4010">
        <v>1.1999999999999999E-3</v>
      </c>
      <c r="G4010">
        <v>0</v>
      </c>
      <c r="H4010" t="str">
        <f t="shared" si="186"/>
        <v>40-49</v>
      </c>
      <c r="I4010" t="str">
        <f t="shared" si="187"/>
        <v>20-29</v>
      </c>
      <c r="J4010">
        <f t="shared" si="188"/>
        <v>1.1999999999999999E-3</v>
      </c>
    </row>
    <row r="4011" spans="1:10">
      <c r="A4011" t="s">
        <v>4093</v>
      </c>
      <c r="B4011">
        <v>43</v>
      </c>
      <c r="C4011" t="s">
        <v>7</v>
      </c>
      <c r="D4011">
        <v>15</v>
      </c>
      <c r="E4011">
        <v>57</v>
      </c>
      <c r="F4011">
        <v>3.3700000000000002E-3</v>
      </c>
      <c r="G4011">
        <v>0</v>
      </c>
      <c r="H4011" t="str">
        <f t="shared" si="186"/>
        <v>50-59</v>
      </c>
      <c r="I4011" t="str">
        <f t="shared" si="187"/>
        <v>10-19</v>
      </c>
      <c r="J4011">
        <f t="shared" si="188"/>
        <v>3.3700000000000002E-3</v>
      </c>
    </row>
    <row r="4012" spans="1:10">
      <c r="A4012" t="s">
        <v>4094</v>
      </c>
      <c r="B4012">
        <v>48</v>
      </c>
      <c r="C4012" t="s">
        <v>9</v>
      </c>
      <c r="D4012">
        <v>21</v>
      </c>
      <c r="E4012">
        <v>68</v>
      </c>
      <c r="F4012">
        <v>1.3950000000000001E-2</v>
      </c>
      <c r="G4012">
        <v>0</v>
      </c>
      <c r="H4012" t="str">
        <f t="shared" si="186"/>
        <v>60-69</v>
      </c>
      <c r="I4012" t="str">
        <f t="shared" si="187"/>
        <v>20-29</v>
      </c>
      <c r="J4012">
        <f t="shared" si="188"/>
        <v>1.3950000000000001E-2</v>
      </c>
    </row>
    <row r="4013" spans="1:10">
      <c r="A4013" t="s">
        <v>4095</v>
      </c>
      <c r="B4013">
        <v>48</v>
      </c>
      <c r="C4013" t="s">
        <v>9</v>
      </c>
      <c r="D4013">
        <v>25</v>
      </c>
      <c r="E4013">
        <v>72</v>
      </c>
      <c r="F4013">
        <v>2.1340000000000001E-2</v>
      </c>
      <c r="G4013">
        <v>0</v>
      </c>
      <c r="H4013" t="str">
        <f t="shared" si="186"/>
        <v>70-79</v>
      </c>
      <c r="I4013" t="str">
        <f t="shared" si="187"/>
        <v>20-29</v>
      </c>
      <c r="J4013">
        <f t="shared" si="188"/>
        <v>2.1340000000000001E-2</v>
      </c>
    </row>
    <row r="4014" spans="1:10">
      <c r="A4014" t="s">
        <v>4096</v>
      </c>
      <c r="B4014">
        <v>49</v>
      </c>
      <c r="C4014" t="s">
        <v>9</v>
      </c>
      <c r="D4014">
        <v>9</v>
      </c>
      <c r="E4014">
        <v>57</v>
      </c>
      <c r="F4014">
        <v>3.9300000000000003E-3</v>
      </c>
      <c r="G4014">
        <v>0</v>
      </c>
      <c r="H4014" t="str">
        <f t="shared" si="186"/>
        <v>50-59</v>
      </c>
      <c r="I4014" t="str">
        <f t="shared" si="187"/>
        <v>0-9</v>
      </c>
      <c r="J4014">
        <f t="shared" si="188"/>
        <v>3.9300000000000003E-3</v>
      </c>
    </row>
    <row r="4015" spans="1:10">
      <c r="A4015" t="s">
        <v>4097</v>
      </c>
      <c r="B4015">
        <v>38</v>
      </c>
      <c r="C4015" t="s">
        <v>7</v>
      </c>
      <c r="D4015">
        <v>6</v>
      </c>
      <c r="E4015">
        <v>43</v>
      </c>
      <c r="F4015">
        <v>7.5000000000000002E-4</v>
      </c>
      <c r="G4015">
        <v>0</v>
      </c>
      <c r="H4015" t="str">
        <f t="shared" si="186"/>
        <v>40-49</v>
      </c>
      <c r="I4015" t="str">
        <f t="shared" si="187"/>
        <v>0-9</v>
      </c>
      <c r="J4015">
        <f t="shared" si="188"/>
        <v>7.5000000000000002E-4</v>
      </c>
    </row>
    <row r="4016" spans="1:10">
      <c r="A4016" t="s">
        <v>4098</v>
      </c>
      <c r="B4016">
        <v>21</v>
      </c>
      <c r="C4016" t="s">
        <v>9</v>
      </c>
      <c r="D4016">
        <v>4</v>
      </c>
      <c r="E4016">
        <v>24</v>
      </c>
      <c r="F4016">
        <v>6.6E-4</v>
      </c>
      <c r="G4016">
        <v>0</v>
      </c>
      <c r="H4016" t="str">
        <f t="shared" si="186"/>
        <v>20-29</v>
      </c>
      <c r="I4016" t="str">
        <f t="shared" si="187"/>
        <v>0-9</v>
      </c>
      <c r="J4016">
        <f t="shared" si="188"/>
        <v>6.6E-4</v>
      </c>
    </row>
    <row r="4017" spans="1:10">
      <c r="A4017" t="s">
        <v>4099</v>
      </c>
      <c r="B4017">
        <v>50</v>
      </c>
      <c r="C4017" t="s">
        <v>9</v>
      </c>
      <c r="D4017">
        <v>12</v>
      </c>
      <c r="E4017">
        <v>61</v>
      </c>
      <c r="F4017">
        <v>6.5500000000000003E-3</v>
      </c>
      <c r="G4017">
        <v>0</v>
      </c>
      <c r="H4017" t="str">
        <f t="shared" si="186"/>
        <v>60-69</v>
      </c>
      <c r="I4017" t="str">
        <f t="shared" si="187"/>
        <v>10-19</v>
      </c>
      <c r="J4017">
        <f t="shared" si="188"/>
        <v>6.5500000000000003E-3</v>
      </c>
    </row>
    <row r="4018" spans="1:10">
      <c r="A4018" t="s">
        <v>4100</v>
      </c>
      <c r="B4018">
        <v>44</v>
      </c>
      <c r="C4018" t="s">
        <v>9</v>
      </c>
      <c r="D4018">
        <v>18</v>
      </c>
      <c r="E4018">
        <v>61</v>
      </c>
      <c r="F4018">
        <v>7.0200000000000002E-3</v>
      </c>
      <c r="G4018">
        <v>0</v>
      </c>
      <c r="H4018" t="str">
        <f t="shared" si="186"/>
        <v>60-69</v>
      </c>
      <c r="I4018" t="str">
        <f t="shared" si="187"/>
        <v>10-19</v>
      </c>
      <c r="J4018">
        <f t="shared" si="188"/>
        <v>7.0200000000000002E-3</v>
      </c>
    </row>
    <row r="4019" spans="1:10">
      <c r="A4019" t="s">
        <v>4101</v>
      </c>
      <c r="B4019">
        <v>40</v>
      </c>
      <c r="C4019" t="s">
        <v>9</v>
      </c>
      <c r="D4019">
        <v>13</v>
      </c>
      <c r="E4019">
        <v>52</v>
      </c>
      <c r="F4019">
        <v>2.64E-3</v>
      </c>
      <c r="G4019">
        <v>0</v>
      </c>
      <c r="H4019" t="str">
        <f t="shared" si="186"/>
        <v>50-59</v>
      </c>
      <c r="I4019" t="str">
        <f t="shared" si="187"/>
        <v>10-19</v>
      </c>
      <c r="J4019">
        <f t="shared" si="188"/>
        <v>2.64E-3</v>
      </c>
    </row>
    <row r="4020" spans="1:10">
      <c r="A4020" t="s">
        <v>4102</v>
      </c>
      <c r="B4020">
        <v>22</v>
      </c>
      <c r="C4020" t="s">
        <v>9</v>
      </c>
      <c r="D4020">
        <v>21</v>
      </c>
      <c r="E4020">
        <v>42</v>
      </c>
      <c r="F4020">
        <v>1.91E-3</v>
      </c>
      <c r="G4020">
        <v>0</v>
      </c>
      <c r="H4020" t="str">
        <f t="shared" si="186"/>
        <v>40-49</v>
      </c>
      <c r="I4020" t="str">
        <f t="shared" si="187"/>
        <v>20-29</v>
      </c>
      <c r="J4020">
        <f t="shared" si="188"/>
        <v>1.91E-3</v>
      </c>
    </row>
    <row r="4021" spans="1:10">
      <c r="A4021" t="s">
        <v>4103</v>
      </c>
      <c r="B4021">
        <v>56</v>
      </c>
      <c r="C4021" t="s">
        <v>7</v>
      </c>
      <c r="D4021">
        <v>2</v>
      </c>
      <c r="E4021">
        <v>57</v>
      </c>
      <c r="F4021">
        <v>1.31E-3</v>
      </c>
      <c r="G4021">
        <v>0</v>
      </c>
      <c r="H4021" t="str">
        <f t="shared" si="186"/>
        <v>50-59</v>
      </c>
      <c r="I4021" t="str">
        <f t="shared" si="187"/>
        <v>0-9</v>
      </c>
      <c r="J4021">
        <f t="shared" si="188"/>
        <v>1.31E-3</v>
      </c>
    </row>
    <row r="4022" spans="1:10">
      <c r="A4022" t="s">
        <v>4104</v>
      </c>
      <c r="B4022">
        <v>65</v>
      </c>
      <c r="C4022" t="s">
        <v>9</v>
      </c>
      <c r="D4022">
        <v>23</v>
      </c>
      <c r="E4022">
        <v>87</v>
      </c>
      <c r="F4022">
        <v>0.11698</v>
      </c>
      <c r="G4022">
        <v>1</v>
      </c>
      <c r="H4022" t="str">
        <f t="shared" si="186"/>
        <v>80-89</v>
      </c>
      <c r="I4022" t="str">
        <f t="shared" si="187"/>
        <v>20-29</v>
      </c>
      <c r="J4022">
        <f t="shared" si="188"/>
        <v>0.11698</v>
      </c>
    </row>
    <row r="4023" spans="1:10">
      <c r="A4023" t="s">
        <v>4105</v>
      </c>
      <c r="B4023">
        <v>24</v>
      </c>
      <c r="C4023" t="s">
        <v>9</v>
      </c>
      <c r="D4023">
        <v>5</v>
      </c>
      <c r="E4023">
        <v>28</v>
      </c>
      <c r="F4023">
        <v>4.6999999999999999E-4</v>
      </c>
      <c r="G4023">
        <v>0</v>
      </c>
      <c r="H4023" t="str">
        <f t="shared" si="186"/>
        <v>20-29</v>
      </c>
      <c r="I4023" t="str">
        <f t="shared" si="187"/>
        <v>0-9</v>
      </c>
      <c r="J4023">
        <f t="shared" si="188"/>
        <v>4.6999999999999999E-4</v>
      </c>
    </row>
    <row r="4024" spans="1:10">
      <c r="A4024" t="s">
        <v>4106</v>
      </c>
      <c r="B4024">
        <v>65</v>
      </c>
      <c r="C4024" t="s">
        <v>9</v>
      </c>
      <c r="D4024">
        <v>8</v>
      </c>
      <c r="E4024">
        <v>72</v>
      </c>
      <c r="F4024">
        <v>1.4579999999999999E-2</v>
      </c>
      <c r="G4024">
        <v>0</v>
      </c>
      <c r="H4024" t="str">
        <f t="shared" si="186"/>
        <v>70-79</v>
      </c>
      <c r="I4024" t="str">
        <f t="shared" si="187"/>
        <v>0-9</v>
      </c>
      <c r="J4024">
        <f t="shared" si="188"/>
        <v>1.4579999999999999E-2</v>
      </c>
    </row>
    <row r="4025" spans="1:10">
      <c r="A4025" t="s">
        <v>4107</v>
      </c>
      <c r="B4025">
        <v>42</v>
      </c>
      <c r="C4025" t="s">
        <v>9</v>
      </c>
      <c r="D4025">
        <v>11</v>
      </c>
      <c r="E4025">
        <v>52</v>
      </c>
      <c r="F4025">
        <v>2.5400000000000002E-3</v>
      </c>
      <c r="G4025">
        <v>0</v>
      </c>
      <c r="H4025" t="str">
        <f t="shared" si="186"/>
        <v>50-59</v>
      </c>
      <c r="I4025" t="str">
        <f t="shared" si="187"/>
        <v>10-19</v>
      </c>
      <c r="J4025">
        <f t="shared" si="188"/>
        <v>2.5400000000000002E-3</v>
      </c>
    </row>
    <row r="4026" spans="1:10">
      <c r="A4026" t="s">
        <v>4108</v>
      </c>
      <c r="B4026">
        <v>24</v>
      </c>
      <c r="C4026" t="s">
        <v>9</v>
      </c>
      <c r="D4026">
        <v>16</v>
      </c>
      <c r="E4026">
        <v>39</v>
      </c>
      <c r="F4026">
        <v>1.1999999999999999E-3</v>
      </c>
      <c r="G4026">
        <v>0</v>
      </c>
      <c r="H4026" t="str">
        <f t="shared" si="186"/>
        <v>30-39</v>
      </c>
      <c r="I4026" t="str">
        <f t="shared" si="187"/>
        <v>10-19</v>
      </c>
      <c r="J4026">
        <f t="shared" si="188"/>
        <v>1.1999999999999999E-3</v>
      </c>
    </row>
    <row r="4027" spans="1:10">
      <c r="A4027" t="s">
        <v>4109</v>
      </c>
      <c r="B4027">
        <v>46</v>
      </c>
      <c r="C4027" t="s">
        <v>7</v>
      </c>
      <c r="D4027">
        <v>21</v>
      </c>
      <c r="E4027">
        <v>66</v>
      </c>
      <c r="F4027">
        <v>9.2399999999999999E-3</v>
      </c>
      <c r="G4027">
        <v>0</v>
      </c>
      <c r="H4027" t="str">
        <f t="shared" si="186"/>
        <v>60-69</v>
      </c>
      <c r="I4027" t="str">
        <f t="shared" si="187"/>
        <v>20-29</v>
      </c>
      <c r="J4027">
        <f t="shared" si="188"/>
        <v>9.2399999999999999E-3</v>
      </c>
    </row>
    <row r="4028" spans="1:10">
      <c r="A4028" t="s">
        <v>4110</v>
      </c>
      <c r="B4028">
        <v>55</v>
      </c>
      <c r="C4028" t="s">
        <v>9</v>
      </c>
      <c r="D4028">
        <v>27</v>
      </c>
      <c r="E4028">
        <v>81</v>
      </c>
      <c r="F4028">
        <v>5.0909999999999997E-2</v>
      </c>
      <c r="G4028">
        <v>0</v>
      </c>
      <c r="H4028" t="str">
        <f t="shared" si="186"/>
        <v>80-89</v>
      </c>
      <c r="I4028" t="str">
        <f t="shared" si="187"/>
        <v>20-29</v>
      </c>
      <c r="J4028">
        <f t="shared" si="188"/>
        <v>5.0909999999999997E-2</v>
      </c>
    </row>
    <row r="4029" spans="1:10">
      <c r="A4029" t="s">
        <v>4111</v>
      </c>
      <c r="B4029">
        <v>30</v>
      </c>
      <c r="C4029" t="s">
        <v>7</v>
      </c>
      <c r="D4029">
        <v>4</v>
      </c>
      <c r="E4029">
        <v>33</v>
      </c>
      <c r="F4029">
        <v>2.5000000000000001E-4</v>
      </c>
      <c r="G4029">
        <v>0</v>
      </c>
      <c r="H4029" t="str">
        <f t="shared" si="186"/>
        <v>30-39</v>
      </c>
      <c r="I4029" t="str">
        <f t="shared" si="187"/>
        <v>0-9</v>
      </c>
      <c r="J4029">
        <f t="shared" si="188"/>
        <v>2.5000000000000001E-4</v>
      </c>
    </row>
    <row r="4030" spans="1:10">
      <c r="A4030" t="s">
        <v>4112</v>
      </c>
      <c r="B4030">
        <v>34</v>
      </c>
      <c r="C4030" t="s">
        <v>9</v>
      </c>
      <c r="D4030">
        <v>8</v>
      </c>
      <c r="E4030">
        <v>41</v>
      </c>
      <c r="F4030">
        <v>9.3000000000000005E-4</v>
      </c>
      <c r="G4030">
        <v>0</v>
      </c>
      <c r="H4030" t="str">
        <f t="shared" si="186"/>
        <v>40-49</v>
      </c>
      <c r="I4030" t="str">
        <f t="shared" si="187"/>
        <v>0-9</v>
      </c>
      <c r="J4030">
        <f t="shared" si="188"/>
        <v>9.3000000000000005E-4</v>
      </c>
    </row>
    <row r="4031" spans="1:10">
      <c r="A4031" t="s">
        <v>4113</v>
      </c>
      <c r="B4031">
        <v>21</v>
      </c>
      <c r="C4031" t="s">
        <v>7</v>
      </c>
      <c r="D4031">
        <v>2</v>
      </c>
      <c r="E4031">
        <v>22</v>
      </c>
      <c r="F4031">
        <v>2.5000000000000001E-4</v>
      </c>
      <c r="G4031">
        <v>0</v>
      </c>
      <c r="H4031" t="str">
        <f t="shared" si="186"/>
        <v>20-29</v>
      </c>
      <c r="I4031" t="str">
        <f t="shared" si="187"/>
        <v>0-9</v>
      </c>
      <c r="J4031">
        <f t="shared" si="188"/>
        <v>2.5000000000000001E-4</v>
      </c>
    </row>
    <row r="4032" spans="1:10">
      <c r="A4032" t="s">
        <v>4114</v>
      </c>
      <c r="B4032">
        <v>50</v>
      </c>
      <c r="C4032" t="s">
        <v>9</v>
      </c>
      <c r="D4032">
        <v>2</v>
      </c>
      <c r="E4032">
        <v>51</v>
      </c>
      <c r="F4032">
        <v>1.1999999999999999E-3</v>
      </c>
      <c r="G4032">
        <v>0</v>
      </c>
      <c r="H4032" t="str">
        <f t="shared" si="186"/>
        <v>50-59</v>
      </c>
      <c r="I4032" t="str">
        <f t="shared" si="187"/>
        <v>0-9</v>
      </c>
      <c r="J4032">
        <f t="shared" si="188"/>
        <v>1.1999999999999999E-3</v>
      </c>
    </row>
    <row r="4033" spans="1:10">
      <c r="A4033" t="s">
        <v>4115</v>
      </c>
      <c r="B4033">
        <v>29</v>
      </c>
      <c r="C4033" t="s">
        <v>9</v>
      </c>
      <c r="D4033">
        <v>28</v>
      </c>
      <c r="E4033">
        <v>56</v>
      </c>
      <c r="F4033">
        <v>3.7499999999999999E-3</v>
      </c>
      <c r="G4033">
        <v>0</v>
      </c>
      <c r="H4033" t="str">
        <f t="shared" si="186"/>
        <v>50-59</v>
      </c>
      <c r="I4033" t="str">
        <f t="shared" si="187"/>
        <v>20-29</v>
      </c>
      <c r="J4033">
        <f t="shared" si="188"/>
        <v>3.7499999999999999E-3</v>
      </c>
    </row>
    <row r="4034" spans="1:10">
      <c r="A4034" t="s">
        <v>4116</v>
      </c>
      <c r="B4034">
        <v>44</v>
      </c>
      <c r="C4034" t="s">
        <v>7</v>
      </c>
      <c r="D4034">
        <v>25</v>
      </c>
      <c r="E4034">
        <v>68</v>
      </c>
      <c r="F4034">
        <v>1.141E-2</v>
      </c>
      <c r="G4034">
        <v>0</v>
      </c>
      <c r="H4034" t="str">
        <f t="shared" si="186"/>
        <v>60-69</v>
      </c>
      <c r="I4034" t="str">
        <f t="shared" si="187"/>
        <v>20-29</v>
      </c>
      <c r="J4034">
        <f t="shared" si="188"/>
        <v>1.141E-2</v>
      </c>
    </row>
    <row r="4035" spans="1:10">
      <c r="A4035" t="s">
        <v>4117</v>
      </c>
      <c r="B4035">
        <v>52</v>
      </c>
      <c r="C4035" t="s">
        <v>9</v>
      </c>
      <c r="D4035">
        <v>25</v>
      </c>
      <c r="E4035">
        <v>76</v>
      </c>
      <c r="F4035">
        <v>3.3419999999999998E-2</v>
      </c>
      <c r="G4035">
        <v>1</v>
      </c>
      <c r="H4035" t="str">
        <f t="shared" ref="H4035:H4098" si="189">FLOOR(E4035,10) &amp; "-" &amp; FLOOR(E4035,10)+9</f>
        <v>70-79</v>
      </c>
      <c r="I4035" t="str">
        <f t="shared" ref="I4035:I4098" si="190">FLOOR(D4035, 10) &amp; "-"&amp;FLOOR(D4035, 10)+9</f>
        <v>20-29</v>
      </c>
      <c r="J4035">
        <f t="shared" ref="J4035:J4098" si="191">F4035</f>
        <v>3.3419999999999998E-2</v>
      </c>
    </row>
    <row r="4036" spans="1:10">
      <c r="A4036" t="s">
        <v>4118</v>
      </c>
      <c r="B4036">
        <v>65</v>
      </c>
      <c r="C4036" t="s">
        <v>9</v>
      </c>
      <c r="D4036">
        <v>23</v>
      </c>
      <c r="E4036">
        <v>87</v>
      </c>
      <c r="F4036">
        <v>0.11698</v>
      </c>
      <c r="G4036">
        <v>1</v>
      </c>
      <c r="H4036" t="str">
        <f t="shared" si="189"/>
        <v>80-89</v>
      </c>
      <c r="I4036" t="str">
        <f t="shared" si="190"/>
        <v>20-29</v>
      </c>
      <c r="J4036">
        <f t="shared" si="191"/>
        <v>0.11698</v>
      </c>
    </row>
    <row r="4037" spans="1:10">
      <c r="A4037" t="s">
        <v>4119</v>
      </c>
      <c r="B4037">
        <v>32</v>
      </c>
      <c r="C4037" t="s">
        <v>9</v>
      </c>
      <c r="D4037">
        <v>19</v>
      </c>
      <c r="E4037">
        <v>50</v>
      </c>
      <c r="F4037">
        <v>2.5000000000000001E-3</v>
      </c>
      <c r="G4037">
        <v>0</v>
      </c>
      <c r="H4037" t="str">
        <f t="shared" si="189"/>
        <v>50-59</v>
      </c>
      <c r="I4037" t="str">
        <f t="shared" si="190"/>
        <v>10-19</v>
      </c>
      <c r="J4037">
        <f t="shared" si="191"/>
        <v>2.5000000000000001E-3</v>
      </c>
    </row>
    <row r="4038" spans="1:10">
      <c r="A4038" t="s">
        <v>4120</v>
      </c>
      <c r="B4038">
        <v>51</v>
      </c>
      <c r="C4038" t="s">
        <v>9</v>
      </c>
      <c r="D4038">
        <v>1</v>
      </c>
      <c r="E4038">
        <v>51</v>
      </c>
      <c r="F4038">
        <v>8.5999999999999998E-4</v>
      </c>
      <c r="G4038">
        <v>0</v>
      </c>
      <c r="H4038" t="str">
        <f t="shared" si="189"/>
        <v>50-59</v>
      </c>
      <c r="I4038" t="str">
        <f t="shared" si="190"/>
        <v>0-9</v>
      </c>
      <c r="J4038">
        <f t="shared" si="191"/>
        <v>8.5999999999999998E-4</v>
      </c>
    </row>
    <row r="4039" spans="1:10">
      <c r="A4039" t="s">
        <v>4121</v>
      </c>
      <c r="B4039">
        <v>43</v>
      </c>
      <c r="C4039" t="s">
        <v>7</v>
      </c>
      <c r="D4039">
        <v>17</v>
      </c>
      <c r="E4039">
        <v>59</v>
      </c>
      <c r="F4039">
        <v>4.2199999999999998E-3</v>
      </c>
      <c r="G4039">
        <v>0</v>
      </c>
      <c r="H4039" t="str">
        <f t="shared" si="189"/>
        <v>50-59</v>
      </c>
      <c r="I4039" t="str">
        <f t="shared" si="190"/>
        <v>10-19</v>
      </c>
      <c r="J4039">
        <f t="shared" si="191"/>
        <v>4.2199999999999998E-3</v>
      </c>
    </row>
    <row r="4040" spans="1:10">
      <c r="A4040" t="s">
        <v>4122</v>
      </c>
      <c r="B4040">
        <v>33</v>
      </c>
      <c r="C4040" t="s">
        <v>7</v>
      </c>
      <c r="D4040">
        <v>5</v>
      </c>
      <c r="E4040">
        <v>37</v>
      </c>
      <c r="F4040">
        <v>4.2000000000000002E-4</v>
      </c>
      <c r="G4040">
        <v>0</v>
      </c>
      <c r="H4040" t="str">
        <f t="shared" si="189"/>
        <v>30-39</v>
      </c>
      <c r="I4040" t="str">
        <f t="shared" si="190"/>
        <v>0-9</v>
      </c>
      <c r="J4040">
        <f t="shared" si="191"/>
        <v>4.2000000000000002E-4</v>
      </c>
    </row>
    <row r="4041" spans="1:10">
      <c r="A4041" t="s">
        <v>4123</v>
      </c>
      <c r="B4041">
        <v>59</v>
      </c>
      <c r="C4041" t="s">
        <v>9</v>
      </c>
      <c r="D4041">
        <v>10</v>
      </c>
      <c r="E4041">
        <v>68</v>
      </c>
      <c r="F4041">
        <v>1.282E-2</v>
      </c>
      <c r="G4041">
        <v>0</v>
      </c>
      <c r="H4041" t="str">
        <f t="shared" si="189"/>
        <v>60-69</v>
      </c>
      <c r="I4041" t="str">
        <f t="shared" si="190"/>
        <v>10-19</v>
      </c>
      <c r="J4041">
        <f t="shared" si="191"/>
        <v>1.282E-2</v>
      </c>
    </row>
    <row r="4042" spans="1:10">
      <c r="A4042" t="s">
        <v>4124</v>
      </c>
      <c r="B4042">
        <v>44</v>
      </c>
      <c r="C4042" t="s">
        <v>7</v>
      </c>
      <c r="D4042">
        <v>6</v>
      </c>
      <c r="E4042">
        <v>49</v>
      </c>
      <c r="F4042">
        <v>1.1800000000000001E-3</v>
      </c>
      <c r="G4042">
        <v>0</v>
      </c>
      <c r="H4042" t="str">
        <f t="shared" si="189"/>
        <v>40-49</v>
      </c>
      <c r="I4042" t="str">
        <f t="shared" si="190"/>
        <v>0-9</v>
      </c>
      <c r="J4042">
        <f t="shared" si="191"/>
        <v>1.1800000000000001E-3</v>
      </c>
    </row>
    <row r="4043" spans="1:10">
      <c r="A4043" t="s">
        <v>4125</v>
      </c>
      <c r="B4043">
        <v>36</v>
      </c>
      <c r="C4043" t="s">
        <v>9</v>
      </c>
      <c r="D4043">
        <v>11</v>
      </c>
      <c r="E4043">
        <v>46</v>
      </c>
      <c r="F4043">
        <v>1.4599999999999999E-3</v>
      </c>
      <c r="G4043">
        <v>0</v>
      </c>
      <c r="H4043" t="str">
        <f t="shared" si="189"/>
        <v>40-49</v>
      </c>
      <c r="I4043" t="str">
        <f t="shared" si="190"/>
        <v>10-19</v>
      </c>
      <c r="J4043">
        <f t="shared" si="191"/>
        <v>1.4599999999999999E-3</v>
      </c>
    </row>
    <row r="4044" spans="1:10">
      <c r="A4044" t="s">
        <v>4126</v>
      </c>
      <c r="B4044">
        <v>45</v>
      </c>
      <c r="C4044" t="s">
        <v>7</v>
      </c>
      <c r="D4044">
        <v>4</v>
      </c>
      <c r="E4044">
        <v>48</v>
      </c>
      <c r="F4044">
        <v>9.7999999999999997E-4</v>
      </c>
      <c r="G4044">
        <v>0</v>
      </c>
      <c r="H4044" t="str">
        <f t="shared" si="189"/>
        <v>40-49</v>
      </c>
      <c r="I4044" t="str">
        <f t="shared" si="190"/>
        <v>0-9</v>
      </c>
      <c r="J4044">
        <f t="shared" si="191"/>
        <v>9.7999999999999997E-4</v>
      </c>
    </row>
    <row r="4045" spans="1:10">
      <c r="A4045" t="s">
        <v>4127</v>
      </c>
      <c r="B4045">
        <v>48</v>
      </c>
      <c r="C4045" t="s">
        <v>7</v>
      </c>
      <c r="D4045">
        <v>20</v>
      </c>
      <c r="E4045">
        <v>67</v>
      </c>
      <c r="F4045">
        <v>1.0149999999999999E-2</v>
      </c>
      <c r="G4045">
        <v>0</v>
      </c>
      <c r="H4045" t="str">
        <f t="shared" si="189"/>
        <v>60-69</v>
      </c>
      <c r="I4045" t="str">
        <f t="shared" si="190"/>
        <v>20-29</v>
      </c>
      <c r="J4045">
        <f t="shared" si="191"/>
        <v>1.0149999999999999E-2</v>
      </c>
    </row>
    <row r="4046" spans="1:10">
      <c r="A4046" t="s">
        <v>4128</v>
      </c>
      <c r="B4046">
        <v>45</v>
      </c>
      <c r="C4046" t="s">
        <v>9</v>
      </c>
      <c r="D4046">
        <v>7</v>
      </c>
      <c r="E4046">
        <v>51</v>
      </c>
      <c r="F4046">
        <v>2.0200000000000001E-3</v>
      </c>
      <c r="G4046">
        <v>0</v>
      </c>
      <c r="H4046" t="str">
        <f t="shared" si="189"/>
        <v>50-59</v>
      </c>
      <c r="I4046" t="str">
        <f t="shared" si="190"/>
        <v>0-9</v>
      </c>
      <c r="J4046">
        <f t="shared" si="191"/>
        <v>2.0200000000000001E-3</v>
      </c>
    </row>
    <row r="4047" spans="1:10">
      <c r="A4047" t="s">
        <v>4129</v>
      </c>
      <c r="B4047">
        <v>26</v>
      </c>
      <c r="C4047" t="s">
        <v>7</v>
      </c>
      <c r="D4047">
        <v>24</v>
      </c>
      <c r="E4047">
        <v>49</v>
      </c>
      <c r="F4047">
        <v>1.8699999999999999E-3</v>
      </c>
      <c r="G4047">
        <v>0</v>
      </c>
      <c r="H4047" t="str">
        <f t="shared" si="189"/>
        <v>40-49</v>
      </c>
      <c r="I4047" t="str">
        <f t="shared" si="190"/>
        <v>20-29</v>
      </c>
      <c r="J4047">
        <f t="shared" si="191"/>
        <v>1.8699999999999999E-3</v>
      </c>
    </row>
    <row r="4048" spans="1:10">
      <c r="A4048" t="s">
        <v>4130</v>
      </c>
      <c r="B4048">
        <v>56</v>
      </c>
      <c r="C4048" t="s">
        <v>7</v>
      </c>
      <c r="D4048">
        <v>24</v>
      </c>
      <c r="E4048">
        <v>79</v>
      </c>
      <c r="F4048">
        <v>3.569E-2</v>
      </c>
      <c r="G4048">
        <v>0</v>
      </c>
      <c r="H4048" t="str">
        <f t="shared" si="189"/>
        <v>70-79</v>
      </c>
      <c r="I4048" t="str">
        <f t="shared" si="190"/>
        <v>20-29</v>
      </c>
      <c r="J4048">
        <f t="shared" si="191"/>
        <v>3.569E-2</v>
      </c>
    </row>
    <row r="4049" spans="1:10">
      <c r="A4049" t="s">
        <v>4131</v>
      </c>
      <c r="B4049">
        <v>63</v>
      </c>
      <c r="C4049" t="s">
        <v>7</v>
      </c>
      <c r="D4049">
        <v>7</v>
      </c>
      <c r="E4049">
        <v>69</v>
      </c>
      <c r="F4049">
        <v>7.5300000000000002E-3</v>
      </c>
      <c r="G4049">
        <v>0</v>
      </c>
      <c r="H4049" t="str">
        <f t="shared" si="189"/>
        <v>60-69</v>
      </c>
      <c r="I4049" t="str">
        <f t="shared" si="190"/>
        <v>0-9</v>
      </c>
      <c r="J4049">
        <f t="shared" si="191"/>
        <v>7.5300000000000002E-3</v>
      </c>
    </row>
    <row r="4050" spans="1:10">
      <c r="A4050" t="s">
        <v>4132</v>
      </c>
      <c r="B4050">
        <v>43</v>
      </c>
      <c r="C4050" t="s">
        <v>9</v>
      </c>
      <c r="D4050">
        <v>15</v>
      </c>
      <c r="E4050">
        <v>57</v>
      </c>
      <c r="F4050">
        <v>4.4299999999999999E-3</v>
      </c>
      <c r="G4050">
        <v>0</v>
      </c>
      <c r="H4050" t="str">
        <f t="shared" si="189"/>
        <v>50-59</v>
      </c>
      <c r="I4050" t="str">
        <f t="shared" si="190"/>
        <v>10-19</v>
      </c>
      <c r="J4050">
        <f t="shared" si="191"/>
        <v>4.4299999999999999E-3</v>
      </c>
    </row>
    <row r="4051" spans="1:10">
      <c r="A4051" t="s">
        <v>4133</v>
      </c>
      <c r="B4051">
        <v>56</v>
      </c>
      <c r="C4051" t="s">
        <v>7</v>
      </c>
      <c r="D4051">
        <v>29</v>
      </c>
      <c r="E4051">
        <v>84</v>
      </c>
      <c r="F4051">
        <v>4.4880000000000003E-2</v>
      </c>
      <c r="G4051">
        <v>0</v>
      </c>
      <c r="H4051" t="str">
        <f t="shared" si="189"/>
        <v>80-89</v>
      </c>
      <c r="I4051" t="str">
        <f t="shared" si="190"/>
        <v>20-29</v>
      </c>
      <c r="J4051">
        <f t="shared" si="191"/>
        <v>4.4880000000000003E-2</v>
      </c>
    </row>
    <row r="4052" spans="1:10">
      <c r="A4052" t="s">
        <v>4134</v>
      </c>
      <c r="B4052">
        <v>52</v>
      </c>
      <c r="C4052" t="s">
        <v>9</v>
      </c>
      <c r="D4052">
        <v>1</v>
      </c>
      <c r="E4052">
        <v>52</v>
      </c>
      <c r="F4052">
        <v>8.9999999999999998E-4</v>
      </c>
      <c r="G4052">
        <v>0</v>
      </c>
      <c r="H4052" t="str">
        <f t="shared" si="189"/>
        <v>50-59</v>
      </c>
      <c r="I4052" t="str">
        <f t="shared" si="190"/>
        <v>0-9</v>
      </c>
      <c r="J4052">
        <f t="shared" si="191"/>
        <v>8.9999999999999998E-4</v>
      </c>
    </row>
    <row r="4053" spans="1:10">
      <c r="A4053" t="s">
        <v>4135</v>
      </c>
      <c r="B4053">
        <v>31</v>
      </c>
      <c r="C4053" t="s">
        <v>9</v>
      </c>
      <c r="D4053">
        <v>28</v>
      </c>
      <c r="E4053">
        <v>58</v>
      </c>
      <c r="F4053">
        <v>4.3899999999999998E-3</v>
      </c>
      <c r="G4053">
        <v>0</v>
      </c>
      <c r="H4053" t="str">
        <f t="shared" si="189"/>
        <v>50-59</v>
      </c>
      <c r="I4053" t="str">
        <f t="shared" si="190"/>
        <v>20-29</v>
      </c>
      <c r="J4053">
        <f t="shared" si="191"/>
        <v>4.3899999999999998E-3</v>
      </c>
    </row>
    <row r="4054" spans="1:10">
      <c r="A4054" t="s">
        <v>4136</v>
      </c>
      <c r="B4054">
        <v>44</v>
      </c>
      <c r="C4054" t="s">
        <v>9</v>
      </c>
      <c r="D4054">
        <v>24</v>
      </c>
      <c r="E4054">
        <v>67</v>
      </c>
      <c r="F4054">
        <v>1.273E-2</v>
      </c>
      <c r="G4054">
        <v>0</v>
      </c>
      <c r="H4054" t="str">
        <f t="shared" si="189"/>
        <v>60-69</v>
      </c>
      <c r="I4054" t="str">
        <f t="shared" si="190"/>
        <v>20-29</v>
      </c>
      <c r="J4054">
        <f t="shared" si="191"/>
        <v>1.273E-2</v>
      </c>
    </row>
    <row r="4055" spans="1:10">
      <c r="A4055" t="s">
        <v>4137</v>
      </c>
      <c r="B4055">
        <v>58</v>
      </c>
      <c r="C4055" t="s">
        <v>9</v>
      </c>
      <c r="D4055">
        <v>25</v>
      </c>
      <c r="E4055">
        <v>82</v>
      </c>
      <c r="F4055">
        <v>6.3329999999999997E-2</v>
      </c>
      <c r="G4055">
        <v>0</v>
      </c>
      <c r="H4055" t="str">
        <f t="shared" si="189"/>
        <v>80-89</v>
      </c>
      <c r="I4055" t="str">
        <f t="shared" si="190"/>
        <v>20-29</v>
      </c>
      <c r="J4055">
        <f t="shared" si="191"/>
        <v>6.3329999999999997E-2</v>
      </c>
    </row>
    <row r="4056" spans="1:10">
      <c r="A4056" t="s">
        <v>4138</v>
      </c>
      <c r="B4056">
        <v>55</v>
      </c>
      <c r="C4056" t="s">
        <v>9</v>
      </c>
      <c r="D4056">
        <v>20</v>
      </c>
      <c r="E4056">
        <v>74</v>
      </c>
      <c r="F4056">
        <v>2.6550000000000001E-2</v>
      </c>
      <c r="G4056">
        <v>0</v>
      </c>
      <c r="H4056" t="str">
        <f t="shared" si="189"/>
        <v>70-79</v>
      </c>
      <c r="I4056" t="str">
        <f t="shared" si="190"/>
        <v>20-29</v>
      </c>
      <c r="J4056">
        <f t="shared" si="191"/>
        <v>2.6550000000000001E-2</v>
      </c>
    </row>
    <row r="4057" spans="1:10">
      <c r="A4057" t="s">
        <v>4139</v>
      </c>
      <c r="B4057">
        <v>35</v>
      </c>
      <c r="C4057" t="s">
        <v>7</v>
      </c>
      <c r="D4057">
        <v>3</v>
      </c>
      <c r="E4057">
        <v>37</v>
      </c>
      <c r="F4057">
        <v>3.5E-4</v>
      </c>
      <c r="G4057">
        <v>0</v>
      </c>
      <c r="H4057" t="str">
        <f t="shared" si="189"/>
        <v>30-39</v>
      </c>
      <c r="I4057" t="str">
        <f t="shared" si="190"/>
        <v>0-9</v>
      </c>
      <c r="J4057">
        <f t="shared" si="191"/>
        <v>3.5E-4</v>
      </c>
    </row>
    <row r="4058" spans="1:10">
      <c r="A4058" t="s">
        <v>4140</v>
      </c>
      <c r="B4058">
        <v>21</v>
      </c>
      <c r="C4058" t="s">
        <v>9</v>
      </c>
      <c r="D4058">
        <v>20</v>
      </c>
      <c r="E4058">
        <v>40</v>
      </c>
      <c r="F4058">
        <v>1.67E-3</v>
      </c>
      <c r="G4058">
        <v>0</v>
      </c>
      <c r="H4058" t="str">
        <f t="shared" si="189"/>
        <v>40-49</v>
      </c>
      <c r="I4058" t="str">
        <f t="shared" si="190"/>
        <v>20-29</v>
      </c>
      <c r="J4058">
        <f t="shared" si="191"/>
        <v>1.67E-3</v>
      </c>
    </row>
    <row r="4059" spans="1:10">
      <c r="A4059" t="s">
        <v>4141</v>
      </c>
      <c r="B4059">
        <v>37</v>
      </c>
      <c r="C4059" t="s">
        <v>9</v>
      </c>
      <c r="D4059">
        <v>30</v>
      </c>
      <c r="E4059">
        <v>66</v>
      </c>
      <c r="F4059">
        <v>7.79E-3</v>
      </c>
      <c r="G4059">
        <v>0</v>
      </c>
      <c r="H4059" t="str">
        <f t="shared" si="189"/>
        <v>60-69</v>
      </c>
      <c r="I4059" t="str">
        <f t="shared" si="190"/>
        <v>30-39</v>
      </c>
      <c r="J4059">
        <f t="shared" si="191"/>
        <v>7.79E-3</v>
      </c>
    </row>
    <row r="4060" spans="1:10">
      <c r="A4060" t="s">
        <v>4142</v>
      </c>
      <c r="B4060">
        <v>56</v>
      </c>
      <c r="C4060" t="s">
        <v>9</v>
      </c>
      <c r="D4060">
        <v>6</v>
      </c>
      <c r="E4060">
        <v>61</v>
      </c>
      <c r="F4060">
        <v>5.5900000000000004E-3</v>
      </c>
      <c r="G4060">
        <v>0</v>
      </c>
      <c r="H4060" t="str">
        <f t="shared" si="189"/>
        <v>60-69</v>
      </c>
      <c r="I4060" t="str">
        <f t="shared" si="190"/>
        <v>0-9</v>
      </c>
      <c r="J4060">
        <f t="shared" si="191"/>
        <v>5.5900000000000004E-3</v>
      </c>
    </row>
    <row r="4061" spans="1:10">
      <c r="A4061" t="s">
        <v>4143</v>
      </c>
      <c r="B4061">
        <v>61</v>
      </c>
      <c r="C4061" t="s">
        <v>7</v>
      </c>
      <c r="D4061">
        <v>7</v>
      </c>
      <c r="E4061">
        <v>67</v>
      </c>
      <c r="F4061">
        <v>6.62E-3</v>
      </c>
      <c r="G4061">
        <v>0</v>
      </c>
      <c r="H4061" t="str">
        <f t="shared" si="189"/>
        <v>60-69</v>
      </c>
      <c r="I4061" t="str">
        <f t="shared" si="190"/>
        <v>0-9</v>
      </c>
      <c r="J4061">
        <f t="shared" si="191"/>
        <v>6.62E-3</v>
      </c>
    </row>
    <row r="4062" spans="1:10">
      <c r="A4062" t="s">
        <v>4144</v>
      </c>
      <c r="B4062">
        <v>43</v>
      </c>
      <c r="C4062" t="s">
        <v>9</v>
      </c>
      <c r="D4062">
        <v>3</v>
      </c>
      <c r="E4062">
        <v>45</v>
      </c>
      <c r="F4062">
        <v>9.2000000000000003E-4</v>
      </c>
      <c r="G4062">
        <v>0</v>
      </c>
      <c r="H4062" t="str">
        <f t="shared" si="189"/>
        <v>40-49</v>
      </c>
      <c r="I4062" t="str">
        <f t="shared" si="190"/>
        <v>0-9</v>
      </c>
      <c r="J4062">
        <f t="shared" si="191"/>
        <v>9.2000000000000003E-4</v>
      </c>
    </row>
    <row r="4063" spans="1:10">
      <c r="A4063" t="s">
        <v>4145</v>
      </c>
      <c r="B4063">
        <v>39</v>
      </c>
      <c r="C4063" t="s">
        <v>9</v>
      </c>
      <c r="D4063">
        <v>25</v>
      </c>
      <c r="E4063">
        <v>63</v>
      </c>
      <c r="F4063">
        <v>8.6499999999999997E-3</v>
      </c>
      <c r="G4063">
        <v>0</v>
      </c>
      <c r="H4063" t="str">
        <f t="shared" si="189"/>
        <v>60-69</v>
      </c>
      <c r="I4063" t="str">
        <f t="shared" si="190"/>
        <v>20-29</v>
      </c>
      <c r="J4063">
        <f t="shared" si="191"/>
        <v>8.6499999999999997E-3</v>
      </c>
    </row>
    <row r="4064" spans="1:10">
      <c r="A4064" t="s">
        <v>4146</v>
      </c>
      <c r="B4064">
        <v>29</v>
      </c>
      <c r="C4064" t="s">
        <v>9</v>
      </c>
      <c r="D4064">
        <v>9</v>
      </c>
      <c r="E4064">
        <v>37</v>
      </c>
      <c r="F4064">
        <v>6.9999999999999999E-4</v>
      </c>
      <c r="G4064">
        <v>0</v>
      </c>
      <c r="H4064" t="str">
        <f t="shared" si="189"/>
        <v>30-39</v>
      </c>
      <c r="I4064" t="str">
        <f t="shared" si="190"/>
        <v>0-9</v>
      </c>
      <c r="J4064">
        <f t="shared" si="191"/>
        <v>6.9999999999999999E-4</v>
      </c>
    </row>
    <row r="4065" spans="1:10">
      <c r="A4065" t="s">
        <v>4147</v>
      </c>
      <c r="B4065">
        <v>33</v>
      </c>
      <c r="C4065" t="s">
        <v>7</v>
      </c>
      <c r="D4065">
        <v>4</v>
      </c>
      <c r="E4065">
        <v>36</v>
      </c>
      <c r="F4065">
        <v>3.4000000000000002E-4</v>
      </c>
      <c r="G4065">
        <v>0</v>
      </c>
      <c r="H4065" t="str">
        <f t="shared" si="189"/>
        <v>30-39</v>
      </c>
      <c r="I4065" t="str">
        <f t="shared" si="190"/>
        <v>0-9</v>
      </c>
      <c r="J4065">
        <f t="shared" si="191"/>
        <v>3.4000000000000002E-4</v>
      </c>
    </row>
    <row r="4066" spans="1:10">
      <c r="A4066" t="s">
        <v>4148</v>
      </c>
      <c r="B4066">
        <v>63</v>
      </c>
      <c r="C4066" t="s">
        <v>9</v>
      </c>
      <c r="D4066">
        <v>26</v>
      </c>
      <c r="E4066">
        <v>88</v>
      </c>
      <c r="F4066">
        <v>0.13258</v>
      </c>
      <c r="G4066">
        <v>0</v>
      </c>
      <c r="H4066" t="str">
        <f t="shared" si="189"/>
        <v>80-89</v>
      </c>
      <c r="I4066" t="str">
        <f t="shared" si="190"/>
        <v>20-29</v>
      </c>
      <c r="J4066">
        <f t="shared" si="191"/>
        <v>0.13258</v>
      </c>
    </row>
    <row r="4067" spans="1:10">
      <c r="A4067" t="s">
        <v>4149</v>
      </c>
      <c r="B4067">
        <v>50</v>
      </c>
      <c r="C4067" t="s">
        <v>9</v>
      </c>
      <c r="D4067">
        <v>6</v>
      </c>
      <c r="E4067">
        <v>55</v>
      </c>
      <c r="F4067">
        <v>2.99E-3</v>
      </c>
      <c r="G4067">
        <v>0</v>
      </c>
      <c r="H4067" t="str">
        <f t="shared" si="189"/>
        <v>50-59</v>
      </c>
      <c r="I4067" t="str">
        <f t="shared" si="190"/>
        <v>0-9</v>
      </c>
      <c r="J4067">
        <f t="shared" si="191"/>
        <v>2.99E-3</v>
      </c>
    </row>
    <row r="4068" spans="1:10">
      <c r="A4068" t="s">
        <v>4150</v>
      </c>
      <c r="B4068">
        <v>35</v>
      </c>
      <c r="C4068" t="s">
        <v>7</v>
      </c>
      <c r="D4068">
        <v>15</v>
      </c>
      <c r="E4068">
        <v>49</v>
      </c>
      <c r="F4068">
        <v>1.6199999999999999E-3</v>
      </c>
      <c r="G4068">
        <v>0</v>
      </c>
      <c r="H4068" t="str">
        <f t="shared" si="189"/>
        <v>40-49</v>
      </c>
      <c r="I4068" t="str">
        <f t="shared" si="190"/>
        <v>10-19</v>
      </c>
      <c r="J4068">
        <f t="shared" si="191"/>
        <v>1.6199999999999999E-3</v>
      </c>
    </row>
    <row r="4069" spans="1:10">
      <c r="A4069" t="s">
        <v>4151</v>
      </c>
      <c r="B4069">
        <v>55</v>
      </c>
      <c r="C4069" t="s">
        <v>9</v>
      </c>
      <c r="D4069">
        <v>9</v>
      </c>
      <c r="E4069">
        <v>63</v>
      </c>
      <c r="F4069">
        <v>7.9900000000000006E-3</v>
      </c>
      <c r="G4069">
        <v>0</v>
      </c>
      <c r="H4069" t="str">
        <f t="shared" si="189"/>
        <v>60-69</v>
      </c>
      <c r="I4069" t="str">
        <f t="shared" si="190"/>
        <v>0-9</v>
      </c>
      <c r="J4069">
        <f t="shared" si="191"/>
        <v>7.9900000000000006E-3</v>
      </c>
    </row>
    <row r="4070" spans="1:10">
      <c r="A4070" t="s">
        <v>4152</v>
      </c>
      <c r="B4070">
        <v>50</v>
      </c>
      <c r="C4070" t="s">
        <v>7</v>
      </c>
      <c r="D4070">
        <v>3</v>
      </c>
      <c r="E4070">
        <v>52</v>
      </c>
      <c r="F4070">
        <v>1.2800000000000001E-3</v>
      </c>
      <c r="G4070">
        <v>0</v>
      </c>
      <c r="H4070" t="str">
        <f t="shared" si="189"/>
        <v>50-59</v>
      </c>
      <c r="I4070" t="str">
        <f t="shared" si="190"/>
        <v>0-9</v>
      </c>
      <c r="J4070">
        <f t="shared" si="191"/>
        <v>1.2800000000000001E-3</v>
      </c>
    </row>
    <row r="4071" spans="1:10">
      <c r="A4071" t="s">
        <v>4153</v>
      </c>
      <c r="B4071">
        <v>24</v>
      </c>
      <c r="C4071" t="s">
        <v>7</v>
      </c>
      <c r="D4071">
        <v>13</v>
      </c>
      <c r="E4071">
        <v>36</v>
      </c>
      <c r="F4071">
        <v>6.2E-4</v>
      </c>
      <c r="G4071">
        <v>0</v>
      </c>
      <c r="H4071" t="str">
        <f t="shared" si="189"/>
        <v>30-39</v>
      </c>
      <c r="I4071" t="str">
        <f t="shared" si="190"/>
        <v>10-19</v>
      </c>
      <c r="J4071">
        <f t="shared" si="191"/>
        <v>6.2E-4</v>
      </c>
    </row>
    <row r="4072" spans="1:10">
      <c r="A4072" t="s">
        <v>4154</v>
      </c>
      <c r="B4072">
        <v>51</v>
      </c>
      <c r="C4072" t="s">
        <v>7</v>
      </c>
      <c r="D4072">
        <v>14</v>
      </c>
      <c r="E4072">
        <v>64</v>
      </c>
      <c r="F4072">
        <v>6.6100000000000004E-3</v>
      </c>
      <c r="G4072">
        <v>0</v>
      </c>
      <c r="H4072" t="str">
        <f t="shared" si="189"/>
        <v>60-69</v>
      </c>
      <c r="I4072" t="str">
        <f t="shared" si="190"/>
        <v>10-19</v>
      </c>
      <c r="J4072">
        <f t="shared" si="191"/>
        <v>6.6100000000000004E-3</v>
      </c>
    </row>
    <row r="4073" spans="1:10">
      <c r="A4073" t="s">
        <v>4155</v>
      </c>
      <c r="B4073">
        <v>20</v>
      </c>
      <c r="C4073" t="s">
        <v>7</v>
      </c>
      <c r="D4073">
        <v>19</v>
      </c>
      <c r="E4073">
        <v>38</v>
      </c>
      <c r="F4073">
        <v>1E-3</v>
      </c>
      <c r="G4073">
        <v>0</v>
      </c>
      <c r="H4073" t="str">
        <f t="shared" si="189"/>
        <v>30-39</v>
      </c>
      <c r="I4073" t="str">
        <f t="shared" si="190"/>
        <v>10-19</v>
      </c>
      <c r="J4073">
        <f t="shared" si="191"/>
        <v>1E-3</v>
      </c>
    </row>
    <row r="4074" spans="1:10">
      <c r="A4074" t="s">
        <v>4156</v>
      </c>
      <c r="B4074">
        <v>37</v>
      </c>
      <c r="C4074" t="s">
        <v>9</v>
      </c>
      <c r="D4074">
        <v>23</v>
      </c>
      <c r="E4074">
        <v>59</v>
      </c>
      <c r="F4074">
        <v>5.7400000000000003E-3</v>
      </c>
      <c r="G4074">
        <v>0</v>
      </c>
      <c r="H4074" t="str">
        <f t="shared" si="189"/>
        <v>50-59</v>
      </c>
      <c r="I4074" t="str">
        <f t="shared" si="190"/>
        <v>20-29</v>
      </c>
      <c r="J4074">
        <f t="shared" si="191"/>
        <v>5.7400000000000003E-3</v>
      </c>
    </row>
    <row r="4075" spans="1:10">
      <c r="A4075" t="s">
        <v>4157</v>
      </c>
      <c r="B4075">
        <v>37</v>
      </c>
      <c r="C4075" t="s">
        <v>7</v>
      </c>
      <c r="D4075">
        <v>1</v>
      </c>
      <c r="E4075">
        <v>37</v>
      </c>
      <c r="F4075">
        <v>1.8000000000000001E-4</v>
      </c>
      <c r="G4075">
        <v>0</v>
      </c>
      <c r="H4075" t="str">
        <f t="shared" si="189"/>
        <v>30-39</v>
      </c>
      <c r="I4075" t="str">
        <f t="shared" si="190"/>
        <v>0-9</v>
      </c>
      <c r="J4075">
        <f t="shared" si="191"/>
        <v>1.8000000000000001E-4</v>
      </c>
    </row>
    <row r="4076" spans="1:10">
      <c r="A4076" t="s">
        <v>4158</v>
      </c>
      <c r="B4076">
        <v>32</v>
      </c>
      <c r="C4076" t="s">
        <v>7</v>
      </c>
      <c r="D4076">
        <v>8</v>
      </c>
      <c r="E4076">
        <v>39</v>
      </c>
      <c r="F4076">
        <v>6.2E-4</v>
      </c>
      <c r="G4076">
        <v>0</v>
      </c>
      <c r="H4076" t="str">
        <f t="shared" si="189"/>
        <v>30-39</v>
      </c>
      <c r="I4076" t="str">
        <f t="shared" si="190"/>
        <v>0-9</v>
      </c>
      <c r="J4076">
        <f t="shared" si="191"/>
        <v>6.2E-4</v>
      </c>
    </row>
    <row r="4077" spans="1:10">
      <c r="A4077" t="s">
        <v>4159</v>
      </c>
      <c r="B4077">
        <v>61</v>
      </c>
      <c r="C4077" t="s">
        <v>7</v>
      </c>
      <c r="D4077">
        <v>2</v>
      </c>
      <c r="E4077">
        <v>62</v>
      </c>
      <c r="F4077">
        <v>1.6800000000000001E-3</v>
      </c>
      <c r="G4077">
        <v>0</v>
      </c>
      <c r="H4077" t="str">
        <f t="shared" si="189"/>
        <v>60-69</v>
      </c>
      <c r="I4077" t="str">
        <f t="shared" si="190"/>
        <v>0-9</v>
      </c>
      <c r="J4077">
        <f t="shared" si="191"/>
        <v>1.6800000000000001E-3</v>
      </c>
    </row>
    <row r="4078" spans="1:10">
      <c r="A4078" t="s">
        <v>4160</v>
      </c>
      <c r="B4078">
        <v>47</v>
      </c>
      <c r="C4078" t="s">
        <v>7</v>
      </c>
      <c r="D4078">
        <v>18</v>
      </c>
      <c r="E4078">
        <v>64</v>
      </c>
      <c r="F4078">
        <v>7.2399999999999999E-3</v>
      </c>
      <c r="G4078">
        <v>0</v>
      </c>
      <c r="H4078" t="str">
        <f t="shared" si="189"/>
        <v>60-69</v>
      </c>
      <c r="I4078" t="str">
        <f t="shared" si="190"/>
        <v>10-19</v>
      </c>
      <c r="J4078">
        <f t="shared" si="191"/>
        <v>7.2399999999999999E-3</v>
      </c>
    </row>
    <row r="4079" spans="1:10">
      <c r="A4079" t="s">
        <v>4161</v>
      </c>
      <c r="B4079">
        <v>34</v>
      </c>
      <c r="C4079" t="s">
        <v>7</v>
      </c>
      <c r="D4079">
        <v>23</v>
      </c>
      <c r="E4079">
        <v>56</v>
      </c>
      <c r="F4079">
        <v>3.3700000000000002E-3</v>
      </c>
      <c r="G4079">
        <v>0</v>
      </c>
      <c r="H4079" t="str">
        <f t="shared" si="189"/>
        <v>50-59</v>
      </c>
      <c r="I4079" t="str">
        <f t="shared" si="190"/>
        <v>20-29</v>
      </c>
      <c r="J4079">
        <f t="shared" si="191"/>
        <v>3.3700000000000002E-3</v>
      </c>
    </row>
    <row r="4080" spans="1:10">
      <c r="A4080" t="s">
        <v>4162</v>
      </c>
      <c r="B4080">
        <v>43</v>
      </c>
      <c r="C4080" t="s">
        <v>7</v>
      </c>
      <c r="D4080">
        <v>3</v>
      </c>
      <c r="E4080">
        <v>45</v>
      </c>
      <c r="F4080">
        <v>5.6999999999999998E-4</v>
      </c>
      <c r="G4080">
        <v>0</v>
      </c>
      <c r="H4080" t="str">
        <f t="shared" si="189"/>
        <v>40-49</v>
      </c>
      <c r="I4080" t="str">
        <f t="shared" si="190"/>
        <v>0-9</v>
      </c>
      <c r="J4080">
        <f t="shared" si="191"/>
        <v>5.6999999999999998E-4</v>
      </c>
    </row>
    <row r="4081" spans="1:10">
      <c r="A4081" t="s">
        <v>4163</v>
      </c>
      <c r="B4081">
        <v>50</v>
      </c>
      <c r="C4081" t="s">
        <v>9</v>
      </c>
      <c r="D4081">
        <v>18</v>
      </c>
      <c r="E4081">
        <v>67</v>
      </c>
      <c r="F4081">
        <v>1.2460000000000001E-2</v>
      </c>
      <c r="G4081">
        <v>0</v>
      </c>
      <c r="H4081" t="str">
        <f t="shared" si="189"/>
        <v>60-69</v>
      </c>
      <c r="I4081" t="str">
        <f t="shared" si="190"/>
        <v>10-19</v>
      </c>
      <c r="J4081">
        <f t="shared" si="191"/>
        <v>1.2460000000000001E-2</v>
      </c>
    </row>
    <row r="4082" spans="1:10">
      <c r="A4082" t="s">
        <v>4164</v>
      </c>
      <c r="B4082">
        <v>43</v>
      </c>
      <c r="C4082" t="s">
        <v>7</v>
      </c>
      <c r="D4082">
        <v>24</v>
      </c>
      <c r="E4082">
        <v>66</v>
      </c>
      <c r="F4082">
        <v>9.2399999999999999E-3</v>
      </c>
      <c r="G4082">
        <v>0</v>
      </c>
      <c r="H4082" t="str">
        <f t="shared" si="189"/>
        <v>60-69</v>
      </c>
      <c r="I4082" t="str">
        <f t="shared" si="190"/>
        <v>20-29</v>
      </c>
      <c r="J4082">
        <f t="shared" si="191"/>
        <v>9.2399999999999999E-3</v>
      </c>
    </row>
    <row r="4083" spans="1:10">
      <c r="A4083" t="s">
        <v>4165</v>
      </c>
      <c r="B4083">
        <v>60</v>
      </c>
      <c r="C4083" t="s">
        <v>9</v>
      </c>
      <c r="D4083">
        <v>12</v>
      </c>
      <c r="E4083">
        <v>71</v>
      </c>
      <c r="F4083">
        <v>1.8069999999999999E-2</v>
      </c>
      <c r="G4083">
        <v>0</v>
      </c>
      <c r="H4083" t="str">
        <f t="shared" si="189"/>
        <v>70-79</v>
      </c>
      <c r="I4083" t="str">
        <f t="shared" si="190"/>
        <v>10-19</v>
      </c>
      <c r="J4083">
        <f t="shared" si="191"/>
        <v>1.8069999999999999E-2</v>
      </c>
    </row>
    <row r="4084" spans="1:10">
      <c r="A4084" t="s">
        <v>4166</v>
      </c>
      <c r="B4084">
        <v>43</v>
      </c>
      <c r="C4084" t="s">
        <v>7</v>
      </c>
      <c r="D4084">
        <v>15</v>
      </c>
      <c r="E4084">
        <v>57</v>
      </c>
      <c r="F4084">
        <v>3.3700000000000002E-3</v>
      </c>
      <c r="G4084">
        <v>0</v>
      </c>
      <c r="H4084" t="str">
        <f t="shared" si="189"/>
        <v>50-59</v>
      </c>
      <c r="I4084" t="str">
        <f t="shared" si="190"/>
        <v>10-19</v>
      </c>
      <c r="J4084">
        <f t="shared" si="191"/>
        <v>3.3700000000000002E-3</v>
      </c>
    </row>
    <row r="4085" spans="1:10">
      <c r="A4085" t="s">
        <v>4167</v>
      </c>
      <c r="B4085">
        <v>29</v>
      </c>
      <c r="C4085" t="s">
        <v>7</v>
      </c>
      <c r="D4085">
        <v>27</v>
      </c>
      <c r="E4085">
        <v>55</v>
      </c>
      <c r="F4085">
        <v>2.82E-3</v>
      </c>
      <c r="G4085">
        <v>0</v>
      </c>
      <c r="H4085" t="str">
        <f t="shared" si="189"/>
        <v>50-59</v>
      </c>
      <c r="I4085" t="str">
        <f t="shared" si="190"/>
        <v>20-29</v>
      </c>
      <c r="J4085">
        <f t="shared" si="191"/>
        <v>2.82E-3</v>
      </c>
    </row>
    <row r="4086" spans="1:10">
      <c r="A4086" t="s">
        <v>4168</v>
      </c>
      <c r="B4086">
        <v>63</v>
      </c>
      <c r="C4086" t="s">
        <v>9</v>
      </c>
      <c r="D4086">
        <v>18</v>
      </c>
      <c r="E4086">
        <v>80</v>
      </c>
      <c r="F4086">
        <v>4.9700000000000001E-2</v>
      </c>
      <c r="G4086">
        <v>0</v>
      </c>
      <c r="H4086" t="str">
        <f t="shared" si="189"/>
        <v>80-89</v>
      </c>
      <c r="I4086" t="str">
        <f t="shared" si="190"/>
        <v>10-19</v>
      </c>
      <c r="J4086">
        <f t="shared" si="191"/>
        <v>4.9700000000000001E-2</v>
      </c>
    </row>
    <row r="4087" spans="1:10">
      <c r="A4087" t="s">
        <v>4169</v>
      </c>
      <c r="B4087">
        <v>25</v>
      </c>
      <c r="C4087" t="s">
        <v>9</v>
      </c>
      <c r="D4087">
        <v>20</v>
      </c>
      <c r="E4087">
        <v>44</v>
      </c>
      <c r="F4087">
        <v>1.8799999999999999E-3</v>
      </c>
      <c r="G4087">
        <v>0</v>
      </c>
      <c r="H4087" t="str">
        <f t="shared" si="189"/>
        <v>40-49</v>
      </c>
      <c r="I4087" t="str">
        <f t="shared" si="190"/>
        <v>20-29</v>
      </c>
      <c r="J4087">
        <f t="shared" si="191"/>
        <v>1.8799999999999999E-3</v>
      </c>
    </row>
    <row r="4088" spans="1:10">
      <c r="A4088" t="s">
        <v>4170</v>
      </c>
      <c r="B4088">
        <v>42</v>
      </c>
      <c r="C4088" t="s">
        <v>9</v>
      </c>
      <c r="D4088">
        <v>21</v>
      </c>
      <c r="E4088">
        <v>62</v>
      </c>
      <c r="F4088">
        <v>7.7400000000000004E-3</v>
      </c>
      <c r="G4088">
        <v>0</v>
      </c>
      <c r="H4088" t="str">
        <f t="shared" si="189"/>
        <v>60-69</v>
      </c>
      <c r="I4088" t="str">
        <f t="shared" si="190"/>
        <v>20-29</v>
      </c>
      <c r="J4088">
        <f t="shared" si="191"/>
        <v>7.7400000000000004E-3</v>
      </c>
    </row>
    <row r="4089" spans="1:10">
      <c r="A4089" t="s">
        <v>4171</v>
      </c>
      <c r="B4089">
        <v>63</v>
      </c>
      <c r="C4089" t="s">
        <v>7</v>
      </c>
      <c r="D4089">
        <v>6</v>
      </c>
      <c r="E4089">
        <v>68</v>
      </c>
      <c r="F4089">
        <v>6.8399999999999997E-3</v>
      </c>
      <c r="G4089">
        <v>0</v>
      </c>
      <c r="H4089" t="str">
        <f t="shared" si="189"/>
        <v>60-69</v>
      </c>
      <c r="I4089" t="str">
        <f t="shared" si="190"/>
        <v>0-9</v>
      </c>
      <c r="J4089">
        <f t="shared" si="191"/>
        <v>6.8399999999999997E-3</v>
      </c>
    </row>
    <row r="4090" spans="1:10">
      <c r="A4090" t="s">
        <v>4172</v>
      </c>
      <c r="B4090">
        <v>60</v>
      </c>
      <c r="C4090" t="s">
        <v>7</v>
      </c>
      <c r="D4090">
        <v>5</v>
      </c>
      <c r="E4090">
        <v>64</v>
      </c>
      <c r="F4090">
        <v>4.9800000000000001E-3</v>
      </c>
      <c r="G4090">
        <v>0</v>
      </c>
      <c r="H4090" t="str">
        <f t="shared" si="189"/>
        <v>60-69</v>
      </c>
      <c r="I4090" t="str">
        <f t="shared" si="190"/>
        <v>0-9</v>
      </c>
      <c r="J4090">
        <f t="shared" si="191"/>
        <v>4.9800000000000001E-3</v>
      </c>
    </row>
    <row r="4091" spans="1:10">
      <c r="A4091" t="s">
        <v>4173</v>
      </c>
      <c r="B4091">
        <v>30</v>
      </c>
      <c r="C4091" t="s">
        <v>7</v>
      </c>
      <c r="D4091">
        <v>28</v>
      </c>
      <c r="E4091">
        <v>57</v>
      </c>
      <c r="F4091">
        <v>3.0799999999999998E-3</v>
      </c>
      <c r="G4091">
        <v>0</v>
      </c>
      <c r="H4091" t="str">
        <f t="shared" si="189"/>
        <v>50-59</v>
      </c>
      <c r="I4091" t="str">
        <f t="shared" si="190"/>
        <v>20-29</v>
      </c>
      <c r="J4091">
        <f t="shared" si="191"/>
        <v>3.0799999999999998E-3</v>
      </c>
    </row>
    <row r="4092" spans="1:10">
      <c r="A4092" t="s">
        <v>4174</v>
      </c>
      <c r="B4092">
        <v>33</v>
      </c>
      <c r="C4092" t="s">
        <v>7</v>
      </c>
      <c r="D4092">
        <v>27</v>
      </c>
      <c r="E4092">
        <v>59</v>
      </c>
      <c r="F4092">
        <v>4.0499999999999998E-3</v>
      </c>
      <c r="G4092">
        <v>0</v>
      </c>
      <c r="H4092" t="str">
        <f t="shared" si="189"/>
        <v>50-59</v>
      </c>
      <c r="I4092" t="str">
        <f t="shared" si="190"/>
        <v>20-29</v>
      </c>
      <c r="J4092">
        <f t="shared" si="191"/>
        <v>4.0499999999999998E-3</v>
      </c>
    </row>
    <row r="4093" spans="1:10">
      <c r="A4093" t="s">
        <v>4175</v>
      </c>
      <c r="B4093">
        <v>46</v>
      </c>
      <c r="C4093" t="s">
        <v>9</v>
      </c>
      <c r="D4093">
        <v>29</v>
      </c>
      <c r="E4093">
        <v>74</v>
      </c>
      <c r="F4093">
        <v>1.9089999999999999E-2</v>
      </c>
      <c r="G4093">
        <v>0</v>
      </c>
      <c r="H4093" t="str">
        <f t="shared" si="189"/>
        <v>70-79</v>
      </c>
      <c r="I4093" t="str">
        <f t="shared" si="190"/>
        <v>20-29</v>
      </c>
      <c r="J4093">
        <f t="shared" si="191"/>
        <v>1.9089999999999999E-2</v>
      </c>
    </row>
    <row r="4094" spans="1:10">
      <c r="A4094" t="s">
        <v>4176</v>
      </c>
      <c r="B4094">
        <v>22</v>
      </c>
      <c r="C4094" t="s">
        <v>9</v>
      </c>
      <c r="D4094">
        <v>17</v>
      </c>
      <c r="E4094">
        <v>38</v>
      </c>
      <c r="F4094">
        <v>1.2099999999999999E-3</v>
      </c>
      <c r="G4094">
        <v>0</v>
      </c>
      <c r="H4094" t="str">
        <f t="shared" si="189"/>
        <v>30-39</v>
      </c>
      <c r="I4094" t="str">
        <f t="shared" si="190"/>
        <v>10-19</v>
      </c>
      <c r="J4094">
        <f t="shared" si="191"/>
        <v>1.2099999999999999E-3</v>
      </c>
    </row>
    <row r="4095" spans="1:10">
      <c r="A4095" t="s">
        <v>4177</v>
      </c>
      <c r="B4095">
        <v>55</v>
      </c>
      <c r="C4095" t="s">
        <v>7</v>
      </c>
      <c r="D4095">
        <v>22</v>
      </c>
      <c r="E4095">
        <v>76</v>
      </c>
      <c r="F4095">
        <v>2.58E-2</v>
      </c>
      <c r="G4095">
        <v>0</v>
      </c>
      <c r="H4095" t="str">
        <f t="shared" si="189"/>
        <v>70-79</v>
      </c>
      <c r="I4095" t="str">
        <f t="shared" si="190"/>
        <v>20-29</v>
      </c>
      <c r="J4095">
        <f t="shared" si="191"/>
        <v>2.58E-2</v>
      </c>
    </row>
    <row r="4096" spans="1:10">
      <c r="A4096" t="s">
        <v>4178</v>
      </c>
      <c r="B4096">
        <v>63</v>
      </c>
      <c r="C4096" t="s">
        <v>7</v>
      </c>
      <c r="D4096">
        <v>23</v>
      </c>
      <c r="E4096">
        <v>85</v>
      </c>
      <c r="F4096">
        <v>7.2980000000000003E-2</v>
      </c>
      <c r="G4096">
        <v>0</v>
      </c>
      <c r="H4096" t="str">
        <f t="shared" si="189"/>
        <v>80-89</v>
      </c>
      <c r="I4096" t="str">
        <f t="shared" si="190"/>
        <v>20-29</v>
      </c>
      <c r="J4096">
        <f t="shared" si="191"/>
        <v>7.2980000000000003E-2</v>
      </c>
    </row>
    <row r="4097" spans="1:10">
      <c r="A4097" t="s">
        <v>4179</v>
      </c>
      <c r="B4097">
        <v>40</v>
      </c>
      <c r="C4097" t="s">
        <v>7</v>
      </c>
      <c r="D4097">
        <v>24</v>
      </c>
      <c r="E4097">
        <v>63</v>
      </c>
      <c r="F4097">
        <v>6.7200000000000003E-3</v>
      </c>
      <c r="G4097">
        <v>0</v>
      </c>
      <c r="H4097" t="str">
        <f t="shared" si="189"/>
        <v>60-69</v>
      </c>
      <c r="I4097" t="str">
        <f t="shared" si="190"/>
        <v>20-29</v>
      </c>
      <c r="J4097">
        <f t="shared" si="191"/>
        <v>6.7200000000000003E-3</v>
      </c>
    </row>
    <row r="4098" spans="1:10">
      <c r="A4098" t="s">
        <v>4180</v>
      </c>
      <c r="B4098">
        <v>45</v>
      </c>
      <c r="C4098" t="s">
        <v>7</v>
      </c>
      <c r="D4098">
        <v>17</v>
      </c>
      <c r="E4098">
        <v>61</v>
      </c>
      <c r="F4098">
        <v>5.1700000000000001E-3</v>
      </c>
      <c r="G4098">
        <v>0</v>
      </c>
      <c r="H4098" t="str">
        <f t="shared" si="189"/>
        <v>60-69</v>
      </c>
      <c r="I4098" t="str">
        <f t="shared" si="190"/>
        <v>10-19</v>
      </c>
      <c r="J4098">
        <f t="shared" si="191"/>
        <v>5.1700000000000001E-3</v>
      </c>
    </row>
    <row r="4099" spans="1:10">
      <c r="A4099" t="s">
        <v>4181</v>
      </c>
      <c r="B4099">
        <v>56</v>
      </c>
      <c r="C4099" t="s">
        <v>7</v>
      </c>
      <c r="D4099">
        <v>12</v>
      </c>
      <c r="E4099">
        <v>67</v>
      </c>
      <c r="F4099">
        <v>7.9000000000000008E-3</v>
      </c>
      <c r="G4099">
        <v>0</v>
      </c>
      <c r="H4099" t="str">
        <f t="shared" ref="H4099:H4162" si="192">FLOOR(E4099,10) &amp; "-" &amp; FLOOR(E4099,10)+9</f>
        <v>60-69</v>
      </c>
      <c r="I4099" t="str">
        <f t="shared" ref="I4099:I4162" si="193">FLOOR(D4099, 10) &amp; "-"&amp;FLOOR(D4099, 10)+9</f>
        <v>10-19</v>
      </c>
      <c r="J4099">
        <f t="shared" ref="J4099:J4162" si="194">F4099</f>
        <v>7.9000000000000008E-3</v>
      </c>
    </row>
    <row r="4100" spans="1:10">
      <c r="A4100" t="s">
        <v>4182</v>
      </c>
      <c r="B4100">
        <v>26</v>
      </c>
      <c r="C4100" t="s">
        <v>7</v>
      </c>
      <c r="D4100">
        <v>8</v>
      </c>
      <c r="E4100">
        <v>33</v>
      </c>
      <c r="F4100">
        <v>3.8000000000000002E-4</v>
      </c>
      <c r="G4100">
        <v>0</v>
      </c>
      <c r="H4100" t="str">
        <f t="shared" si="192"/>
        <v>30-39</v>
      </c>
      <c r="I4100" t="str">
        <f t="shared" si="193"/>
        <v>0-9</v>
      </c>
      <c r="J4100">
        <f t="shared" si="194"/>
        <v>3.8000000000000002E-4</v>
      </c>
    </row>
    <row r="4101" spans="1:10">
      <c r="A4101" t="s">
        <v>4183</v>
      </c>
      <c r="B4101">
        <v>64</v>
      </c>
      <c r="C4101" t="s">
        <v>7</v>
      </c>
      <c r="D4101">
        <v>29</v>
      </c>
      <c r="E4101">
        <v>92</v>
      </c>
      <c r="F4101">
        <v>0.11754000000000001</v>
      </c>
      <c r="G4101">
        <v>0</v>
      </c>
      <c r="H4101" t="str">
        <f t="shared" si="192"/>
        <v>90-99</v>
      </c>
      <c r="I4101" t="str">
        <f t="shared" si="193"/>
        <v>20-29</v>
      </c>
      <c r="J4101">
        <f t="shared" si="194"/>
        <v>0.11754000000000001</v>
      </c>
    </row>
    <row r="4102" spans="1:10">
      <c r="A4102" t="s">
        <v>4184</v>
      </c>
      <c r="B4102">
        <v>52</v>
      </c>
      <c r="C4102" t="s">
        <v>9</v>
      </c>
      <c r="D4102">
        <v>26</v>
      </c>
      <c r="E4102">
        <v>77</v>
      </c>
      <c r="F4102">
        <v>3.7220000000000003E-2</v>
      </c>
      <c r="G4102">
        <v>0</v>
      </c>
      <c r="H4102" t="str">
        <f t="shared" si="192"/>
        <v>70-79</v>
      </c>
      <c r="I4102" t="str">
        <f t="shared" si="193"/>
        <v>20-29</v>
      </c>
      <c r="J4102">
        <f t="shared" si="194"/>
        <v>3.7220000000000003E-2</v>
      </c>
    </row>
    <row r="4103" spans="1:10">
      <c r="A4103" t="s">
        <v>4185</v>
      </c>
      <c r="B4103">
        <v>24</v>
      </c>
      <c r="C4103" t="s">
        <v>7</v>
      </c>
      <c r="D4103">
        <v>23</v>
      </c>
      <c r="E4103">
        <v>46</v>
      </c>
      <c r="F4103">
        <v>1.49E-3</v>
      </c>
      <c r="G4103">
        <v>0</v>
      </c>
      <c r="H4103" t="str">
        <f t="shared" si="192"/>
        <v>40-49</v>
      </c>
      <c r="I4103" t="str">
        <f t="shared" si="193"/>
        <v>20-29</v>
      </c>
      <c r="J4103">
        <f t="shared" si="194"/>
        <v>1.49E-3</v>
      </c>
    </row>
    <row r="4104" spans="1:10">
      <c r="A4104" t="s">
        <v>4186</v>
      </c>
      <c r="B4104">
        <v>45</v>
      </c>
      <c r="C4104" t="s">
        <v>7</v>
      </c>
      <c r="D4104">
        <v>10</v>
      </c>
      <c r="E4104">
        <v>54</v>
      </c>
      <c r="F4104">
        <v>2.2300000000000002E-3</v>
      </c>
      <c r="G4104">
        <v>0</v>
      </c>
      <c r="H4104" t="str">
        <f t="shared" si="192"/>
        <v>50-59</v>
      </c>
      <c r="I4104" t="str">
        <f t="shared" si="193"/>
        <v>10-19</v>
      </c>
      <c r="J4104">
        <f t="shared" si="194"/>
        <v>2.2300000000000002E-3</v>
      </c>
    </row>
    <row r="4105" spans="1:10">
      <c r="A4105" t="s">
        <v>4187</v>
      </c>
      <c r="B4105">
        <v>26</v>
      </c>
      <c r="C4105" t="s">
        <v>9</v>
      </c>
      <c r="D4105">
        <v>27</v>
      </c>
      <c r="E4105">
        <v>52</v>
      </c>
      <c r="F4105">
        <v>3.0899999999999999E-3</v>
      </c>
      <c r="G4105">
        <v>0</v>
      </c>
      <c r="H4105" t="str">
        <f t="shared" si="192"/>
        <v>50-59</v>
      </c>
      <c r="I4105" t="str">
        <f t="shared" si="193"/>
        <v>20-29</v>
      </c>
      <c r="J4105">
        <f t="shared" si="194"/>
        <v>3.0899999999999999E-3</v>
      </c>
    </row>
    <row r="4106" spans="1:10">
      <c r="A4106" t="s">
        <v>4188</v>
      </c>
      <c r="B4106">
        <v>38</v>
      </c>
      <c r="C4106" t="s">
        <v>9</v>
      </c>
      <c r="D4106">
        <v>4</v>
      </c>
      <c r="E4106">
        <v>41</v>
      </c>
      <c r="F4106">
        <v>7.3999999999999999E-4</v>
      </c>
      <c r="G4106">
        <v>0</v>
      </c>
      <c r="H4106" t="str">
        <f t="shared" si="192"/>
        <v>40-49</v>
      </c>
      <c r="I4106" t="str">
        <f t="shared" si="193"/>
        <v>0-9</v>
      </c>
      <c r="J4106">
        <f t="shared" si="194"/>
        <v>7.3999999999999999E-4</v>
      </c>
    </row>
    <row r="4107" spans="1:10">
      <c r="A4107" t="s">
        <v>4189</v>
      </c>
      <c r="B4107">
        <v>63</v>
      </c>
      <c r="C4107" t="s">
        <v>9</v>
      </c>
      <c r="D4107">
        <v>3</v>
      </c>
      <c r="E4107">
        <v>65</v>
      </c>
      <c r="F4107">
        <v>5.5100000000000001E-3</v>
      </c>
      <c r="G4107">
        <v>0</v>
      </c>
      <c r="H4107" t="str">
        <f t="shared" si="192"/>
        <v>60-69</v>
      </c>
      <c r="I4107" t="str">
        <f t="shared" si="193"/>
        <v>0-9</v>
      </c>
      <c r="J4107">
        <f t="shared" si="194"/>
        <v>5.5100000000000001E-3</v>
      </c>
    </row>
    <row r="4108" spans="1:10">
      <c r="A4108" t="s">
        <v>4190</v>
      </c>
      <c r="B4108">
        <v>27</v>
      </c>
      <c r="C4108" t="s">
        <v>7</v>
      </c>
      <c r="D4108">
        <v>14</v>
      </c>
      <c r="E4108">
        <v>40</v>
      </c>
      <c r="F4108">
        <v>9.2000000000000003E-4</v>
      </c>
      <c r="G4108">
        <v>0</v>
      </c>
      <c r="H4108" t="str">
        <f t="shared" si="192"/>
        <v>40-49</v>
      </c>
      <c r="I4108" t="str">
        <f t="shared" si="193"/>
        <v>10-19</v>
      </c>
      <c r="J4108">
        <f t="shared" si="194"/>
        <v>9.2000000000000003E-4</v>
      </c>
    </row>
    <row r="4109" spans="1:10">
      <c r="A4109" t="s">
        <v>4191</v>
      </c>
      <c r="B4109">
        <v>20</v>
      </c>
      <c r="C4109" t="s">
        <v>7</v>
      </c>
      <c r="D4109">
        <v>23</v>
      </c>
      <c r="E4109">
        <v>42</v>
      </c>
      <c r="F4109">
        <v>1.24E-3</v>
      </c>
      <c r="G4109">
        <v>0</v>
      </c>
      <c r="H4109" t="str">
        <f t="shared" si="192"/>
        <v>40-49</v>
      </c>
      <c r="I4109" t="str">
        <f t="shared" si="193"/>
        <v>20-29</v>
      </c>
      <c r="J4109">
        <f t="shared" si="194"/>
        <v>1.24E-3</v>
      </c>
    </row>
    <row r="4110" spans="1:10">
      <c r="A4110" t="s">
        <v>4192</v>
      </c>
      <c r="B4110">
        <v>43</v>
      </c>
      <c r="C4110" t="s">
        <v>9</v>
      </c>
      <c r="D4110">
        <v>7</v>
      </c>
      <c r="E4110">
        <v>49</v>
      </c>
      <c r="F4110">
        <v>1.66E-3</v>
      </c>
      <c r="G4110">
        <v>0</v>
      </c>
      <c r="H4110" t="str">
        <f t="shared" si="192"/>
        <v>40-49</v>
      </c>
      <c r="I4110" t="str">
        <f t="shared" si="193"/>
        <v>0-9</v>
      </c>
      <c r="J4110">
        <f t="shared" si="194"/>
        <v>1.66E-3</v>
      </c>
    </row>
    <row r="4111" spans="1:10">
      <c r="A4111" t="s">
        <v>4193</v>
      </c>
      <c r="B4111">
        <v>50</v>
      </c>
      <c r="C4111" t="s">
        <v>7</v>
      </c>
      <c r="D4111">
        <v>21</v>
      </c>
      <c r="E4111">
        <v>70</v>
      </c>
      <c r="F4111">
        <v>1.404E-2</v>
      </c>
      <c r="G4111">
        <v>0</v>
      </c>
      <c r="H4111" t="str">
        <f t="shared" si="192"/>
        <v>70-79</v>
      </c>
      <c r="I4111" t="str">
        <f t="shared" si="193"/>
        <v>20-29</v>
      </c>
      <c r="J4111">
        <f t="shared" si="194"/>
        <v>1.404E-2</v>
      </c>
    </row>
    <row r="4112" spans="1:10">
      <c r="A4112" t="s">
        <v>4194</v>
      </c>
      <c r="B4112">
        <v>51</v>
      </c>
      <c r="C4112" t="s">
        <v>9</v>
      </c>
      <c r="D4112">
        <v>2</v>
      </c>
      <c r="E4112">
        <v>52</v>
      </c>
      <c r="F4112">
        <v>1.34E-3</v>
      </c>
      <c r="G4112">
        <v>0</v>
      </c>
      <c r="H4112" t="str">
        <f t="shared" si="192"/>
        <v>50-59</v>
      </c>
      <c r="I4112" t="str">
        <f t="shared" si="193"/>
        <v>0-9</v>
      </c>
      <c r="J4112">
        <f t="shared" si="194"/>
        <v>1.34E-3</v>
      </c>
    </row>
    <row r="4113" spans="1:10">
      <c r="A4113" t="s">
        <v>4195</v>
      </c>
      <c r="B4113">
        <v>36</v>
      </c>
      <c r="C4113" t="s">
        <v>9</v>
      </c>
      <c r="D4113">
        <v>23</v>
      </c>
      <c r="E4113">
        <v>58</v>
      </c>
      <c r="F4113">
        <v>5.2199999999999998E-3</v>
      </c>
      <c r="G4113">
        <v>0</v>
      </c>
      <c r="H4113" t="str">
        <f t="shared" si="192"/>
        <v>50-59</v>
      </c>
      <c r="I4113" t="str">
        <f t="shared" si="193"/>
        <v>20-29</v>
      </c>
      <c r="J4113">
        <f t="shared" si="194"/>
        <v>5.2199999999999998E-3</v>
      </c>
    </row>
    <row r="4114" spans="1:10">
      <c r="A4114" t="s">
        <v>4196</v>
      </c>
      <c r="B4114">
        <v>54</v>
      </c>
      <c r="C4114" t="s">
        <v>9</v>
      </c>
      <c r="D4114">
        <v>25</v>
      </c>
      <c r="E4114">
        <v>78</v>
      </c>
      <c r="F4114">
        <v>4.1189999999999997E-2</v>
      </c>
      <c r="G4114">
        <v>0</v>
      </c>
      <c r="H4114" t="str">
        <f t="shared" si="192"/>
        <v>70-79</v>
      </c>
      <c r="I4114" t="str">
        <f t="shared" si="193"/>
        <v>20-29</v>
      </c>
      <c r="J4114">
        <f t="shared" si="194"/>
        <v>4.1189999999999997E-2</v>
      </c>
    </row>
    <row r="4115" spans="1:10">
      <c r="A4115" t="s">
        <v>4197</v>
      </c>
      <c r="B4115">
        <v>59</v>
      </c>
      <c r="C4115" t="s">
        <v>9</v>
      </c>
      <c r="D4115">
        <v>29</v>
      </c>
      <c r="E4115">
        <v>87</v>
      </c>
      <c r="F4115">
        <v>8.0629999999999993E-2</v>
      </c>
      <c r="G4115">
        <v>0</v>
      </c>
      <c r="H4115" t="str">
        <f t="shared" si="192"/>
        <v>80-89</v>
      </c>
      <c r="I4115" t="str">
        <f t="shared" si="193"/>
        <v>20-29</v>
      </c>
      <c r="J4115">
        <f t="shared" si="194"/>
        <v>8.0629999999999993E-2</v>
      </c>
    </row>
    <row r="4116" spans="1:10">
      <c r="A4116" t="s">
        <v>4198</v>
      </c>
      <c r="B4116">
        <v>51</v>
      </c>
      <c r="C4116" t="s">
        <v>9</v>
      </c>
      <c r="D4116">
        <v>1</v>
      </c>
      <c r="E4116">
        <v>51</v>
      </c>
      <c r="F4116">
        <v>8.5999999999999998E-4</v>
      </c>
      <c r="G4116">
        <v>0</v>
      </c>
      <c r="H4116" t="str">
        <f t="shared" si="192"/>
        <v>50-59</v>
      </c>
      <c r="I4116" t="str">
        <f t="shared" si="193"/>
        <v>0-9</v>
      </c>
      <c r="J4116">
        <f t="shared" si="194"/>
        <v>8.5999999999999998E-4</v>
      </c>
    </row>
    <row r="4117" spans="1:10">
      <c r="A4117" t="s">
        <v>4199</v>
      </c>
      <c r="B4117">
        <v>25</v>
      </c>
      <c r="C4117" t="s">
        <v>9</v>
      </c>
      <c r="D4117">
        <v>16</v>
      </c>
      <c r="E4117">
        <v>40</v>
      </c>
      <c r="F4117">
        <v>1.2800000000000001E-3</v>
      </c>
      <c r="G4117">
        <v>0</v>
      </c>
      <c r="H4117" t="str">
        <f t="shared" si="192"/>
        <v>40-49</v>
      </c>
      <c r="I4117" t="str">
        <f t="shared" si="193"/>
        <v>10-19</v>
      </c>
      <c r="J4117">
        <f t="shared" si="194"/>
        <v>1.2800000000000001E-3</v>
      </c>
    </row>
    <row r="4118" spans="1:10">
      <c r="A4118" t="s">
        <v>4200</v>
      </c>
      <c r="B4118">
        <v>35</v>
      </c>
      <c r="C4118" t="s">
        <v>7</v>
      </c>
      <c r="D4118">
        <v>24</v>
      </c>
      <c r="E4118">
        <v>58</v>
      </c>
      <c r="F4118">
        <v>4.0499999999999998E-3</v>
      </c>
      <c r="G4118">
        <v>0</v>
      </c>
      <c r="H4118" t="str">
        <f t="shared" si="192"/>
        <v>50-59</v>
      </c>
      <c r="I4118" t="str">
        <f t="shared" si="193"/>
        <v>20-29</v>
      </c>
      <c r="J4118">
        <f t="shared" si="194"/>
        <v>4.0499999999999998E-3</v>
      </c>
    </row>
    <row r="4119" spans="1:10">
      <c r="A4119" t="s">
        <v>4201</v>
      </c>
      <c r="B4119">
        <v>26</v>
      </c>
      <c r="C4119" t="s">
        <v>9</v>
      </c>
      <c r="D4119">
        <v>15</v>
      </c>
      <c r="E4119">
        <v>40</v>
      </c>
      <c r="F4119">
        <v>1.23E-3</v>
      </c>
      <c r="G4119">
        <v>0</v>
      </c>
      <c r="H4119" t="str">
        <f t="shared" si="192"/>
        <v>40-49</v>
      </c>
      <c r="I4119" t="str">
        <f t="shared" si="193"/>
        <v>10-19</v>
      </c>
      <c r="J4119">
        <f t="shared" si="194"/>
        <v>1.23E-3</v>
      </c>
    </row>
    <row r="4120" spans="1:10">
      <c r="A4120" t="s">
        <v>4202</v>
      </c>
      <c r="B4120">
        <v>58</v>
      </c>
      <c r="C4120" t="s">
        <v>9</v>
      </c>
      <c r="D4120">
        <v>16</v>
      </c>
      <c r="E4120">
        <v>73</v>
      </c>
      <c r="F4120">
        <v>2.367E-2</v>
      </c>
      <c r="G4120">
        <v>0</v>
      </c>
      <c r="H4120" t="str">
        <f t="shared" si="192"/>
        <v>70-79</v>
      </c>
      <c r="I4120" t="str">
        <f t="shared" si="193"/>
        <v>10-19</v>
      </c>
      <c r="J4120">
        <f t="shared" si="194"/>
        <v>2.367E-2</v>
      </c>
    </row>
    <row r="4121" spans="1:10">
      <c r="A4121" t="s">
        <v>4203</v>
      </c>
      <c r="B4121">
        <v>65</v>
      </c>
      <c r="C4121" t="s">
        <v>9</v>
      </c>
      <c r="D4121">
        <v>28</v>
      </c>
      <c r="E4121">
        <v>92</v>
      </c>
      <c r="F4121">
        <v>0.16611999999999999</v>
      </c>
      <c r="G4121">
        <v>0</v>
      </c>
      <c r="H4121" t="str">
        <f t="shared" si="192"/>
        <v>90-99</v>
      </c>
      <c r="I4121" t="str">
        <f t="shared" si="193"/>
        <v>20-29</v>
      </c>
      <c r="J4121">
        <f t="shared" si="194"/>
        <v>0.16611999999999999</v>
      </c>
    </row>
    <row r="4122" spans="1:10">
      <c r="A4122" t="s">
        <v>4204</v>
      </c>
      <c r="B4122">
        <v>26</v>
      </c>
      <c r="C4122" t="s">
        <v>7</v>
      </c>
      <c r="D4122">
        <v>1</v>
      </c>
      <c r="E4122">
        <v>26</v>
      </c>
      <c r="F4122">
        <v>1.3999999999999999E-4</v>
      </c>
      <c r="G4122">
        <v>0</v>
      </c>
      <c r="H4122" t="str">
        <f t="shared" si="192"/>
        <v>20-29</v>
      </c>
      <c r="I4122" t="str">
        <f t="shared" si="193"/>
        <v>0-9</v>
      </c>
      <c r="J4122">
        <f t="shared" si="194"/>
        <v>1.3999999999999999E-4</v>
      </c>
    </row>
    <row r="4123" spans="1:10">
      <c r="A4123" t="s">
        <v>4205</v>
      </c>
      <c r="B4123">
        <v>63</v>
      </c>
      <c r="C4123" t="s">
        <v>9</v>
      </c>
      <c r="D4123">
        <v>25</v>
      </c>
      <c r="E4123">
        <v>87</v>
      </c>
      <c r="F4123">
        <v>0.11724</v>
      </c>
      <c r="G4123">
        <v>0</v>
      </c>
      <c r="H4123" t="str">
        <f t="shared" si="192"/>
        <v>80-89</v>
      </c>
      <c r="I4123" t="str">
        <f t="shared" si="193"/>
        <v>20-29</v>
      </c>
      <c r="J4123">
        <f t="shared" si="194"/>
        <v>0.11724</v>
      </c>
    </row>
    <row r="4124" spans="1:10">
      <c r="A4124" t="s">
        <v>4206</v>
      </c>
      <c r="B4124">
        <v>24</v>
      </c>
      <c r="C4124" t="s">
        <v>9</v>
      </c>
      <c r="D4124">
        <v>17</v>
      </c>
      <c r="E4124">
        <v>40</v>
      </c>
      <c r="F4124">
        <v>1.3600000000000001E-3</v>
      </c>
      <c r="G4124">
        <v>0</v>
      </c>
      <c r="H4124" t="str">
        <f t="shared" si="192"/>
        <v>40-49</v>
      </c>
      <c r="I4124" t="str">
        <f t="shared" si="193"/>
        <v>10-19</v>
      </c>
      <c r="J4124">
        <f t="shared" si="194"/>
        <v>1.3600000000000001E-3</v>
      </c>
    </row>
    <row r="4125" spans="1:10">
      <c r="A4125" t="s">
        <v>4207</v>
      </c>
      <c r="B4125">
        <v>56</v>
      </c>
      <c r="C4125" t="s">
        <v>7</v>
      </c>
      <c r="D4125">
        <v>13</v>
      </c>
      <c r="E4125">
        <v>68</v>
      </c>
      <c r="F4125">
        <v>9.1299999999999992E-3</v>
      </c>
      <c r="G4125">
        <v>0</v>
      </c>
      <c r="H4125" t="str">
        <f t="shared" si="192"/>
        <v>60-69</v>
      </c>
      <c r="I4125" t="str">
        <f t="shared" si="193"/>
        <v>10-19</v>
      </c>
      <c r="J4125">
        <f t="shared" si="194"/>
        <v>9.1299999999999992E-3</v>
      </c>
    </row>
    <row r="4126" spans="1:10">
      <c r="A4126" t="s">
        <v>4208</v>
      </c>
      <c r="B4126">
        <v>23</v>
      </c>
      <c r="C4126" t="s">
        <v>7</v>
      </c>
      <c r="D4126">
        <v>9</v>
      </c>
      <c r="E4126">
        <v>31</v>
      </c>
      <c r="F4126">
        <v>3.8000000000000002E-4</v>
      </c>
      <c r="G4126">
        <v>0</v>
      </c>
      <c r="H4126" t="str">
        <f t="shared" si="192"/>
        <v>30-39</v>
      </c>
      <c r="I4126" t="str">
        <f t="shared" si="193"/>
        <v>0-9</v>
      </c>
      <c r="J4126">
        <f t="shared" si="194"/>
        <v>3.8000000000000002E-4</v>
      </c>
    </row>
    <row r="4127" spans="1:10">
      <c r="A4127" t="s">
        <v>4209</v>
      </c>
      <c r="B4127">
        <v>51</v>
      </c>
      <c r="C4127" t="s">
        <v>7</v>
      </c>
      <c r="D4127">
        <v>6</v>
      </c>
      <c r="E4127">
        <v>56</v>
      </c>
      <c r="F4127">
        <v>2.2699999999999999E-3</v>
      </c>
      <c r="G4127">
        <v>0</v>
      </c>
      <c r="H4127" t="str">
        <f t="shared" si="192"/>
        <v>50-59</v>
      </c>
      <c r="I4127" t="str">
        <f t="shared" si="193"/>
        <v>0-9</v>
      </c>
      <c r="J4127">
        <f t="shared" si="194"/>
        <v>2.2699999999999999E-3</v>
      </c>
    </row>
    <row r="4128" spans="1:10">
      <c r="A4128" t="s">
        <v>4210</v>
      </c>
      <c r="B4128">
        <v>30</v>
      </c>
      <c r="C4128" t="s">
        <v>9</v>
      </c>
      <c r="D4128">
        <v>2</v>
      </c>
      <c r="E4128">
        <v>31</v>
      </c>
      <c r="F4128">
        <v>2.9E-4</v>
      </c>
      <c r="G4128">
        <v>0</v>
      </c>
      <c r="H4128" t="str">
        <f t="shared" si="192"/>
        <v>30-39</v>
      </c>
      <c r="I4128" t="str">
        <f t="shared" si="193"/>
        <v>0-9</v>
      </c>
      <c r="J4128">
        <f t="shared" si="194"/>
        <v>2.9E-4</v>
      </c>
    </row>
    <row r="4129" spans="1:10">
      <c r="A4129" t="s">
        <v>4211</v>
      </c>
      <c r="B4129">
        <v>27</v>
      </c>
      <c r="C4129" t="s">
        <v>9</v>
      </c>
      <c r="D4129">
        <v>22</v>
      </c>
      <c r="E4129">
        <v>48</v>
      </c>
      <c r="F4129">
        <v>2.2699999999999999E-3</v>
      </c>
      <c r="G4129">
        <v>0</v>
      </c>
      <c r="H4129" t="str">
        <f t="shared" si="192"/>
        <v>40-49</v>
      </c>
      <c r="I4129" t="str">
        <f t="shared" si="193"/>
        <v>20-29</v>
      </c>
      <c r="J4129">
        <f t="shared" si="194"/>
        <v>2.2699999999999999E-3</v>
      </c>
    </row>
    <row r="4130" spans="1:10">
      <c r="A4130" t="s">
        <v>4212</v>
      </c>
      <c r="B4130">
        <v>32</v>
      </c>
      <c r="C4130" t="s">
        <v>9</v>
      </c>
      <c r="D4130">
        <v>16</v>
      </c>
      <c r="E4130">
        <v>47</v>
      </c>
      <c r="F4130">
        <v>1.91E-3</v>
      </c>
      <c r="G4130">
        <v>0</v>
      </c>
      <c r="H4130" t="str">
        <f t="shared" si="192"/>
        <v>40-49</v>
      </c>
      <c r="I4130" t="str">
        <f t="shared" si="193"/>
        <v>10-19</v>
      </c>
      <c r="J4130">
        <f t="shared" si="194"/>
        <v>1.91E-3</v>
      </c>
    </row>
    <row r="4131" spans="1:10">
      <c r="A4131" t="s">
        <v>4213</v>
      </c>
      <c r="B4131">
        <v>61</v>
      </c>
      <c r="C4131" t="s">
        <v>9</v>
      </c>
      <c r="D4131">
        <v>29</v>
      </c>
      <c r="E4131">
        <v>89</v>
      </c>
      <c r="F4131">
        <v>0.10347000000000001</v>
      </c>
      <c r="G4131">
        <v>0</v>
      </c>
      <c r="H4131" t="str">
        <f t="shared" si="192"/>
        <v>80-89</v>
      </c>
      <c r="I4131" t="str">
        <f t="shared" si="193"/>
        <v>20-29</v>
      </c>
      <c r="J4131">
        <f t="shared" si="194"/>
        <v>0.10347000000000001</v>
      </c>
    </row>
    <row r="4132" spans="1:10">
      <c r="A4132" t="s">
        <v>4214</v>
      </c>
      <c r="B4132">
        <v>39</v>
      </c>
      <c r="C4132" t="s">
        <v>9</v>
      </c>
      <c r="D4132">
        <v>6</v>
      </c>
      <c r="E4132">
        <v>44</v>
      </c>
      <c r="F4132">
        <v>1.06E-3</v>
      </c>
      <c r="G4132">
        <v>0</v>
      </c>
      <c r="H4132" t="str">
        <f t="shared" si="192"/>
        <v>40-49</v>
      </c>
      <c r="I4132" t="str">
        <f t="shared" si="193"/>
        <v>0-9</v>
      </c>
      <c r="J4132">
        <f t="shared" si="194"/>
        <v>1.06E-3</v>
      </c>
    </row>
    <row r="4133" spans="1:10">
      <c r="A4133" t="s">
        <v>4215</v>
      </c>
      <c r="B4133">
        <v>57</v>
      </c>
      <c r="C4133" t="s">
        <v>9</v>
      </c>
      <c r="D4133">
        <v>28</v>
      </c>
      <c r="E4133">
        <v>84</v>
      </c>
      <c r="F4133">
        <v>6.3329999999999997E-2</v>
      </c>
      <c r="G4133">
        <v>0</v>
      </c>
      <c r="H4133" t="str">
        <f t="shared" si="192"/>
        <v>80-89</v>
      </c>
      <c r="I4133" t="str">
        <f t="shared" si="193"/>
        <v>20-29</v>
      </c>
      <c r="J4133">
        <f t="shared" si="194"/>
        <v>6.3329999999999997E-2</v>
      </c>
    </row>
    <row r="4134" spans="1:10">
      <c r="A4134" t="s">
        <v>4216</v>
      </c>
      <c r="B4134">
        <v>64</v>
      </c>
      <c r="C4134" t="s">
        <v>9</v>
      </c>
      <c r="D4134">
        <v>30</v>
      </c>
      <c r="E4134">
        <v>93</v>
      </c>
      <c r="F4134">
        <v>0.14893999999999999</v>
      </c>
      <c r="G4134">
        <v>0</v>
      </c>
      <c r="H4134" t="str">
        <f t="shared" si="192"/>
        <v>90-99</v>
      </c>
      <c r="I4134" t="str">
        <f t="shared" si="193"/>
        <v>30-39</v>
      </c>
      <c r="J4134">
        <f t="shared" si="194"/>
        <v>0.14893999999999999</v>
      </c>
    </row>
    <row r="4135" spans="1:10">
      <c r="A4135" t="s">
        <v>4217</v>
      </c>
      <c r="B4135">
        <v>28</v>
      </c>
      <c r="C4135" t="s">
        <v>7</v>
      </c>
      <c r="D4135">
        <v>24</v>
      </c>
      <c r="E4135">
        <v>51</v>
      </c>
      <c r="F4135">
        <v>2.1900000000000001E-3</v>
      </c>
      <c r="G4135">
        <v>0</v>
      </c>
      <c r="H4135" t="str">
        <f t="shared" si="192"/>
        <v>50-59</v>
      </c>
      <c r="I4135" t="str">
        <f t="shared" si="193"/>
        <v>20-29</v>
      </c>
      <c r="J4135">
        <f t="shared" si="194"/>
        <v>2.1900000000000001E-3</v>
      </c>
    </row>
    <row r="4136" spans="1:10">
      <c r="A4136" t="s">
        <v>4218</v>
      </c>
      <c r="B4136">
        <v>21</v>
      </c>
      <c r="C4136" t="s">
        <v>9</v>
      </c>
      <c r="D4136">
        <v>15</v>
      </c>
      <c r="E4136">
        <v>35</v>
      </c>
      <c r="F4136">
        <v>9.3000000000000005E-4</v>
      </c>
      <c r="G4136">
        <v>0</v>
      </c>
      <c r="H4136" t="str">
        <f t="shared" si="192"/>
        <v>30-39</v>
      </c>
      <c r="I4136" t="str">
        <f t="shared" si="193"/>
        <v>10-19</v>
      </c>
      <c r="J4136">
        <f t="shared" si="194"/>
        <v>9.3000000000000005E-4</v>
      </c>
    </row>
    <row r="4137" spans="1:10">
      <c r="A4137" t="s">
        <v>4219</v>
      </c>
      <c r="B4137">
        <v>47</v>
      </c>
      <c r="C4137" t="s">
        <v>7</v>
      </c>
      <c r="D4137">
        <v>1</v>
      </c>
      <c r="E4137">
        <v>47</v>
      </c>
      <c r="F4137">
        <v>3.6000000000000002E-4</v>
      </c>
      <c r="G4137">
        <v>0</v>
      </c>
      <c r="H4137" t="str">
        <f t="shared" si="192"/>
        <v>40-49</v>
      </c>
      <c r="I4137" t="str">
        <f t="shared" si="193"/>
        <v>0-9</v>
      </c>
      <c r="J4137">
        <f t="shared" si="194"/>
        <v>3.6000000000000002E-4</v>
      </c>
    </row>
    <row r="4138" spans="1:10">
      <c r="A4138" t="s">
        <v>4220</v>
      </c>
      <c r="B4138">
        <v>43</v>
      </c>
      <c r="C4138" t="s">
        <v>7</v>
      </c>
      <c r="D4138">
        <v>21</v>
      </c>
      <c r="E4138">
        <v>63</v>
      </c>
      <c r="F4138">
        <v>6.7200000000000003E-3</v>
      </c>
      <c r="G4138">
        <v>0</v>
      </c>
      <c r="H4138" t="str">
        <f t="shared" si="192"/>
        <v>60-69</v>
      </c>
      <c r="I4138" t="str">
        <f t="shared" si="193"/>
        <v>20-29</v>
      </c>
      <c r="J4138">
        <f t="shared" si="194"/>
        <v>6.7200000000000003E-3</v>
      </c>
    </row>
    <row r="4139" spans="1:10">
      <c r="A4139" t="s">
        <v>4221</v>
      </c>
      <c r="B4139">
        <v>22</v>
      </c>
      <c r="C4139" t="s">
        <v>9</v>
      </c>
      <c r="D4139">
        <v>9</v>
      </c>
      <c r="E4139">
        <v>30</v>
      </c>
      <c r="F4139">
        <v>5.9000000000000003E-4</v>
      </c>
      <c r="G4139">
        <v>0</v>
      </c>
      <c r="H4139" t="str">
        <f t="shared" si="192"/>
        <v>30-39</v>
      </c>
      <c r="I4139" t="str">
        <f t="shared" si="193"/>
        <v>0-9</v>
      </c>
      <c r="J4139">
        <f t="shared" si="194"/>
        <v>5.9000000000000003E-4</v>
      </c>
    </row>
    <row r="4140" spans="1:10">
      <c r="A4140" t="s">
        <v>4222</v>
      </c>
      <c r="B4140">
        <v>24</v>
      </c>
      <c r="C4140" t="s">
        <v>9</v>
      </c>
      <c r="D4140">
        <v>3</v>
      </c>
      <c r="E4140">
        <v>26</v>
      </c>
      <c r="F4140">
        <v>4.4999999999999999E-4</v>
      </c>
      <c r="G4140">
        <v>0</v>
      </c>
      <c r="H4140" t="str">
        <f t="shared" si="192"/>
        <v>20-29</v>
      </c>
      <c r="I4140" t="str">
        <f t="shared" si="193"/>
        <v>0-9</v>
      </c>
      <c r="J4140">
        <f t="shared" si="194"/>
        <v>4.4999999999999999E-4</v>
      </c>
    </row>
    <row r="4141" spans="1:10">
      <c r="A4141" t="s">
        <v>4223</v>
      </c>
      <c r="B4141">
        <v>62</v>
      </c>
      <c r="C4141" t="s">
        <v>9</v>
      </c>
      <c r="D4141">
        <v>12</v>
      </c>
      <c r="E4141">
        <v>73</v>
      </c>
      <c r="F4141">
        <v>2.103E-2</v>
      </c>
      <c r="G4141">
        <v>0</v>
      </c>
      <c r="H4141" t="str">
        <f t="shared" si="192"/>
        <v>70-79</v>
      </c>
      <c r="I4141" t="str">
        <f t="shared" si="193"/>
        <v>10-19</v>
      </c>
      <c r="J4141">
        <f t="shared" si="194"/>
        <v>2.103E-2</v>
      </c>
    </row>
    <row r="4142" spans="1:10">
      <c r="A4142" t="s">
        <v>4224</v>
      </c>
      <c r="B4142">
        <v>35</v>
      </c>
      <c r="C4142" t="s">
        <v>7</v>
      </c>
      <c r="D4142">
        <v>30</v>
      </c>
      <c r="E4142">
        <v>64</v>
      </c>
      <c r="F4142">
        <v>4.9300000000000004E-3</v>
      </c>
      <c r="G4142">
        <v>0</v>
      </c>
      <c r="H4142" t="str">
        <f t="shared" si="192"/>
        <v>60-69</v>
      </c>
      <c r="I4142" t="str">
        <f t="shared" si="193"/>
        <v>30-39</v>
      </c>
      <c r="J4142">
        <f t="shared" si="194"/>
        <v>4.9300000000000004E-3</v>
      </c>
    </row>
    <row r="4143" spans="1:10">
      <c r="A4143" t="s">
        <v>4225</v>
      </c>
      <c r="B4143">
        <v>21</v>
      </c>
      <c r="C4143" t="s">
        <v>9</v>
      </c>
      <c r="D4143">
        <v>6</v>
      </c>
      <c r="E4143">
        <v>26</v>
      </c>
      <c r="F4143">
        <v>6.8000000000000005E-4</v>
      </c>
      <c r="G4143">
        <v>0</v>
      </c>
      <c r="H4143" t="str">
        <f t="shared" si="192"/>
        <v>20-29</v>
      </c>
      <c r="I4143" t="str">
        <f t="shared" si="193"/>
        <v>0-9</v>
      </c>
      <c r="J4143">
        <f t="shared" si="194"/>
        <v>6.8000000000000005E-4</v>
      </c>
    </row>
    <row r="4144" spans="1:10">
      <c r="A4144" t="s">
        <v>4226</v>
      </c>
      <c r="B4144">
        <v>32</v>
      </c>
      <c r="C4144" t="s">
        <v>7</v>
      </c>
      <c r="D4144">
        <v>15</v>
      </c>
      <c r="E4144">
        <v>46</v>
      </c>
      <c r="F4144">
        <v>1.2600000000000001E-3</v>
      </c>
      <c r="G4144">
        <v>0</v>
      </c>
      <c r="H4144" t="str">
        <f t="shared" si="192"/>
        <v>40-49</v>
      </c>
      <c r="I4144" t="str">
        <f t="shared" si="193"/>
        <v>10-19</v>
      </c>
      <c r="J4144">
        <f t="shared" si="194"/>
        <v>1.2600000000000001E-3</v>
      </c>
    </row>
    <row r="4145" spans="1:10">
      <c r="A4145" t="s">
        <v>4227</v>
      </c>
      <c r="B4145">
        <v>55</v>
      </c>
      <c r="C4145" t="s">
        <v>9</v>
      </c>
      <c r="D4145">
        <v>9</v>
      </c>
      <c r="E4145">
        <v>63</v>
      </c>
      <c r="F4145">
        <v>7.9900000000000006E-3</v>
      </c>
      <c r="G4145">
        <v>0</v>
      </c>
      <c r="H4145" t="str">
        <f t="shared" si="192"/>
        <v>60-69</v>
      </c>
      <c r="I4145" t="str">
        <f t="shared" si="193"/>
        <v>0-9</v>
      </c>
      <c r="J4145">
        <f t="shared" si="194"/>
        <v>7.9900000000000006E-3</v>
      </c>
    </row>
    <row r="4146" spans="1:10">
      <c r="A4146" t="s">
        <v>4228</v>
      </c>
      <c r="B4146">
        <v>62</v>
      </c>
      <c r="C4146" t="s">
        <v>7</v>
      </c>
      <c r="D4146">
        <v>6</v>
      </c>
      <c r="E4146">
        <v>67</v>
      </c>
      <c r="F4146">
        <v>6.43E-3</v>
      </c>
      <c r="G4146">
        <v>0</v>
      </c>
      <c r="H4146" t="str">
        <f t="shared" si="192"/>
        <v>60-69</v>
      </c>
      <c r="I4146" t="str">
        <f t="shared" si="193"/>
        <v>0-9</v>
      </c>
      <c r="J4146">
        <f t="shared" si="194"/>
        <v>6.43E-3</v>
      </c>
    </row>
    <row r="4147" spans="1:10">
      <c r="A4147" t="s">
        <v>4229</v>
      </c>
      <c r="B4147">
        <v>22</v>
      </c>
      <c r="C4147" t="s">
        <v>9</v>
      </c>
      <c r="D4147">
        <v>8</v>
      </c>
      <c r="E4147">
        <v>29</v>
      </c>
      <c r="F4147">
        <v>5.9000000000000003E-4</v>
      </c>
      <c r="G4147">
        <v>0</v>
      </c>
      <c r="H4147" t="str">
        <f t="shared" si="192"/>
        <v>20-29</v>
      </c>
      <c r="I4147" t="str">
        <f t="shared" si="193"/>
        <v>0-9</v>
      </c>
      <c r="J4147">
        <f t="shared" si="194"/>
        <v>5.9000000000000003E-4</v>
      </c>
    </row>
    <row r="4148" spans="1:10">
      <c r="A4148" t="s">
        <v>4230</v>
      </c>
      <c r="B4148">
        <v>64</v>
      </c>
      <c r="C4148" t="s">
        <v>9</v>
      </c>
      <c r="D4148">
        <v>13</v>
      </c>
      <c r="E4148">
        <v>76</v>
      </c>
      <c r="F4148">
        <v>2.7050000000000001E-2</v>
      </c>
      <c r="G4148">
        <v>0</v>
      </c>
      <c r="H4148" t="str">
        <f t="shared" si="192"/>
        <v>70-79</v>
      </c>
      <c r="I4148" t="str">
        <f t="shared" si="193"/>
        <v>10-19</v>
      </c>
      <c r="J4148">
        <f t="shared" si="194"/>
        <v>2.7050000000000001E-2</v>
      </c>
    </row>
    <row r="4149" spans="1:10">
      <c r="A4149" t="s">
        <v>4231</v>
      </c>
      <c r="B4149">
        <v>20</v>
      </c>
      <c r="C4149" t="s">
        <v>7</v>
      </c>
      <c r="D4149">
        <v>4</v>
      </c>
      <c r="E4149">
        <v>23</v>
      </c>
      <c r="F4149">
        <v>2.9999999999999997E-4</v>
      </c>
      <c r="G4149">
        <v>0</v>
      </c>
      <c r="H4149" t="str">
        <f t="shared" si="192"/>
        <v>20-29</v>
      </c>
      <c r="I4149" t="str">
        <f t="shared" si="193"/>
        <v>0-9</v>
      </c>
      <c r="J4149">
        <f t="shared" si="194"/>
        <v>2.9999999999999997E-4</v>
      </c>
    </row>
    <row r="4150" spans="1:10">
      <c r="A4150" t="s">
        <v>4232</v>
      </c>
      <c r="B4150">
        <v>53</v>
      </c>
      <c r="C4150" t="s">
        <v>9</v>
      </c>
      <c r="D4150">
        <v>1</v>
      </c>
      <c r="E4150">
        <v>53</v>
      </c>
      <c r="F4150">
        <v>9.5E-4</v>
      </c>
      <c r="G4150">
        <v>0</v>
      </c>
      <c r="H4150" t="str">
        <f t="shared" si="192"/>
        <v>50-59</v>
      </c>
      <c r="I4150" t="str">
        <f t="shared" si="193"/>
        <v>0-9</v>
      </c>
      <c r="J4150">
        <f t="shared" si="194"/>
        <v>9.5E-4</v>
      </c>
    </row>
    <row r="4151" spans="1:10">
      <c r="A4151" t="s">
        <v>4233</v>
      </c>
      <c r="B4151">
        <v>40</v>
      </c>
      <c r="C4151" t="s">
        <v>9</v>
      </c>
      <c r="D4151">
        <v>30</v>
      </c>
      <c r="E4151">
        <v>69</v>
      </c>
      <c r="F4151">
        <v>1.064E-2</v>
      </c>
      <c r="G4151">
        <v>0</v>
      </c>
      <c r="H4151" t="str">
        <f t="shared" si="192"/>
        <v>60-69</v>
      </c>
      <c r="I4151" t="str">
        <f t="shared" si="193"/>
        <v>30-39</v>
      </c>
      <c r="J4151">
        <f t="shared" si="194"/>
        <v>1.064E-2</v>
      </c>
    </row>
    <row r="4152" spans="1:10">
      <c r="A4152" t="s">
        <v>4234</v>
      </c>
      <c r="B4152">
        <v>33</v>
      </c>
      <c r="C4152" t="s">
        <v>7</v>
      </c>
      <c r="D4152">
        <v>7</v>
      </c>
      <c r="E4152">
        <v>39</v>
      </c>
      <c r="F4152">
        <v>5.8E-4</v>
      </c>
      <c r="G4152">
        <v>0</v>
      </c>
      <c r="H4152" t="str">
        <f t="shared" si="192"/>
        <v>30-39</v>
      </c>
      <c r="I4152" t="str">
        <f t="shared" si="193"/>
        <v>0-9</v>
      </c>
      <c r="J4152">
        <f t="shared" si="194"/>
        <v>5.8E-4</v>
      </c>
    </row>
    <row r="4153" spans="1:10">
      <c r="A4153" t="s">
        <v>4235</v>
      </c>
      <c r="B4153">
        <v>33</v>
      </c>
      <c r="C4153" t="s">
        <v>9</v>
      </c>
      <c r="D4153">
        <v>4</v>
      </c>
      <c r="E4153">
        <v>36</v>
      </c>
      <c r="F4153">
        <v>5.1999999999999995E-4</v>
      </c>
      <c r="G4153">
        <v>0</v>
      </c>
      <c r="H4153" t="str">
        <f t="shared" si="192"/>
        <v>30-39</v>
      </c>
      <c r="I4153" t="str">
        <f t="shared" si="193"/>
        <v>0-9</v>
      </c>
      <c r="J4153">
        <f t="shared" si="194"/>
        <v>5.1999999999999995E-4</v>
      </c>
    </row>
    <row r="4154" spans="1:10">
      <c r="A4154" t="s">
        <v>4236</v>
      </c>
      <c r="B4154">
        <v>60</v>
      </c>
      <c r="C4154" t="s">
        <v>7</v>
      </c>
      <c r="D4154">
        <v>18</v>
      </c>
      <c r="E4154">
        <v>77</v>
      </c>
      <c r="F4154">
        <v>2.649E-2</v>
      </c>
      <c r="G4154">
        <v>0</v>
      </c>
      <c r="H4154" t="str">
        <f t="shared" si="192"/>
        <v>70-79</v>
      </c>
      <c r="I4154" t="str">
        <f t="shared" si="193"/>
        <v>10-19</v>
      </c>
      <c r="J4154">
        <f t="shared" si="194"/>
        <v>2.649E-2</v>
      </c>
    </row>
    <row r="4155" spans="1:10">
      <c r="A4155" t="s">
        <v>4237</v>
      </c>
      <c r="B4155">
        <v>62</v>
      </c>
      <c r="C4155" t="s">
        <v>7</v>
      </c>
      <c r="D4155">
        <v>5</v>
      </c>
      <c r="E4155">
        <v>66</v>
      </c>
      <c r="F4155">
        <v>5.8500000000000002E-3</v>
      </c>
      <c r="G4155">
        <v>0</v>
      </c>
      <c r="H4155" t="str">
        <f t="shared" si="192"/>
        <v>60-69</v>
      </c>
      <c r="I4155" t="str">
        <f t="shared" si="193"/>
        <v>0-9</v>
      </c>
      <c r="J4155">
        <f t="shared" si="194"/>
        <v>5.8500000000000002E-3</v>
      </c>
    </row>
    <row r="4156" spans="1:10">
      <c r="A4156" t="s">
        <v>4238</v>
      </c>
      <c r="B4156">
        <v>24</v>
      </c>
      <c r="C4156" t="s">
        <v>7</v>
      </c>
      <c r="D4156">
        <v>16</v>
      </c>
      <c r="E4156">
        <v>39</v>
      </c>
      <c r="F4156">
        <v>9.2000000000000003E-4</v>
      </c>
      <c r="G4156">
        <v>0</v>
      </c>
      <c r="H4156" t="str">
        <f t="shared" si="192"/>
        <v>30-39</v>
      </c>
      <c r="I4156" t="str">
        <f t="shared" si="193"/>
        <v>10-19</v>
      </c>
      <c r="J4156">
        <f t="shared" si="194"/>
        <v>9.2000000000000003E-4</v>
      </c>
    </row>
    <row r="4157" spans="1:10">
      <c r="A4157" t="s">
        <v>4239</v>
      </c>
      <c r="B4157">
        <v>56</v>
      </c>
      <c r="C4157" t="s">
        <v>9</v>
      </c>
      <c r="D4157">
        <v>6</v>
      </c>
      <c r="E4157">
        <v>61</v>
      </c>
      <c r="F4157">
        <v>5.5900000000000004E-3</v>
      </c>
      <c r="G4157">
        <v>0</v>
      </c>
      <c r="H4157" t="str">
        <f t="shared" si="192"/>
        <v>60-69</v>
      </c>
      <c r="I4157" t="str">
        <f t="shared" si="193"/>
        <v>0-9</v>
      </c>
      <c r="J4157">
        <f t="shared" si="194"/>
        <v>5.5900000000000004E-3</v>
      </c>
    </row>
    <row r="4158" spans="1:10">
      <c r="A4158" t="s">
        <v>4240</v>
      </c>
      <c r="B4158">
        <v>60</v>
      </c>
      <c r="C4158" t="s">
        <v>7</v>
      </c>
      <c r="D4158">
        <v>12</v>
      </c>
      <c r="E4158">
        <v>71</v>
      </c>
      <c r="F4158">
        <v>1.11E-2</v>
      </c>
      <c r="G4158">
        <v>0</v>
      </c>
      <c r="H4158" t="str">
        <f t="shared" si="192"/>
        <v>70-79</v>
      </c>
      <c r="I4158" t="str">
        <f t="shared" si="193"/>
        <v>10-19</v>
      </c>
      <c r="J4158">
        <f t="shared" si="194"/>
        <v>1.11E-2</v>
      </c>
    </row>
    <row r="4159" spans="1:10">
      <c r="A4159" t="s">
        <v>4241</v>
      </c>
      <c r="B4159">
        <v>46</v>
      </c>
      <c r="C4159" t="s">
        <v>7</v>
      </c>
      <c r="D4159">
        <v>2</v>
      </c>
      <c r="E4159">
        <v>47</v>
      </c>
      <c r="F4159">
        <v>4.6000000000000001E-4</v>
      </c>
      <c r="G4159">
        <v>0</v>
      </c>
      <c r="H4159" t="str">
        <f t="shared" si="192"/>
        <v>40-49</v>
      </c>
      <c r="I4159" t="str">
        <f t="shared" si="193"/>
        <v>0-9</v>
      </c>
      <c r="J4159">
        <f t="shared" si="194"/>
        <v>4.6000000000000001E-4</v>
      </c>
    </row>
    <row r="4160" spans="1:10">
      <c r="A4160" t="s">
        <v>4242</v>
      </c>
      <c r="B4160">
        <v>40</v>
      </c>
      <c r="C4160" t="s">
        <v>9</v>
      </c>
      <c r="D4160">
        <v>25</v>
      </c>
      <c r="E4160">
        <v>64</v>
      </c>
      <c r="F4160">
        <v>9.5899999999999996E-3</v>
      </c>
      <c r="G4160">
        <v>0</v>
      </c>
      <c r="H4160" t="str">
        <f t="shared" si="192"/>
        <v>60-69</v>
      </c>
      <c r="I4160" t="str">
        <f t="shared" si="193"/>
        <v>20-29</v>
      </c>
      <c r="J4160">
        <f t="shared" si="194"/>
        <v>9.5899999999999996E-3</v>
      </c>
    </row>
    <row r="4161" spans="1:10">
      <c r="A4161" t="s">
        <v>4243</v>
      </c>
      <c r="B4161">
        <v>43</v>
      </c>
      <c r="C4161" t="s">
        <v>9</v>
      </c>
      <c r="D4161">
        <v>13</v>
      </c>
      <c r="E4161">
        <v>55</v>
      </c>
      <c r="F4161">
        <v>3.5400000000000002E-3</v>
      </c>
      <c r="G4161">
        <v>0</v>
      </c>
      <c r="H4161" t="str">
        <f t="shared" si="192"/>
        <v>50-59</v>
      </c>
      <c r="I4161" t="str">
        <f t="shared" si="193"/>
        <v>10-19</v>
      </c>
      <c r="J4161">
        <f t="shared" si="194"/>
        <v>3.5400000000000002E-3</v>
      </c>
    </row>
    <row r="4162" spans="1:10">
      <c r="A4162" t="s">
        <v>4244</v>
      </c>
      <c r="B4162">
        <v>34</v>
      </c>
      <c r="C4162" t="s">
        <v>7</v>
      </c>
      <c r="D4162">
        <v>24</v>
      </c>
      <c r="E4162">
        <v>57</v>
      </c>
      <c r="F4162">
        <v>3.6900000000000001E-3</v>
      </c>
      <c r="G4162">
        <v>0</v>
      </c>
      <c r="H4162" t="str">
        <f t="shared" si="192"/>
        <v>50-59</v>
      </c>
      <c r="I4162" t="str">
        <f t="shared" si="193"/>
        <v>20-29</v>
      </c>
      <c r="J4162">
        <f t="shared" si="194"/>
        <v>3.6900000000000001E-3</v>
      </c>
    </row>
    <row r="4163" spans="1:10">
      <c r="A4163" t="s">
        <v>4245</v>
      </c>
      <c r="B4163">
        <v>52</v>
      </c>
      <c r="C4163" t="s">
        <v>9</v>
      </c>
      <c r="D4163">
        <v>29</v>
      </c>
      <c r="E4163">
        <v>80</v>
      </c>
      <c r="F4163">
        <v>3.7220000000000003E-2</v>
      </c>
      <c r="G4163">
        <v>0</v>
      </c>
      <c r="H4163" t="str">
        <f t="shared" ref="H4163:H4226" si="195">FLOOR(E4163,10) &amp; "-" &amp; FLOOR(E4163,10)+9</f>
        <v>80-89</v>
      </c>
      <c r="I4163" t="str">
        <f t="shared" ref="I4163:I4226" si="196">FLOOR(D4163, 10) &amp; "-"&amp;FLOOR(D4163, 10)+9</f>
        <v>20-29</v>
      </c>
      <c r="J4163">
        <f t="shared" ref="J4163:J4226" si="197">F4163</f>
        <v>3.7220000000000003E-2</v>
      </c>
    </row>
    <row r="4164" spans="1:10">
      <c r="A4164" t="s">
        <v>4246</v>
      </c>
      <c r="B4164">
        <v>60</v>
      </c>
      <c r="C4164" t="s">
        <v>9</v>
      </c>
      <c r="D4164">
        <v>6</v>
      </c>
      <c r="E4164">
        <v>65</v>
      </c>
      <c r="F4164">
        <v>8.1399999999999997E-3</v>
      </c>
      <c r="G4164">
        <v>0</v>
      </c>
      <c r="H4164" t="str">
        <f t="shared" si="195"/>
        <v>60-69</v>
      </c>
      <c r="I4164" t="str">
        <f t="shared" si="196"/>
        <v>0-9</v>
      </c>
      <c r="J4164">
        <f t="shared" si="197"/>
        <v>8.1399999999999997E-3</v>
      </c>
    </row>
    <row r="4165" spans="1:10">
      <c r="A4165" t="s">
        <v>4247</v>
      </c>
      <c r="B4165">
        <v>51</v>
      </c>
      <c r="C4165" t="s">
        <v>9</v>
      </c>
      <c r="D4165">
        <v>25</v>
      </c>
      <c r="E4165">
        <v>75</v>
      </c>
      <c r="F4165">
        <v>3.006E-2</v>
      </c>
      <c r="G4165">
        <v>0</v>
      </c>
      <c r="H4165" t="str">
        <f t="shared" si="195"/>
        <v>70-79</v>
      </c>
      <c r="I4165" t="str">
        <f t="shared" si="196"/>
        <v>20-29</v>
      </c>
      <c r="J4165">
        <f t="shared" si="197"/>
        <v>3.006E-2</v>
      </c>
    </row>
    <row r="4166" spans="1:10">
      <c r="A4166" t="s">
        <v>4248</v>
      </c>
      <c r="B4166">
        <v>46</v>
      </c>
      <c r="C4166" t="s">
        <v>7</v>
      </c>
      <c r="D4166">
        <v>3</v>
      </c>
      <c r="E4166">
        <v>48</v>
      </c>
      <c r="F4166">
        <v>7.5000000000000002E-4</v>
      </c>
      <c r="G4166">
        <v>0</v>
      </c>
      <c r="H4166" t="str">
        <f t="shared" si="195"/>
        <v>40-49</v>
      </c>
      <c r="I4166" t="str">
        <f t="shared" si="196"/>
        <v>0-9</v>
      </c>
      <c r="J4166">
        <f t="shared" si="197"/>
        <v>7.5000000000000002E-4</v>
      </c>
    </row>
    <row r="4167" spans="1:10">
      <c r="A4167" t="s">
        <v>4249</v>
      </c>
      <c r="B4167">
        <v>29</v>
      </c>
      <c r="C4167" t="s">
        <v>7</v>
      </c>
      <c r="D4167">
        <v>25</v>
      </c>
      <c r="E4167">
        <v>53</v>
      </c>
      <c r="F4167">
        <v>2.5899999999999999E-3</v>
      </c>
      <c r="G4167">
        <v>0</v>
      </c>
      <c r="H4167" t="str">
        <f t="shared" si="195"/>
        <v>50-59</v>
      </c>
      <c r="I4167" t="str">
        <f t="shared" si="196"/>
        <v>20-29</v>
      </c>
      <c r="J4167">
        <f t="shared" si="197"/>
        <v>2.5899999999999999E-3</v>
      </c>
    </row>
    <row r="4168" spans="1:10">
      <c r="A4168" t="s">
        <v>4250</v>
      </c>
      <c r="B4168">
        <v>45</v>
      </c>
      <c r="C4168" t="s">
        <v>9</v>
      </c>
      <c r="D4168">
        <v>9</v>
      </c>
      <c r="E4168">
        <v>53</v>
      </c>
      <c r="F4168">
        <v>2.63E-3</v>
      </c>
      <c r="G4168">
        <v>0</v>
      </c>
      <c r="H4168" t="str">
        <f t="shared" si="195"/>
        <v>50-59</v>
      </c>
      <c r="I4168" t="str">
        <f t="shared" si="196"/>
        <v>0-9</v>
      </c>
      <c r="J4168">
        <f t="shared" si="197"/>
        <v>2.63E-3</v>
      </c>
    </row>
    <row r="4169" spans="1:10">
      <c r="A4169" t="s">
        <v>4251</v>
      </c>
      <c r="B4169">
        <v>41</v>
      </c>
      <c r="C4169" t="s">
        <v>7</v>
      </c>
      <c r="D4169">
        <v>10</v>
      </c>
      <c r="E4169">
        <v>50</v>
      </c>
      <c r="F4169">
        <v>1.58E-3</v>
      </c>
      <c r="G4169">
        <v>0</v>
      </c>
      <c r="H4169" t="str">
        <f t="shared" si="195"/>
        <v>50-59</v>
      </c>
      <c r="I4169" t="str">
        <f t="shared" si="196"/>
        <v>10-19</v>
      </c>
      <c r="J4169">
        <f t="shared" si="197"/>
        <v>1.58E-3</v>
      </c>
    </row>
    <row r="4170" spans="1:10">
      <c r="A4170" t="s">
        <v>4252</v>
      </c>
      <c r="B4170">
        <v>39</v>
      </c>
      <c r="C4170" t="s">
        <v>7</v>
      </c>
      <c r="D4170">
        <v>28</v>
      </c>
      <c r="E4170">
        <v>66</v>
      </c>
      <c r="F4170">
        <v>7.4700000000000001E-3</v>
      </c>
      <c r="G4170">
        <v>0</v>
      </c>
      <c r="H4170" t="str">
        <f t="shared" si="195"/>
        <v>60-69</v>
      </c>
      <c r="I4170" t="str">
        <f t="shared" si="196"/>
        <v>20-29</v>
      </c>
      <c r="J4170">
        <f t="shared" si="197"/>
        <v>7.4700000000000001E-3</v>
      </c>
    </row>
    <row r="4171" spans="1:10">
      <c r="A4171" t="s">
        <v>4253</v>
      </c>
      <c r="B4171">
        <v>44</v>
      </c>
      <c r="C4171" t="s">
        <v>7</v>
      </c>
      <c r="D4171">
        <v>25</v>
      </c>
      <c r="E4171">
        <v>68</v>
      </c>
      <c r="F4171">
        <v>1.141E-2</v>
      </c>
      <c r="G4171">
        <v>0</v>
      </c>
      <c r="H4171" t="str">
        <f t="shared" si="195"/>
        <v>60-69</v>
      </c>
      <c r="I4171" t="str">
        <f t="shared" si="196"/>
        <v>20-29</v>
      </c>
      <c r="J4171">
        <f t="shared" si="197"/>
        <v>1.141E-2</v>
      </c>
    </row>
    <row r="4172" spans="1:10">
      <c r="A4172" t="s">
        <v>4254</v>
      </c>
      <c r="B4172">
        <v>64</v>
      </c>
      <c r="C4172" t="s">
        <v>7</v>
      </c>
      <c r="D4172">
        <v>18</v>
      </c>
      <c r="E4172">
        <v>81</v>
      </c>
      <c r="F4172">
        <v>4.3799999999999999E-2</v>
      </c>
      <c r="G4172">
        <v>0</v>
      </c>
      <c r="H4172" t="str">
        <f t="shared" si="195"/>
        <v>80-89</v>
      </c>
      <c r="I4172" t="str">
        <f t="shared" si="196"/>
        <v>10-19</v>
      </c>
      <c r="J4172">
        <f t="shared" si="197"/>
        <v>4.3799999999999999E-2</v>
      </c>
    </row>
    <row r="4173" spans="1:10">
      <c r="A4173" t="s">
        <v>4255</v>
      </c>
      <c r="B4173">
        <v>62</v>
      </c>
      <c r="C4173" t="s">
        <v>7</v>
      </c>
      <c r="D4173">
        <v>26</v>
      </c>
      <c r="E4173">
        <v>87</v>
      </c>
      <c r="F4173">
        <v>9.3240000000000003E-2</v>
      </c>
      <c r="G4173">
        <v>0</v>
      </c>
      <c r="H4173" t="str">
        <f t="shared" si="195"/>
        <v>80-89</v>
      </c>
      <c r="I4173" t="str">
        <f t="shared" si="196"/>
        <v>20-29</v>
      </c>
      <c r="J4173">
        <f t="shared" si="197"/>
        <v>9.3240000000000003E-2</v>
      </c>
    </row>
    <row r="4174" spans="1:10">
      <c r="A4174" t="s">
        <v>4256</v>
      </c>
      <c r="B4174">
        <v>25</v>
      </c>
      <c r="C4174" t="s">
        <v>9</v>
      </c>
      <c r="D4174">
        <v>23</v>
      </c>
      <c r="E4174">
        <v>47</v>
      </c>
      <c r="F4174">
        <v>2.2599999999999999E-3</v>
      </c>
      <c r="G4174">
        <v>0</v>
      </c>
      <c r="H4174" t="str">
        <f t="shared" si="195"/>
        <v>40-49</v>
      </c>
      <c r="I4174" t="str">
        <f t="shared" si="196"/>
        <v>20-29</v>
      </c>
      <c r="J4174">
        <f t="shared" si="197"/>
        <v>2.2599999999999999E-3</v>
      </c>
    </row>
    <row r="4175" spans="1:10">
      <c r="A4175" t="s">
        <v>4257</v>
      </c>
      <c r="B4175">
        <v>53</v>
      </c>
      <c r="C4175" t="s">
        <v>7</v>
      </c>
      <c r="D4175">
        <v>20</v>
      </c>
      <c r="E4175">
        <v>72</v>
      </c>
      <c r="F4175">
        <v>1.66E-2</v>
      </c>
      <c r="G4175">
        <v>0</v>
      </c>
      <c r="H4175" t="str">
        <f t="shared" si="195"/>
        <v>70-79</v>
      </c>
      <c r="I4175" t="str">
        <f t="shared" si="196"/>
        <v>20-29</v>
      </c>
      <c r="J4175">
        <f t="shared" si="197"/>
        <v>1.66E-2</v>
      </c>
    </row>
    <row r="4176" spans="1:10">
      <c r="A4176" t="s">
        <v>4258</v>
      </c>
      <c r="B4176">
        <v>37</v>
      </c>
      <c r="C4176" t="s">
        <v>9</v>
      </c>
      <c r="D4176">
        <v>30</v>
      </c>
      <c r="E4176">
        <v>66</v>
      </c>
      <c r="F4176">
        <v>7.79E-3</v>
      </c>
      <c r="G4176">
        <v>0</v>
      </c>
      <c r="H4176" t="str">
        <f t="shared" si="195"/>
        <v>60-69</v>
      </c>
      <c r="I4176" t="str">
        <f t="shared" si="196"/>
        <v>30-39</v>
      </c>
      <c r="J4176">
        <f t="shared" si="197"/>
        <v>7.79E-3</v>
      </c>
    </row>
    <row r="4177" spans="1:10">
      <c r="A4177" t="s">
        <v>4259</v>
      </c>
      <c r="B4177">
        <v>52</v>
      </c>
      <c r="C4177" t="s">
        <v>9</v>
      </c>
      <c r="D4177">
        <v>8</v>
      </c>
      <c r="E4177">
        <v>59</v>
      </c>
      <c r="F4177">
        <v>4.9300000000000004E-3</v>
      </c>
      <c r="G4177">
        <v>0</v>
      </c>
      <c r="H4177" t="str">
        <f t="shared" si="195"/>
        <v>50-59</v>
      </c>
      <c r="I4177" t="str">
        <f t="shared" si="196"/>
        <v>0-9</v>
      </c>
      <c r="J4177">
        <f t="shared" si="197"/>
        <v>4.9300000000000004E-3</v>
      </c>
    </row>
    <row r="4178" spans="1:10">
      <c r="A4178" t="s">
        <v>4260</v>
      </c>
      <c r="B4178">
        <v>35</v>
      </c>
      <c r="C4178" t="s">
        <v>9</v>
      </c>
      <c r="D4178">
        <v>19</v>
      </c>
      <c r="E4178">
        <v>53</v>
      </c>
      <c r="F4178">
        <v>3.2200000000000002E-3</v>
      </c>
      <c r="G4178">
        <v>0</v>
      </c>
      <c r="H4178" t="str">
        <f t="shared" si="195"/>
        <v>50-59</v>
      </c>
      <c r="I4178" t="str">
        <f t="shared" si="196"/>
        <v>10-19</v>
      </c>
      <c r="J4178">
        <f t="shared" si="197"/>
        <v>3.2200000000000002E-3</v>
      </c>
    </row>
    <row r="4179" spans="1:10">
      <c r="A4179" t="s">
        <v>4261</v>
      </c>
      <c r="B4179">
        <v>32</v>
      </c>
      <c r="C4179" t="s">
        <v>9</v>
      </c>
      <c r="D4179">
        <v>27</v>
      </c>
      <c r="E4179">
        <v>58</v>
      </c>
      <c r="F4179">
        <v>4.7800000000000004E-3</v>
      </c>
      <c r="G4179">
        <v>0</v>
      </c>
      <c r="H4179" t="str">
        <f t="shared" si="195"/>
        <v>50-59</v>
      </c>
      <c r="I4179" t="str">
        <f t="shared" si="196"/>
        <v>20-29</v>
      </c>
      <c r="J4179">
        <f t="shared" si="197"/>
        <v>4.7800000000000004E-3</v>
      </c>
    </row>
    <row r="4180" spans="1:10">
      <c r="A4180" t="s">
        <v>4262</v>
      </c>
      <c r="B4180">
        <v>37</v>
      </c>
      <c r="C4180" t="s">
        <v>7</v>
      </c>
      <c r="D4180">
        <v>9</v>
      </c>
      <c r="E4180">
        <v>45</v>
      </c>
      <c r="F4180">
        <v>8.8000000000000003E-4</v>
      </c>
      <c r="G4180">
        <v>0</v>
      </c>
      <c r="H4180" t="str">
        <f t="shared" si="195"/>
        <v>40-49</v>
      </c>
      <c r="I4180" t="str">
        <f t="shared" si="196"/>
        <v>0-9</v>
      </c>
      <c r="J4180">
        <f t="shared" si="197"/>
        <v>8.8000000000000003E-4</v>
      </c>
    </row>
    <row r="4181" spans="1:10">
      <c r="A4181" t="s">
        <v>4263</v>
      </c>
      <c r="B4181">
        <v>32</v>
      </c>
      <c r="C4181" t="s">
        <v>7</v>
      </c>
      <c r="D4181">
        <v>25</v>
      </c>
      <c r="E4181">
        <v>56</v>
      </c>
      <c r="F4181">
        <v>3.3700000000000002E-3</v>
      </c>
      <c r="G4181">
        <v>0</v>
      </c>
      <c r="H4181" t="str">
        <f t="shared" si="195"/>
        <v>50-59</v>
      </c>
      <c r="I4181" t="str">
        <f t="shared" si="196"/>
        <v>20-29</v>
      </c>
      <c r="J4181">
        <f t="shared" si="197"/>
        <v>3.3700000000000002E-3</v>
      </c>
    </row>
    <row r="4182" spans="1:10">
      <c r="A4182" t="s">
        <v>4264</v>
      </c>
      <c r="B4182">
        <v>64</v>
      </c>
      <c r="C4182" t="s">
        <v>9</v>
      </c>
      <c r="D4182">
        <v>10</v>
      </c>
      <c r="E4182">
        <v>73</v>
      </c>
      <c r="F4182">
        <v>1.8110000000000001E-2</v>
      </c>
      <c r="G4182">
        <v>0</v>
      </c>
      <c r="H4182" t="str">
        <f t="shared" si="195"/>
        <v>70-79</v>
      </c>
      <c r="I4182" t="str">
        <f t="shared" si="196"/>
        <v>10-19</v>
      </c>
      <c r="J4182">
        <f t="shared" si="197"/>
        <v>1.8110000000000001E-2</v>
      </c>
    </row>
    <row r="4183" spans="1:10">
      <c r="A4183" t="s">
        <v>4265</v>
      </c>
      <c r="B4183">
        <v>65</v>
      </c>
      <c r="C4183" t="s">
        <v>7</v>
      </c>
      <c r="D4183">
        <v>18</v>
      </c>
      <c r="E4183">
        <v>82</v>
      </c>
      <c r="F4183">
        <v>4.897E-2</v>
      </c>
      <c r="G4183">
        <v>0</v>
      </c>
      <c r="H4183" t="str">
        <f t="shared" si="195"/>
        <v>80-89</v>
      </c>
      <c r="I4183" t="str">
        <f t="shared" si="196"/>
        <v>10-19</v>
      </c>
      <c r="J4183">
        <f t="shared" si="197"/>
        <v>4.897E-2</v>
      </c>
    </row>
    <row r="4184" spans="1:10">
      <c r="A4184" t="s">
        <v>4266</v>
      </c>
      <c r="B4184">
        <v>49</v>
      </c>
      <c r="C4184" t="s">
        <v>7</v>
      </c>
      <c r="D4184">
        <v>19</v>
      </c>
      <c r="E4184">
        <v>67</v>
      </c>
      <c r="F4184">
        <v>1.001E-2</v>
      </c>
      <c r="G4184">
        <v>0</v>
      </c>
      <c r="H4184" t="str">
        <f t="shared" si="195"/>
        <v>60-69</v>
      </c>
      <c r="I4184" t="str">
        <f t="shared" si="196"/>
        <v>10-19</v>
      </c>
      <c r="J4184">
        <f t="shared" si="197"/>
        <v>1.001E-2</v>
      </c>
    </row>
    <row r="4185" spans="1:10">
      <c r="A4185" t="s">
        <v>4267</v>
      </c>
      <c r="B4185">
        <v>38</v>
      </c>
      <c r="C4185" t="s">
        <v>9</v>
      </c>
      <c r="D4185">
        <v>21</v>
      </c>
      <c r="E4185">
        <v>58</v>
      </c>
      <c r="F4185">
        <v>5.2199999999999998E-3</v>
      </c>
      <c r="G4185">
        <v>0</v>
      </c>
      <c r="H4185" t="str">
        <f t="shared" si="195"/>
        <v>50-59</v>
      </c>
      <c r="I4185" t="str">
        <f t="shared" si="196"/>
        <v>20-29</v>
      </c>
      <c r="J4185">
        <f t="shared" si="197"/>
        <v>5.2199999999999998E-3</v>
      </c>
    </row>
    <row r="4186" spans="1:10">
      <c r="A4186" t="s">
        <v>4268</v>
      </c>
      <c r="B4186">
        <v>60</v>
      </c>
      <c r="C4186" t="s">
        <v>9</v>
      </c>
      <c r="D4186">
        <v>27</v>
      </c>
      <c r="E4186">
        <v>86</v>
      </c>
      <c r="F4186">
        <v>9.1270000000000004E-2</v>
      </c>
      <c r="G4186">
        <v>0</v>
      </c>
      <c r="H4186" t="str">
        <f t="shared" si="195"/>
        <v>80-89</v>
      </c>
      <c r="I4186" t="str">
        <f t="shared" si="196"/>
        <v>20-29</v>
      </c>
      <c r="J4186">
        <f t="shared" si="197"/>
        <v>9.1270000000000004E-2</v>
      </c>
    </row>
    <row r="4187" spans="1:10">
      <c r="A4187" t="s">
        <v>4269</v>
      </c>
      <c r="B4187">
        <v>51</v>
      </c>
      <c r="C4187" t="s">
        <v>9</v>
      </c>
      <c r="D4187">
        <v>12</v>
      </c>
      <c r="E4187">
        <v>62</v>
      </c>
      <c r="F4187">
        <v>7.2700000000000004E-3</v>
      </c>
      <c r="G4187">
        <v>0</v>
      </c>
      <c r="H4187" t="str">
        <f t="shared" si="195"/>
        <v>60-69</v>
      </c>
      <c r="I4187" t="str">
        <f t="shared" si="196"/>
        <v>10-19</v>
      </c>
      <c r="J4187">
        <f t="shared" si="197"/>
        <v>7.2700000000000004E-3</v>
      </c>
    </row>
    <row r="4188" spans="1:10">
      <c r="A4188" t="s">
        <v>4270</v>
      </c>
      <c r="B4188">
        <v>37</v>
      </c>
      <c r="C4188" t="s">
        <v>7</v>
      </c>
      <c r="D4188">
        <v>30</v>
      </c>
      <c r="E4188">
        <v>66</v>
      </c>
      <c r="F4188">
        <v>6.0499999999999998E-3</v>
      </c>
      <c r="G4188">
        <v>0</v>
      </c>
      <c r="H4188" t="str">
        <f t="shared" si="195"/>
        <v>60-69</v>
      </c>
      <c r="I4188" t="str">
        <f t="shared" si="196"/>
        <v>30-39</v>
      </c>
      <c r="J4188">
        <f t="shared" si="197"/>
        <v>6.0499999999999998E-3</v>
      </c>
    </row>
    <row r="4189" spans="1:10">
      <c r="A4189" t="s">
        <v>4271</v>
      </c>
      <c r="B4189">
        <v>29</v>
      </c>
      <c r="C4189" t="s">
        <v>7</v>
      </c>
      <c r="D4189">
        <v>9</v>
      </c>
      <c r="E4189">
        <v>37</v>
      </c>
      <c r="F4189">
        <v>5.5999999999999995E-4</v>
      </c>
      <c r="G4189">
        <v>0</v>
      </c>
      <c r="H4189" t="str">
        <f t="shared" si="195"/>
        <v>30-39</v>
      </c>
      <c r="I4189" t="str">
        <f t="shared" si="196"/>
        <v>0-9</v>
      </c>
      <c r="J4189">
        <f t="shared" si="197"/>
        <v>5.5999999999999995E-4</v>
      </c>
    </row>
    <row r="4190" spans="1:10">
      <c r="A4190" t="s">
        <v>4272</v>
      </c>
      <c r="B4190">
        <v>44</v>
      </c>
      <c r="C4190" t="s">
        <v>7</v>
      </c>
      <c r="D4190">
        <v>27</v>
      </c>
      <c r="E4190">
        <v>70</v>
      </c>
      <c r="F4190">
        <v>1.2659999999999999E-2</v>
      </c>
      <c r="G4190">
        <v>0</v>
      </c>
      <c r="H4190" t="str">
        <f t="shared" si="195"/>
        <v>70-79</v>
      </c>
      <c r="I4190" t="str">
        <f t="shared" si="196"/>
        <v>20-29</v>
      </c>
      <c r="J4190">
        <f t="shared" si="197"/>
        <v>1.2659999999999999E-2</v>
      </c>
    </row>
    <row r="4191" spans="1:10">
      <c r="A4191" t="s">
        <v>4273</v>
      </c>
      <c r="B4191">
        <v>24</v>
      </c>
      <c r="C4191" t="s">
        <v>7</v>
      </c>
      <c r="D4191">
        <v>7</v>
      </c>
      <c r="E4191">
        <v>30</v>
      </c>
      <c r="F4191">
        <v>3.1E-4</v>
      </c>
      <c r="G4191">
        <v>0</v>
      </c>
      <c r="H4191" t="str">
        <f t="shared" si="195"/>
        <v>30-39</v>
      </c>
      <c r="I4191" t="str">
        <f t="shared" si="196"/>
        <v>0-9</v>
      </c>
      <c r="J4191">
        <f t="shared" si="197"/>
        <v>3.1E-4</v>
      </c>
    </row>
    <row r="4192" spans="1:10">
      <c r="A4192" t="s">
        <v>4274</v>
      </c>
      <c r="B4192">
        <v>51</v>
      </c>
      <c r="C4192" t="s">
        <v>7</v>
      </c>
      <c r="D4192">
        <v>15</v>
      </c>
      <c r="E4192">
        <v>65</v>
      </c>
      <c r="F4192">
        <v>7.4999999999999997E-3</v>
      </c>
      <c r="G4192">
        <v>0</v>
      </c>
      <c r="H4192" t="str">
        <f t="shared" si="195"/>
        <v>60-69</v>
      </c>
      <c r="I4192" t="str">
        <f t="shared" si="196"/>
        <v>10-19</v>
      </c>
      <c r="J4192">
        <f t="shared" si="197"/>
        <v>7.4999999999999997E-3</v>
      </c>
    </row>
    <row r="4193" spans="1:10">
      <c r="A4193" t="s">
        <v>4275</v>
      </c>
      <c r="B4193">
        <v>37</v>
      </c>
      <c r="C4193" t="s">
        <v>7</v>
      </c>
      <c r="D4193">
        <v>17</v>
      </c>
      <c r="E4193">
        <v>53</v>
      </c>
      <c r="F4193">
        <v>2.3400000000000001E-3</v>
      </c>
      <c r="G4193">
        <v>0</v>
      </c>
      <c r="H4193" t="str">
        <f t="shared" si="195"/>
        <v>50-59</v>
      </c>
      <c r="I4193" t="str">
        <f t="shared" si="196"/>
        <v>10-19</v>
      </c>
      <c r="J4193">
        <f t="shared" si="197"/>
        <v>2.3400000000000001E-3</v>
      </c>
    </row>
    <row r="4194" spans="1:10">
      <c r="A4194" t="s">
        <v>4276</v>
      </c>
      <c r="B4194">
        <v>23</v>
      </c>
      <c r="C4194" t="s">
        <v>7</v>
      </c>
      <c r="D4194">
        <v>14</v>
      </c>
      <c r="E4194">
        <v>36</v>
      </c>
      <c r="F4194">
        <v>6.4999999999999997E-4</v>
      </c>
      <c r="G4194">
        <v>0</v>
      </c>
      <c r="H4194" t="str">
        <f t="shared" si="195"/>
        <v>30-39</v>
      </c>
      <c r="I4194" t="str">
        <f t="shared" si="196"/>
        <v>10-19</v>
      </c>
      <c r="J4194">
        <f t="shared" si="197"/>
        <v>6.4999999999999997E-4</v>
      </c>
    </row>
    <row r="4195" spans="1:10">
      <c r="A4195" t="s">
        <v>4277</v>
      </c>
      <c r="B4195">
        <v>26</v>
      </c>
      <c r="C4195" t="s">
        <v>9</v>
      </c>
      <c r="D4195">
        <v>16</v>
      </c>
      <c r="E4195">
        <v>41</v>
      </c>
      <c r="F4195">
        <v>1.3699999999999999E-3</v>
      </c>
      <c r="G4195">
        <v>0</v>
      </c>
      <c r="H4195" t="str">
        <f t="shared" si="195"/>
        <v>40-49</v>
      </c>
      <c r="I4195" t="str">
        <f t="shared" si="196"/>
        <v>10-19</v>
      </c>
      <c r="J4195">
        <f t="shared" si="197"/>
        <v>1.3699999999999999E-3</v>
      </c>
    </row>
    <row r="4196" spans="1:10">
      <c r="A4196" t="s">
        <v>4278</v>
      </c>
      <c r="B4196">
        <v>28</v>
      </c>
      <c r="C4196" t="s">
        <v>9</v>
      </c>
      <c r="D4196">
        <v>6</v>
      </c>
      <c r="E4196">
        <v>33</v>
      </c>
      <c r="F4196">
        <v>4.6000000000000001E-4</v>
      </c>
      <c r="G4196">
        <v>0</v>
      </c>
      <c r="H4196" t="str">
        <f t="shared" si="195"/>
        <v>30-39</v>
      </c>
      <c r="I4196" t="str">
        <f t="shared" si="196"/>
        <v>0-9</v>
      </c>
      <c r="J4196">
        <f t="shared" si="197"/>
        <v>4.6000000000000001E-4</v>
      </c>
    </row>
    <row r="4197" spans="1:10">
      <c r="A4197" t="s">
        <v>4279</v>
      </c>
      <c r="B4197">
        <v>23</v>
      </c>
      <c r="C4197" t="s">
        <v>7</v>
      </c>
      <c r="D4197">
        <v>2</v>
      </c>
      <c r="E4197">
        <v>24</v>
      </c>
      <c r="F4197">
        <v>2.4000000000000001E-4</v>
      </c>
      <c r="G4197">
        <v>0</v>
      </c>
      <c r="H4197" t="str">
        <f t="shared" si="195"/>
        <v>20-29</v>
      </c>
      <c r="I4197" t="str">
        <f t="shared" si="196"/>
        <v>0-9</v>
      </c>
      <c r="J4197">
        <f t="shared" si="197"/>
        <v>2.4000000000000001E-4</v>
      </c>
    </row>
    <row r="4198" spans="1:10">
      <c r="A4198" t="s">
        <v>4280</v>
      </c>
      <c r="B4198">
        <v>55</v>
      </c>
      <c r="C4198" t="s">
        <v>9</v>
      </c>
      <c r="D4198">
        <v>18</v>
      </c>
      <c r="E4198">
        <v>72</v>
      </c>
      <c r="F4198">
        <v>2.1139999999999999E-2</v>
      </c>
      <c r="G4198">
        <v>0</v>
      </c>
      <c r="H4198" t="str">
        <f t="shared" si="195"/>
        <v>70-79</v>
      </c>
      <c r="I4198" t="str">
        <f t="shared" si="196"/>
        <v>10-19</v>
      </c>
      <c r="J4198">
        <f t="shared" si="197"/>
        <v>2.1139999999999999E-2</v>
      </c>
    </row>
    <row r="4199" spans="1:10">
      <c r="A4199" t="s">
        <v>4281</v>
      </c>
      <c r="B4199">
        <v>63</v>
      </c>
      <c r="C4199" t="s">
        <v>9</v>
      </c>
      <c r="D4199">
        <v>14</v>
      </c>
      <c r="E4199">
        <v>76</v>
      </c>
      <c r="F4199">
        <v>2.9659999999999999E-2</v>
      </c>
      <c r="G4199">
        <v>0</v>
      </c>
      <c r="H4199" t="str">
        <f t="shared" si="195"/>
        <v>70-79</v>
      </c>
      <c r="I4199" t="str">
        <f t="shared" si="196"/>
        <v>10-19</v>
      </c>
      <c r="J4199">
        <f t="shared" si="197"/>
        <v>2.9659999999999999E-2</v>
      </c>
    </row>
    <row r="4200" spans="1:10">
      <c r="A4200" t="s">
        <v>4282</v>
      </c>
      <c r="B4200">
        <v>56</v>
      </c>
      <c r="C4200" t="s">
        <v>9</v>
      </c>
      <c r="D4200">
        <v>2</v>
      </c>
      <c r="E4200">
        <v>57</v>
      </c>
      <c r="F4200">
        <v>2.15E-3</v>
      </c>
      <c r="G4200">
        <v>0</v>
      </c>
      <c r="H4200" t="str">
        <f t="shared" si="195"/>
        <v>50-59</v>
      </c>
      <c r="I4200" t="str">
        <f t="shared" si="196"/>
        <v>0-9</v>
      </c>
      <c r="J4200">
        <f t="shared" si="197"/>
        <v>2.15E-3</v>
      </c>
    </row>
    <row r="4201" spans="1:10">
      <c r="A4201" t="s">
        <v>4283</v>
      </c>
      <c r="B4201">
        <v>59</v>
      </c>
      <c r="C4201" t="s">
        <v>9</v>
      </c>
      <c r="D4201">
        <v>24</v>
      </c>
      <c r="E4201">
        <v>82</v>
      </c>
      <c r="F4201">
        <v>6.3329999999999997E-2</v>
      </c>
      <c r="G4201">
        <v>0</v>
      </c>
      <c r="H4201" t="str">
        <f t="shared" si="195"/>
        <v>80-89</v>
      </c>
      <c r="I4201" t="str">
        <f t="shared" si="196"/>
        <v>20-29</v>
      </c>
      <c r="J4201">
        <f t="shared" si="197"/>
        <v>6.3329999999999997E-2</v>
      </c>
    </row>
    <row r="4202" spans="1:10">
      <c r="A4202" t="s">
        <v>4284</v>
      </c>
      <c r="B4202">
        <v>34</v>
      </c>
      <c r="C4202" t="s">
        <v>7</v>
      </c>
      <c r="D4202">
        <v>8</v>
      </c>
      <c r="E4202">
        <v>41</v>
      </c>
      <c r="F4202">
        <v>6.9999999999999999E-4</v>
      </c>
      <c r="G4202">
        <v>0</v>
      </c>
      <c r="H4202" t="str">
        <f t="shared" si="195"/>
        <v>40-49</v>
      </c>
      <c r="I4202" t="str">
        <f t="shared" si="196"/>
        <v>0-9</v>
      </c>
      <c r="J4202">
        <f t="shared" si="197"/>
        <v>6.9999999999999999E-4</v>
      </c>
    </row>
    <row r="4203" spans="1:10">
      <c r="A4203" t="s">
        <v>4285</v>
      </c>
      <c r="B4203">
        <v>37</v>
      </c>
      <c r="C4203" t="s">
        <v>7</v>
      </c>
      <c r="D4203">
        <v>30</v>
      </c>
      <c r="E4203">
        <v>66</v>
      </c>
      <c r="F4203">
        <v>6.0499999999999998E-3</v>
      </c>
      <c r="G4203">
        <v>0</v>
      </c>
      <c r="H4203" t="str">
        <f t="shared" si="195"/>
        <v>60-69</v>
      </c>
      <c r="I4203" t="str">
        <f t="shared" si="196"/>
        <v>30-39</v>
      </c>
      <c r="J4203">
        <f t="shared" si="197"/>
        <v>6.0499999999999998E-3</v>
      </c>
    </row>
    <row r="4204" spans="1:10">
      <c r="A4204" t="s">
        <v>4286</v>
      </c>
      <c r="B4204">
        <v>29</v>
      </c>
      <c r="C4204" t="s">
        <v>7</v>
      </c>
      <c r="D4204">
        <v>1</v>
      </c>
      <c r="E4204">
        <v>29</v>
      </c>
      <c r="F4204">
        <v>1.1E-4</v>
      </c>
      <c r="G4204">
        <v>0</v>
      </c>
      <c r="H4204" t="str">
        <f t="shared" si="195"/>
        <v>20-29</v>
      </c>
      <c r="I4204" t="str">
        <f t="shared" si="196"/>
        <v>0-9</v>
      </c>
      <c r="J4204">
        <f t="shared" si="197"/>
        <v>1.1E-4</v>
      </c>
    </row>
    <row r="4205" spans="1:10">
      <c r="A4205" t="s">
        <v>4287</v>
      </c>
      <c r="B4205">
        <v>34</v>
      </c>
      <c r="C4205" t="s">
        <v>7</v>
      </c>
      <c r="D4205">
        <v>6</v>
      </c>
      <c r="E4205">
        <v>39</v>
      </c>
      <c r="F4205">
        <v>5.4000000000000001E-4</v>
      </c>
      <c r="G4205">
        <v>0</v>
      </c>
      <c r="H4205" t="str">
        <f t="shared" si="195"/>
        <v>30-39</v>
      </c>
      <c r="I4205" t="str">
        <f t="shared" si="196"/>
        <v>0-9</v>
      </c>
      <c r="J4205">
        <f t="shared" si="197"/>
        <v>5.4000000000000001E-4</v>
      </c>
    </row>
    <row r="4206" spans="1:10">
      <c r="A4206" t="s">
        <v>4288</v>
      </c>
      <c r="B4206">
        <v>33</v>
      </c>
      <c r="C4206" t="s">
        <v>7</v>
      </c>
      <c r="D4206">
        <v>18</v>
      </c>
      <c r="E4206">
        <v>50</v>
      </c>
      <c r="F4206">
        <v>1.8600000000000001E-3</v>
      </c>
      <c r="G4206">
        <v>0</v>
      </c>
      <c r="H4206" t="str">
        <f t="shared" si="195"/>
        <v>50-59</v>
      </c>
      <c r="I4206" t="str">
        <f t="shared" si="196"/>
        <v>10-19</v>
      </c>
      <c r="J4206">
        <f t="shared" si="197"/>
        <v>1.8600000000000001E-3</v>
      </c>
    </row>
    <row r="4207" spans="1:10">
      <c r="A4207" t="s">
        <v>4289</v>
      </c>
      <c r="B4207">
        <v>25</v>
      </c>
      <c r="C4207" t="s">
        <v>7</v>
      </c>
      <c r="D4207">
        <v>19</v>
      </c>
      <c r="E4207">
        <v>43</v>
      </c>
      <c r="F4207">
        <v>1.2199999999999999E-3</v>
      </c>
      <c r="G4207">
        <v>0</v>
      </c>
      <c r="H4207" t="str">
        <f t="shared" si="195"/>
        <v>40-49</v>
      </c>
      <c r="I4207" t="str">
        <f t="shared" si="196"/>
        <v>10-19</v>
      </c>
      <c r="J4207">
        <f t="shared" si="197"/>
        <v>1.2199999999999999E-3</v>
      </c>
    </row>
    <row r="4208" spans="1:10">
      <c r="A4208" t="s">
        <v>4290</v>
      </c>
      <c r="B4208">
        <v>37</v>
      </c>
      <c r="C4208" t="s">
        <v>9</v>
      </c>
      <c r="D4208">
        <v>26</v>
      </c>
      <c r="E4208">
        <v>62</v>
      </c>
      <c r="F4208">
        <v>7.79E-3</v>
      </c>
      <c r="G4208">
        <v>0</v>
      </c>
      <c r="H4208" t="str">
        <f t="shared" si="195"/>
        <v>60-69</v>
      </c>
      <c r="I4208" t="str">
        <f t="shared" si="196"/>
        <v>20-29</v>
      </c>
      <c r="J4208">
        <f t="shared" si="197"/>
        <v>7.79E-3</v>
      </c>
    </row>
    <row r="4209" spans="1:10">
      <c r="A4209" t="s">
        <v>4291</v>
      </c>
      <c r="B4209">
        <v>46</v>
      </c>
      <c r="C4209" t="s">
        <v>9</v>
      </c>
      <c r="D4209">
        <v>8</v>
      </c>
      <c r="E4209">
        <v>53</v>
      </c>
      <c r="F4209">
        <v>2.5600000000000002E-3</v>
      </c>
      <c r="G4209">
        <v>0</v>
      </c>
      <c r="H4209" t="str">
        <f t="shared" si="195"/>
        <v>50-59</v>
      </c>
      <c r="I4209" t="str">
        <f t="shared" si="196"/>
        <v>0-9</v>
      </c>
      <c r="J4209">
        <f t="shared" si="197"/>
        <v>2.5600000000000002E-3</v>
      </c>
    </row>
    <row r="4210" spans="1:10">
      <c r="A4210" t="s">
        <v>4292</v>
      </c>
      <c r="B4210">
        <v>31</v>
      </c>
      <c r="C4210" t="s">
        <v>9</v>
      </c>
      <c r="D4210">
        <v>30</v>
      </c>
      <c r="E4210">
        <v>60</v>
      </c>
      <c r="F4210">
        <v>4.3899999999999998E-3</v>
      </c>
      <c r="G4210">
        <v>0</v>
      </c>
      <c r="H4210" t="str">
        <f t="shared" si="195"/>
        <v>60-69</v>
      </c>
      <c r="I4210" t="str">
        <f t="shared" si="196"/>
        <v>30-39</v>
      </c>
      <c r="J4210">
        <f t="shared" si="197"/>
        <v>4.3899999999999998E-3</v>
      </c>
    </row>
    <row r="4211" spans="1:10">
      <c r="A4211" t="s">
        <v>4293</v>
      </c>
      <c r="B4211">
        <v>35</v>
      </c>
      <c r="C4211" t="s">
        <v>9</v>
      </c>
      <c r="D4211">
        <v>22</v>
      </c>
      <c r="E4211">
        <v>56</v>
      </c>
      <c r="F4211">
        <v>4.3899999999999998E-3</v>
      </c>
      <c r="G4211">
        <v>0</v>
      </c>
      <c r="H4211" t="str">
        <f t="shared" si="195"/>
        <v>50-59</v>
      </c>
      <c r="I4211" t="str">
        <f t="shared" si="196"/>
        <v>20-29</v>
      </c>
      <c r="J4211">
        <f t="shared" si="197"/>
        <v>4.3899999999999998E-3</v>
      </c>
    </row>
    <row r="4212" spans="1:10">
      <c r="A4212" t="s">
        <v>4294</v>
      </c>
      <c r="B4212">
        <v>58</v>
      </c>
      <c r="C4212" t="s">
        <v>9</v>
      </c>
      <c r="D4212">
        <v>28</v>
      </c>
      <c r="E4212">
        <v>85</v>
      </c>
      <c r="F4212">
        <v>7.1389999999999995E-2</v>
      </c>
      <c r="G4212">
        <v>0</v>
      </c>
      <c r="H4212" t="str">
        <f t="shared" si="195"/>
        <v>80-89</v>
      </c>
      <c r="I4212" t="str">
        <f t="shared" si="196"/>
        <v>20-29</v>
      </c>
      <c r="J4212">
        <f t="shared" si="197"/>
        <v>7.1389999999999995E-2</v>
      </c>
    </row>
    <row r="4213" spans="1:10">
      <c r="A4213" t="s">
        <v>4295</v>
      </c>
      <c r="B4213">
        <v>26</v>
      </c>
      <c r="C4213" t="s">
        <v>9</v>
      </c>
      <c r="D4213">
        <v>28</v>
      </c>
      <c r="E4213">
        <v>53</v>
      </c>
      <c r="F4213">
        <v>3.0899999999999999E-3</v>
      </c>
      <c r="G4213">
        <v>0</v>
      </c>
      <c r="H4213" t="str">
        <f t="shared" si="195"/>
        <v>50-59</v>
      </c>
      <c r="I4213" t="str">
        <f t="shared" si="196"/>
        <v>20-29</v>
      </c>
      <c r="J4213">
        <f t="shared" si="197"/>
        <v>3.0899999999999999E-3</v>
      </c>
    </row>
    <row r="4214" spans="1:10">
      <c r="A4214" t="s">
        <v>4296</v>
      </c>
      <c r="B4214">
        <v>48</v>
      </c>
      <c r="C4214" t="s">
        <v>7</v>
      </c>
      <c r="D4214">
        <v>5</v>
      </c>
      <c r="E4214">
        <v>52</v>
      </c>
      <c r="F4214">
        <v>1.47E-3</v>
      </c>
      <c r="G4214">
        <v>0</v>
      </c>
      <c r="H4214" t="str">
        <f t="shared" si="195"/>
        <v>50-59</v>
      </c>
      <c r="I4214" t="str">
        <f t="shared" si="196"/>
        <v>0-9</v>
      </c>
      <c r="J4214">
        <f t="shared" si="197"/>
        <v>1.47E-3</v>
      </c>
    </row>
    <row r="4215" spans="1:10">
      <c r="A4215" t="s">
        <v>4297</v>
      </c>
      <c r="B4215">
        <v>59</v>
      </c>
      <c r="C4215" t="s">
        <v>9</v>
      </c>
      <c r="D4215">
        <v>25</v>
      </c>
      <c r="E4215">
        <v>83</v>
      </c>
      <c r="F4215">
        <v>7.1389999999999995E-2</v>
      </c>
      <c r="G4215">
        <v>0</v>
      </c>
      <c r="H4215" t="str">
        <f t="shared" si="195"/>
        <v>80-89</v>
      </c>
      <c r="I4215" t="str">
        <f t="shared" si="196"/>
        <v>20-29</v>
      </c>
      <c r="J4215">
        <f t="shared" si="197"/>
        <v>7.1389999999999995E-2</v>
      </c>
    </row>
    <row r="4216" spans="1:10">
      <c r="A4216" t="s">
        <v>4298</v>
      </c>
      <c r="B4216">
        <v>37</v>
      </c>
      <c r="C4216" t="s">
        <v>7</v>
      </c>
      <c r="D4216">
        <v>7</v>
      </c>
      <c r="E4216">
        <v>43</v>
      </c>
      <c r="F4216">
        <v>7.6000000000000004E-4</v>
      </c>
      <c r="G4216">
        <v>0</v>
      </c>
      <c r="H4216" t="str">
        <f t="shared" si="195"/>
        <v>40-49</v>
      </c>
      <c r="I4216" t="str">
        <f t="shared" si="196"/>
        <v>0-9</v>
      </c>
      <c r="J4216">
        <f t="shared" si="197"/>
        <v>7.6000000000000004E-4</v>
      </c>
    </row>
    <row r="4217" spans="1:10">
      <c r="A4217" t="s">
        <v>4299</v>
      </c>
      <c r="B4217">
        <v>53</v>
      </c>
      <c r="C4217" t="s">
        <v>9</v>
      </c>
      <c r="D4217">
        <v>11</v>
      </c>
      <c r="E4217">
        <v>63</v>
      </c>
      <c r="F4217">
        <v>8.0300000000000007E-3</v>
      </c>
      <c r="G4217">
        <v>0</v>
      </c>
      <c r="H4217" t="str">
        <f t="shared" si="195"/>
        <v>60-69</v>
      </c>
      <c r="I4217" t="str">
        <f t="shared" si="196"/>
        <v>10-19</v>
      </c>
      <c r="J4217">
        <f t="shared" si="197"/>
        <v>8.0300000000000007E-3</v>
      </c>
    </row>
    <row r="4218" spans="1:10">
      <c r="A4218" t="s">
        <v>4300</v>
      </c>
      <c r="B4218">
        <v>59</v>
      </c>
      <c r="C4218" t="s">
        <v>7</v>
      </c>
      <c r="D4218">
        <v>13</v>
      </c>
      <c r="E4218">
        <v>71</v>
      </c>
      <c r="F4218">
        <v>1.193E-2</v>
      </c>
      <c r="G4218">
        <v>0</v>
      </c>
      <c r="H4218" t="str">
        <f t="shared" si="195"/>
        <v>70-79</v>
      </c>
      <c r="I4218" t="str">
        <f t="shared" si="196"/>
        <v>10-19</v>
      </c>
      <c r="J4218">
        <f t="shared" si="197"/>
        <v>1.193E-2</v>
      </c>
    </row>
    <row r="4219" spans="1:10">
      <c r="A4219" t="s">
        <v>4301</v>
      </c>
      <c r="B4219">
        <v>43</v>
      </c>
      <c r="C4219" t="s">
        <v>7</v>
      </c>
      <c r="D4219">
        <v>5</v>
      </c>
      <c r="E4219">
        <v>47</v>
      </c>
      <c r="F4219">
        <v>9.5E-4</v>
      </c>
      <c r="G4219">
        <v>0</v>
      </c>
      <c r="H4219" t="str">
        <f t="shared" si="195"/>
        <v>40-49</v>
      </c>
      <c r="I4219" t="str">
        <f t="shared" si="196"/>
        <v>0-9</v>
      </c>
      <c r="J4219">
        <f t="shared" si="197"/>
        <v>9.5E-4</v>
      </c>
    </row>
    <row r="4220" spans="1:10">
      <c r="A4220" t="s">
        <v>4302</v>
      </c>
      <c r="B4220">
        <v>64</v>
      </c>
      <c r="C4220" t="s">
        <v>9</v>
      </c>
      <c r="D4220">
        <v>22</v>
      </c>
      <c r="E4220">
        <v>85</v>
      </c>
      <c r="F4220">
        <v>9.1270000000000004E-2</v>
      </c>
      <c r="G4220">
        <v>0</v>
      </c>
      <c r="H4220" t="str">
        <f t="shared" si="195"/>
        <v>80-89</v>
      </c>
      <c r="I4220" t="str">
        <f t="shared" si="196"/>
        <v>20-29</v>
      </c>
      <c r="J4220">
        <f t="shared" si="197"/>
        <v>9.1270000000000004E-2</v>
      </c>
    </row>
    <row r="4221" spans="1:10">
      <c r="A4221" t="s">
        <v>4303</v>
      </c>
      <c r="B4221">
        <v>33</v>
      </c>
      <c r="C4221" t="s">
        <v>9</v>
      </c>
      <c r="D4221">
        <v>7</v>
      </c>
      <c r="E4221">
        <v>39</v>
      </c>
      <c r="F4221">
        <v>7.2999999999999996E-4</v>
      </c>
      <c r="G4221">
        <v>0</v>
      </c>
      <c r="H4221" t="str">
        <f t="shared" si="195"/>
        <v>30-39</v>
      </c>
      <c r="I4221" t="str">
        <f t="shared" si="196"/>
        <v>0-9</v>
      </c>
      <c r="J4221">
        <f t="shared" si="197"/>
        <v>7.2999999999999996E-4</v>
      </c>
    </row>
    <row r="4222" spans="1:10">
      <c r="A4222" t="s">
        <v>4304</v>
      </c>
      <c r="B4222">
        <v>35</v>
      </c>
      <c r="C4222" t="s">
        <v>9</v>
      </c>
      <c r="D4222">
        <v>23</v>
      </c>
      <c r="E4222">
        <v>57</v>
      </c>
      <c r="F4222">
        <v>4.7800000000000004E-3</v>
      </c>
      <c r="G4222">
        <v>0</v>
      </c>
      <c r="H4222" t="str">
        <f t="shared" si="195"/>
        <v>50-59</v>
      </c>
      <c r="I4222" t="str">
        <f t="shared" si="196"/>
        <v>20-29</v>
      </c>
      <c r="J4222">
        <f t="shared" si="197"/>
        <v>4.7800000000000004E-3</v>
      </c>
    </row>
    <row r="4223" spans="1:10">
      <c r="A4223" t="s">
        <v>4305</v>
      </c>
      <c r="B4223">
        <v>58</v>
      </c>
      <c r="C4223" t="s">
        <v>9</v>
      </c>
      <c r="D4223">
        <v>29</v>
      </c>
      <c r="E4223">
        <v>86</v>
      </c>
      <c r="F4223">
        <v>7.1389999999999995E-2</v>
      </c>
      <c r="G4223">
        <v>1</v>
      </c>
      <c r="H4223" t="str">
        <f t="shared" si="195"/>
        <v>80-89</v>
      </c>
      <c r="I4223" t="str">
        <f t="shared" si="196"/>
        <v>20-29</v>
      </c>
      <c r="J4223">
        <f t="shared" si="197"/>
        <v>7.1389999999999995E-2</v>
      </c>
    </row>
    <row r="4224" spans="1:10">
      <c r="A4224" t="s">
        <v>4306</v>
      </c>
      <c r="B4224">
        <v>56</v>
      </c>
      <c r="C4224" t="s">
        <v>7</v>
      </c>
      <c r="D4224">
        <v>8</v>
      </c>
      <c r="E4224">
        <v>63</v>
      </c>
      <c r="F4224">
        <v>4.9399999999999999E-3</v>
      </c>
      <c r="G4224">
        <v>0</v>
      </c>
      <c r="H4224" t="str">
        <f t="shared" si="195"/>
        <v>60-69</v>
      </c>
      <c r="I4224" t="str">
        <f t="shared" si="196"/>
        <v>0-9</v>
      </c>
      <c r="J4224">
        <f t="shared" si="197"/>
        <v>4.9399999999999999E-3</v>
      </c>
    </row>
    <row r="4225" spans="1:10">
      <c r="A4225" t="s">
        <v>4307</v>
      </c>
      <c r="B4225">
        <v>65</v>
      </c>
      <c r="C4225" t="s">
        <v>9</v>
      </c>
      <c r="D4225">
        <v>26</v>
      </c>
      <c r="E4225">
        <v>90</v>
      </c>
      <c r="F4225">
        <v>0.16611999999999999</v>
      </c>
      <c r="G4225">
        <v>0</v>
      </c>
      <c r="H4225" t="str">
        <f t="shared" si="195"/>
        <v>90-99</v>
      </c>
      <c r="I4225" t="str">
        <f t="shared" si="196"/>
        <v>20-29</v>
      </c>
      <c r="J4225">
        <f t="shared" si="197"/>
        <v>0.16611999999999999</v>
      </c>
    </row>
    <row r="4226" spans="1:10">
      <c r="A4226" t="s">
        <v>4308</v>
      </c>
      <c r="B4226">
        <v>43</v>
      </c>
      <c r="C4226" t="s">
        <v>9</v>
      </c>
      <c r="D4226">
        <v>13</v>
      </c>
      <c r="E4226">
        <v>55</v>
      </c>
      <c r="F4226">
        <v>3.5400000000000002E-3</v>
      </c>
      <c r="G4226">
        <v>0</v>
      </c>
      <c r="H4226" t="str">
        <f t="shared" si="195"/>
        <v>50-59</v>
      </c>
      <c r="I4226" t="str">
        <f t="shared" si="196"/>
        <v>10-19</v>
      </c>
      <c r="J4226">
        <f t="shared" si="197"/>
        <v>3.5400000000000002E-3</v>
      </c>
    </row>
    <row r="4227" spans="1:10">
      <c r="A4227" t="s">
        <v>4309</v>
      </c>
      <c r="B4227">
        <v>48</v>
      </c>
      <c r="C4227" t="s">
        <v>9</v>
      </c>
      <c r="D4227">
        <v>30</v>
      </c>
      <c r="E4227">
        <v>77</v>
      </c>
      <c r="F4227">
        <v>2.3939999999999999E-2</v>
      </c>
      <c r="G4227">
        <v>0</v>
      </c>
      <c r="H4227" t="str">
        <f t="shared" ref="H4227:H4290" si="198">FLOOR(E4227,10) &amp; "-" &amp; FLOOR(E4227,10)+9</f>
        <v>70-79</v>
      </c>
      <c r="I4227" t="str">
        <f t="shared" ref="I4227:I4290" si="199">FLOOR(D4227, 10) &amp; "-"&amp;FLOOR(D4227, 10)+9</f>
        <v>30-39</v>
      </c>
      <c r="J4227">
        <f t="shared" ref="J4227:J4290" si="200">F4227</f>
        <v>2.3939999999999999E-2</v>
      </c>
    </row>
    <row r="4228" spans="1:10">
      <c r="A4228" t="s">
        <v>4310</v>
      </c>
      <c r="B4228">
        <v>42</v>
      </c>
      <c r="C4228" t="s">
        <v>9</v>
      </c>
      <c r="D4228">
        <v>8</v>
      </c>
      <c r="E4228">
        <v>49</v>
      </c>
      <c r="F4228">
        <v>1.74E-3</v>
      </c>
      <c r="G4228">
        <v>0</v>
      </c>
      <c r="H4228" t="str">
        <f t="shared" si="198"/>
        <v>40-49</v>
      </c>
      <c r="I4228" t="str">
        <f t="shared" si="199"/>
        <v>0-9</v>
      </c>
      <c r="J4228">
        <f t="shared" si="200"/>
        <v>1.74E-3</v>
      </c>
    </row>
    <row r="4229" spans="1:10">
      <c r="A4229" t="s">
        <v>4311</v>
      </c>
      <c r="B4229">
        <v>36</v>
      </c>
      <c r="C4229" t="s">
        <v>9</v>
      </c>
      <c r="D4229">
        <v>16</v>
      </c>
      <c r="E4229">
        <v>51</v>
      </c>
      <c r="F4229">
        <v>2.5799999999999998E-3</v>
      </c>
      <c r="G4229">
        <v>0</v>
      </c>
      <c r="H4229" t="str">
        <f t="shared" si="198"/>
        <v>50-59</v>
      </c>
      <c r="I4229" t="str">
        <f t="shared" si="199"/>
        <v>10-19</v>
      </c>
      <c r="J4229">
        <f t="shared" si="200"/>
        <v>2.5799999999999998E-3</v>
      </c>
    </row>
    <row r="4230" spans="1:10">
      <c r="A4230" t="s">
        <v>4312</v>
      </c>
      <c r="B4230">
        <v>57</v>
      </c>
      <c r="C4230" t="s">
        <v>7</v>
      </c>
      <c r="D4230">
        <v>21</v>
      </c>
      <c r="E4230">
        <v>77</v>
      </c>
      <c r="F4230">
        <v>2.8719999999999999E-2</v>
      </c>
      <c r="G4230">
        <v>0</v>
      </c>
      <c r="H4230" t="str">
        <f t="shared" si="198"/>
        <v>70-79</v>
      </c>
      <c r="I4230" t="str">
        <f t="shared" si="199"/>
        <v>20-29</v>
      </c>
      <c r="J4230">
        <f t="shared" si="200"/>
        <v>2.8719999999999999E-2</v>
      </c>
    </row>
    <row r="4231" spans="1:10">
      <c r="A4231" t="s">
        <v>4313</v>
      </c>
      <c r="B4231">
        <v>32</v>
      </c>
      <c r="C4231" t="s">
        <v>9</v>
      </c>
      <c r="D4231">
        <v>28</v>
      </c>
      <c r="E4231">
        <v>59</v>
      </c>
      <c r="F4231">
        <v>4.7800000000000004E-3</v>
      </c>
      <c r="G4231">
        <v>0</v>
      </c>
      <c r="H4231" t="str">
        <f t="shared" si="198"/>
        <v>50-59</v>
      </c>
      <c r="I4231" t="str">
        <f t="shared" si="199"/>
        <v>20-29</v>
      </c>
      <c r="J4231">
        <f t="shared" si="200"/>
        <v>4.7800000000000004E-3</v>
      </c>
    </row>
    <row r="4232" spans="1:10">
      <c r="A4232" t="s">
        <v>4314</v>
      </c>
      <c r="B4232">
        <v>23</v>
      </c>
      <c r="C4232" t="s">
        <v>9</v>
      </c>
      <c r="D4232">
        <v>25</v>
      </c>
      <c r="E4232">
        <v>47</v>
      </c>
      <c r="F4232">
        <v>2.5400000000000002E-3</v>
      </c>
      <c r="G4232">
        <v>0</v>
      </c>
      <c r="H4232" t="str">
        <f t="shared" si="198"/>
        <v>40-49</v>
      </c>
      <c r="I4232" t="str">
        <f t="shared" si="199"/>
        <v>20-29</v>
      </c>
      <c r="J4232">
        <f t="shared" si="200"/>
        <v>2.5400000000000002E-3</v>
      </c>
    </row>
    <row r="4233" spans="1:10">
      <c r="A4233" t="s">
        <v>4315</v>
      </c>
      <c r="B4233">
        <v>30</v>
      </c>
      <c r="C4233" t="s">
        <v>7</v>
      </c>
      <c r="D4233">
        <v>3</v>
      </c>
      <c r="E4233">
        <v>32</v>
      </c>
      <c r="F4233">
        <v>2.2000000000000001E-4</v>
      </c>
      <c r="G4233">
        <v>0</v>
      </c>
      <c r="H4233" t="str">
        <f t="shared" si="198"/>
        <v>30-39</v>
      </c>
      <c r="I4233" t="str">
        <f t="shared" si="199"/>
        <v>0-9</v>
      </c>
      <c r="J4233">
        <f t="shared" si="200"/>
        <v>2.2000000000000001E-4</v>
      </c>
    </row>
    <row r="4234" spans="1:10">
      <c r="A4234" t="s">
        <v>4316</v>
      </c>
      <c r="B4234">
        <v>36</v>
      </c>
      <c r="C4234" t="s">
        <v>7</v>
      </c>
      <c r="D4234">
        <v>3</v>
      </c>
      <c r="E4234">
        <v>38</v>
      </c>
      <c r="F4234">
        <v>3.8999999999999999E-4</v>
      </c>
      <c r="G4234">
        <v>0</v>
      </c>
      <c r="H4234" t="str">
        <f t="shared" si="198"/>
        <v>30-39</v>
      </c>
      <c r="I4234" t="str">
        <f t="shared" si="199"/>
        <v>0-9</v>
      </c>
      <c r="J4234">
        <f t="shared" si="200"/>
        <v>3.8999999999999999E-4</v>
      </c>
    </row>
    <row r="4235" spans="1:10">
      <c r="A4235" t="s">
        <v>4317</v>
      </c>
      <c r="B4235">
        <v>29</v>
      </c>
      <c r="C4235" t="s">
        <v>9</v>
      </c>
      <c r="D4235">
        <v>10</v>
      </c>
      <c r="E4235">
        <v>38</v>
      </c>
      <c r="F4235">
        <v>8.4000000000000003E-4</v>
      </c>
      <c r="G4235">
        <v>0</v>
      </c>
      <c r="H4235" t="str">
        <f t="shared" si="198"/>
        <v>30-39</v>
      </c>
      <c r="I4235" t="str">
        <f t="shared" si="199"/>
        <v>10-19</v>
      </c>
      <c r="J4235">
        <f t="shared" si="200"/>
        <v>8.4000000000000003E-4</v>
      </c>
    </row>
    <row r="4236" spans="1:10">
      <c r="A4236" t="s">
        <v>4318</v>
      </c>
      <c r="B4236">
        <v>31</v>
      </c>
      <c r="C4236" t="s">
        <v>9</v>
      </c>
      <c r="D4236">
        <v>8</v>
      </c>
      <c r="E4236">
        <v>38</v>
      </c>
      <c r="F4236">
        <v>6.9999999999999999E-4</v>
      </c>
      <c r="G4236">
        <v>0</v>
      </c>
      <c r="H4236" t="str">
        <f t="shared" si="198"/>
        <v>30-39</v>
      </c>
      <c r="I4236" t="str">
        <f t="shared" si="199"/>
        <v>0-9</v>
      </c>
      <c r="J4236">
        <f t="shared" si="200"/>
        <v>6.9999999999999999E-4</v>
      </c>
    </row>
    <row r="4237" spans="1:10">
      <c r="A4237" t="s">
        <v>4319</v>
      </c>
      <c r="B4237">
        <v>24</v>
      </c>
      <c r="C4237" t="s">
        <v>7</v>
      </c>
      <c r="D4237">
        <v>8</v>
      </c>
      <c r="E4237">
        <v>31</v>
      </c>
      <c r="F4237">
        <v>3.5E-4</v>
      </c>
      <c r="G4237">
        <v>0</v>
      </c>
      <c r="H4237" t="str">
        <f t="shared" si="198"/>
        <v>30-39</v>
      </c>
      <c r="I4237" t="str">
        <f t="shared" si="199"/>
        <v>0-9</v>
      </c>
      <c r="J4237">
        <f t="shared" si="200"/>
        <v>3.5E-4</v>
      </c>
    </row>
    <row r="4238" spans="1:10">
      <c r="A4238" t="s">
        <v>4320</v>
      </c>
      <c r="B4238">
        <v>56</v>
      </c>
      <c r="C4238" t="s">
        <v>7</v>
      </c>
      <c r="D4238">
        <v>21</v>
      </c>
      <c r="E4238">
        <v>76</v>
      </c>
      <c r="F4238">
        <v>2.58E-2</v>
      </c>
      <c r="G4238">
        <v>0</v>
      </c>
      <c r="H4238" t="str">
        <f t="shared" si="198"/>
        <v>70-79</v>
      </c>
      <c r="I4238" t="str">
        <f t="shared" si="199"/>
        <v>20-29</v>
      </c>
      <c r="J4238">
        <f t="shared" si="200"/>
        <v>2.58E-2</v>
      </c>
    </row>
    <row r="4239" spans="1:10">
      <c r="A4239" t="s">
        <v>4321</v>
      </c>
      <c r="B4239">
        <v>31</v>
      </c>
      <c r="C4239" t="s">
        <v>7</v>
      </c>
      <c r="D4239">
        <v>10</v>
      </c>
      <c r="E4239">
        <v>40</v>
      </c>
      <c r="F4239">
        <v>7.3999999999999999E-4</v>
      </c>
      <c r="G4239">
        <v>0</v>
      </c>
      <c r="H4239" t="str">
        <f t="shared" si="198"/>
        <v>40-49</v>
      </c>
      <c r="I4239" t="str">
        <f t="shared" si="199"/>
        <v>10-19</v>
      </c>
      <c r="J4239">
        <f t="shared" si="200"/>
        <v>7.3999999999999999E-4</v>
      </c>
    </row>
    <row r="4240" spans="1:10">
      <c r="A4240" t="s">
        <v>4322</v>
      </c>
      <c r="B4240">
        <v>30</v>
      </c>
      <c r="C4240" t="s">
        <v>9</v>
      </c>
      <c r="D4240">
        <v>8</v>
      </c>
      <c r="E4240">
        <v>37</v>
      </c>
      <c r="F4240">
        <v>6.6E-4</v>
      </c>
      <c r="G4240">
        <v>0</v>
      </c>
      <c r="H4240" t="str">
        <f t="shared" si="198"/>
        <v>30-39</v>
      </c>
      <c r="I4240" t="str">
        <f t="shared" si="199"/>
        <v>0-9</v>
      </c>
      <c r="J4240">
        <f t="shared" si="200"/>
        <v>6.6E-4</v>
      </c>
    </row>
    <row r="4241" spans="1:10">
      <c r="A4241" t="s">
        <v>4323</v>
      </c>
      <c r="B4241">
        <v>58</v>
      </c>
      <c r="C4241" t="s">
        <v>9</v>
      </c>
      <c r="D4241">
        <v>23</v>
      </c>
      <c r="E4241">
        <v>80</v>
      </c>
      <c r="F4241">
        <v>5.0909999999999997E-2</v>
      </c>
      <c r="G4241">
        <v>0</v>
      </c>
      <c r="H4241" t="str">
        <f t="shared" si="198"/>
        <v>80-89</v>
      </c>
      <c r="I4241" t="str">
        <f t="shared" si="199"/>
        <v>20-29</v>
      </c>
      <c r="J4241">
        <f t="shared" si="200"/>
        <v>5.0909999999999997E-2</v>
      </c>
    </row>
    <row r="4242" spans="1:10">
      <c r="A4242" t="s">
        <v>4324</v>
      </c>
      <c r="B4242">
        <v>37</v>
      </c>
      <c r="C4242" t="s">
        <v>7</v>
      </c>
      <c r="D4242">
        <v>27</v>
      </c>
      <c r="E4242">
        <v>63</v>
      </c>
      <c r="F4242">
        <v>6.0499999999999998E-3</v>
      </c>
      <c r="G4242">
        <v>0</v>
      </c>
      <c r="H4242" t="str">
        <f t="shared" si="198"/>
        <v>60-69</v>
      </c>
      <c r="I4242" t="str">
        <f t="shared" si="199"/>
        <v>20-29</v>
      </c>
      <c r="J4242">
        <f t="shared" si="200"/>
        <v>6.0499999999999998E-3</v>
      </c>
    </row>
    <row r="4243" spans="1:10">
      <c r="A4243" t="s">
        <v>4325</v>
      </c>
      <c r="B4243">
        <v>49</v>
      </c>
      <c r="C4243" t="s">
        <v>7</v>
      </c>
      <c r="D4243">
        <v>18</v>
      </c>
      <c r="E4243">
        <v>66</v>
      </c>
      <c r="F4243">
        <v>8.9499999999999996E-3</v>
      </c>
      <c r="G4243">
        <v>0</v>
      </c>
      <c r="H4243" t="str">
        <f t="shared" si="198"/>
        <v>60-69</v>
      </c>
      <c r="I4243" t="str">
        <f t="shared" si="199"/>
        <v>10-19</v>
      </c>
      <c r="J4243">
        <f t="shared" si="200"/>
        <v>8.9499999999999996E-3</v>
      </c>
    </row>
    <row r="4244" spans="1:10">
      <c r="A4244" t="s">
        <v>4326</v>
      </c>
      <c r="B4244">
        <v>29</v>
      </c>
      <c r="C4244" t="s">
        <v>7</v>
      </c>
      <c r="D4244">
        <v>18</v>
      </c>
      <c r="E4244">
        <v>46</v>
      </c>
      <c r="F4244">
        <v>1.3699999999999999E-3</v>
      </c>
      <c r="G4244">
        <v>0</v>
      </c>
      <c r="H4244" t="str">
        <f t="shared" si="198"/>
        <v>40-49</v>
      </c>
      <c r="I4244" t="str">
        <f t="shared" si="199"/>
        <v>10-19</v>
      </c>
      <c r="J4244">
        <f t="shared" si="200"/>
        <v>1.3699999999999999E-3</v>
      </c>
    </row>
    <row r="4245" spans="1:10">
      <c r="A4245" t="s">
        <v>4327</v>
      </c>
      <c r="B4245">
        <v>20</v>
      </c>
      <c r="C4245" t="s">
        <v>7</v>
      </c>
      <c r="D4245">
        <v>11</v>
      </c>
      <c r="E4245">
        <v>30</v>
      </c>
      <c r="F4245">
        <v>4.0000000000000002E-4</v>
      </c>
      <c r="G4245">
        <v>0</v>
      </c>
      <c r="H4245" t="str">
        <f t="shared" si="198"/>
        <v>30-39</v>
      </c>
      <c r="I4245" t="str">
        <f t="shared" si="199"/>
        <v>10-19</v>
      </c>
      <c r="J4245">
        <f t="shared" si="200"/>
        <v>4.0000000000000002E-4</v>
      </c>
    </row>
    <row r="4246" spans="1:10">
      <c r="A4246" t="s">
        <v>4328</v>
      </c>
      <c r="B4246">
        <v>52</v>
      </c>
      <c r="C4246" t="s">
        <v>9</v>
      </c>
      <c r="D4246">
        <v>27</v>
      </c>
      <c r="E4246">
        <v>78</v>
      </c>
      <c r="F4246">
        <v>3.7220000000000003E-2</v>
      </c>
      <c r="G4246">
        <v>0</v>
      </c>
      <c r="H4246" t="str">
        <f t="shared" si="198"/>
        <v>70-79</v>
      </c>
      <c r="I4246" t="str">
        <f t="shared" si="199"/>
        <v>20-29</v>
      </c>
      <c r="J4246">
        <f t="shared" si="200"/>
        <v>3.7220000000000003E-2</v>
      </c>
    </row>
    <row r="4247" spans="1:10">
      <c r="A4247" t="s">
        <v>4329</v>
      </c>
      <c r="B4247">
        <v>23</v>
      </c>
      <c r="C4247" t="s">
        <v>9</v>
      </c>
      <c r="D4247">
        <v>13</v>
      </c>
      <c r="E4247">
        <v>35</v>
      </c>
      <c r="F4247">
        <v>8.0999999999999996E-4</v>
      </c>
      <c r="G4247">
        <v>0</v>
      </c>
      <c r="H4247" t="str">
        <f t="shared" si="198"/>
        <v>30-39</v>
      </c>
      <c r="I4247" t="str">
        <f t="shared" si="199"/>
        <v>10-19</v>
      </c>
      <c r="J4247">
        <f t="shared" si="200"/>
        <v>8.0999999999999996E-4</v>
      </c>
    </row>
    <row r="4248" spans="1:10">
      <c r="A4248" t="s">
        <v>4330</v>
      </c>
      <c r="B4248">
        <v>29</v>
      </c>
      <c r="C4248" t="s">
        <v>9</v>
      </c>
      <c r="D4248">
        <v>28</v>
      </c>
      <c r="E4248">
        <v>56</v>
      </c>
      <c r="F4248">
        <v>3.7499999999999999E-3</v>
      </c>
      <c r="G4248">
        <v>0</v>
      </c>
      <c r="H4248" t="str">
        <f t="shared" si="198"/>
        <v>50-59</v>
      </c>
      <c r="I4248" t="str">
        <f t="shared" si="199"/>
        <v>20-29</v>
      </c>
      <c r="J4248">
        <f t="shared" si="200"/>
        <v>3.7499999999999999E-3</v>
      </c>
    </row>
    <row r="4249" spans="1:10">
      <c r="A4249" t="s">
        <v>4331</v>
      </c>
      <c r="B4249">
        <v>43</v>
      </c>
      <c r="C4249" t="s">
        <v>7</v>
      </c>
      <c r="D4249">
        <v>19</v>
      </c>
      <c r="E4249">
        <v>61</v>
      </c>
      <c r="F4249">
        <v>5.3099999999999996E-3</v>
      </c>
      <c r="G4249">
        <v>0</v>
      </c>
      <c r="H4249" t="str">
        <f t="shared" si="198"/>
        <v>60-69</v>
      </c>
      <c r="I4249" t="str">
        <f t="shared" si="199"/>
        <v>10-19</v>
      </c>
      <c r="J4249">
        <f t="shared" si="200"/>
        <v>5.3099999999999996E-3</v>
      </c>
    </row>
    <row r="4250" spans="1:10">
      <c r="A4250" t="s">
        <v>4332</v>
      </c>
      <c r="B4250">
        <v>49</v>
      </c>
      <c r="C4250" t="s">
        <v>7</v>
      </c>
      <c r="D4250">
        <v>6</v>
      </c>
      <c r="E4250">
        <v>54</v>
      </c>
      <c r="F4250">
        <v>1.8600000000000001E-3</v>
      </c>
      <c r="G4250">
        <v>0</v>
      </c>
      <c r="H4250" t="str">
        <f t="shared" si="198"/>
        <v>50-59</v>
      </c>
      <c r="I4250" t="str">
        <f t="shared" si="199"/>
        <v>0-9</v>
      </c>
      <c r="J4250">
        <f t="shared" si="200"/>
        <v>1.8600000000000001E-3</v>
      </c>
    </row>
    <row r="4251" spans="1:10">
      <c r="A4251" t="s">
        <v>4333</v>
      </c>
      <c r="B4251">
        <v>30</v>
      </c>
      <c r="C4251" t="s">
        <v>7</v>
      </c>
      <c r="D4251">
        <v>21</v>
      </c>
      <c r="E4251">
        <v>50</v>
      </c>
      <c r="F4251">
        <v>2.0200000000000001E-3</v>
      </c>
      <c r="G4251">
        <v>0</v>
      </c>
      <c r="H4251" t="str">
        <f t="shared" si="198"/>
        <v>50-59</v>
      </c>
      <c r="I4251" t="str">
        <f t="shared" si="199"/>
        <v>20-29</v>
      </c>
      <c r="J4251">
        <f t="shared" si="200"/>
        <v>2.0200000000000001E-3</v>
      </c>
    </row>
    <row r="4252" spans="1:10">
      <c r="A4252" t="s">
        <v>4334</v>
      </c>
      <c r="B4252">
        <v>44</v>
      </c>
      <c r="C4252" t="s">
        <v>9</v>
      </c>
      <c r="D4252">
        <v>5</v>
      </c>
      <c r="E4252">
        <v>48</v>
      </c>
      <c r="F4252">
        <v>1.39E-3</v>
      </c>
      <c r="G4252">
        <v>0</v>
      </c>
      <c r="H4252" t="str">
        <f t="shared" si="198"/>
        <v>40-49</v>
      </c>
      <c r="I4252" t="str">
        <f t="shared" si="199"/>
        <v>0-9</v>
      </c>
      <c r="J4252">
        <f t="shared" si="200"/>
        <v>1.39E-3</v>
      </c>
    </row>
    <row r="4253" spans="1:10">
      <c r="A4253" t="s">
        <v>4335</v>
      </c>
      <c r="B4253">
        <v>51</v>
      </c>
      <c r="C4253" t="s">
        <v>7</v>
      </c>
      <c r="D4253">
        <v>22</v>
      </c>
      <c r="E4253">
        <v>72</v>
      </c>
      <c r="F4253">
        <v>1.7170000000000001E-2</v>
      </c>
      <c r="G4253">
        <v>0</v>
      </c>
      <c r="H4253" t="str">
        <f t="shared" si="198"/>
        <v>70-79</v>
      </c>
      <c r="I4253" t="str">
        <f t="shared" si="199"/>
        <v>20-29</v>
      </c>
      <c r="J4253">
        <f t="shared" si="200"/>
        <v>1.7170000000000001E-2</v>
      </c>
    </row>
    <row r="4254" spans="1:10">
      <c r="A4254" t="s">
        <v>4336</v>
      </c>
      <c r="B4254">
        <v>45</v>
      </c>
      <c r="C4254" t="s">
        <v>7</v>
      </c>
      <c r="D4254">
        <v>29</v>
      </c>
      <c r="E4254">
        <v>73</v>
      </c>
      <c r="F4254">
        <v>1.404E-2</v>
      </c>
      <c r="G4254">
        <v>0</v>
      </c>
      <c r="H4254" t="str">
        <f t="shared" si="198"/>
        <v>70-79</v>
      </c>
      <c r="I4254" t="str">
        <f t="shared" si="199"/>
        <v>20-29</v>
      </c>
      <c r="J4254">
        <f t="shared" si="200"/>
        <v>1.404E-2</v>
      </c>
    </row>
    <row r="4255" spans="1:10">
      <c r="A4255" t="s">
        <v>4337</v>
      </c>
      <c r="B4255">
        <v>53</v>
      </c>
      <c r="C4255" t="s">
        <v>7</v>
      </c>
      <c r="D4255">
        <v>12</v>
      </c>
      <c r="E4255">
        <v>64</v>
      </c>
      <c r="F4255">
        <v>6.0699999999999999E-3</v>
      </c>
      <c r="G4255">
        <v>0</v>
      </c>
      <c r="H4255" t="str">
        <f t="shared" si="198"/>
        <v>60-69</v>
      </c>
      <c r="I4255" t="str">
        <f t="shared" si="199"/>
        <v>10-19</v>
      </c>
      <c r="J4255">
        <f t="shared" si="200"/>
        <v>6.0699999999999999E-3</v>
      </c>
    </row>
    <row r="4256" spans="1:10">
      <c r="A4256" t="s">
        <v>4338</v>
      </c>
      <c r="B4256">
        <v>45</v>
      </c>
      <c r="C4256" t="s">
        <v>9</v>
      </c>
      <c r="D4256">
        <v>25</v>
      </c>
      <c r="E4256">
        <v>69</v>
      </c>
      <c r="F4256">
        <v>1.5509999999999999E-2</v>
      </c>
      <c r="G4256">
        <v>0</v>
      </c>
      <c r="H4256" t="str">
        <f t="shared" si="198"/>
        <v>60-69</v>
      </c>
      <c r="I4256" t="str">
        <f t="shared" si="199"/>
        <v>20-29</v>
      </c>
      <c r="J4256">
        <f t="shared" si="200"/>
        <v>1.5509999999999999E-2</v>
      </c>
    </row>
    <row r="4257" spans="1:10">
      <c r="A4257" t="s">
        <v>4339</v>
      </c>
      <c r="B4257">
        <v>30</v>
      </c>
      <c r="C4257" t="s">
        <v>7</v>
      </c>
      <c r="D4257">
        <v>17</v>
      </c>
      <c r="E4257">
        <v>46</v>
      </c>
      <c r="F4257">
        <v>1.34E-3</v>
      </c>
      <c r="G4257">
        <v>0</v>
      </c>
      <c r="H4257" t="str">
        <f t="shared" si="198"/>
        <v>40-49</v>
      </c>
      <c r="I4257" t="str">
        <f t="shared" si="199"/>
        <v>10-19</v>
      </c>
      <c r="J4257">
        <f t="shared" si="200"/>
        <v>1.34E-3</v>
      </c>
    </row>
    <row r="4258" spans="1:10">
      <c r="A4258" t="s">
        <v>4340</v>
      </c>
      <c r="B4258">
        <v>22</v>
      </c>
      <c r="C4258" t="s">
        <v>9</v>
      </c>
      <c r="D4258">
        <v>7</v>
      </c>
      <c r="E4258">
        <v>28</v>
      </c>
      <c r="F4258">
        <v>5.9999999999999995E-4</v>
      </c>
      <c r="G4258">
        <v>0</v>
      </c>
      <c r="H4258" t="str">
        <f t="shared" si="198"/>
        <v>20-29</v>
      </c>
      <c r="I4258" t="str">
        <f t="shared" si="199"/>
        <v>0-9</v>
      </c>
      <c r="J4258">
        <f t="shared" si="200"/>
        <v>5.9999999999999995E-4</v>
      </c>
    </row>
    <row r="4259" spans="1:10">
      <c r="A4259" t="s">
        <v>4341</v>
      </c>
      <c r="B4259">
        <v>39</v>
      </c>
      <c r="C4259" t="s">
        <v>7</v>
      </c>
      <c r="D4259">
        <v>4</v>
      </c>
      <c r="E4259">
        <v>42</v>
      </c>
      <c r="F4259">
        <v>6.2E-4</v>
      </c>
      <c r="G4259">
        <v>0</v>
      </c>
      <c r="H4259" t="str">
        <f t="shared" si="198"/>
        <v>40-49</v>
      </c>
      <c r="I4259" t="str">
        <f t="shared" si="199"/>
        <v>0-9</v>
      </c>
      <c r="J4259">
        <f t="shared" si="200"/>
        <v>6.2E-4</v>
      </c>
    </row>
    <row r="4260" spans="1:10">
      <c r="A4260" t="s">
        <v>4342</v>
      </c>
      <c r="B4260">
        <v>44</v>
      </c>
      <c r="C4260" t="s">
        <v>9</v>
      </c>
      <c r="D4260">
        <v>10</v>
      </c>
      <c r="E4260">
        <v>53</v>
      </c>
      <c r="F4260">
        <v>2.7200000000000002E-3</v>
      </c>
      <c r="G4260">
        <v>0</v>
      </c>
      <c r="H4260" t="str">
        <f t="shared" si="198"/>
        <v>50-59</v>
      </c>
      <c r="I4260" t="str">
        <f t="shared" si="199"/>
        <v>10-19</v>
      </c>
      <c r="J4260">
        <f t="shared" si="200"/>
        <v>2.7200000000000002E-3</v>
      </c>
    </row>
    <row r="4261" spans="1:10">
      <c r="A4261" t="s">
        <v>4343</v>
      </c>
      <c r="B4261">
        <v>32</v>
      </c>
      <c r="C4261" t="s">
        <v>9</v>
      </c>
      <c r="D4261">
        <v>25</v>
      </c>
      <c r="E4261">
        <v>56</v>
      </c>
      <c r="F4261">
        <v>4.3899999999999998E-3</v>
      </c>
      <c r="G4261">
        <v>0</v>
      </c>
      <c r="H4261" t="str">
        <f t="shared" si="198"/>
        <v>50-59</v>
      </c>
      <c r="I4261" t="str">
        <f t="shared" si="199"/>
        <v>20-29</v>
      </c>
      <c r="J4261">
        <f t="shared" si="200"/>
        <v>4.3899999999999998E-3</v>
      </c>
    </row>
    <row r="4262" spans="1:10">
      <c r="A4262" t="s">
        <v>4344</v>
      </c>
      <c r="B4262">
        <v>60</v>
      </c>
      <c r="C4262" t="s">
        <v>9</v>
      </c>
      <c r="D4262">
        <v>25</v>
      </c>
      <c r="E4262">
        <v>84</v>
      </c>
      <c r="F4262">
        <v>8.0629999999999993E-2</v>
      </c>
      <c r="G4262">
        <v>0</v>
      </c>
      <c r="H4262" t="str">
        <f t="shared" si="198"/>
        <v>80-89</v>
      </c>
      <c r="I4262" t="str">
        <f t="shared" si="199"/>
        <v>20-29</v>
      </c>
      <c r="J4262">
        <f t="shared" si="200"/>
        <v>8.0629999999999993E-2</v>
      </c>
    </row>
    <row r="4263" spans="1:10">
      <c r="A4263" t="s">
        <v>4345</v>
      </c>
      <c r="B4263">
        <v>28</v>
      </c>
      <c r="C4263" t="s">
        <v>7</v>
      </c>
      <c r="D4263">
        <v>21</v>
      </c>
      <c r="E4263">
        <v>48</v>
      </c>
      <c r="F4263">
        <v>1.73E-3</v>
      </c>
      <c r="G4263">
        <v>0</v>
      </c>
      <c r="H4263" t="str">
        <f t="shared" si="198"/>
        <v>40-49</v>
      </c>
      <c r="I4263" t="str">
        <f t="shared" si="199"/>
        <v>20-29</v>
      </c>
      <c r="J4263">
        <f t="shared" si="200"/>
        <v>1.73E-3</v>
      </c>
    </row>
    <row r="4264" spans="1:10">
      <c r="A4264" t="s">
        <v>4346</v>
      </c>
      <c r="B4264">
        <v>29</v>
      </c>
      <c r="C4264" t="s">
        <v>7</v>
      </c>
      <c r="D4264">
        <v>1</v>
      </c>
      <c r="E4264">
        <v>29</v>
      </c>
      <c r="F4264">
        <v>1.1E-4</v>
      </c>
      <c r="G4264">
        <v>0</v>
      </c>
      <c r="H4264" t="str">
        <f t="shared" si="198"/>
        <v>20-29</v>
      </c>
      <c r="I4264" t="str">
        <f t="shared" si="199"/>
        <v>0-9</v>
      </c>
      <c r="J4264">
        <f t="shared" si="200"/>
        <v>1.1E-4</v>
      </c>
    </row>
    <row r="4265" spans="1:10">
      <c r="A4265" t="s">
        <v>4347</v>
      </c>
      <c r="B4265">
        <v>36</v>
      </c>
      <c r="C4265" t="s">
        <v>9</v>
      </c>
      <c r="D4265">
        <v>16</v>
      </c>
      <c r="E4265">
        <v>51</v>
      </c>
      <c r="F4265">
        <v>2.5799999999999998E-3</v>
      </c>
      <c r="G4265">
        <v>0</v>
      </c>
      <c r="H4265" t="str">
        <f t="shared" si="198"/>
        <v>50-59</v>
      </c>
      <c r="I4265" t="str">
        <f t="shared" si="199"/>
        <v>10-19</v>
      </c>
      <c r="J4265">
        <f t="shared" si="200"/>
        <v>2.5799999999999998E-3</v>
      </c>
    </row>
    <row r="4266" spans="1:10">
      <c r="A4266" t="s">
        <v>4348</v>
      </c>
      <c r="B4266">
        <v>43</v>
      </c>
      <c r="C4266" t="s">
        <v>9</v>
      </c>
      <c r="D4266">
        <v>29</v>
      </c>
      <c r="E4266">
        <v>71</v>
      </c>
      <c r="F4266">
        <v>1.413E-2</v>
      </c>
      <c r="G4266">
        <v>0</v>
      </c>
      <c r="H4266" t="str">
        <f t="shared" si="198"/>
        <v>70-79</v>
      </c>
      <c r="I4266" t="str">
        <f t="shared" si="199"/>
        <v>20-29</v>
      </c>
      <c r="J4266">
        <f t="shared" si="200"/>
        <v>1.413E-2</v>
      </c>
    </row>
    <row r="4267" spans="1:10">
      <c r="A4267" t="s">
        <v>4349</v>
      </c>
      <c r="B4267">
        <v>23</v>
      </c>
      <c r="C4267" t="s">
        <v>7</v>
      </c>
      <c r="D4267">
        <v>8</v>
      </c>
      <c r="E4267">
        <v>30</v>
      </c>
      <c r="F4267">
        <v>3.4000000000000002E-4</v>
      </c>
      <c r="G4267">
        <v>0</v>
      </c>
      <c r="H4267" t="str">
        <f t="shared" si="198"/>
        <v>30-39</v>
      </c>
      <c r="I4267" t="str">
        <f t="shared" si="199"/>
        <v>0-9</v>
      </c>
      <c r="J4267">
        <f t="shared" si="200"/>
        <v>3.4000000000000002E-4</v>
      </c>
    </row>
    <row r="4268" spans="1:10">
      <c r="A4268" t="s">
        <v>4350</v>
      </c>
      <c r="B4268">
        <v>26</v>
      </c>
      <c r="C4268" t="s">
        <v>9</v>
      </c>
      <c r="D4268">
        <v>10</v>
      </c>
      <c r="E4268">
        <v>35</v>
      </c>
      <c r="F4268">
        <v>6.8999999999999997E-4</v>
      </c>
      <c r="G4268">
        <v>0</v>
      </c>
      <c r="H4268" t="str">
        <f t="shared" si="198"/>
        <v>30-39</v>
      </c>
      <c r="I4268" t="str">
        <f t="shared" si="199"/>
        <v>10-19</v>
      </c>
      <c r="J4268">
        <f t="shared" si="200"/>
        <v>6.8999999999999997E-4</v>
      </c>
    </row>
    <row r="4269" spans="1:10">
      <c r="A4269" t="s">
        <v>4351</v>
      </c>
      <c r="B4269">
        <v>44</v>
      </c>
      <c r="C4269" t="s">
        <v>7</v>
      </c>
      <c r="D4269">
        <v>29</v>
      </c>
      <c r="E4269">
        <v>72</v>
      </c>
      <c r="F4269">
        <v>1.2659999999999999E-2</v>
      </c>
      <c r="G4269">
        <v>0</v>
      </c>
      <c r="H4269" t="str">
        <f t="shared" si="198"/>
        <v>70-79</v>
      </c>
      <c r="I4269" t="str">
        <f t="shared" si="199"/>
        <v>20-29</v>
      </c>
      <c r="J4269">
        <f t="shared" si="200"/>
        <v>1.2659999999999999E-2</v>
      </c>
    </row>
    <row r="4270" spans="1:10">
      <c r="A4270" t="s">
        <v>4352</v>
      </c>
      <c r="B4270">
        <v>58</v>
      </c>
      <c r="C4270" t="s">
        <v>9</v>
      </c>
      <c r="D4270">
        <v>10</v>
      </c>
      <c r="E4270">
        <v>67</v>
      </c>
      <c r="F4270">
        <v>1.1679999999999999E-2</v>
      </c>
      <c r="G4270">
        <v>0</v>
      </c>
      <c r="H4270" t="str">
        <f t="shared" si="198"/>
        <v>60-69</v>
      </c>
      <c r="I4270" t="str">
        <f t="shared" si="199"/>
        <v>10-19</v>
      </c>
      <c r="J4270">
        <f t="shared" si="200"/>
        <v>1.1679999999999999E-2</v>
      </c>
    </row>
    <row r="4271" spans="1:10">
      <c r="A4271" t="s">
        <v>4353</v>
      </c>
      <c r="B4271">
        <v>50</v>
      </c>
      <c r="C4271" t="s">
        <v>7</v>
      </c>
      <c r="D4271">
        <v>2</v>
      </c>
      <c r="E4271">
        <v>51</v>
      </c>
      <c r="F4271">
        <v>7.2000000000000005E-4</v>
      </c>
      <c r="G4271">
        <v>0</v>
      </c>
      <c r="H4271" t="str">
        <f t="shared" si="198"/>
        <v>50-59</v>
      </c>
      <c r="I4271" t="str">
        <f t="shared" si="199"/>
        <v>0-9</v>
      </c>
      <c r="J4271">
        <f t="shared" si="200"/>
        <v>7.2000000000000005E-4</v>
      </c>
    </row>
    <row r="4272" spans="1:10">
      <c r="A4272" t="s">
        <v>4354</v>
      </c>
      <c r="B4272">
        <v>50</v>
      </c>
      <c r="C4272" t="s">
        <v>9</v>
      </c>
      <c r="D4272">
        <v>3</v>
      </c>
      <c r="E4272">
        <v>52</v>
      </c>
      <c r="F4272">
        <v>1.7099999999999999E-3</v>
      </c>
      <c r="G4272">
        <v>0</v>
      </c>
      <c r="H4272" t="str">
        <f t="shared" si="198"/>
        <v>50-59</v>
      </c>
      <c r="I4272" t="str">
        <f t="shared" si="199"/>
        <v>0-9</v>
      </c>
      <c r="J4272">
        <f t="shared" si="200"/>
        <v>1.7099999999999999E-3</v>
      </c>
    </row>
    <row r="4273" spans="1:10">
      <c r="A4273" t="s">
        <v>4355</v>
      </c>
      <c r="B4273">
        <v>52</v>
      </c>
      <c r="C4273" t="s">
        <v>9</v>
      </c>
      <c r="D4273">
        <v>6</v>
      </c>
      <c r="E4273">
        <v>57</v>
      </c>
      <c r="F4273">
        <v>3.62E-3</v>
      </c>
      <c r="G4273">
        <v>0</v>
      </c>
      <c r="H4273" t="str">
        <f t="shared" si="198"/>
        <v>50-59</v>
      </c>
      <c r="I4273" t="str">
        <f t="shared" si="199"/>
        <v>0-9</v>
      </c>
      <c r="J4273">
        <f t="shared" si="200"/>
        <v>3.62E-3</v>
      </c>
    </row>
    <row r="4274" spans="1:10">
      <c r="A4274" t="s">
        <v>4356</v>
      </c>
      <c r="B4274">
        <v>65</v>
      </c>
      <c r="C4274" t="s">
        <v>9</v>
      </c>
      <c r="D4274">
        <v>18</v>
      </c>
      <c r="E4274">
        <v>82</v>
      </c>
      <c r="F4274">
        <v>6.0920000000000002E-2</v>
      </c>
      <c r="G4274">
        <v>1</v>
      </c>
      <c r="H4274" t="str">
        <f t="shared" si="198"/>
        <v>80-89</v>
      </c>
      <c r="I4274" t="str">
        <f t="shared" si="199"/>
        <v>10-19</v>
      </c>
      <c r="J4274">
        <f t="shared" si="200"/>
        <v>6.0920000000000002E-2</v>
      </c>
    </row>
    <row r="4275" spans="1:10">
      <c r="A4275" t="s">
        <v>4357</v>
      </c>
      <c r="B4275">
        <v>33</v>
      </c>
      <c r="C4275" t="s">
        <v>7</v>
      </c>
      <c r="D4275">
        <v>21</v>
      </c>
      <c r="E4275">
        <v>53</v>
      </c>
      <c r="F4275">
        <v>2.5899999999999999E-3</v>
      </c>
      <c r="G4275">
        <v>0</v>
      </c>
      <c r="H4275" t="str">
        <f t="shared" si="198"/>
        <v>50-59</v>
      </c>
      <c r="I4275" t="str">
        <f t="shared" si="199"/>
        <v>20-29</v>
      </c>
      <c r="J4275">
        <f t="shared" si="200"/>
        <v>2.5899999999999999E-3</v>
      </c>
    </row>
    <row r="4276" spans="1:10">
      <c r="A4276" t="s">
        <v>4358</v>
      </c>
      <c r="B4276">
        <v>45</v>
      </c>
      <c r="C4276" t="s">
        <v>7</v>
      </c>
      <c r="D4276">
        <v>11</v>
      </c>
      <c r="E4276">
        <v>55</v>
      </c>
      <c r="F4276">
        <v>2.5100000000000001E-3</v>
      </c>
      <c r="G4276">
        <v>0</v>
      </c>
      <c r="H4276" t="str">
        <f t="shared" si="198"/>
        <v>50-59</v>
      </c>
      <c r="I4276" t="str">
        <f t="shared" si="199"/>
        <v>10-19</v>
      </c>
      <c r="J4276">
        <f t="shared" si="200"/>
        <v>2.5100000000000001E-3</v>
      </c>
    </row>
    <row r="4277" spans="1:10">
      <c r="A4277" t="s">
        <v>4359</v>
      </c>
      <c r="B4277">
        <v>59</v>
      </c>
      <c r="C4277" t="s">
        <v>9</v>
      </c>
      <c r="D4277">
        <v>11</v>
      </c>
      <c r="E4277">
        <v>69</v>
      </c>
      <c r="F4277">
        <v>1.426E-2</v>
      </c>
      <c r="G4277">
        <v>0</v>
      </c>
      <c r="H4277" t="str">
        <f t="shared" si="198"/>
        <v>60-69</v>
      </c>
      <c r="I4277" t="str">
        <f t="shared" si="199"/>
        <v>10-19</v>
      </c>
      <c r="J4277">
        <f t="shared" si="200"/>
        <v>1.426E-2</v>
      </c>
    </row>
    <row r="4278" spans="1:10">
      <c r="A4278" t="s">
        <v>4360</v>
      </c>
      <c r="B4278">
        <v>53</v>
      </c>
      <c r="C4278" t="s">
        <v>9</v>
      </c>
      <c r="D4278">
        <v>19</v>
      </c>
      <c r="E4278">
        <v>71</v>
      </c>
      <c r="F4278">
        <v>1.8769999999999998E-2</v>
      </c>
      <c r="G4278">
        <v>0</v>
      </c>
      <c r="H4278" t="str">
        <f t="shared" si="198"/>
        <v>70-79</v>
      </c>
      <c r="I4278" t="str">
        <f t="shared" si="199"/>
        <v>10-19</v>
      </c>
      <c r="J4278">
        <f t="shared" si="200"/>
        <v>1.8769999999999998E-2</v>
      </c>
    </row>
    <row r="4279" spans="1:10">
      <c r="A4279" t="s">
        <v>4361</v>
      </c>
      <c r="B4279">
        <v>51</v>
      </c>
      <c r="C4279" t="s">
        <v>7</v>
      </c>
      <c r="D4279">
        <v>14</v>
      </c>
      <c r="E4279">
        <v>64</v>
      </c>
      <c r="F4279">
        <v>6.6100000000000004E-3</v>
      </c>
      <c r="G4279">
        <v>0</v>
      </c>
      <c r="H4279" t="str">
        <f t="shared" si="198"/>
        <v>60-69</v>
      </c>
      <c r="I4279" t="str">
        <f t="shared" si="199"/>
        <v>10-19</v>
      </c>
      <c r="J4279">
        <f t="shared" si="200"/>
        <v>6.6100000000000004E-3</v>
      </c>
    </row>
    <row r="4280" spans="1:10">
      <c r="A4280" t="s">
        <v>4362</v>
      </c>
      <c r="B4280">
        <v>55</v>
      </c>
      <c r="C4280" t="s">
        <v>7</v>
      </c>
      <c r="D4280">
        <v>24</v>
      </c>
      <c r="E4280">
        <v>78</v>
      </c>
      <c r="F4280">
        <v>3.1989999999999998E-2</v>
      </c>
      <c r="G4280">
        <v>0</v>
      </c>
      <c r="H4280" t="str">
        <f t="shared" si="198"/>
        <v>70-79</v>
      </c>
      <c r="I4280" t="str">
        <f t="shared" si="199"/>
        <v>20-29</v>
      </c>
      <c r="J4280">
        <f t="shared" si="200"/>
        <v>3.1989999999999998E-2</v>
      </c>
    </row>
    <row r="4281" spans="1:10">
      <c r="A4281" t="s">
        <v>4363</v>
      </c>
      <c r="B4281">
        <v>29</v>
      </c>
      <c r="C4281" t="s">
        <v>7</v>
      </c>
      <c r="D4281">
        <v>30</v>
      </c>
      <c r="E4281">
        <v>58</v>
      </c>
      <c r="F4281">
        <v>2.82E-3</v>
      </c>
      <c r="G4281">
        <v>0</v>
      </c>
      <c r="H4281" t="str">
        <f t="shared" si="198"/>
        <v>50-59</v>
      </c>
      <c r="I4281" t="str">
        <f t="shared" si="199"/>
        <v>30-39</v>
      </c>
      <c r="J4281">
        <f t="shared" si="200"/>
        <v>2.82E-3</v>
      </c>
    </row>
    <row r="4282" spans="1:10">
      <c r="A4282" t="s">
        <v>4364</v>
      </c>
      <c r="B4282">
        <v>65</v>
      </c>
      <c r="C4282" t="s">
        <v>7</v>
      </c>
      <c r="D4282">
        <v>15</v>
      </c>
      <c r="E4282">
        <v>79</v>
      </c>
      <c r="F4282">
        <v>2.9850000000000002E-2</v>
      </c>
      <c r="G4282">
        <v>0</v>
      </c>
      <c r="H4282" t="str">
        <f t="shared" si="198"/>
        <v>70-79</v>
      </c>
      <c r="I4282" t="str">
        <f t="shared" si="199"/>
        <v>10-19</v>
      </c>
      <c r="J4282">
        <f t="shared" si="200"/>
        <v>2.9850000000000002E-2</v>
      </c>
    </row>
    <row r="4283" spans="1:10">
      <c r="A4283" t="s">
        <v>4365</v>
      </c>
      <c r="B4283">
        <v>29</v>
      </c>
      <c r="C4283" t="s">
        <v>7</v>
      </c>
      <c r="D4283">
        <v>5</v>
      </c>
      <c r="E4283">
        <v>33</v>
      </c>
      <c r="F4283">
        <v>2.7E-4</v>
      </c>
      <c r="G4283">
        <v>0</v>
      </c>
      <c r="H4283" t="str">
        <f t="shared" si="198"/>
        <v>30-39</v>
      </c>
      <c r="I4283" t="str">
        <f t="shared" si="199"/>
        <v>0-9</v>
      </c>
      <c r="J4283">
        <f t="shared" si="200"/>
        <v>2.7E-4</v>
      </c>
    </row>
    <row r="4284" spans="1:10">
      <c r="A4284" t="s">
        <v>4366</v>
      </c>
      <c r="B4284">
        <v>59</v>
      </c>
      <c r="C4284" t="s">
        <v>9</v>
      </c>
      <c r="D4284">
        <v>13</v>
      </c>
      <c r="E4284">
        <v>71</v>
      </c>
      <c r="F4284">
        <v>1.848E-2</v>
      </c>
      <c r="G4284">
        <v>0</v>
      </c>
      <c r="H4284" t="str">
        <f t="shared" si="198"/>
        <v>70-79</v>
      </c>
      <c r="I4284" t="str">
        <f t="shared" si="199"/>
        <v>10-19</v>
      </c>
      <c r="J4284">
        <f t="shared" si="200"/>
        <v>1.848E-2</v>
      </c>
    </row>
    <row r="4285" spans="1:10">
      <c r="A4285" t="s">
        <v>4367</v>
      </c>
      <c r="B4285">
        <v>22</v>
      </c>
      <c r="C4285" t="s">
        <v>9</v>
      </c>
      <c r="D4285">
        <v>10</v>
      </c>
      <c r="E4285">
        <v>31</v>
      </c>
      <c r="F4285">
        <v>6.4000000000000005E-4</v>
      </c>
      <c r="G4285">
        <v>0</v>
      </c>
      <c r="H4285" t="str">
        <f t="shared" si="198"/>
        <v>30-39</v>
      </c>
      <c r="I4285" t="str">
        <f t="shared" si="199"/>
        <v>10-19</v>
      </c>
      <c r="J4285">
        <f t="shared" si="200"/>
        <v>6.4000000000000005E-4</v>
      </c>
    </row>
    <row r="4286" spans="1:10">
      <c r="A4286" t="s">
        <v>4368</v>
      </c>
      <c r="B4286">
        <v>46</v>
      </c>
      <c r="C4286" t="s">
        <v>9</v>
      </c>
      <c r="D4286">
        <v>19</v>
      </c>
      <c r="E4286">
        <v>64</v>
      </c>
      <c r="F4286">
        <v>9.2899999999999996E-3</v>
      </c>
      <c r="G4286">
        <v>0</v>
      </c>
      <c r="H4286" t="str">
        <f t="shared" si="198"/>
        <v>60-69</v>
      </c>
      <c r="I4286" t="str">
        <f t="shared" si="199"/>
        <v>10-19</v>
      </c>
      <c r="J4286">
        <f t="shared" si="200"/>
        <v>9.2899999999999996E-3</v>
      </c>
    </row>
    <row r="4287" spans="1:10">
      <c r="A4287" t="s">
        <v>4369</v>
      </c>
      <c r="B4287">
        <v>29</v>
      </c>
      <c r="C4287" t="s">
        <v>7</v>
      </c>
      <c r="D4287">
        <v>14</v>
      </c>
      <c r="E4287">
        <v>42</v>
      </c>
      <c r="F4287">
        <v>1E-3</v>
      </c>
      <c r="G4287">
        <v>0</v>
      </c>
      <c r="H4287" t="str">
        <f t="shared" si="198"/>
        <v>40-49</v>
      </c>
      <c r="I4287" t="str">
        <f t="shared" si="199"/>
        <v>10-19</v>
      </c>
      <c r="J4287">
        <f t="shared" si="200"/>
        <v>1E-3</v>
      </c>
    </row>
    <row r="4288" spans="1:10">
      <c r="A4288" t="s">
        <v>4370</v>
      </c>
      <c r="B4288">
        <v>33</v>
      </c>
      <c r="C4288" t="s">
        <v>7</v>
      </c>
      <c r="D4288">
        <v>1</v>
      </c>
      <c r="E4288">
        <v>33</v>
      </c>
      <c r="F4288">
        <v>1.2999999999999999E-4</v>
      </c>
      <c r="G4288">
        <v>0</v>
      </c>
      <c r="H4288" t="str">
        <f t="shared" si="198"/>
        <v>30-39</v>
      </c>
      <c r="I4288" t="str">
        <f t="shared" si="199"/>
        <v>0-9</v>
      </c>
      <c r="J4288">
        <f t="shared" si="200"/>
        <v>1.2999999999999999E-4</v>
      </c>
    </row>
    <row r="4289" spans="1:10">
      <c r="A4289" t="s">
        <v>4371</v>
      </c>
      <c r="B4289">
        <v>22</v>
      </c>
      <c r="C4289" t="s">
        <v>7</v>
      </c>
      <c r="D4289">
        <v>9</v>
      </c>
      <c r="E4289">
        <v>30</v>
      </c>
      <c r="F4289">
        <v>3.6999999999999999E-4</v>
      </c>
      <c r="G4289">
        <v>0</v>
      </c>
      <c r="H4289" t="str">
        <f t="shared" si="198"/>
        <v>30-39</v>
      </c>
      <c r="I4289" t="str">
        <f t="shared" si="199"/>
        <v>0-9</v>
      </c>
      <c r="J4289">
        <f t="shared" si="200"/>
        <v>3.6999999999999999E-4</v>
      </c>
    </row>
    <row r="4290" spans="1:10">
      <c r="A4290" t="s">
        <v>4372</v>
      </c>
      <c r="B4290">
        <v>34</v>
      </c>
      <c r="C4290" t="s">
        <v>7</v>
      </c>
      <c r="D4290">
        <v>15</v>
      </c>
      <c r="E4290">
        <v>48</v>
      </c>
      <c r="F4290">
        <v>1.48E-3</v>
      </c>
      <c r="G4290">
        <v>0</v>
      </c>
      <c r="H4290" t="str">
        <f t="shared" si="198"/>
        <v>40-49</v>
      </c>
      <c r="I4290" t="str">
        <f t="shared" si="199"/>
        <v>10-19</v>
      </c>
      <c r="J4290">
        <f t="shared" si="200"/>
        <v>1.48E-3</v>
      </c>
    </row>
    <row r="4291" spans="1:10">
      <c r="A4291" t="s">
        <v>4373</v>
      </c>
      <c r="B4291">
        <v>63</v>
      </c>
      <c r="C4291" t="s">
        <v>9</v>
      </c>
      <c r="D4291">
        <v>16</v>
      </c>
      <c r="E4291">
        <v>78</v>
      </c>
      <c r="F4291">
        <v>3.8120000000000001E-2</v>
      </c>
      <c r="G4291">
        <v>0</v>
      </c>
      <c r="H4291" t="str">
        <f t="shared" ref="H4291:H4354" si="201">FLOOR(E4291,10) &amp; "-" &amp; FLOOR(E4291,10)+9</f>
        <v>70-79</v>
      </c>
      <c r="I4291" t="str">
        <f t="shared" ref="I4291:I4354" si="202">FLOOR(D4291, 10) &amp; "-"&amp;FLOOR(D4291, 10)+9</f>
        <v>10-19</v>
      </c>
      <c r="J4291">
        <f t="shared" ref="J4291:J4354" si="203">F4291</f>
        <v>3.8120000000000001E-2</v>
      </c>
    </row>
    <row r="4292" spans="1:10">
      <c r="A4292" t="s">
        <v>4374</v>
      </c>
      <c r="B4292">
        <v>41</v>
      </c>
      <c r="C4292" t="s">
        <v>7</v>
      </c>
      <c r="D4292">
        <v>20</v>
      </c>
      <c r="E4292">
        <v>60</v>
      </c>
      <c r="F4292">
        <v>4.8799999999999998E-3</v>
      </c>
      <c r="G4292">
        <v>0</v>
      </c>
      <c r="H4292" t="str">
        <f t="shared" si="201"/>
        <v>60-69</v>
      </c>
      <c r="I4292" t="str">
        <f t="shared" si="202"/>
        <v>20-29</v>
      </c>
      <c r="J4292">
        <f t="shared" si="203"/>
        <v>4.8799999999999998E-3</v>
      </c>
    </row>
    <row r="4293" spans="1:10">
      <c r="A4293" t="s">
        <v>4375</v>
      </c>
      <c r="B4293">
        <v>50</v>
      </c>
      <c r="C4293" t="s">
        <v>7</v>
      </c>
      <c r="D4293">
        <v>9</v>
      </c>
      <c r="E4293">
        <v>58</v>
      </c>
      <c r="F4293">
        <v>3.0200000000000001E-3</v>
      </c>
      <c r="G4293">
        <v>0</v>
      </c>
      <c r="H4293" t="str">
        <f t="shared" si="201"/>
        <v>50-59</v>
      </c>
      <c r="I4293" t="str">
        <f t="shared" si="202"/>
        <v>0-9</v>
      </c>
      <c r="J4293">
        <f t="shared" si="203"/>
        <v>3.0200000000000001E-3</v>
      </c>
    </row>
    <row r="4294" spans="1:10">
      <c r="A4294" t="s">
        <v>4376</v>
      </c>
      <c r="B4294">
        <v>41</v>
      </c>
      <c r="C4294" t="s">
        <v>7</v>
      </c>
      <c r="D4294">
        <v>21</v>
      </c>
      <c r="E4294">
        <v>61</v>
      </c>
      <c r="F4294">
        <v>5.4599999999999996E-3</v>
      </c>
      <c r="G4294">
        <v>0</v>
      </c>
      <c r="H4294" t="str">
        <f t="shared" si="201"/>
        <v>60-69</v>
      </c>
      <c r="I4294" t="str">
        <f t="shared" si="202"/>
        <v>20-29</v>
      </c>
      <c r="J4294">
        <f t="shared" si="203"/>
        <v>5.4599999999999996E-3</v>
      </c>
    </row>
    <row r="4295" spans="1:10">
      <c r="A4295" t="s">
        <v>4377</v>
      </c>
      <c r="B4295">
        <v>62</v>
      </c>
      <c r="C4295" t="s">
        <v>7</v>
      </c>
      <c r="D4295">
        <v>22</v>
      </c>
      <c r="E4295">
        <v>83</v>
      </c>
      <c r="F4295">
        <v>5.704E-2</v>
      </c>
      <c r="G4295">
        <v>0</v>
      </c>
      <c r="H4295" t="str">
        <f t="shared" si="201"/>
        <v>80-89</v>
      </c>
      <c r="I4295" t="str">
        <f t="shared" si="202"/>
        <v>20-29</v>
      </c>
      <c r="J4295">
        <f t="shared" si="203"/>
        <v>5.704E-2</v>
      </c>
    </row>
    <row r="4296" spans="1:10">
      <c r="A4296" t="s">
        <v>4378</v>
      </c>
      <c r="B4296">
        <v>63</v>
      </c>
      <c r="C4296" t="s">
        <v>7</v>
      </c>
      <c r="D4296">
        <v>9</v>
      </c>
      <c r="E4296">
        <v>71</v>
      </c>
      <c r="F4296">
        <v>9.5499999999999995E-3</v>
      </c>
      <c r="G4296">
        <v>0</v>
      </c>
      <c r="H4296" t="str">
        <f t="shared" si="201"/>
        <v>70-79</v>
      </c>
      <c r="I4296" t="str">
        <f t="shared" si="202"/>
        <v>0-9</v>
      </c>
      <c r="J4296">
        <f t="shared" si="203"/>
        <v>9.5499999999999995E-3</v>
      </c>
    </row>
    <row r="4297" spans="1:10">
      <c r="A4297" t="s">
        <v>4379</v>
      </c>
      <c r="B4297">
        <v>35</v>
      </c>
      <c r="C4297" t="s">
        <v>7</v>
      </c>
      <c r="D4297">
        <v>8</v>
      </c>
      <c r="E4297">
        <v>42</v>
      </c>
      <c r="F4297">
        <v>7.3999999999999999E-4</v>
      </c>
      <c r="G4297">
        <v>0</v>
      </c>
      <c r="H4297" t="str">
        <f t="shared" si="201"/>
        <v>40-49</v>
      </c>
      <c r="I4297" t="str">
        <f t="shared" si="202"/>
        <v>0-9</v>
      </c>
      <c r="J4297">
        <f t="shared" si="203"/>
        <v>7.3999999999999999E-4</v>
      </c>
    </row>
    <row r="4298" spans="1:10">
      <c r="A4298" t="s">
        <v>4380</v>
      </c>
      <c r="B4298">
        <v>37</v>
      </c>
      <c r="C4298" t="s">
        <v>7</v>
      </c>
      <c r="D4298">
        <v>11</v>
      </c>
      <c r="E4298">
        <v>47</v>
      </c>
      <c r="F4298">
        <v>1.2199999999999999E-3</v>
      </c>
      <c r="G4298">
        <v>0</v>
      </c>
      <c r="H4298" t="str">
        <f t="shared" si="201"/>
        <v>40-49</v>
      </c>
      <c r="I4298" t="str">
        <f t="shared" si="202"/>
        <v>10-19</v>
      </c>
      <c r="J4298">
        <f t="shared" si="203"/>
        <v>1.2199999999999999E-3</v>
      </c>
    </row>
    <row r="4299" spans="1:10">
      <c r="A4299" t="s">
        <v>4381</v>
      </c>
      <c r="B4299">
        <v>45</v>
      </c>
      <c r="C4299" t="s">
        <v>7</v>
      </c>
      <c r="D4299">
        <v>2</v>
      </c>
      <c r="E4299">
        <v>46</v>
      </c>
      <c r="F4299">
        <v>4.4000000000000002E-4</v>
      </c>
      <c r="G4299">
        <v>0</v>
      </c>
      <c r="H4299" t="str">
        <f t="shared" si="201"/>
        <v>40-49</v>
      </c>
      <c r="I4299" t="str">
        <f t="shared" si="202"/>
        <v>0-9</v>
      </c>
      <c r="J4299">
        <f t="shared" si="203"/>
        <v>4.4000000000000002E-4</v>
      </c>
    </row>
    <row r="4300" spans="1:10">
      <c r="A4300" t="s">
        <v>4382</v>
      </c>
      <c r="B4300">
        <v>36</v>
      </c>
      <c r="C4300" t="s">
        <v>7</v>
      </c>
      <c r="D4300">
        <v>4</v>
      </c>
      <c r="E4300">
        <v>39</v>
      </c>
      <c r="F4300">
        <v>4.8999999999999998E-4</v>
      </c>
      <c r="G4300">
        <v>0</v>
      </c>
      <c r="H4300" t="str">
        <f t="shared" si="201"/>
        <v>30-39</v>
      </c>
      <c r="I4300" t="str">
        <f t="shared" si="202"/>
        <v>0-9</v>
      </c>
      <c r="J4300">
        <f t="shared" si="203"/>
        <v>4.8999999999999998E-4</v>
      </c>
    </row>
    <row r="4301" spans="1:10">
      <c r="A4301" t="s">
        <v>4383</v>
      </c>
      <c r="B4301">
        <v>34</v>
      </c>
      <c r="C4301" t="s">
        <v>7</v>
      </c>
      <c r="D4301">
        <v>29</v>
      </c>
      <c r="E4301">
        <v>62</v>
      </c>
      <c r="F4301">
        <v>4.4600000000000004E-3</v>
      </c>
      <c r="G4301">
        <v>0</v>
      </c>
      <c r="H4301" t="str">
        <f t="shared" si="201"/>
        <v>60-69</v>
      </c>
      <c r="I4301" t="str">
        <f t="shared" si="202"/>
        <v>20-29</v>
      </c>
      <c r="J4301">
        <f t="shared" si="203"/>
        <v>4.4600000000000004E-3</v>
      </c>
    </row>
    <row r="4302" spans="1:10">
      <c r="A4302" t="s">
        <v>4384</v>
      </c>
      <c r="B4302">
        <v>29</v>
      </c>
      <c r="C4302" t="s">
        <v>9</v>
      </c>
      <c r="D4302">
        <v>30</v>
      </c>
      <c r="E4302">
        <v>58</v>
      </c>
      <c r="F4302">
        <v>3.7499999999999999E-3</v>
      </c>
      <c r="G4302">
        <v>0</v>
      </c>
      <c r="H4302" t="str">
        <f t="shared" si="201"/>
        <v>50-59</v>
      </c>
      <c r="I4302" t="str">
        <f t="shared" si="202"/>
        <v>30-39</v>
      </c>
      <c r="J4302">
        <f t="shared" si="203"/>
        <v>3.7499999999999999E-3</v>
      </c>
    </row>
    <row r="4303" spans="1:10">
      <c r="A4303" t="s">
        <v>4385</v>
      </c>
      <c r="B4303">
        <v>43</v>
      </c>
      <c r="C4303" t="s">
        <v>7</v>
      </c>
      <c r="D4303">
        <v>14</v>
      </c>
      <c r="E4303">
        <v>56</v>
      </c>
      <c r="F4303">
        <v>3.0100000000000001E-3</v>
      </c>
      <c r="G4303">
        <v>0</v>
      </c>
      <c r="H4303" t="str">
        <f t="shared" si="201"/>
        <v>50-59</v>
      </c>
      <c r="I4303" t="str">
        <f t="shared" si="202"/>
        <v>10-19</v>
      </c>
      <c r="J4303">
        <f t="shared" si="203"/>
        <v>3.0100000000000001E-3</v>
      </c>
    </row>
    <row r="4304" spans="1:10">
      <c r="A4304" t="s">
        <v>4386</v>
      </c>
      <c r="B4304">
        <v>41</v>
      </c>
      <c r="C4304" t="s">
        <v>9</v>
      </c>
      <c r="D4304">
        <v>10</v>
      </c>
      <c r="E4304">
        <v>50</v>
      </c>
      <c r="F4304">
        <v>2.0799999999999998E-3</v>
      </c>
      <c r="G4304">
        <v>0</v>
      </c>
      <c r="H4304" t="str">
        <f t="shared" si="201"/>
        <v>50-59</v>
      </c>
      <c r="I4304" t="str">
        <f t="shared" si="202"/>
        <v>10-19</v>
      </c>
      <c r="J4304">
        <f t="shared" si="203"/>
        <v>2.0799999999999998E-3</v>
      </c>
    </row>
    <row r="4305" spans="1:10">
      <c r="A4305" t="s">
        <v>4387</v>
      </c>
      <c r="B4305">
        <v>50</v>
      </c>
      <c r="C4305" t="s">
        <v>7</v>
      </c>
      <c r="D4305">
        <v>30</v>
      </c>
      <c r="E4305">
        <v>79</v>
      </c>
      <c r="F4305">
        <v>2.325E-2</v>
      </c>
      <c r="G4305">
        <v>0</v>
      </c>
      <c r="H4305" t="str">
        <f t="shared" si="201"/>
        <v>70-79</v>
      </c>
      <c r="I4305" t="str">
        <f t="shared" si="202"/>
        <v>30-39</v>
      </c>
      <c r="J4305">
        <f t="shared" si="203"/>
        <v>2.325E-2</v>
      </c>
    </row>
    <row r="4306" spans="1:10">
      <c r="A4306" t="s">
        <v>4388</v>
      </c>
      <c r="B4306">
        <v>23</v>
      </c>
      <c r="C4306" t="s">
        <v>9</v>
      </c>
      <c r="D4306">
        <v>14</v>
      </c>
      <c r="E4306">
        <v>36</v>
      </c>
      <c r="F4306">
        <v>9.1E-4</v>
      </c>
      <c r="G4306">
        <v>0</v>
      </c>
      <c r="H4306" t="str">
        <f t="shared" si="201"/>
        <v>30-39</v>
      </c>
      <c r="I4306" t="str">
        <f t="shared" si="202"/>
        <v>10-19</v>
      </c>
      <c r="J4306">
        <f t="shared" si="203"/>
        <v>9.1E-4</v>
      </c>
    </row>
    <row r="4307" spans="1:10">
      <c r="A4307" t="s">
        <v>4389</v>
      </c>
      <c r="B4307">
        <v>46</v>
      </c>
      <c r="C4307" t="s">
        <v>7</v>
      </c>
      <c r="D4307">
        <v>16</v>
      </c>
      <c r="E4307">
        <v>61</v>
      </c>
      <c r="F4307">
        <v>5.13E-3</v>
      </c>
      <c r="G4307">
        <v>0</v>
      </c>
      <c r="H4307" t="str">
        <f t="shared" si="201"/>
        <v>60-69</v>
      </c>
      <c r="I4307" t="str">
        <f t="shared" si="202"/>
        <v>10-19</v>
      </c>
      <c r="J4307">
        <f t="shared" si="203"/>
        <v>5.13E-3</v>
      </c>
    </row>
    <row r="4308" spans="1:10">
      <c r="A4308" t="s">
        <v>4390</v>
      </c>
      <c r="B4308">
        <v>43</v>
      </c>
      <c r="C4308" t="s">
        <v>9</v>
      </c>
      <c r="D4308">
        <v>4</v>
      </c>
      <c r="E4308">
        <v>46</v>
      </c>
      <c r="F4308">
        <v>1.1000000000000001E-3</v>
      </c>
      <c r="G4308">
        <v>0</v>
      </c>
      <c r="H4308" t="str">
        <f t="shared" si="201"/>
        <v>40-49</v>
      </c>
      <c r="I4308" t="str">
        <f t="shared" si="202"/>
        <v>0-9</v>
      </c>
      <c r="J4308">
        <f t="shared" si="203"/>
        <v>1.1000000000000001E-3</v>
      </c>
    </row>
    <row r="4309" spans="1:10">
      <c r="A4309" t="s">
        <v>4391</v>
      </c>
      <c r="B4309">
        <v>51</v>
      </c>
      <c r="C4309" t="s">
        <v>7</v>
      </c>
      <c r="D4309">
        <v>30</v>
      </c>
      <c r="E4309">
        <v>80</v>
      </c>
      <c r="F4309">
        <v>2.58E-2</v>
      </c>
      <c r="G4309">
        <v>0</v>
      </c>
      <c r="H4309" t="str">
        <f t="shared" si="201"/>
        <v>80-89</v>
      </c>
      <c r="I4309" t="str">
        <f t="shared" si="202"/>
        <v>30-39</v>
      </c>
      <c r="J4309">
        <f t="shared" si="203"/>
        <v>2.58E-2</v>
      </c>
    </row>
    <row r="4310" spans="1:10">
      <c r="A4310" t="s">
        <v>4392</v>
      </c>
      <c r="B4310">
        <v>45</v>
      </c>
      <c r="C4310" t="s">
        <v>7</v>
      </c>
      <c r="D4310">
        <v>14</v>
      </c>
      <c r="E4310">
        <v>58</v>
      </c>
      <c r="F4310">
        <v>3.6800000000000001E-3</v>
      </c>
      <c r="G4310">
        <v>0</v>
      </c>
      <c r="H4310" t="str">
        <f t="shared" si="201"/>
        <v>50-59</v>
      </c>
      <c r="I4310" t="str">
        <f t="shared" si="202"/>
        <v>10-19</v>
      </c>
      <c r="J4310">
        <f t="shared" si="203"/>
        <v>3.6800000000000001E-3</v>
      </c>
    </row>
    <row r="4311" spans="1:10">
      <c r="A4311" t="s">
        <v>4393</v>
      </c>
      <c r="B4311">
        <v>59</v>
      </c>
      <c r="C4311" t="s">
        <v>9</v>
      </c>
      <c r="D4311">
        <v>26</v>
      </c>
      <c r="E4311">
        <v>84</v>
      </c>
      <c r="F4311">
        <v>8.0629999999999993E-2</v>
      </c>
      <c r="G4311">
        <v>0</v>
      </c>
      <c r="H4311" t="str">
        <f t="shared" si="201"/>
        <v>80-89</v>
      </c>
      <c r="I4311" t="str">
        <f t="shared" si="202"/>
        <v>20-29</v>
      </c>
      <c r="J4311">
        <f t="shared" si="203"/>
        <v>8.0629999999999993E-2</v>
      </c>
    </row>
    <row r="4312" spans="1:10">
      <c r="A4312" t="s">
        <v>4394</v>
      </c>
      <c r="B4312">
        <v>40</v>
      </c>
      <c r="C4312" t="s">
        <v>9</v>
      </c>
      <c r="D4312">
        <v>19</v>
      </c>
      <c r="E4312">
        <v>58</v>
      </c>
      <c r="F4312">
        <v>5.2100000000000002E-3</v>
      </c>
      <c r="G4312">
        <v>0</v>
      </c>
      <c r="H4312" t="str">
        <f t="shared" si="201"/>
        <v>50-59</v>
      </c>
      <c r="I4312" t="str">
        <f t="shared" si="202"/>
        <v>10-19</v>
      </c>
      <c r="J4312">
        <f t="shared" si="203"/>
        <v>5.2100000000000002E-3</v>
      </c>
    </row>
    <row r="4313" spans="1:10">
      <c r="A4313" t="s">
        <v>4395</v>
      </c>
      <c r="B4313">
        <v>25</v>
      </c>
      <c r="C4313" t="s">
        <v>7</v>
      </c>
      <c r="D4313">
        <v>3</v>
      </c>
      <c r="E4313">
        <v>27</v>
      </c>
      <c r="F4313">
        <v>2.0000000000000001E-4</v>
      </c>
      <c r="G4313">
        <v>0</v>
      </c>
      <c r="H4313" t="str">
        <f t="shared" si="201"/>
        <v>20-29</v>
      </c>
      <c r="I4313" t="str">
        <f t="shared" si="202"/>
        <v>0-9</v>
      </c>
      <c r="J4313">
        <f t="shared" si="203"/>
        <v>2.0000000000000001E-4</v>
      </c>
    </row>
    <row r="4314" spans="1:10">
      <c r="A4314" t="s">
        <v>4396</v>
      </c>
      <c r="B4314">
        <v>54</v>
      </c>
      <c r="C4314" t="s">
        <v>9</v>
      </c>
      <c r="D4314">
        <v>14</v>
      </c>
      <c r="E4314">
        <v>67</v>
      </c>
      <c r="F4314">
        <v>1.2460000000000001E-2</v>
      </c>
      <c r="G4314">
        <v>0</v>
      </c>
      <c r="H4314" t="str">
        <f t="shared" si="201"/>
        <v>60-69</v>
      </c>
      <c r="I4314" t="str">
        <f t="shared" si="202"/>
        <v>10-19</v>
      </c>
      <c r="J4314">
        <f t="shared" si="203"/>
        <v>1.2460000000000001E-2</v>
      </c>
    </row>
    <row r="4315" spans="1:10">
      <c r="A4315" t="s">
        <v>4397</v>
      </c>
      <c r="B4315">
        <v>64</v>
      </c>
      <c r="C4315" t="s">
        <v>9</v>
      </c>
      <c r="D4315">
        <v>21</v>
      </c>
      <c r="E4315">
        <v>84</v>
      </c>
      <c r="F4315">
        <v>8.0629999999999993E-2</v>
      </c>
      <c r="G4315">
        <v>1</v>
      </c>
      <c r="H4315" t="str">
        <f t="shared" si="201"/>
        <v>80-89</v>
      </c>
      <c r="I4315" t="str">
        <f t="shared" si="202"/>
        <v>20-29</v>
      </c>
      <c r="J4315">
        <f t="shared" si="203"/>
        <v>8.0629999999999993E-2</v>
      </c>
    </row>
    <row r="4316" spans="1:10">
      <c r="A4316" t="s">
        <v>4398</v>
      </c>
      <c r="B4316">
        <v>50</v>
      </c>
      <c r="C4316" t="s">
        <v>9</v>
      </c>
      <c r="D4316">
        <v>6</v>
      </c>
      <c r="E4316">
        <v>55</v>
      </c>
      <c r="F4316">
        <v>2.99E-3</v>
      </c>
      <c r="G4316">
        <v>0</v>
      </c>
      <c r="H4316" t="str">
        <f t="shared" si="201"/>
        <v>50-59</v>
      </c>
      <c r="I4316" t="str">
        <f t="shared" si="202"/>
        <v>0-9</v>
      </c>
      <c r="J4316">
        <f t="shared" si="203"/>
        <v>2.99E-3</v>
      </c>
    </row>
    <row r="4317" spans="1:10">
      <c r="A4317" t="s">
        <v>4399</v>
      </c>
      <c r="B4317">
        <v>43</v>
      </c>
      <c r="C4317" t="s">
        <v>7</v>
      </c>
      <c r="D4317">
        <v>22</v>
      </c>
      <c r="E4317">
        <v>64</v>
      </c>
      <c r="F4317">
        <v>7.4700000000000001E-3</v>
      </c>
      <c r="G4317">
        <v>0</v>
      </c>
      <c r="H4317" t="str">
        <f t="shared" si="201"/>
        <v>60-69</v>
      </c>
      <c r="I4317" t="str">
        <f t="shared" si="202"/>
        <v>20-29</v>
      </c>
      <c r="J4317">
        <f t="shared" si="203"/>
        <v>7.4700000000000001E-3</v>
      </c>
    </row>
    <row r="4318" spans="1:10">
      <c r="A4318" t="s">
        <v>4400</v>
      </c>
      <c r="B4318">
        <v>42</v>
      </c>
      <c r="C4318" t="s">
        <v>7</v>
      </c>
      <c r="D4318">
        <v>22</v>
      </c>
      <c r="E4318">
        <v>63</v>
      </c>
      <c r="F4318">
        <v>6.7200000000000003E-3</v>
      </c>
      <c r="G4318">
        <v>0</v>
      </c>
      <c r="H4318" t="str">
        <f t="shared" si="201"/>
        <v>60-69</v>
      </c>
      <c r="I4318" t="str">
        <f t="shared" si="202"/>
        <v>20-29</v>
      </c>
      <c r="J4318">
        <f t="shared" si="203"/>
        <v>6.7200000000000003E-3</v>
      </c>
    </row>
    <row r="4319" spans="1:10">
      <c r="A4319" t="s">
        <v>4401</v>
      </c>
      <c r="B4319">
        <v>39</v>
      </c>
      <c r="C4319" t="s">
        <v>9</v>
      </c>
      <c r="D4319">
        <v>11</v>
      </c>
      <c r="E4319">
        <v>49</v>
      </c>
      <c r="F4319">
        <v>1.92E-3</v>
      </c>
      <c r="G4319">
        <v>0</v>
      </c>
      <c r="H4319" t="str">
        <f t="shared" si="201"/>
        <v>40-49</v>
      </c>
      <c r="I4319" t="str">
        <f t="shared" si="202"/>
        <v>10-19</v>
      </c>
      <c r="J4319">
        <f t="shared" si="203"/>
        <v>1.92E-3</v>
      </c>
    </row>
    <row r="4320" spans="1:10">
      <c r="A4320" t="s">
        <v>4402</v>
      </c>
      <c r="B4320">
        <v>25</v>
      </c>
      <c r="C4320" t="s">
        <v>7</v>
      </c>
      <c r="D4320">
        <v>2</v>
      </c>
      <c r="E4320">
        <v>26</v>
      </c>
      <c r="F4320">
        <v>1.9000000000000001E-4</v>
      </c>
      <c r="G4320">
        <v>0</v>
      </c>
      <c r="H4320" t="str">
        <f t="shared" si="201"/>
        <v>20-29</v>
      </c>
      <c r="I4320" t="str">
        <f t="shared" si="202"/>
        <v>0-9</v>
      </c>
      <c r="J4320">
        <f t="shared" si="203"/>
        <v>1.9000000000000001E-4</v>
      </c>
    </row>
    <row r="4321" spans="1:10">
      <c r="A4321" t="s">
        <v>4403</v>
      </c>
      <c r="B4321">
        <v>32</v>
      </c>
      <c r="C4321" t="s">
        <v>9</v>
      </c>
      <c r="D4321">
        <v>26</v>
      </c>
      <c r="E4321">
        <v>57</v>
      </c>
      <c r="F4321">
        <v>4.7800000000000004E-3</v>
      </c>
      <c r="G4321">
        <v>0</v>
      </c>
      <c r="H4321" t="str">
        <f t="shared" si="201"/>
        <v>50-59</v>
      </c>
      <c r="I4321" t="str">
        <f t="shared" si="202"/>
        <v>20-29</v>
      </c>
      <c r="J4321">
        <f t="shared" si="203"/>
        <v>4.7800000000000004E-3</v>
      </c>
    </row>
    <row r="4322" spans="1:10">
      <c r="A4322" t="s">
        <v>4404</v>
      </c>
      <c r="B4322">
        <v>51</v>
      </c>
      <c r="C4322" t="s">
        <v>9</v>
      </c>
      <c r="D4322">
        <v>4</v>
      </c>
      <c r="E4322">
        <v>54</v>
      </c>
      <c r="F4322">
        <v>2.4199999999999998E-3</v>
      </c>
      <c r="G4322">
        <v>0</v>
      </c>
      <c r="H4322" t="str">
        <f t="shared" si="201"/>
        <v>50-59</v>
      </c>
      <c r="I4322" t="str">
        <f t="shared" si="202"/>
        <v>0-9</v>
      </c>
      <c r="J4322">
        <f t="shared" si="203"/>
        <v>2.4199999999999998E-3</v>
      </c>
    </row>
    <row r="4323" spans="1:10">
      <c r="A4323" t="s">
        <v>4405</v>
      </c>
      <c r="B4323">
        <v>53</v>
      </c>
      <c r="C4323" t="s">
        <v>7</v>
      </c>
      <c r="D4323">
        <v>3</v>
      </c>
      <c r="E4323">
        <v>55</v>
      </c>
      <c r="F4323">
        <v>1.64E-3</v>
      </c>
      <c r="G4323">
        <v>0</v>
      </c>
      <c r="H4323" t="str">
        <f t="shared" si="201"/>
        <v>50-59</v>
      </c>
      <c r="I4323" t="str">
        <f t="shared" si="202"/>
        <v>0-9</v>
      </c>
      <c r="J4323">
        <f t="shared" si="203"/>
        <v>1.64E-3</v>
      </c>
    </row>
    <row r="4324" spans="1:10">
      <c r="A4324" t="s">
        <v>4406</v>
      </c>
      <c r="B4324">
        <v>24</v>
      </c>
      <c r="C4324" t="s">
        <v>7</v>
      </c>
      <c r="D4324">
        <v>15</v>
      </c>
      <c r="E4324">
        <v>38</v>
      </c>
      <c r="F4324">
        <v>8.3000000000000001E-4</v>
      </c>
      <c r="G4324">
        <v>0</v>
      </c>
      <c r="H4324" t="str">
        <f t="shared" si="201"/>
        <v>30-39</v>
      </c>
      <c r="I4324" t="str">
        <f t="shared" si="202"/>
        <v>10-19</v>
      </c>
      <c r="J4324">
        <f t="shared" si="203"/>
        <v>8.3000000000000001E-4</v>
      </c>
    </row>
    <row r="4325" spans="1:10">
      <c r="A4325" t="s">
        <v>4407</v>
      </c>
      <c r="B4325">
        <v>61</v>
      </c>
      <c r="C4325" t="s">
        <v>7</v>
      </c>
      <c r="D4325">
        <v>25</v>
      </c>
      <c r="E4325">
        <v>85</v>
      </c>
      <c r="F4325">
        <v>7.2980000000000003E-2</v>
      </c>
      <c r="G4325">
        <v>0</v>
      </c>
      <c r="H4325" t="str">
        <f t="shared" si="201"/>
        <v>80-89</v>
      </c>
      <c r="I4325" t="str">
        <f t="shared" si="202"/>
        <v>20-29</v>
      </c>
      <c r="J4325">
        <f t="shared" si="203"/>
        <v>7.2980000000000003E-2</v>
      </c>
    </row>
    <row r="4326" spans="1:10">
      <c r="A4326" t="s">
        <v>4408</v>
      </c>
      <c r="B4326">
        <v>58</v>
      </c>
      <c r="C4326" t="s">
        <v>7</v>
      </c>
      <c r="D4326">
        <v>8</v>
      </c>
      <c r="E4326">
        <v>65</v>
      </c>
      <c r="F4326">
        <v>5.9300000000000004E-3</v>
      </c>
      <c r="G4326">
        <v>0</v>
      </c>
      <c r="H4326" t="str">
        <f t="shared" si="201"/>
        <v>60-69</v>
      </c>
      <c r="I4326" t="str">
        <f t="shared" si="202"/>
        <v>0-9</v>
      </c>
      <c r="J4326">
        <f t="shared" si="203"/>
        <v>5.9300000000000004E-3</v>
      </c>
    </row>
    <row r="4327" spans="1:10">
      <c r="A4327" t="s">
        <v>4409</v>
      </c>
      <c r="B4327">
        <v>41</v>
      </c>
      <c r="C4327" t="s">
        <v>9</v>
      </c>
      <c r="D4327">
        <v>22</v>
      </c>
      <c r="E4327">
        <v>62</v>
      </c>
      <c r="F4327">
        <v>7.7400000000000004E-3</v>
      </c>
      <c r="G4327">
        <v>0</v>
      </c>
      <c r="H4327" t="str">
        <f t="shared" si="201"/>
        <v>60-69</v>
      </c>
      <c r="I4327" t="str">
        <f t="shared" si="202"/>
        <v>20-29</v>
      </c>
      <c r="J4327">
        <f t="shared" si="203"/>
        <v>7.7400000000000004E-3</v>
      </c>
    </row>
    <row r="4328" spans="1:10">
      <c r="A4328" t="s">
        <v>4410</v>
      </c>
      <c r="B4328">
        <v>48</v>
      </c>
      <c r="C4328" t="s">
        <v>7</v>
      </c>
      <c r="D4328">
        <v>12</v>
      </c>
      <c r="E4328">
        <v>59</v>
      </c>
      <c r="F4328">
        <v>3.82E-3</v>
      </c>
      <c r="G4328">
        <v>0</v>
      </c>
      <c r="H4328" t="str">
        <f t="shared" si="201"/>
        <v>50-59</v>
      </c>
      <c r="I4328" t="str">
        <f t="shared" si="202"/>
        <v>10-19</v>
      </c>
      <c r="J4328">
        <f t="shared" si="203"/>
        <v>3.82E-3</v>
      </c>
    </row>
    <row r="4329" spans="1:10">
      <c r="A4329" t="s">
        <v>4411</v>
      </c>
      <c r="B4329">
        <v>61</v>
      </c>
      <c r="C4329" t="s">
        <v>7</v>
      </c>
      <c r="D4329">
        <v>23</v>
      </c>
      <c r="E4329">
        <v>83</v>
      </c>
      <c r="F4329">
        <v>5.704E-2</v>
      </c>
      <c r="G4329">
        <v>0</v>
      </c>
      <c r="H4329" t="str">
        <f t="shared" si="201"/>
        <v>80-89</v>
      </c>
      <c r="I4329" t="str">
        <f t="shared" si="202"/>
        <v>20-29</v>
      </c>
      <c r="J4329">
        <f t="shared" si="203"/>
        <v>5.704E-2</v>
      </c>
    </row>
    <row r="4330" spans="1:10">
      <c r="A4330" t="s">
        <v>4412</v>
      </c>
      <c r="B4330">
        <v>35</v>
      </c>
      <c r="C4330" t="s">
        <v>7</v>
      </c>
      <c r="D4330">
        <v>26</v>
      </c>
      <c r="E4330">
        <v>60</v>
      </c>
      <c r="F4330">
        <v>4.9300000000000004E-3</v>
      </c>
      <c r="G4330">
        <v>0</v>
      </c>
      <c r="H4330" t="str">
        <f t="shared" si="201"/>
        <v>60-69</v>
      </c>
      <c r="I4330" t="str">
        <f t="shared" si="202"/>
        <v>20-29</v>
      </c>
      <c r="J4330">
        <f t="shared" si="203"/>
        <v>4.9300000000000004E-3</v>
      </c>
    </row>
    <row r="4331" spans="1:10">
      <c r="A4331" t="s">
        <v>4413</v>
      </c>
      <c r="B4331">
        <v>40</v>
      </c>
      <c r="C4331" t="s">
        <v>9</v>
      </c>
      <c r="D4331">
        <v>7</v>
      </c>
      <c r="E4331">
        <v>46</v>
      </c>
      <c r="F4331">
        <v>1.2700000000000001E-3</v>
      </c>
      <c r="G4331">
        <v>0</v>
      </c>
      <c r="H4331" t="str">
        <f t="shared" si="201"/>
        <v>40-49</v>
      </c>
      <c r="I4331" t="str">
        <f t="shared" si="202"/>
        <v>0-9</v>
      </c>
      <c r="J4331">
        <f t="shared" si="203"/>
        <v>1.2700000000000001E-3</v>
      </c>
    </row>
    <row r="4332" spans="1:10">
      <c r="A4332" t="s">
        <v>4414</v>
      </c>
      <c r="B4332">
        <v>29</v>
      </c>
      <c r="C4332" t="s">
        <v>9</v>
      </c>
      <c r="D4332">
        <v>2</v>
      </c>
      <c r="E4332">
        <v>30</v>
      </c>
      <c r="F4332">
        <v>3.1E-4</v>
      </c>
      <c r="G4332">
        <v>0</v>
      </c>
      <c r="H4332" t="str">
        <f t="shared" si="201"/>
        <v>30-39</v>
      </c>
      <c r="I4332" t="str">
        <f t="shared" si="202"/>
        <v>0-9</v>
      </c>
      <c r="J4332">
        <f t="shared" si="203"/>
        <v>3.1E-4</v>
      </c>
    </row>
    <row r="4333" spans="1:10">
      <c r="A4333" t="s">
        <v>4415</v>
      </c>
      <c r="B4333">
        <v>27</v>
      </c>
      <c r="C4333" t="s">
        <v>9</v>
      </c>
      <c r="D4333">
        <v>5</v>
      </c>
      <c r="E4333">
        <v>31</v>
      </c>
      <c r="F4333">
        <v>4.0000000000000002E-4</v>
      </c>
      <c r="G4333">
        <v>0</v>
      </c>
      <c r="H4333" t="str">
        <f t="shared" si="201"/>
        <v>30-39</v>
      </c>
      <c r="I4333" t="str">
        <f t="shared" si="202"/>
        <v>0-9</v>
      </c>
      <c r="J4333">
        <f t="shared" si="203"/>
        <v>4.0000000000000002E-4</v>
      </c>
    </row>
    <row r="4334" spans="1:10">
      <c r="A4334" t="s">
        <v>4416</v>
      </c>
      <c r="B4334">
        <v>29</v>
      </c>
      <c r="C4334" t="s">
        <v>9</v>
      </c>
      <c r="D4334">
        <v>24</v>
      </c>
      <c r="E4334">
        <v>52</v>
      </c>
      <c r="F4334">
        <v>3.0999999999999999E-3</v>
      </c>
      <c r="G4334">
        <v>0</v>
      </c>
      <c r="H4334" t="str">
        <f t="shared" si="201"/>
        <v>50-59</v>
      </c>
      <c r="I4334" t="str">
        <f t="shared" si="202"/>
        <v>20-29</v>
      </c>
      <c r="J4334">
        <f t="shared" si="203"/>
        <v>3.0999999999999999E-3</v>
      </c>
    </row>
    <row r="4335" spans="1:10">
      <c r="A4335" t="s">
        <v>4417</v>
      </c>
      <c r="B4335">
        <v>64</v>
      </c>
      <c r="C4335" t="s">
        <v>7</v>
      </c>
      <c r="D4335">
        <v>11</v>
      </c>
      <c r="E4335">
        <v>74</v>
      </c>
      <c r="F4335">
        <v>1.443E-2</v>
      </c>
      <c r="G4335">
        <v>0</v>
      </c>
      <c r="H4335" t="str">
        <f t="shared" si="201"/>
        <v>70-79</v>
      </c>
      <c r="I4335" t="str">
        <f t="shared" si="202"/>
        <v>10-19</v>
      </c>
      <c r="J4335">
        <f t="shared" si="203"/>
        <v>1.443E-2</v>
      </c>
    </row>
    <row r="4336" spans="1:10">
      <c r="A4336" t="s">
        <v>4418</v>
      </c>
      <c r="B4336">
        <v>47</v>
      </c>
      <c r="C4336" t="s">
        <v>9</v>
      </c>
      <c r="D4336">
        <v>14</v>
      </c>
      <c r="E4336">
        <v>60</v>
      </c>
      <c r="F4336">
        <v>6.0299999999999998E-3</v>
      </c>
      <c r="G4336">
        <v>0</v>
      </c>
      <c r="H4336" t="str">
        <f t="shared" si="201"/>
        <v>60-69</v>
      </c>
      <c r="I4336" t="str">
        <f t="shared" si="202"/>
        <v>10-19</v>
      </c>
      <c r="J4336">
        <f t="shared" si="203"/>
        <v>6.0299999999999998E-3</v>
      </c>
    </row>
    <row r="4337" spans="1:10">
      <c r="A4337" t="s">
        <v>4419</v>
      </c>
      <c r="B4337">
        <v>62</v>
      </c>
      <c r="C4337" t="s">
        <v>7</v>
      </c>
      <c r="D4337">
        <v>18</v>
      </c>
      <c r="E4337">
        <v>79</v>
      </c>
      <c r="F4337">
        <v>3.3279999999999997E-2</v>
      </c>
      <c r="G4337">
        <v>0</v>
      </c>
      <c r="H4337" t="str">
        <f t="shared" si="201"/>
        <v>70-79</v>
      </c>
      <c r="I4337" t="str">
        <f t="shared" si="202"/>
        <v>10-19</v>
      </c>
      <c r="J4337">
        <f t="shared" si="203"/>
        <v>3.3279999999999997E-2</v>
      </c>
    </row>
    <row r="4338" spans="1:10">
      <c r="A4338" t="s">
        <v>4420</v>
      </c>
      <c r="B4338">
        <v>65</v>
      </c>
      <c r="C4338" t="s">
        <v>7</v>
      </c>
      <c r="D4338">
        <v>7</v>
      </c>
      <c r="E4338">
        <v>71</v>
      </c>
      <c r="F4338">
        <v>9.1299999999999992E-3</v>
      </c>
      <c r="G4338">
        <v>0</v>
      </c>
      <c r="H4338" t="str">
        <f t="shared" si="201"/>
        <v>70-79</v>
      </c>
      <c r="I4338" t="str">
        <f t="shared" si="202"/>
        <v>0-9</v>
      </c>
      <c r="J4338">
        <f t="shared" si="203"/>
        <v>9.1299999999999992E-3</v>
      </c>
    </row>
    <row r="4339" spans="1:10">
      <c r="A4339" t="s">
        <v>4421</v>
      </c>
      <c r="B4339">
        <v>43</v>
      </c>
      <c r="C4339" t="s">
        <v>9</v>
      </c>
      <c r="D4339">
        <v>6</v>
      </c>
      <c r="E4339">
        <v>48</v>
      </c>
      <c r="F4339">
        <v>1.4499999999999999E-3</v>
      </c>
      <c r="G4339">
        <v>0</v>
      </c>
      <c r="H4339" t="str">
        <f t="shared" si="201"/>
        <v>40-49</v>
      </c>
      <c r="I4339" t="str">
        <f t="shared" si="202"/>
        <v>0-9</v>
      </c>
      <c r="J4339">
        <f t="shared" si="203"/>
        <v>1.4499999999999999E-3</v>
      </c>
    </row>
    <row r="4340" spans="1:10">
      <c r="A4340" t="s">
        <v>4422</v>
      </c>
      <c r="B4340">
        <v>23</v>
      </c>
      <c r="C4340" t="s">
        <v>7</v>
      </c>
      <c r="D4340">
        <v>2</v>
      </c>
      <c r="E4340">
        <v>24</v>
      </c>
      <c r="F4340">
        <v>2.4000000000000001E-4</v>
      </c>
      <c r="G4340">
        <v>0</v>
      </c>
      <c r="H4340" t="str">
        <f t="shared" si="201"/>
        <v>20-29</v>
      </c>
      <c r="I4340" t="str">
        <f t="shared" si="202"/>
        <v>0-9</v>
      </c>
      <c r="J4340">
        <f t="shared" si="203"/>
        <v>2.4000000000000001E-4</v>
      </c>
    </row>
    <row r="4341" spans="1:10">
      <c r="A4341" t="s">
        <v>4423</v>
      </c>
      <c r="B4341">
        <v>44</v>
      </c>
      <c r="C4341" t="s">
        <v>7</v>
      </c>
      <c r="D4341">
        <v>6</v>
      </c>
      <c r="E4341">
        <v>49</v>
      </c>
      <c r="F4341">
        <v>1.1800000000000001E-3</v>
      </c>
      <c r="G4341">
        <v>0</v>
      </c>
      <c r="H4341" t="str">
        <f t="shared" si="201"/>
        <v>40-49</v>
      </c>
      <c r="I4341" t="str">
        <f t="shared" si="202"/>
        <v>0-9</v>
      </c>
      <c r="J4341">
        <f t="shared" si="203"/>
        <v>1.1800000000000001E-3</v>
      </c>
    </row>
    <row r="4342" spans="1:10">
      <c r="A4342" t="s">
        <v>4424</v>
      </c>
      <c r="B4342">
        <v>45</v>
      </c>
      <c r="C4342" t="s">
        <v>7</v>
      </c>
      <c r="D4342">
        <v>26</v>
      </c>
      <c r="E4342">
        <v>70</v>
      </c>
      <c r="F4342">
        <v>1.404E-2</v>
      </c>
      <c r="G4342">
        <v>0</v>
      </c>
      <c r="H4342" t="str">
        <f t="shared" si="201"/>
        <v>70-79</v>
      </c>
      <c r="I4342" t="str">
        <f t="shared" si="202"/>
        <v>20-29</v>
      </c>
      <c r="J4342">
        <f t="shared" si="203"/>
        <v>1.404E-2</v>
      </c>
    </row>
    <row r="4343" spans="1:10">
      <c r="A4343" t="s">
        <v>4425</v>
      </c>
      <c r="B4343">
        <v>28</v>
      </c>
      <c r="C4343" t="s">
        <v>9</v>
      </c>
      <c r="D4343">
        <v>27</v>
      </c>
      <c r="E4343">
        <v>54</v>
      </c>
      <c r="F4343">
        <v>3.5000000000000001E-3</v>
      </c>
      <c r="G4343">
        <v>0</v>
      </c>
      <c r="H4343" t="str">
        <f t="shared" si="201"/>
        <v>50-59</v>
      </c>
      <c r="I4343" t="str">
        <f t="shared" si="202"/>
        <v>20-29</v>
      </c>
      <c r="J4343">
        <f t="shared" si="203"/>
        <v>3.5000000000000001E-3</v>
      </c>
    </row>
    <row r="4344" spans="1:10">
      <c r="A4344" t="s">
        <v>4426</v>
      </c>
      <c r="B4344">
        <v>47</v>
      </c>
      <c r="C4344" t="s">
        <v>9</v>
      </c>
      <c r="D4344">
        <v>22</v>
      </c>
      <c r="E4344">
        <v>68</v>
      </c>
      <c r="F4344">
        <v>1.405E-2</v>
      </c>
      <c r="G4344">
        <v>0</v>
      </c>
      <c r="H4344" t="str">
        <f t="shared" si="201"/>
        <v>60-69</v>
      </c>
      <c r="I4344" t="str">
        <f t="shared" si="202"/>
        <v>20-29</v>
      </c>
      <c r="J4344">
        <f t="shared" si="203"/>
        <v>1.405E-2</v>
      </c>
    </row>
    <row r="4345" spans="1:10">
      <c r="A4345" t="s">
        <v>4427</v>
      </c>
      <c r="B4345">
        <v>56</v>
      </c>
      <c r="C4345" t="s">
        <v>7</v>
      </c>
      <c r="D4345">
        <v>28</v>
      </c>
      <c r="E4345">
        <v>83</v>
      </c>
      <c r="F4345">
        <v>4.4880000000000003E-2</v>
      </c>
      <c r="G4345">
        <v>1</v>
      </c>
      <c r="H4345" t="str">
        <f t="shared" si="201"/>
        <v>80-89</v>
      </c>
      <c r="I4345" t="str">
        <f t="shared" si="202"/>
        <v>20-29</v>
      </c>
      <c r="J4345">
        <f t="shared" si="203"/>
        <v>4.4880000000000003E-2</v>
      </c>
    </row>
    <row r="4346" spans="1:10">
      <c r="A4346" t="s">
        <v>4428</v>
      </c>
      <c r="B4346">
        <v>30</v>
      </c>
      <c r="C4346" t="s">
        <v>9</v>
      </c>
      <c r="D4346">
        <v>9</v>
      </c>
      <c r="E4346">
        <v>38</v>
      </c>
      <c r="F4346">
        <v>7.5000000000000002E-4</v>
      </c>
      <c r="G4346">
        <v>0</v>
      </c>
      <c r="H4346" t="str">
        <f t="shared" si="201"/>
        <v>30-39</v>
      </c>
      <c r="I4346" t="str">
        <f t="shared" si="202"/>
        <v>0-9</v>
      </c>
      <c r="J4346">
        <f t="shared" si="203"/>
        <v>7.5000000000000002E-4</v>
      </c>
    </row>
    <row r="4347" spans="1:10">
      <c r="A4347" t="s">
        <v>4429</v>
      </c>
      <c r="B4347">
        <v>41</v>
      </c>
      <c r="C4347" t="s">
        <v>9</v>
      </c>
      <c r="D4347">
        <v>5</v>
      </c>
      <c r="E4347">
        <v>45</v>
      </c>
      <c r="F4347">
        <v>1.07E-3</v>
      </c>
      <c r="G4347">
        <v>0</v>
      </c>
      <c r="H4347" t="str">
        <f t="shared" si="201"/>
        <v>40-49</v>
      </c>
      <c r="I4347" t="str">
        <f t="shared" si="202"/>
        <v>0-9</v>
      </c>
      <c r="J4347">
        <f t="shared" si="203"/>
        <v>1.07E-3</v>
      </c>
    </row>
    <row r="4348" spans="1:10">
      <c r="A4348" t="s">
        <v>4430</v>
      </c>
      <c r="B4348">
        <v>52</v>
      </c>
      <c r="C4348" t="s">
        <v>9</v>
      </c>
      <c r="D4348">
        <v>20</v>
      </c>
      <c r="E4348">
        <v>71</v>
      </c>
      <c r="F4348">
        <v>1.8890000000000001E-2</v>
      </c>
      <c r="G4348">
        <v>0</v>
      </c>
      <c r="H4348" t="str">
        <f t="shared" si="201"/>
        <v>70-79</v>
      </c>
      <c r="I4348" t="str">
        <f t="shared" si="202"/>
        <v>20-29</v>
      </c>
      <c r="J4348">
        <f t="shared" si="203"/>
        <v>1.8890000000000001E-2</v>
      </c>
    </row>
    <row r="4349" spans="1:10">
      <c r="A4349" t="s">
        <v>4431</v>
      </c>
      <c r="B4349">
        <v>32</v>
      </c>
      <c r="C4349" t="s">
        <v>9</v>
      </c>
      <c r="D4349">
        <v>24</v>
      </c>
      <c r="E4349">
        <v>55</v>
      </c>
      <c r="F4349">
        <v>4.0400000000000002E-3</v>
      </c>
      <c r="G4349">
        <v>0</v>
      </c>
      <c r="H4349" t="str">
        <f t="shared" si="201"/>
        <v>50-59</v>
      </c>
      <c r="I4349" t="str">
        <f t="shared" si="202"/>
        <v>20-29</v>
      </c>
      <c r="J4349">
        <f t="shared" si="203"/>
        <v>4.0400000000000002E-3</v>
      </c>
    </row>
    <row r="4350" spans="1:10">
      <c r="A4350" t="s">
        <v>4432</v>
      </c>
      <c r="B4350">
        <v>20</v>
      </c>
      <c r="C4350" t="s">
        <v>9</v>
      </c>
      <c r="D4350">
        <v>21</v>
      </c>
      <c r="E4350">
        <v>40</v>
      </c>
      <c r="F4350">
        <v>1.7600000000000001E-3</v>
      </c>
      <c r="G4350">
        <v>0</v>
      </c>
      <c r="H4350" t="str">
        <f t="shared" si="201"/>
        <v>40-49</v>
      </c>
      <c r="I4350" t="str">
        <f t="shared" si="202"/>
        <v>20-29</v>
      </c>
      <c r="J4350">
        <f t="shared" si="203"/>
        <v>1.7600000000000001E-3</v>
      </c>
    </row>
    <row r="4351" spans="1:10">
      <c r="A4351" t="s">
        <v>4433</v>
      </c>
      <c r="B4351">
        <v>59</v>
      </c>
      <c r="C4351" t="s">
        <v>9</v>
      </c>
      <c r="D4351">
        <v>12</v>
      </c>
      <c r="E4351">
        <v>70</v>
      </c>
      <c r="F4351">
        <v>1.6310000000000002E-2</v>
      </c>
      <c r="G4351">
        <v>0</v>
      </c>
      <c r="H4351" t="str">
        <f t="shared" si="201"/>
        <v>70-79</v>
      </c>
      <c r="I4351" t="str">
        <f t="shared" si="202"/>
        <v>10-19</v>
      </c>
      <c r="J4351">
        <f t="shared" si="203"/>
        <v>1.6310000000000002E-2</v>
      </c>
    </row>
    <row r="4352" spans="1:10">
      <c r="A4352" t="s">
        <v>4434</v>
      </c>
      <c r="B4352">
        <v>52</v>
      </c>
      <c r="C4352" t="s">
        <v>9</v>
      </c>
      <c r="D4352">
        <v>7</v>
      </c>
      <c r="E4352">
        <v>58</v>
      </c>
      <c r="F4352">
        <v>4.2599999999999999E-3</v>
      </c>
      <c r="G4352">
        <v>0</v>
      </c>
      <c r="H4352" t="str">
        <f t="shared" si="201"/>
        <v>50-59</v>
      </c>
      <c r="I4352" t="str">
        <f t="shared" si="202"/>
        <v>0-9</v>
      </c>
      <c r="J4352">
        <f t="shared" si="203"/>
        <v>4.2599999999999999E-3</v>
      </c>
    </row>
    <row r="4353" spans="1:10">
      <c r="A4353" t="s">
        <v>4435</v>
      </c>
      <c r="B4353">
        <v>62</v>
      </c>
      <c r="C4353" t="s">
        <v>7</v>
      </c>
      <c r="D4353">
        <v>28</v>
      </c>
      <c r="E4353">
        <v>89</v>
      </c>
      <c r="F4353">
        <v>9.3240000000000003E-2</v>
      </c>
      <c r="G4353">
        <v>0</v>
      </c>
      <c r="H4353" t="str">
        <f t="shared" si="201"/>
        <v>80-89</v>
      </c>
      <c r="I4353" t="str">
        <f t="shared" si="202"/>
        <v>20-29</v>
      </c>
      <c r="J4353">
        <f t="shared" si="203"/>
        <v>9.3240000000000003E-2</v>
      </c>
    </row>
    <row r="4354" spans="1:10">
      <c r="A4354" t="s">
        <v>4436</v>
      </c>
      <c r="B4354">
        <v>53</v>
      </c>
      <c r="C4354" t="s">
        <v>7</v>
      </c>
      <c r="D4354">
        <v>13</v>
      </c>
      <c r="E4354">
        <v>65</v>
      </c>
      <c r="F4354">
        <v>6.9199999999999999E-3</v>
      </c>
      <c r="G4354">
        <v>0</v>
      </c>
      <c r="H4354" t="str">
        <f t="shared" si="201"/>
        <v>60-69</v>
      </c>
      <c r="I4354" t="str">
        <f t="shared" si="202"/>
        <v>10-19</v>
      </c>
      <c r="J4354">
        <f t="shared" si="203"/>
        <v>6.9199999999999999E-3</v>
      </c>
    </row>
    <row r="4355" spans="1:10">
      <c r="A4355" t="s">
        <v>4437</v>
      </c>
      <c r="B4355">
        <v>59</v>
      </c>
      <c r="C4355" t="s">
        <v>7</v>
      </c>
      <c r="D4355">
        <v>30</v>
      </c>
      <c r="E4355">
        <v>88</v>
      </c>
      <c r="F4355">
        <v>6.4490000000000006E-2</v>
      </c>
      <c r="G4355">
        <v>0</v>
      </c>
      <c r="H4355" t="str">
        <f t="shared" ref="H4355:H4418" si="204">FLOOR(E4355,10) &amp; "-" &amp; FLOOR(E4355,10)+9</f>
        <v>80-89</v>
      </c>
      <c r="I4355" t="str">
        <f t="shared" ref="I4355:I4418" si="205">FLOOR(D4355, 10) &amp; "-"&amp;FLOOR(D4355, 10)+9</f>
        <v>30-39</v>
      </c>
      <c r="J4355">
        <f t="shared" ref="J4355:J4418" si="206">F4355</f>
        <v>6.4490000000000006E-2</v>
      </c>
    </row>
    <row r="4356" spans="1:10">
      <c r="A4356" t="s">
        <v>4438</v>
      </c>
      <c r="B4356">
        <v>22</v>
      </c>
      <c r="C4356" t="s">
        <v>7</v>
      </c>
      <c r="D4356">
        <v>15</v>
      </c>
      <c r="E4356">
        <v>36</v>
      </c>
      <c r="F4356">
        <v>6.8999999999999997E-4</v>
      </c>
      <c r="G4356">
        <v>0</v>
      </c>
      <c r="H4356" t="str">
        <f t="shared" si="204"/>
        <v>30-39</v>
      </c>
      <c r="I4356" t="str">
        <f t="shared" si="205"/>
        <v>10-19</v>
      </c>
      <c r="J4356">
        <f t="shared" si="206"/>
        <v>6.8999999999999997E-4</v>
      </c>
    </row>
    <row r="4357" spans="1:10">
      <c r="A4357" t="s">
        <v>4439</v>
      </c>
      <c r="B4357">
        <v>38</v>
      </c>
      <c r="C4357" t="s">
        <v>7</v>
      </c>
      <c r="D4357">
        <v>18</v>
      </c>
      <c r="E4357">
        <v>55</v>
      </c>
      <c r="F4357">
        <v>2.8900000000000002E-3</v>
      </c>
      <c r="G4357">
        <v>0</v>
      </c>
      <c r="H4357" t="str">
        <f t="shared" si="204"/>
        <v>50-59</v>
      </c>
      <c r="I4357" t="str">
        <f t="shared" si="205"/>
        <v>10-19</v>
      </c>
      <c r="J4357">
        <f t="shared" si="206"/>
        <v>2.8900000000000002E-3</v>
      </c>
    </row>
    <row r="4358" spans="1:10">
      <c r="A4358" t="s">
        <v>4440</v>
      </c>
      <c r="B4358">
        <v>38</v>
      </c>
      <c r="C4358" t="s">
        <v>9</v>
      </c>
      <c r="D4358">
        <v>11</v>
      </c>
      <c r="E4358">
        <v>48</v>
      </c>
      <c r="F4358">
        <v>1.74E-3</v>
      </c>
      <c r="G4358">
        <v>0</v>
      </c>
      <c r="H4358" t="str">
        <f t="shared" si="204"/>
        <v>40-49</v>
      </c>
      <c r="I4358" t="str">
        <f t="shared" si="205"/>
        <v>10-19</v>
      </c>
      <c r="J4358">
        <f t="shared" si="206"/>
        <v>1.74E-3</v>
      </c>
    </row>
    <row r="4359" spans="1:10">
      <c r="A4359" t="s">
        <v>4441</v>
      </c>
      <c r="B4359">
        <v>24</v>
      </c>
      <c r="C4359" t="s">
        <v>7</v>
      </c>
      <c r="D4359">
        <v>16</v>
      </c>
      <c r="E4359">
        <v>39</v>
      </c>
      <c r="F4359">
        <v>9.2000000000000003E-4</v>
      </c>
      <c r="G4359">
        <v>0</v>
      </c>
      <c r="H4359" t="str">
        <f t="shared" si="204"/>
        <v>30-39</v>
      </c>
      <c r="I4359" t="str">
        <f t="shared" si="205"/>
        <v>10-19</v>
      </c>
      <c r="J4359">
        <f t="shared" si="206"/>
        <v>9.2000000000000003E-4</v>
      </c>
    </row>
    <row r="4360" spans="1:10">
      <c r="A4360" t="s">
        <v>4442</v>
      </c>
      <c r="B4360">
        <v>49</v>
      </c>
      <c r="C4360" t="s">
        <v>7</v>
      </c>
      <c r="D4360">
        <v>30</v>
      </c>
      <c r="E4360">
        <v>78</v>
      </c>
      <c r="F4360">
        <v>2.0979999999999999E-2</v>
      </c>
      <c r="G4360">
        <v>0</v>
      </c>
      <c r="H4360" t="str">
        <f t="shared" si="204"/>
        <v>70-79</v>
      </c>
      <c r="I4360" t="str">
        <f t="shared" si="205"/>
        <v>30-39</v>
      </c>
      <c r="J4360">
        <f t="shared" si="206"/>
        <v>2.0979999999999999E-2</v>
      </c>
    </row>
    <row r="4361" spans="1:10">
      <c r="A4361" t="s">
        <v>4443</v>
      </c>
      <c r="B4361">
        <v>40</v>
      </c>
      <c r="C4361" t="s">
        <v>7</v>
      </c>
      <c r="D4361">
        <v>27</v>
      </c>
      <c r="E4361">
        <v>66</v>
      </c>
      <c r="F4361">
        <v>8.3099999999999997E-3</v>
      </c>
      <c r="G4361">
        <v>0</v>
      </c>
      <c r="H4361" t="str">
        <f t="shared" si="204"/>
        <v>60-69</v>
      </c>
      <c r="I4361" t="str">
        <f t="shared" si="205"/>
        <v>20-29</v>
      </c>
      <c r="J4361">
        <f t="shared" si="206"/>
        <v>8.3099999999999997E-3</v>
      </c>
    </row>
    <row r="4362" spans="1:10">
      <c r="A4362" t="s">
        <v>4444</v>
      </c>
      <c r="B4362">
        <v>39</v>
      </c>
      <c r="C4362" t="s">
        <v>7</v>
      </c>
      <c r="D4362">
        <v>29</v>
      </c>
      <c r="E4362">
        <v>67</v>
      </c>
      <c r="F4362">
        <v>7.4700000000000001E-3</v>
      </c>
      <c r="G4362">
        <v>0</v>
      </c>
      <c r="H4362" t="str">
        <f t="shared" si="204"/>
        <v>60-69</v>
      </c>
      <c r="I4362" t="str">
        <f t="shared" si="205"/>
        <v>20-29</v>
      </c>
      <c r="J4362">
        <f t="shared" si="206"/>
        <v>7.4700000000000001E-3</v>
      </c>
    </row>
    <row r="4363" spans="1:10">
      <c r="A4363" t="s">
        <v>4445</v>
      </c>
      <c r="B4363">
        <v>34</v>
      </c>
      <c r="C4363" t="s">
        <v>7</v>
      </c>
      <c r="D4363">
        <v>22</v>
      </c>
      <c r="E4363">
        <v>55</v>
      </c>
      <c r="F4363">
        <v>3.0799999999999998E-3</v>
      </c>
      <c r="G4363">
        <v>0</v>
      </c>
      <c r="H4363" t="str">
        <f t="shared" si="204"/>
        <v>50-59</v>
      </c>
      <c r="I4363" t="str">
        <f t="shared" si="205"/>
        <v>20-29</v>
      </c>
      <c r="J4363">
        <f t="shared" si="206"/>
        <v>3.0799999999999998E-3</v>
      </c>
    </row>
    <row r="4364" spans="1:10">
      <c r="A4364" t="s">
        <v>4446</v>
      </c>
      <c r="B4364">
        <v>36</v>
      </c>
      <c r="C4364" t="s">
        <v>7</v>
      </c>
      <c r="D4364">
        <v>1</v>
      </c>
      <c r="E4364">
        <v>36</v>
      </c>
      <c r="F4364">
        <v>1.7000000000000001E-4</v>
      </c>
      <c r="G4364">
        <v>0</v>
      </c>
      <c r="H4364" t="str">
        <f t="shared" si="204"/>
        <v>30-39</v>
      </c>
      <c r="I4364" t="str">
        <f t="shared" si="205"/>
        <v>0-9</v>
      </c>
      <c r="J4364">
        <f t="shared" si="206"/>
        <v>1.7000000000000001E-4</v>
      </c>
    </row>
    <row r="4365" spans="1:10">
      <c r="A4365" t="s">
        <v>4447</v>
      </c>
      <c r="B4365">
        <v>48</v>
      </c>
      <c r="C4365" t="s">
        <v>9</v>
      </c>
      <c r="D4365">
        <v>8</v>
      </c>
      <c r="E4365">
        <v>55</v>
      </c>
      <c r="F4365">
        <v>3.1099999999999999E-3</v>
      </c>
      <c r="G4365">
        <v>0</v>
      </c>
      <c r="H4365" t="str">
        <f t="shared" si="204"/>
        <v>50-59</v>
      </c>
      <c r="I4365" t="str">
        <f t="shared" si="205"/>
        <v>0-9</v>
      </c>
      <c r="J4365">
        <f t="shared" si="206"/>
        <v>3.1099999999999999E-3</v>
      </c>
    </row>
    <row r="4366" spans="1:10">
      <c r="A4366" t="s">
        <v>4448</v>
      </c>
      <c r="B4366">
        <v>24</v>
      </c>
      <c r="C4366" t="s">
        <v>7</v>
      </c>
      <c r="D4366">
        <v>26</v>
      </c>
      <c r="E4366">
        <v>49</v>
      </c>
      <c r="F4366">
        <v>1.8699999999999999E-3</v>
      </c>
      <c r="G4366">
        <v>0</v>
      </c>
      <c r="H4366" t="str">
        <f t="shared" si="204"/>
        <v>40-49</v>
      </c>
      <c r="I4366" t="str">
        <f t="shared" si="205"/>
        <v>20-29</v>
      </c>
      <c r="J4366">
        <f t="shared" si="206"/>
        <v>1.8699999999999999E-3</v>
      </c>
    </row>
    <row r="4367" spans="1:10">
      <c r="A4367" t="s">
        <v>4449</v>
      </c>
      <c r="B4367">
        <v>54</v>
      </c>
      <c r="C4367" t="s">
        <v>9</v>
      </c>
      <c r="D4367">
        <v>14</v>
      </c>
      <c r="E4367">
        <v>67</v>
      </c>
      <c r="F4367">
        <v>1.2460000000000001E-2</v>
      </c>
      <c r="G4367">
        <v>0</v>
      </c>
      <c r="H4367" t="str">
        <f t="shared" si="204"/>
        <v>60-69</v>
      </c>
      <c r="I4367" t="str">
        <f t="shared" si="205"/>
        <v>10-19</v>
      </c>
      <c r="J4367">
        <f t="shared" si="206"/>
        <v>1.2460000000000001E-2</v>
      </c>
    </row>
    <row r="4368" spans="1:10">
      <c r="A4368" t="s">
        <v>4450</v>
      </c>
      <c r="B4368">
        <v>60</v>
      </c>
      <c r="C4368" t="s">
        <v>9</v>
      </c>
      <c r="D4368">
        <v>26</v>
      </c>
      <c r="E4368">
        <v>85</v>
      </c>
      <c r="F4368">
        <v>9.1270000000000004E-2</v>
      </c>
      <c r="G4368">
        <v>0</v>
      </c>
      <c r="H4368" t="str">
        <f t="shared" si="204"/>
        <v>80-89</v>
      </c>
      <c r="I4368" t="str">
        <f t="shared" si="205"/>
        <v>20-29</v>
      </c>
      <c r="J4368">
        <f t="shared" si="206"/>
        <v>9.1270000000000004E-2</v>
      </c>
    </row>
    <row r="4369" spans="1:10">
      <c r="A4369" t="s">
        <v>4451</v>
      </c>
      <c r="B4369">
        <v>23</v>
      </c>
      <c r="C4369" t="s">
        <v>7</v>
      </c>
      <c r="D4369">
        <v>16</v>
      </c>
      <c r="E4369">
        <v>38</v>
      </c>
      <c r="F4369">
        <v>8.5999999999999998E-4</v>
      </c>
      <c r="G4369">
        <v>0</v>
      </c>
      <c r="H4369" t="str">
        <f t="shared" si="204"/>
        <v>30-39</v>
      </c>
      <c r="I4369" t="str">
        <f t="shared" si="205"/>
        <v>10-19</v>
      </c>
      <c r="J4369">
        <f t="shared" si="206"/>
        <v>8.5999999999999998E-4</v>
      </c>
    </row>
    <row r="4370" spans="1:10">
      <c r="A4370" t="s">
        <v>4452</v>
      </c>
      <c r="B4370">
        <v>62</v>
      </c>
      <c r="C4370" t="s">
        <v>9</v>
      </c>
      <c r="D4370">
        <v>18</v>
      </c>
      <c r="E4370">
        <v>79</v>
      </c>
      <c r="F4370">
        <v>4.5069999999999999E-2</v>
      </c>
      <c r="G4370">
        <v>0</v>
      </c>
      <c r="H4370" t="str">
        <f t="shared" si="204"/>
        <v>70-79</v>
      </c>
      <c r="I4370" t="str">
        <f t="shared" si="205"/>
        <v>10-19</v>
      </c>
      <c r="J4370">
        <f t="shared" si="206"/>
        <v>4.5069999999999999E-2</v>
      </c>
    </row>
    <row r="4371" spans="1:10">
      <c r="A4371" t="s">
        <v>4453</v>
      </c>
      <c r="B4371">
        <v>35</v>
      </c>
      <c r="C4371" t="s">
        <v>7</v>
      </c>
      <c r="D4371">
        <v>30</v>
      </c>
      <c r="E4371">
        <v>64</v>
      </c>
      <c r="F4371">
        <v>4.9300000000000004E-3</v>
      </c>
      <c r="G4371">
        <v>0</v>
      </c>
      <c r="H4371" t="str">
        <f t="shared" si="204"/>
        <v>60-69</v>
      </c>
      <c r="I4371" t="str">
        <f t="shared" si="205"/>
        <v>30-39</v>
      </c>
      <c r="J4371">
        <f t="shared" si="206"/>
        <v>4.9300000000000004E-3</v>
      </c>
    </row>
    <row r="4372" spans="1:10">
      <c r="A4372" t="s">
        <v>4454</v>
      </c>
      <c r="B4372">
        <v>41</v>
      </c>
      <c r="C4372" t="s">
        <v>7</v>
      </c>
      <c r="D4372">
        <v>6</v>
      </c>
      <c r="E4372">
        <v>46</v>
      </c>
      <c r="F4372">
        <v>9.2000000000000003E-4</v>
      </c>
      <c r="G4372">
        <v>0</v>
      </c>
      <c r="H4372" t="str">
        <f t="shared" si="204"/>
        <v>40-49</v>
      </c>
      <c r="I4372" t="str">
        <f t="shared" si="205"/>
        <v>0-9</v>
      </c>
      <c r="J4372">
        <f t="shared" si="206"/>
        <v>9.2000000000000003E-4</v>
      </c>
    </row>
    <row r="4373" spans="1:10">
      <c r="A4373" t="s">
        <v>4455</v>
      </c>
      <c r="B4373">
        <v>63</v>
      </c>
      <c r="C4373" t="s">
        <v>9</v>
      </c>
      <c r="D4373">
        <v>14</v>
      </c>
      <c r="E4373">
        <v>76</v>
      </c>
      <c r="F4373">
        <v>2.9659999999999999E-2</v>
      </c>
      <c r="G4373">
        <v>0</v>
      </c>
      <c r="H4373" t="str">
        <f t="shared" si="204"/>
        <v>70-79</v>
      </c>
      <c r="I4373" t="str">
        <f t="shared" si="205"/>
        <v>10-19</v>
      </c>
      <c r="J4373">
        <f t="shared" si="206"/>
        <v>2.9659999999999999E-2</v>
      </c>
    </row>
    <row r="4374" spans="1:10">
      <c r="A4374" t="s">
        <v>4456</v>
      </c>
      <c r="B4374">
        <v>50</v>
      </c>
      <c r="C4374" t="s">
        <v>9</v>
      </c>
      <c r="D4374">
        <v>1</v>
      </c>
      <c r="E4374">
        <v>50</v>
      </c>
      <c r="F4374">
        <v>8.1999999999999998E-4</v>
      </c>
      <c r="G4374">
        <v>0</v>
      </c>
      <c r="H4374" t="str">
        <f t="shared" si="204"/>
        <v>50-59</v>
      </c>
      <c r="I4374" t="str">
        <f t="shared" si="205"/>
        <v>0-9</v>
      </c>
      <c r="J4374">
        <f t="shared" si="206"/>
        <v>8.1999999999999998E-4</v>
      </c>
    </row>
    <row r="4375" spans="1:10">
      <c r="A4375" t="s">
        <v>4457</v>
      </c>
      <c r="B4375">
        <v>36</v>
      </c>
      <c r="C4375" t="s">
        <v>7</v>
      </c>
      <c r="D4375">
        <v>6</v>
      </c>
      <c r="E4375">
        <v>41</v>
      </c>
      <c r="F4375">
        <v>6.4999999999999997E-4</v>
      </c>
      <c r="G4375">
        <v>0</v>
      </c>
      <c r="H4375" t="str">
        <f t="shared" si="204"/>
        <v>40-49</v>
      </c>
      <c r="I4375" t="str">
        <f t="shared" si="205"/>
        <v>0-9</v>
      </c>
      <c r="J4375">
        <f t="shared" si="206"/>
        <v>6.4999999999999997E-4</v>
      </c>
    </row>
    <row r="4376" spans="1:10">
      <c r="A4376" t="s">
        <v>4458</v>
      </c>
      <c r="B4376">
        <v>46</v>
      </c>
      <c r="C4376" t="s">
        <v>7</v>
      </c>
      <c r="D4376">
        <v>6</v>
      </c>
      <c r="E4376">
        <v>51</v>
      </c>
      <c r="F4376">
        <v>1.4E-3</v>
      </c>
      <c r="G4376">
        <v>0</v>
      </c>
      <c r="H4376" t="str">
        <f t="shared" si="204"/>
        <v>50-59</v>
      </c>
      <c r="I4376" t="str">
        <f t="shared" si="205"/>
        <v>0-9</v>
      </c>
      <c r="J4376">
        <f t="shared" si="206"/>
        <v>1.4E-3</v>
      </c>
    </row>
    <row r="4377" spans="1:10">
      <c r="A4377" t="s">
        <v>4459</v>
      </c>
      <c r="B4377">
        <v>30</v>
      </c>
      <c r="C4377" t="s">
        <v>9</v>
      </c>
      <c r="D4377">
        <v>12</v>
      </c>
      <c r="E4377">
        <v>41</v>
      </c>
      <c r="F4377">
        <v>1.1100000000000001E-3</v>
      </c>
      <c r="G4377">
        <v>0</v>
      </c>
      <c r="H4377" t="str">
        <f t="shared" si="204"/>
        <v>40-49</v>
      </c>
      <c r="I4377" t="str">
        <f t="shared" si="205"/>
        <v>10-19</v>
      </c>
      <c r="J4377">
        <f t="shared" si="206"/>
        <v>1.1100000000000001E-3</v>
      </c>
    </row>
    <row r="4378" spans="1:10">
      <c r="A4378" t="s">
        <v>4460</v>
      </c>
      <c r="B4378">
        <v>39</v>
      </c>
      <c r="C4378" t="s">
        <v>7</v>
      </c>
      <c r="D4378">
        <v>18</v>
      </c>
      <c r="E4378">
        <v>56</v>
      </c>
      <c r="F4378">
        <v>3.1800000000000001E-3</v>
      </c>
      <c r="G4378">
        <v>0</v>
      </c>
      <c r="H4378" t="str">
        <f t="shared" si="204"/>
        <v>50-59</v>
      </c>
      <c r="I4378" t="str">
        <f t="shared" si="205"/>
        <v>10-19</v>
      </c>
      <c r="J4378">
        <f t="shared" si="206"/>
        <v>3.1800000000000001E-3</v>
      </c>
    </row>
    <row r="4379" spans="1:10">
      <c r="A4379" t="s">
        <v>4461</v>
      </c>
      <c r="B4379">
        <v>24</v>
      </c>
      <c r="C4379" t="s">
        <v>7</v>
      </c>
      <c r="D4379">
        <v>5</v>
      </c>
      <c r="E4379">
        <v>28</v>
      </c>
      <c r="F4379">
        <v>2.4000000000000001E-4</v>
      </c>
      <c r="G4379">
        <v>0</v>
      </c>
      <c r="H4379" t="str">
        <f t="shared" si="204"/>
        <v>20-29</v>
      </c>
      <c r="I4379" t="str">
        <f t="shared" si="205"/>
        <v>0-9</v>
      </c>
      <c r="J4379">
        <f t="shared" si="206"/>
        <v>2.4000000000000001E-4</v>
      </c>
    </row>
    <row r="4380" spans="1:10">
      <c r="A4380" t="s">
        <v>4462</v>
      </c>
      <c r="B4380">
        <v>20</v>
      </c>
      <c r="C4380" t="s">
        <v>9</v>
      </c>
      <c r="D4380">
        <v>8</v>
      </c>
      <c r="E4380">
        <v>27</v>
      </c>
      <c r="F4380">
        <v>7.5000000000000002E-4</v>
      </c>
      <c r="G4380">
        <v>0</v>
      </c>
      <c r="H4380" t="str">
        <f t="shared" si="204"/>
        <v>20-29</v>
      </c>
      <c r="I4380" t="str">
        <f t="shared" si="205"/>
        <v>0-9</v>
      </c>
      <c r="J4380">
        <f t="shared" si="206"/>
        <v>7.5000000000000002E-4</v>
      </c>
    </row>
    <row r="4381" spans="1:10">
      <c r="A4381" t="s">
        <v>4463</v>
      </c>
      <c r="B4381">
        <v>37</v>
      </c>
      <c r="C4381" t="s">
        <v>9</v>
      </c>
      <c r="D4381">
        <v>6</v>
      </c>
      <c r="E4381">
        <v>42</v>
      </c>
      <c r="F4381">
        <v>8.9999999999999998E-4</v>
      </c>
      <c r="G4381">
        <v>0</v>
      </c>
      <c r="H4381" t="str">
        <f t="shared" si="204"/>
        <v>40-49</v>
      </c>
      <c r="I4381" t="str">
        <f t="shared" si="205"/>
        <v>0-9</v>
      </c>
      <c r="J4381">
        <f t="shared" si="206"/>
        <v>8.9999999999999998E-4</v>
      </c>
    </row>
    <row r="4382" spans="1:10">
      <c r="A4382" t="s">
        <v>4464</v>
      </c>
      <c r="B4382">
        <v>27</v>
      </c>
      <c r="C4382" t="s">
        <v>7</v>
      </c>
      <c r="D4382">
        <v>17</v>
      </c>
      <c r="E4382">
        <v>43</v>
      </c>
      <c r="F4382">
        <v>1.1299999999999999E-3</v>
      </c>
      <c r="G4382">
        <v>0</v>
      </c>
      <c r="H4382" t="str">
        <f t="shared" si="204"/>
        <v>40-49</v>
      </c>
      <c r="I4382" t="str">
        <f t="shared" si="205"/>
        <v>10-19</v>
      </c>
      <c r="J4382">
        <f t="shared" si="206"/>
        <v>1.1299999999999999E-3</v>
      </c>
    </row>
    <row r="4383" spans="1:10">
      <c r="A4383" t="s">
        <v>4465</v>
      </c>
      <c r="B4383">
        <v>49</v>
      </c>
      <c r="C4383" t="s">
        <v>9</v>
      </c>
      <c r="D4383">
        <v>17</v>
      </c>
      <c r="E4383">
        <v>65</v>
      </c>
      <c r="F4383">
        <v>1.022E-2</v>
      </c>
      <c r="G4383">
        <v>0</v>
      </c>
      <c r="H4383" t="str">
        <f t="shared" si="204"/>
        <v>60-69</v>
      </c>
      <c r="I4383" t="str">
        <f t="shared" si="205"/>
        <v>10-19</v>
      </c>
      <c r="J4383">
        <f t="shared" si="206"/>
        <v>1.022E-2</v>
      </c>
    </row>
    <row r="4384" spans="1:10">
      <c r="A4384" t="s">
        <v>4466</v>
      </c>
      <c r="B4384">
        <v>37</v>
      </c>
      <c r="C4384" t="s">
        <v>9</v>
      </c>
      <c r="D4384">
        <v>26</v>
      </c>
      <c r="E4384">
        <v>62</v>
      </c>
      <c r="F4384">
        <v>7.79E-3</v>
      </c>
      <c r="G4384">
        <v>0</v>
      </c>
      <c r="H4384" t="str">
        <f t="shared" si="204"/>
        <v>60-69</v>
      </c>
      <c r="I4384" t="str">
        <f t="shared" si="205"/>
        <v>20-29</v>
      </c>
      <c r="J4384">
        <f t="shared" si="206"/>
        <v>7.79E-3</v>
      </c>
    </row>
    <row r="4385" spans="1:10">
      <c r="A4385" t="s">
        <v>4467</v>
      </c>
      <c r="B4385">
        <v>42</v>
      </c>
      <c r="C4385" t="s">
        <v>9</v>
      </c>
      <c r="D4385">
        <v>6</v>
      </c>
      <c r="E4385">
        <v>47</v>
      </c>
      <c r="F4385">
        <v>1.33E-3</v>
      </c>
      <c r="G4385">
        <v>0</v>
      </c>
      <c r="H4385" t="str">
        <f t="shared" si="204"/>
        <v>40-49</v>
      </c>
      <c r="I4385" t="str">
        <f t="shared" si="205"/>
        <v>0-9</v>
      </c>
      <c r="J4385">
        <f t="shared" si="206"/>
        <v>1.33E-3</v>
      </c>
    </row>
    <row r="4386" spans="1:10">
      <c r="A4386" t="s">
        <v>4468</v>
      </c>
      <c r="B4386">
        <v>36</v>
      </c>
      <c r="C4386" t="s">
        <v>9</v>
      </c>
      <c r="D4386">
        <v>24</v>
      </c>
      <c r="E4386">
        <v>59</v>
      </c>
      <c r="F4386">
        <v>5.7400000000000003E-3</v>
      </c>
      <c r="G4386">
        <v>0</v>
      </c>
      <c r="H4386" t="str">
        <f t="shared" si="204"/>
        <v>50-59</v>
      </c>
      <c r="I4386" t="str">
        <f t="shared" si="205"/>
        <v>20-29</v>
      </c>
      <c r="J4386">
        <f t="shared" si="206"/>
        <v>5.7400000000000003E-3</v>
      </c>
    </row>
    <row r="4387" spans="1:10">
      <c r="A4387" t="s">
        <v>4469</v>
      </c>
      <c r="B4387">
        <v>25</v>
      </c>
      <c r="C4387" t="s">
        <v>9</v>
      </c>
      <c r="D4387">
        <v>3</v>
      </c>
      <c r="E4387">
        <v>27</v>
      </c>
      <c r="F4387">
        <v>4.0000000000000002E-4</v>
      </c>
      <c r="G4387">
        <v>0</v>
      </c>
      <c r="H4387" t="str">
        <f t="shared" si="204"/>
        <v>20-29</v>
      </c>
      <c r="I4387" t="str">
        <f t="shared" si="205"/>
        <v>0-9</v>
      </c>
      <c r="J4387">
        <f t="shared" si="206"/>
        <v>4.0000000000000002E-4</v>
      </c>
    </row>
    <row r="4388" spans="1:10">
      <c r="A4388" t="s">
        <v>4470</v>
      </c>
      <c r="B4388">
        <v>53</v>
      </c>
      <c r="C4388" t="s">
        <v>7</v>
      </c>
      <c r="D4388">
        <v>27</v>
      </c>
      <c r="E4388">
        <v>79</v>
      </c>
      <c r="F4388">
        <v>3.1989999999999998E-2</v>
      </c>
      <c r="G4388">
        <v>0</v>
      </c>
      <c r="H4388" t="str">
        <f t="shared" si="204"/>
        <v>70-79</v>
      </c>
      <c r="I4388" t="str">
        <f t="shared" si="205"/>
        <v>20-29</v>
      </c>
      <c r="J4388">
        <f t="shared" si="206"/>
        <v>3.1989999999999998E-2</v>
      </c>
    </row>
    <row r="4389" spans="1:10">
      <c r="A4389" t="s">
        <v>4471</v>
      </c>
      <c r="B4389">
        <v>60</v>
      </c>
      <c r="C4389" t="s">
        <v>9</v>
      </c>
      <c r="D4389">
        <v>12</v>
      </c>
      <c r="E4389">
        <v>71</v>
      </c>
      <c r="F4389">
        <v>1.8069999999999999E-2</v>
      </c>
      <c r="G4389">
        <v>0</v>
      </c>
      <c r="H4389" t="str">
        <f t="shared" si="204"/>
        <v>70-79</v>
      </c>
      <c r="I4389" t="str">
        <f t="shared" si="205"/>
        <v>10-19</v>
      </c>
      <c r="J4389">
        <f t="shared" si="206"/>
        <v>1.8069999999999999E-2</v>
      </c>
    </row>
    <row r="4390" spans="1:10">
      <c r="A4390" t="s">
        <v>4472</v>
      </c>
      <c r="B4390">
        <v>47</v>
      </c>
      <c r="C4390" t="s">
        <v>7</v>
      </c>
      <c r="D4390">
        <v>4</v>
      </c>
      <c r="E4390">
        <v>50</v>
      </c>
      <c r="F4390">
        <v>1.15E-3</v>
      </c>
      <c r="G4390">
        <v>0</v>
      </c>
      <c r="H4390" t="str">
        <f t="shared" si="204"/>
        <v>50-59</v>
      </c>
      <c r="I4390" t="str">
        <f t="shared" si="205"/>
        <v>0-9</v>
      </c>
      <c r="J4390">
        <f t="shared" si="206"/>
        <v>1.15E-3</v>
      </c>
    </row>
    <row r="4391" spans="1:10">
      <c r="A4391" t="s">
        <v>4473</v>
      </c>
      <c r="B4391">
        <v>45</v>
      </c>
      <c r="C4391" t="s">
        <v>9</v>
      </c>
      <c r="D4391">
        <v>7</v>
      </c>
      <c r="E4391">
        <v>51</v>
      </c>
      <c r="F4391">
        <v>2.0200000000000001E-3</v>
      </c>
      <c r="G4391">
        <v>0</v>
      </c>
      <c r="H4391" t="str">
        <f t="shared" si="204"/>
        <v>50-59</v>
      </c>
      <c r="I4391" t="str">
        <f t="shared" si="205"/>
        <v>0-9</v>
      </c>
      <c r="J4391">
        <f t="shared" si="206"/>
        <v>2.0200000000000001E-3</v>
      </c>
    </row>
    <row r="4392" spans="1:10">
      <c r="A4392" t="s">
        <v>4474</v>
      </c>
      <c r="B4392">
        <v>50</v>
      </c>
      <c r="C4392" t="s">
        <v>7</v>
      </c>
      <c r="D4392">
        <v>25</v>
      </c>
      <c r="E4392">
        <v>74</v>
      </c>
      <c r="F4392">
        <v>2.0979999999999999E-2</v>
      </c>
      <c r="G4392">
        <v>0</v>
      </c>
      <c r="H4392" t="str">
        <f t="shared" si="204"/>
        <v>70-79</v>
      </c>
      <c r="I4392" t="str">
        <f t="shared" si="205"/>
        <v>20-29</v>
      </c>
      <c r="J4392">
        <f t="shared" si="206"/>
        <v>2.0979999999999999E-2</v>
      </c>
    </row>
    <row r="4393" spans="1:10">
      <c r="A4393" t="s">
        <v>4475</v>
      </c>
      <c r="B4393">
        <v>34</v>
      </c>
      <c r="C4393" t="s">
        <v>7</v>
      </c>
      <c r="D4393">
        <v>27</v>
      </c>
      <c r="E4393">
        <v>60</v>
      </c>
      <c r="F4393">
        <v>4.4600000000000004E-3</v>
      </c>
      <c r="G4393">
        <v>0</v>
      </c>
      <c r="H4393" t="str">
        <f t="shared" si="204"/>
        <v>60-69</v>
      </c>
      <c r="I4393" t="str">
        <f t="shared" si="205"/>
        <v>20-29</v>
      </c>
      <c r="J4393">
        <f t="shared" si="206"/>
        <v>4.4600000000000004E-3</v>
      </c>
    </row>
    <row r="4394" spans="1:10">
      <c r="A4394" t="s">
        <v>4476</v>
      </c>
      <c r="B4394">
        <v>51</v>
      </c>
      <c r="C4394" t="s">
        <v>7</v>
      </c>
      <c r="D4394">
        <v>18</v>
      </c>
      <c r="E4394">
        <v>68</v>
      </c>
      <c r="F4394">
        <v>1.0800000000000001E-2</v>
      </c>
      <c r="G4394">
        <v>0</v>
      </c>
      <c r="H4394" t="str">
        <f t="shared" si="204"/>
        <v>60-69</v>
      </c>
      <c r="I4394" t="str">
        <f t="shared" si="205"/>
        <v>10-19</v>
      </c>
      <c r="J4394">
        <f t="shared" si="206"/>
        <v>1.0800000000000001E-2</v>
      </c>
    </row>
    <row r="4395" spans="1:10">
      <c r="A4395" t="s">
        <v>4477</v>
      </c>
      <c r="B4395">
        <v>61</v>
      </c>
      <c r="C4395" t="s">
        <v>9</v>
      </c>
      <c r="D4395">
        <v>12</v>
      </c>
      <c r="E4395">
        <v>72</v>
      </c>
      <c r="F4395">
        <v>1.9769999999999999E-2</v>
      </c>
      <c r="G4395">
        <v>0</v>
      </c>
      <c r="H4395" t="str">
        <f t="shared" si="204"/>
        <v>70-79</v>
      </c>
      <c r="I4395" t="str">
        <f t="shared" si="205"/>
        <v>10-19</v>
      </c>
      <c r="J4395">
        <f t="shared" si="206"/>
        <v>1.9769999999999999E-2</v>
      </c>
    </row>
    <row r="4396" spans="1:10">
      <c r="A4396" t="s">
        <v>4478</v>
      </c>
      <c r="B4396">
        <v>48</v>
      </c>
      <c r="C4396" t="s">
        <v>9</v>
      </c>
      <c r="D4396">
        <v>7</v>
      </c>
      <c r="E4396">
        <v>54</v>
      </c>
      <c r="F4396">
        <v>2.7699999999999999E-3</v>
      </c>
      <c r="G4396">
        <v>0</v>
      </c>
      <c r="H4396" t="str">
        <f t="shared" si="204"/>
        <v>50-59</v>
      </c>
      <c r="I4396" t="str">
        <f t="shared" si="205"/>
        <v>0-9</v>
      </c>
      <c r="J4396">
        <f t="shared" si="206"/>
        <v>2.7699999999999999E-3</v>
      </c>
    </row>
    <row r="4397" spans="1:10">
      <c r="A4397" t="s">
        <v>4479</v>
      </c>
      <c r="B4397">
        <v>62</v>
      </c>
      <c r="C4397" t="s">
        <v>9</v>
      </c>
      <c r="D4397">
        <v>30</v>
      </c>
      <c r="E4397">
        <v>91</v>
      </c>
      <c r="F4397">
        <v>0.11724</v>
      </c>
      <c r="G4397">
        <v>0</v>
      </c>
      <c r="H4397" t="str">
        <f t="shared" si="204"/>
        <v>90-99</v>
      </c>
      <c r="I4397" t="str">
        <f t="shared" si="205"/>
        <v>30-39</v>
      </c>
      <c r="J4397">
        <f t="shared" si="206"/>
        <v>0.11724</v>
      </c>
    </row>
    <row r="4398" spans="1:10">
      <c r="A4398" t="s">
        <v>4480</v>
      </c>
      <c r="B4398">
        <v>20</v>
      </c>
      <c r="C4398" t="s">
        <v>7</v>
      </c>
      <c r="D4398">
        <v>11</v>
      </c>
      <c r="E4398">
        <v>30</v>
      </c>
      <c r="F4398">
        <v>4.0000000000000002E-4</v>
      </c>
      <c r="G4398">
        <v>0</v>
      </c>
      <c r="H4398" t="str">
        <f t="shared" si="204"/>
        <v>30-39</v>
      </c>
      <c r="I4398" t="str">
        <f t="shared" si="205"/>
        <v>10-19</v>
      </c>
      <c r="J4398">
        <f t="shared" si="206"/>
        <v>4.0000000000000002E-4</v>
      </c>
    </row>
    <row r="4399" spans="1:10">
      <c r="A4399" t="s">
        <v>4481</v>
      </c>
      <c r="B4399">
        <v>26</v>
      </c>
      <c r="C4399" t="s">
        <v>7</v>
      </c>
      <c r="D4399">
        <v>20</v>
      </c>
      <c r="E4399">
        <v>45</v>
      </c>
      <c r="F4399">
        <v>1.3699999999999999E-3</v>
      </c>
      <c r="G4399">
        <v>0</v>
      </c>
      <c r="H4399" t="str">
        <f t="shared" si="204"/>
        <v>40-49</v>
      </c>
      <c r="I4399" t="str">
        <f t="shared" si="205"/>
        <v>20-29</v>
      </c>
      <c r="J4399">
        <f t="shared" si="206"/>
        <v>1.3699999999999999E-3</v>
      </c>
    </row>
    <row r="4400" spans="1:10">
      <c r="A4400" t="s">
        <v>4482</v>
      </c>
      <c r="B4400">
        <v>57</v>
      </c>
      <c r="C4400" t="s">
        <v>9</v>
      </c>
      <c r="D4400">
        <v>5</v>
      </c>
      <c r="E4400">
        <v>61</v>
      </c>
      <c r="F4400">
        <v>5.3600000000000002E-3</v>
      </c>
      <c r="G4400">
        <v>0</v>
      </c>
      <c r="H4400" t="str">
        <f t="shared" si="204"/>
        <v>60-69</v>
      </c>
      <c r="I4400" t="str">
        <f t="shared" si="205"/>
        <v>0-9</v>
      </c>
      <c r="J4400">
        <f t="shared" si="206"/>
        <v>5.3600000000000002E-3</v>
      </c>
    </row>
    <row r="4401" spans="1:10">
      <c r="A4401" t="s">
        <v>4483</v>
      </c>
      <c r="B4401">
        <v>55</v>
      </c>
      <c r="C4401" t="s">
        <v>7</v>
      </c>
      <c r="D4401">
        <v>24</v>
      </c>
      <c r="E4401">
        <v>78</v>
      </c>
      <c r="F4401">
        <v>3.1989999999999998E-2</v>
      </c>
      <c r="G4401">
        <v>0</v>
      </c>
      <c r="H4401" t="str">
        <f t="shared" si="204"/>
        <v>70-79</v>
      </c>
      <c r="I4401" t="str">
        <f t="shared" si="205"/>
        <v>20-29</v>
      </c>
      <c r="J4401">
        <f t="shared" si="206"/>
        <v>3.1989999999999998E-2</v>
      </c>
    </row>
    <row r="4402" spans="1:10">
      <c r="A4402" t="s">
        <v>4484</v>
      </c>
      <c r="B4402">
        <v>22</v>
      </c>
      <c r="C4402" t="s">
        <v>7</v>
      </c>
      <c r="D4402">
        <v>26</v>
      </c>
      <c r="E4402">
        <v>47</v>
      </c>
      <c r="F4402">
        <v>1.6000000000000001E-3</v>
      </c>
      <c r="G4402">
        <v>0</v>
      </c>
      <c r="H4402" t="str">
        <f t="shared" si="204"/>
        <v>40-49</v>
      </c>
      <c r="I4402" t="str">
        <f t="shared" si="205"/>
        <v>20-29</v>
      </c>
      <c r="J4402">
        <f t="shared" si="206"/>
        <v>1.6000000000000001E-3</v>
      </c>
    </row>
    <row r="4403" spans="1:10">
      <c r="A4403" t="s">
        <v>4485</v>
      </c>
      <c r="B4403">
        <v>39</v>
      </c>
      <c r="C4403" t="s">
        <v>7</v>
      </c>
      <c r="D4403">
        <v>18</v>
      </c>
      <c r="E4403">
        <v>56</v>
      </c>
      <c r="F4403">
        <v>3.1800000000000001E-3</v>
      </c>
      <c r="G4403">
        <v>0</v>
      </c>
      <c r="H4403" t="str">
        <f t="shared" si="204"/>
        <v>50-59</v>
      </c>
      <c r="I4403" t="str">
        <f t="shared" si="205"/>
        <v>10-19</v>
      </c>
      <c r="J4403">
        <f t="shared" si="206"/>
        <v>3.1800000000000001E-3</v>
      </c>
    </row>
    <row r="4404" spans="1:10">
      <c r="A4404" t="s">
        <v>4486</v>
      </c>
      <c r="B4404">
        <v>26</v>
      </c>
      <c r="C4404" t="s">
        <v>7</v>
      </c>
      <c r="D4404">
        <v>2</v>
      </c>
      <c r="E4404">
        <v>27</v>
      </c>
      <c r="F4404">
        <v>1.7000000000000001E-4</v>
      </c>
      <c r="G4404">
        <v>0</v>
      </c>
      <c r="H4404" t="str">
        <f t="shared" si="204"/>
        <v>20-29</v>
      </c>
      <c r="I4404" t="str">
        <f t="shared" si="205"/>
        <v>0-9</v>
      </c>
      <c r="J4404">
        <f t="shared" si="206"/>
        <v>1.7000000000000001E-4</v>
      </c>
    </row>
    <row r="4405" spans="1:10">
      <c r="A4405" t="s">
        <v>4487</v>
      </c>
      <c r="B4405">
        <v>28</v>
      </c>
      <c r="C4405" t="s">
        <v>9</v>
      </c>
      <c r="D4405">
        <v>23</v>
      </c>
      <c r="E4405">
        <v>50</v>
      </c>
      <c r="F4405">
        <v>2.63E-3</v>
      </c>
      <c r="G4405">
        <v>0</v>
      </c>
      <c r="H4405" t="str">
        <f t="shared" si="204"/>
        <v>50-59</v>
      </c>
      <c r="I4405" t="str">
        <f t="shared" si="205"/>
        <v>20-29</v>
      </c>
      <c r="J4405">
        <f t="shared" si="206"/>
        <v>2.63E-3</v>
      </c>
    </row>
    <row r="4406" spans="1:10">
      <c r="A4406" t="s">
        <v>4488</v>
      </c>
      <c r="B4406">
        <v>29</v>
      </c>
      <c r="C4406" t="s">
        <v>9</v>
      </c>
      <c r="D4406">
        <v>9</v>
      </c>
      <c r="E4406">
        <v>37</v>
      </c>
      <c r="F4406">
        <v>6.9999999999999999E-4</v>
      </c>
      <c r="G4406">
        <v>0</v>
      </c>
      <c r="H4406" t="str">
        <f t="shared" si="204"/>
        <v>30-39</v>
      </c>
      <c r="I4406" t="str">
        <f t="shared" si="205"/>
        <v>0-9</v>
      </c>
      <c r="J4406">
        <f t="shared" si="206"/>
        <v>6.9999999999999999E-4</v>
      </c>
    </row>
    <row r="4407" spans="1:10">
      <c r="A4407" t="s">
        <v>4489</v>
      </c>
      <c r="B4407">
        <v>24</v>
      </c>
      <c r="C4407" t="s">
        <v>9</v>
      </c>
      <c r="D4407">
        <v>17</v>
      </c>
      <c r="E4407">
        <v>40</v>
      </c>
      <c r="F4407">
        <v>1.3600000000000001E-3</v>
      </c>
      <c r="G4407">
        <v>0</v>
      </c>
      <c r="H4407" t="str">
        <f t="shared" si="204"/>
        <v>40-49</v>
      </c>
      <c r="I4407" t="str">
        <f t="shared" si="205"/>
        <v>10-19</v>
      </c>
      <c r="J4407">
        <f t="shared" si="206"/>
        <v>1.3600000000000001E-3</v>
      </c>
    </row>
    <row r="4408" spans="1:10">
      <c r="A4408" t="s">
        <v>4490</v>
      </c>
      <c r="B4408">
        <v>39</v>
      </c>
      <c r="C4408" t="s">
        <v>9</v>
      </c>
      <c r="D4408">
        <v>14</v>
      </c>
      <c r="E4408">
        <v>52</v>
      </c>
      <c r="F4408">
        <v>2.6800000000000001E-3</v>
      </c>
      <c r="G4408">
        <v>0</v>
      </c>
      <c r="H4408" t="str">
        <f t="shared" si="204"/>
        <v>50-59</v>
      </c>
      <c r="I4408" t="str">
        <f t="shared" si="205"/>
        <v>10-19</v>
      </c>
      <c r="J4408">
        <f t="shared" si="206"/>
        <v>2.6800000000000001E-3</v>
      </c>
    </row>
    <row r="4409" spans="1:10">
      <c r="A4409" t="s">
        <v>4491</v>
      </c>
      <c r="B4409">
        <v>40</v>
      </c>
      <c r="C4409" t="s">
        <v>7</v>
      </c>
      <c r="D4409">
        <v>6</v>
      </c>
      <c r="E4409">
        <v>45</v>
      </c>
      <c r="F4409">
        <v>8.3000000000000001E-4</v>
      </c>
      <c r="G4409">
        <v>0</v>
      </c>
      <c r="H4409" t="str">
        <f t="shared" si="204"/>
        <v>40-49</v>
      </c>
      <c r="I4409" t="str">
        <f t="shared" si="205"/>
        <v>0-9</v>
      </c>
      <c r="J4409">
        <f t="shared" si="206"/>
        <v>8.3000000000000001E-4</v>
      </c>
    </row>
    <row r="4410" spans="1:10">
      <c r="A4410" t="s">
        <v>4492</v>
      </c>
      <c r="B4410">
        <v>53</v>
      </c>
      <c r="C4410" t="s">
        <v>7</v>
      </c>
      <c r="D4410">
        <v>20</v>
      </c>
      <c r="E4410">
        <v>72</v>
      </c>
      <c r="F4410">
        <v>1.66E-2</v>
      </c>
      <c r="G4410">
        <v>0</v>
      </c>
      <c r="H4410" t="str">
        <f t="shared" si="204"/>
        <v>70-79</v>
      </c>
      <c r="I4410" t="str">
        <f t="shared" si="205"/>
        <v>20-29</v>
      </c>
      <c r="J4410">
        <f t="shared" si="206"/>
        <v>1.66E-2</v>
      </c>
    </row>
    <row r="4411" spans="1:10">
      <c r="A4411" t="s">
        <v>4493</v>
      </c>
      <c r="B4411">
        <v>27</v>
      </c>
      <c r="C4411" t="s">
        <v>7</v>
      </c>
      <c r="D4411">
        <v>4</v>
      </c>
      <c r="E4411">
        <v>30</v>
      </c>
      <c r="F4411">
        <v>2.2000000000000001E-4</v>
      </c>
      <c r="G4411">
        <v>0</v>
      </c>
      <c r="H4411" t="str">
        <f t="shared" si="204"/>
        <v>30-39</v>
      </c>
      <c r="I4411" t="str">
        <f t="shared" si="205"/>
        <v>0-9</v>
      </c>
      <c r="J4411">
        <f t="shared" si="206"/>
        <v>2.2000000000000001E-4</v>
      </c>
    </row>
    <row r="4412" spans="1:10">
      <c r="A4412" t="s">
        <v>4494</v>
      </c>
      <c r="B4412">
        <v>40</v>
      </c>
      <c r="C4412" t="s">
        <v>9</v>
      </c>
      <c r="D4412">
        <v>29</v>
      </c>
      <c r="E4412">
        <v>68</v>
      </c>
      <c r="F4412">
        <v>1.064E-2</v>
      </c>
      <c r="G4412">
        <v>0</v>
      </c>
      <c r="H4412" t="str">
        <f t="shared" si="204"/>
        <v>60-69</v>
      </c>
      <c r="I4412" t="str">
        <f t="shared" si="205"/>
        <v>20-29</v>
      </c>
      <c r="J4412">
        <f t="shared" si="206"/>
        <v>1.064E-2</v>
      </c>
    </row>
    <row r="4413" spans="1:10">
      <c r="A4413" t="s">
        <v>4495</v>
      </c>
      <c r="B4413">
        <v>57</v>
      </c>
      <c r="C4413" t="s">
        <v>9</v>
      </c>
      <c r="D4413">
        <v>26</v>
      </c>
      <c r="E4413">
        <v>82</v>
      </c>
      <c r="F4413">
        <v>6.3329999999999997E-2</v>
      </c>
      <c r="G4413">
        <v>1</v>
      </c>
      <c r="H4413" t="str">
        <f t="shared" si="204"/>
        <v>80-89</v>
      </c>
      <c r="I4413" t="str">
        <f t="shared" si="205"/>
        <v>20-29</v>
      </c>
      <c r="J4413">
        <f t="shared" si="206"/>
        <v>6.3329999999999997E-2</v>
      </c>
    </row>
    <row r="4414" spans="1:10">
      <c r="A4414" t="s">
        <v>4496</v>
      </c>
      <c r="B4414">
        <v>39</v>
      </c>
      <c r="C4414" t="s">
        <v>7</v>
      </c>
      <c r="D4414">
        <v>27</v>
      </c>
      <c r="E4414">
        <v>65</v>
      </c>
      <c r="F4414">
        <v>7.4700000000000001E-3</v>
      </c>
      <c r="G4414">
        <v>0</v>
      </c>
      <c r="H4414" t="str">
        <f t="shared" si="204"/>
        <v>60-69</v>
      </c>
      <c r="I4414" t="str">
        <f t="shared" si="205"/>
        <v>20-29</v>
      </c>
      <c r="J4414">
        <f t="shared" si="206"/>
        <v>7.4700000000000001E-3</v>
      </c>
    </row>
    <row r="4415" spans="1:10">
      <c r="A4415" t="s">
        <v>4497</v>
      </c>
      <c r="B4415">
        <v>25</v>
      </c>
      <c r="C4415" t="s">
        <v>7</v>
      </c>
      <c r="D4415">
        <v>26</v>
      </c>
      <c r="E4415">
        <v>50</v>
      </c>
      <c r="F4415">
        <v>2.0200000000000001E-3</v>
      </c>
      <c r="G4415">
        <v>0</v>
      </c>
      <c r="H4415" t="str">
        <f t="shared" si="204"/>
        <v>50-59</v>
      </c>
      <c r="I4415" t="str">
        <f t="shared" si="205"/>
        <v>20-29</v>
      </c>
      <c r="J4415">
        <f t="shared" si="206"/>
        <v>2.0200000000000001E-3</v>
      </c>
    </row>
    <row r="4416" spans="1:10">
      <c r="A4416" t="s">
        <v>4498</v>
      </c>
      <c r="B4416">
        <v>64</v>
      </c>
      <c r="C4416" t="s">
        <v>9</v>
      </c>
      <c r="D4416">
        <v>18</v>
      </c>
      <c r="E4416">
        <v>81</v>
      </c>
      <c r="F4416">
        <v>5.5329999999999997E-2</v>
      </c>
      <c r="G4416">
        <v>0</v>
      </c>
      <c r="H4416" t="str">
        <f t="shared" si="204"/>
        <v>80-89</v>
      </c>
      <c r="I4416" t="str">
        <f t="shared" si="205"/>
        <v>10-19</v>
      </c>
      <c r="J4416">
        <f t="shared" si="206"/>
        <v>5.5329999999999997E-2</v>
      </c>
    </row>
    <row r="4417" spans="1:10">
      <c r="A4417" t="s">
        <v>4499</v>
      </c>
      <c r="B4417">
        <v>39</v>
      </c>
      <c r="C4417" t="s">
        <v>7</v>
      </c>
      <c r="D4417">
        <v>4</v>
      </c>
      <c r="E4417">
        <v>42</v>
      </c>
      <c r="F4417">
        <v>6.2E-4</v>
      </c>
      <c r="G4417">
        <v>0</v>
      </c>
      <c r="H4417" t="str">
        <f t="shared" si="204"/>
        <v>40-49</v>
      </c>
      <c r="I4417" t="str">
        <f t="shared" si="205"/>
        <v>0-9</v>
      </c>
      <c r="J4417">
        <f t="shared" si="206"/>
        <v>6.2E-4</v>
      </c>
    </row>
    <row r="4418" spans="1:10">
      <c r="A4418" t="s">
        <v>4500</v>
      </c>
      <c r="B4418">
        <v>22</v>
      </c>
      <c r="C4418" t="s">
        <v>7</v>
      </c>
      <c r="D4418">
        <v>10</v>
      </c>
      <c r="E4418">
        <v>31</v>
      </c>
      <c r="F4418">
        <v>4.0000000000000002E-4</v>
      </c>
      <c r="G4418">
        <v>0</v>
      </c>
      <c r="H4418" t="str">
        <f t="shared" si="204"/>
        <v>30-39</v>
      </c>
      <c r="I4418" t="str">
        <f t="shared" si="205"/>
        <v>10-19</v>
      </c>
      <c r="J4418">
        <f t="shared" si="206"/>
        <v>4.0000000000000002E-4</v>
      </c>
    </row>
    <row r="4419" spans="1:10">
      <c r="A4419" t="s">
        <v>4501</v>
      </c>
      <c r="B4419">
        <v>62</v>
      </c>
      <c r="C4419" t="s">
        <v>9</v>
      </c>
      <c r="D4419">
        <v>11</v>
      </c>
      <c r="E4419">
        <v>72</v>
      </c>
      <c r="F4419">
        <v>1.847E-2</v>
      </c>
      <c r="G4419">
        <v>0</v>
      </c>
      <c r="H4419" t="str">
        <f t="shared" ref="H4419:H4482" si="207">FLOOR(E4419,10) &amp; "-" &amp; FLOOR(E4419,10)+9</f>
        <v>70-79</v>
      </c>
      <c r="I4419" t="str">
        <f t="shared" ref="I4419:I4482" si="208">FLOOR(D4419, 10) &amp; "-"&amp;FLOOR(D4419, 10)+9</f>
        <v>10-19</v>
      </c>
      <c r="J4419">
        <f t="shared" ref="J4419:J4482" si="209">F4419</f>
        <v>1.847E-2</v>
      </c>
    </row>
    <row r="4420" spans="1:10">
      <c r="A4420" t="s">
        <v>4502</v>
      </c>
      <c r="B4420">
        <v>24</v>
      </c>
      <c r="C4420" t="s">
        <v>7</v>
      </c>
      <c r="D4420">
        <v>4</v>
      </c>
      <c r="E4420">
        <v>27</v>
      </c>
      <c r="F4420">
        <v>2.2000000000000001E-4</v>
      </c>
      <c r="G4420">
        <v>0</v>
      </c>
      <c r="H4420" t="str">
        <f t="shared" si="207"/>
        <v>20-29</v>
      </c>
      <c r="I4420" t="str">
        <f t="shared" si="208"/>
        <v>0-9</v>
      </c>
      <c r="J4420">
        <f t="shared" si="209"/>
        <v>2.2000000000000001E-4</v>
      </c>
    </row>
    <row r="4421" spans="1:10">
      <c r="A4421" t="s">
        <v>4503</v>
      </c>
      <c r="B4421">
        <v>26</v>
      </c>
      <c r="C4421" t="s">
        <v>9</v>
      </c>
      <c r="D4421">
        <v>29</v>
      </c>
      <c r="E4421">
        <v>54</v>
      </c>
      <c r="F4421">
        <v>3.0899999999999999E-3</v>
      </c>
      <c r="G4421">
        <v>0</v>
      </c>
      <c r="H4421" t="str">
        <f t="shared" si="207"/>
        <v>50-59</v>
      </c>
      <c r="I4421" t="str">
        <f t="shared" si="208"/>
        <v>20-29</v>
      </c>
      <c r="J4421">
        <f t="shared" si="209"/>
        <v>3.0899999999999999E-3</v>
      </c>
    </row>
    <row r="4422" spans="1:10">
      <c r="A4422" t="s">
        <v>4504</v>
      </c>
      <c r="B4422">
        <v>43</v>
      </c>
      <c r="C4422" t="s">
        <v>7</v>
      </c>
      <c r="D4422">
        <v>13</v>
      </c>
      <c r="E4422">
        <v>55</v>
      </c>
      <c r="F4422">
        <v>2.6800000000000001E-3</v>
      </c>
      <c r="G4422">
        <v>0</v>
      </c>
      <c r="H4422" t="str">
        <f t="shared" si="207"/>
        <v>50-59</v>
      </c>
      <c r="I4422" t="str">
        <f t="shared" si="208"/>
        <v>10-19</v>
      </c>
      <c r="J4422">
        <f t="shared" si="209"/>
        <v>2.6800000000000001E-3</v>
      </c>
    </row>
    <row r="4423" spans="1:10">
      <c r="A4423" t="s">
        <v>4505</v>
      </c>
      <c r="B4423">
        <v>57</v>
      </c>
      <c r="C4423" t="s">
        <v>7</v>
      </c>
      <c r="D4423">
        <v>18</v>
      </c>
      <c r="E4423">
        <v>74</v>
      </c>
      <c r="F4423">
        <v>1.968E-2</v>
      </c>
      <c r="G4423">
        <v>0</v>
      </c>
      <c r="H4423" t="str">
        <f t="shared" si="207"/>
        <v>70-79</v>
      </c>
      <c r="I4423" t="str">
        <f t="shared" si="208"/>
        <v>10-19</v>
      </c>
      <c r="J4423">
        <f t="shared" si="209"/>
        <v>1.968E-2</v>
      </c>
    </row>
    <row r="4424" spans="1:10">
      <c r="A4424" t="s">
        <v>4506</v>
      </c>
      <c r="B4424">
        <v>41</v>
      </c>
      <c r="C4424" t="s">
        <v>9</v>
      </c>
      <c r="D4424">
        <v>6</v>
      </c>
      <c r="E4424">
        <v>46</v>
      </c>
      <c r="F4424">
        <v>1.2199999999999999E-3</v>
      </c>
      <c r="G4424">
        <v>0</v>
      </c>
      <c r="H4424" t="str">
        <f t="shared" si="207"/>
        <v>40-49</v>
      </c>
      <c r="I4424" t="str">
        <f t="shared" si="208"/>
        <v>0-9</v>
      </c>
      <c r="J4424">
        <f t="shared" si="209"/>
        <v>1.2199999999999999E-3</v>
      </c>
    </row>
    <row r="4425" spans="1:10">
      <c r="A4425" t="s">
        <v>4507</v>
      </c>
      <c r="B4425">
        <v>64</v>
      </c>
      <c r="C4425" t="s">
        <v>9</v>
      </c>
      <c r="D4425">
        <v>28</v>
      </c>
      <c r="E4425">
        <v>91</v>
      </c>
      <c r="F4425">
        <v>0.14893999999999999</v>
      </c>
      <c r="G4425">
        <v>0</v>
      </c>
      <c r="H4425" t="str">
        <f t="shared" si="207"/>
        <v>90-99</v>
      </c>
      <c r="I4425" t="str">
        <f t="shared" si="208"/>
        <v>20-29</v>
      </c>
      <c r="J4425">
        <f t="shared" si="209"/>
        <v>0.14893999999999999</v>
      </c>
    </row>
    <row r="4426" spans="1:10">
      <c r="A4426" t="s">
        <v>4508</v>
      </c>
      <c r="B4426">
        <v>50</v>
      </c>
      <c r="C4426" t="s">
        <v>7</v>
      </c>
      <c r="D4426">
        <v>7</v>
      </c>
      <c r="E4426">
        <v>56</v>
      </c>
      <c r="F4426">
        <v>2.3500000000000001E-3</v>
      </c>
      <c r="G4426">
        <v>0</v>
      </c>
      <c r="H4426" t="str">
        <f t="shared" si="207"/>
        <v>50-59</v>
      </c>
      <c r="I4426" t="str">
        <f t="shared" si="208"/>
        <v>0-9</v>
      </c>
      <c r="J4426">
        <f t="shared" si="209"/>
        <v>2.3500000000000001E-3</v>
      </c>
    </row>
    <row r="4427" spans="1:10">
      <c r="A4427" t="s">
        <v>4509</v>
      </c>
      <c r="B4427">
        <v>63</v>
      </c>
      <c r="C4427" t="s">
        <v>9</v>
      </c>
      <c r="D4427">
        <v>17</v>
      </c>
      <c r="E4427">
        <v>79</v>
      </c>
      <c r="F4427">
        <v>4.3999999999999997E-2</v>
      </c>
      <c r="G4427">
        <v>0</v>
      </c>
      <c r="H4427" t="str">
        <f t="shared" si="207"/>
        <v>70-79</v>
      </c>
      <c r="I4427" t="str">
        <f t="shared" si="208"/>
        <v>10-19</v>
      </c>
      <c r="J4427">
        <f t="shared" si="209"/>
        <v>4.3999999999999997E-2</v>
      </c>
    </row>
    <row r="4428" spans="1:10">
      <c r="A4428" t="s">
        <v>4510</v>
      </c>
      <c r="B4428">
        <v>63</v>
      </c>
      <c r="C4428" t="s">
        <v>7</v>
      </c>
      <c r="D4428">
        <v>17</v>
      </c>
      <c r="E4428">
        <v>79</v>
      </c>
      <c r="F4428">
        <v>3.2660000000000002E-2</v>
      </c>
      <c r="G4428">
        <v>0</v>
      </c>
      <c r="H4428" t="str">
        <f t="shared" si="207"/>
        <v>70-79</v>
      </c>
      <c r="I4428" t="str">
        <f t="shared" si="208"/>
        <v>10-19</v>
      </c>
      <c r="J4428">
        <f t="shared" si="209"/>
        <v>3.2660000000000002E-2</v>
      </c>
    </row>
    <row r="4429" spans="1:10">
      <c r="A4429" t="s">
        <v>4511</v>
      </c>
      <c r="B4429">
        <v>32</v>
      </c>
      <c r="C4429" t="s">
        <v>7</v>
      </c>
      <c r="D4429">
        <v>16</v>
      </c>
      <c r="E4429">
        <v>47</v>
      </c>
      <c r="F4429">
        <v>1.4E-3</v>
      </c>
      <c r="G4429">
        <v>0</v>
      </c>
      <c r="H4429" t="str">
        <f t="shared" si="207"/>
        <v>40-49</v>
      </c>
      <c r="I4429" t="str">
        <f t="shared" si="208"/>
        <v>10-19</v>
      </c>
      <c r="J4429">
        <f t="shared" si="209"/>
        <v>1.4E-3</v>
      </c>
    </row>
    <row r="4430" spans="1:10">
      <c r="A4430" t="s">
        <v>4512</v>
      </c>
      <c r="B4430">
        <v>33</v>
      </c>
      <c r="C4430" t="s">
        <v>7</v>
      </c>
      <c r="D4430">
        <v>20</v>
      </c>
      <c r="E4430">
        <v>52</v>
      </c>
      <c r="F4430">
        <v>2.2899999999999999E-3</v>
      </c>
      <c r="G4430">
        <v>0</v>
      </c>
      <c r="H4430" t="str">
        <f t="shared" si="207"/>
        <v>50-59</v>
      </c>
      <c r="I4430" t="str">
        <f t="shared" si="208"/>
        <v>20-29</v>
      </c>
      <c r="J4430">
        <f t="shared" si="209"/>
        <v>2.2899999999999999E-3</v>
      </c>
    </row>
    <row r="4431" spans="1:10">
      <c r="A4431" t="s">
        <v>4513</v>
      </c>
      <c r="B4431">
        <v>53</v>
      </c>
      <c r="C4431" t="s">
        <v>9</v>
      </c>
      <c r="D4431">
        <v>10</v>
      </c>
      <c r="E4431">
        <v>62</v>
      </c>
      <c r="F4431">
        <v>7.2700000000000004E-3</v>
      </c>
      <c r="G4431">
        <v>0</v>
      </c>
      <c r="H4431" t="str">
        <f t="shared" si="207"/>
        <v>60-69</v>
      </c>
      <c r="I4431" t="str">
        <f t="shared" si="208"/>
        <v>10-19</v>
      </c>
      <c r="J4431">
        <f t="shared" si="209"/>
        <v>7.2700000000000004E-3</v>
      </c>
    </row>
    <row r="4432" spans="1:10">
      <c r="A4432" t="s">
        <v>4514</v>
      </c>
      <c r="B4432">
        <v>57</v>
      </c>
      <c r="C4432" t="s">
        <v>7</v>
      </c>
      <c r="D4432">
        <v>14</v>
      </c>
      <c r="E4432">
        <v>70</v>
      </c>
      <c r="F4432">
        <v>1.1520000000000001E-2</v>
      </c>
      <c r="G4432">
        <v>0</v>
      </c>
      <c r="H4432" t="str">
        <f t="shared" si="207"/>
        <v>70-79</v>
      </c>
      <c r="I4432" t="str">
        <f t="shared" si="208"/>
        <v>10-19</v>
      </c>
      <c r="J4432">
        <f t="shared" si="209"/>
        <v>1.1520000000000001E-2</v>
      </c>
    </row>
    <row r="4433" spans="1:10">
      <c r="A4433" t="s">
        <v>4515</v>
      </c>
      <c r="B4433">
        <v>35</v>
      </c>
      <c r="C4433" t="s">
        <v>7</v>
      </c>
      <c r="D4433">
        <v>20</v>
      </c>
      <c r="E4433">
        <v>54</v>
      </c>
      <c r="F4433">
        <v>2.7399999999999998E-3</v>
      </c>
      <c r="G4433">
        <v>0</v>
      </c>
      <c r="H4433" t="str">
        <f t="shared" si="207"/>
        <v>50-59</v>
      </c>
      <c r="I4433" t="str">
        <f t="shared" si="208"/>
        <v>20-29</v>
      </c>
      <c r="J4433">
        <f t="shared" si="209"/>
        <v>2.7399999999999998E-3</v>
      </c>
    </row>
    <row r="4434" spans="1:10">
      <c r="A4434" t="s">
        <v>4516</v>
      </c>
      <c r="B4434">
        <v>46</v>
      </c>
      <c r="C4434" t="s">
        <v>7</v>
      </c>
      <c r="D4434">
        <v>9</v>
      </c>
      <c r="E4434">
        <v>54</v>
      </c>
      <c r="F4434">
        <v>2.1299999999999999E-3</v>
      </c>
      <c r="G4434">
        <v>0</v>
      </c>
      <c r="H4434" t="str">
        <f t="shared" si="207"/>
        <v>50-59</v>
      </c>
      <c r="I4434" t="str">
        <f t="shared" si="208"/>
        <v>0-9</v>
      </c>
      <c r="J4434">
        <f t="shared" si="209"/>
        <v>2.1299999999999999E-3</v>
      </c>
    </row>
    <row r="4435" spans="1:10">
      <c r="A4435" t="s">
        <v>4517</v>
      </c>
      <c r="B4435">
        <v>27</v>
      </c>
      <c r="C4435" t="s">
        <v>7</v>
      </c>
      <c r="D4435">
        <v>13</v>
      </c>
      <c r="E4435">
        <v>39</v>
      </c>
      <c r="F4435">
        <v>8.3000000000000001E-4</v>
      </c>
      <c r="G4435">
        <v>0</v>
      </c>
      <c r="H4435" t="str">
        <f t="shared" si="207"/>
        <v>30-39</v>
      </c>
      <c r="I4435" t="str">
        <f t="shared" si="208"/>
        <v>10-19</v>
      </c>
      <c r="J4435">
        <f t="shared" si="209"/>
        <v>8.3000000000000001E-4</v>
      </c>
    </row>
    <row r="4436" spans="1:10">
      <c r="A4436" t="s">
        <v>4518</v>
      </c>
      <c r="B4436">
        <v>64</v>
      </c>
      <c r="C4436" t="s">
        <v>7</v>
      </c>
      <c r="D4436">
        <v>5</v>
      </c>
      <c r="E4436">
        <v>68</v>
      </c>
      <c r="F4436">
        <v>6.5100000000000002E-3</v>
      </c>
      <c r="G4436">
        <v>0</v>
      </c>
      <c r="H4436" t="str">
        <f t="shared" si="207"/>
        <v>60-69</v>
      </c>
      <c r="I4436" t="str">
        <f t="shared" si="208"/>
        <v>0-9</v>
      </c>
      <c r="J4436">
        <f t="shared" si="209"/>
        <v>6.5100000000000002E-3</v>
      </c>
    </row>
    <row r="4437" spans="1:10">
      <c r="A4437" t="s">
        <v>4519</v>
      </c>
      <c r="B4437">
        <v>57</v>
      </c>
      <c r="C4437" t="s">
        <v>7</v>
      </c>
      <c r="D4437">
        <v>4</v>
      </c>
      <c r="E4437">
        <v>60</v>
      </c>
      <c r="F4437">
        <v>2.7399999999999998E-3</v>
      </c>
      <c r="G4437">
        <v>0</v>
      </c>
      <c r="H4437" t="str">
        <f t="shared" si="207"/>
        <v>60-69</v>
      </c>
      <c r="I4437" t="str">
        <f t="shared" si="208"/>
        <v>0-9</v>
      </c>
      <c r="J4437">
        <f t="shared" si="209"/>
        <v>2.7399999999999998E-3</v>
      </c>
    </row>
    <row r="4438" spans="1:10">
      <c r="A4438" t="s">
        <v>4520</v>
      </c>
      <c r="B4438">
        <v>65</v>
      </c>
      <c r="C4438" t="s">
        <v>9</v>
      </c>
      <c r="D4438">
        <v>2</v>
      </c>
      <c r="E4438">
        <v>66</v>
      </c>
      <c r="F4438">
        <v>4.6800000000000001E-3</v>
      </c>
      <c r="G4438">
        <v>0</v>
      </c>
      <c r="H4438" t="str">
        <f t="shared" si="207"/>
        <v>60-69</v>
      </c>
      <c r="I4438" t="str">
        <f t="shared" si="208"/>
        <v>0-9</v>
      </c>
      <c r="J4438">
        <f t="shared" si="209"/>
        <v>4.6800000000000001E-3</v>
      </c>
    </row>
    <row r="4439" spans="1:10">
      <c r="A4439" t="s">
        <v>4521</v>
      </c>
      <c r="B4439">
        <v>22</v>
      </c>
      <c r="C4439" t="s">
        <v>9</v>
      </c>
      <c r="D4439">
        <v>24</v>
      </c>
      <c r="E4439">
        <v>45</v>
      </c>
      <c r="F4439">
        <v>2.31E-3</v>
      </c>
      <c r="G4439">
        <v>0</v>
      </c>
      <c r="H4439" t="str">
        <f t="shared" si="207"/>
        <v>40-49</v>
      </c>
      <c r="I4439" t="str">
        <f t="shared" si="208"/>
        <v>20-29</v>
      </c>
      <c r="J4439">
        <f t="shared" si="209"/>
        <v>2.31E-3</v>
      </c>
    </row>
    <row r="4440" spans="1:10">
      <c r="A4440" t="s">
        <v>4522</v>
      </c>
      <c r="B4440">
        <v>33</v>
      </c>
      <c r="C4440" t="s">
        <v>7</v>
      </c>
      <c r="D4440">
        <v>9</v>
      </c>
      <c r="E4440">
        <v>41</v>
      </c>
      <c r="F4440">
        <v>7.2999999999999996E-4</v>
      </c>
      <c r="G4440">
        <v>0</v>
      </c>
      <c r="H4440" t="str">
        <f t="shared" si="207"/>
        <v>40-49</v>
      </c>
      <c r="I4440" t="str">
        <f t="shared" si="208"/>
        <v>0-9</v>
      </c>
      <c r="J4440">
        <f t="shared" si="209"/>
        <v>7.2999999999999996E-4</v>
      </c>
    </row>
    <row r="4441" spans="1:10">
      <c r="A4441" t="s">
        <v>4523</v>
      </c>
      <c r="B4441">
        <v>61</v>
      </c>
      <c r="C4441" t="s">
        <v>7</v>
      </c>
      <c r="D4441">
        <v>7</v>
      </c>
      <c r="E4441">
        <v>67</v>
      </c>
      <c r="F4441">
        <v>6.62E-3</v>
      </c>
      <c r="G4441">
        <v>0</v>
      </c>
      <c r="H4441" t="str">
        <f t="shared" si="207"/>
        <v>60-69</v>
      </c>
      <c r="I4441" t="str">
        <f t="shared" si="208"/>
        <v>0-9</v>
      </c>
      <c r="J4441">
        <f t="shared" si="209"/>
        <v>6.62E-3</v>
      </c>
    </row>
    <row r="4442" spans="1:10">
      <c r="A4442" t="s">
        <v>4524</v>
      </c>
      <c r="B4442">
        <v>20</v>
      </c>
      <c r="C4442" t="s">
        <v>9</v>
      </c>
      <c r="D4442">
        <v>14</v>
      </c>
      <c r="E4442">
        <v>33</v>
      </c>
      <c r="F4442">
        <v>8.3000000000000001E-4</v>
      </c>
      <c r="G4442">
        <v>0</v>
      </c>
      <c r="H4442" t="str">
        <f t="shared" si="207"/>
        <v>30-39</v>
      </c>
      <c r="I4442" t="str">
        <f t="shared" si="208"/>
        <v>10-19</v>
      </c>
      <c r="J4442">
        <f t="shared" si="209"/>
        <v>8.3000000000000001E-4</v>
      </c>
    </row>
    <row r="4443" spans="1:10">
      <c r="A4443" t="s">
        <v>4525</v>
      </c>
      <c r="B4443">
        <v>29</v>
      </c>
      <c r="C4443" t="s">
        <v>7</v>
      </c>
      <c r="D4443">
        <v>5</v>
      </c>
      <c r="E4443">
        <v>33</v>
      </c>
      <c r="F4443">
        <v>2.7E-4</v>
      </c>
      <c r="G4443">
        <v>0</v>
      </c>
      <c r="H4443" t="str">
        <f t="shared" si="207"/>
        <v>30-39</v>
      </c>
      <c r="I4443" t="str">
        <f t="shared" si="208"/>
        <v>0-9</v>
      </c>
      <c r="J4443">
        <f t="shared" si="209"/>
        <v>2.7E-4</v>
      </c>
    </row>
    <row r="4444" spans="1:10">
      <c r="A4444" t="s">
        <v>4526</v>
      </c>
      <c r="B4444">
        <v>43</v>
      </c>
      <c r="C4444" t="s">
        <v>7</v>
      </c>
      <c r="D4444">
        <v>11</v>
      </c>
      <c r="E4444">
        <v>53</v>
      </c>
      <c r="F4444">
        <v>2.1199999999999999E-3</v>
      </c>
      <c r="G4444">
        <v>0</v>
      </c>
      <c r="H4444" t="str">
        <f t="shared" si="207"/>
        <v>50-59</v>
      </c>
      <c r="I4444" t="str">
        <f t="shared" si="208"/>
        <v>10-19</v>
      </c>
      <c r="J4444">
        <f t="shared" si="209"/>
        <v>2.1199999999999999E-3</v>
      </c>
    </row>
    <row r="4445" spans="1:10">
      <c r="A4445" t="s">
        <v>4527</v>
      </c>
      <c r="B4445">
        <v>53</v>
      </c>
      <c r="C4445" t="s">
        <v>9</v>
      </c>
      <c r="D4445">
        <v>22</v>
      </c>
      <c r="E4445">
        <v>74</v>
      </c>
      <c r="F4445">
        <v>2.657E-2</v>
      </c>
      <c r="G4445">
        <v>0</v>
      </c>
      <c r="H4445" t="str">
        <f t="shared" si="207"/>
        <v>70-79</v>
      </c>
      <c r="I4445" t="str">
        <f t="shared" si="208"/>
        <v>20-29</v>
      </c>
      <c r="J4445">
        <f t="shared" si="209"/>
        <v>2.657E-2</v>
      </c>
    </row>
    <row r="4446" spans="1:10">
      <c r="A4446" t="s">
        <v>4528</v>
      </c>
      <c r="B4446">
        <v>60</v>
      </c>
      <c r="C4446" t="s">
        <v>9</v>
      </c>
      <c r="D4446">
        <v>5</v>
      </c>
      <c r="E4446">
        <v>64</v>
      </c>
      <c r="F4446">
        <v>6.8500000000000002E-3</v>
      </c>
      <c r="G4446">
        <v>0</v>
      </c>
      <c r="H4446" t="str">
        <f t="shared" si="207"/>
        <v>60-69</v>
      </c>
      <c r="I4446" t="str">
        <f t="shared" si="208"/>
        <v>0-9</v>
      </c>
      <c r="J4446">
        <f t="shared" si="209"/>
        <v>6.8500000000000002E-3</v>
      </c>
    </row>
    <row r="4447" spans="1:10">
      <c r="A4447" t="s">
        <v>4529</v>
      </c>
      <c r="B4447">
        <v>62</v>
      </c>
      <c r="C4447" t="s">
        <v>7</v>
      </c>
      <c r="D4447">
        <v>28</v>
      </c>
      <c r="E4447">
        <v>89</v>
      </c>
      <c r="F4447">
        <v>9.3240000000000003E-2</v>
      </c>
      <c r="G4447">
        <v>0</v>
      </c>
      <c r="H4447" t="str">
        <f t="shared" si="207"/>
        <v>80-89</v>
      </c>
      <c r="I4447" t="str">
        <f t="shared" si="208"/>
        <v>20-29</v>
      </c>
      <c r="J4447">
        <f t="shared" si="209"/>
        <v>9.3240000000000003E-2</v>
      </c>
    </row>
    <row r="4448" spans="1:10">
      <c r="A4448" t="s">
        <v>4530</v>
      </c>
      <c r="B4448">
        <v>51</v>
      </c>
      <c r="C4448" t="s">
        <v>9</v>
      </c>
      <c r="D4448">
        <v>9</v>
      </c>
      <c r="E4448">
        <v>59</v>
      </c>
      <c r="F4448">
        <v>5.1599999999999997E-3</v>
      </c>
      <c r="G4448">
        <v>0</v>
      </c>
      <c r="H4448" t="str">
        <f t="shared" si="207"/>
        <v>50-59</v>
      </c>
      <c r="I4448" t="str">
        <f t="shared" si="208"/>
        <v>0-9</v>
      </c>
      <c r="J4448">
        <f t="shared" si="209"/>
        <v>5.1599999999999997E-3</v>
      </c>
    </row>
    <row r="4449" spans="1:10">
      <c r="A4449" t="s">
        <v>4531</v>
      </c>
      <c r="B4449">
        <v>47</v>
      </c>
      <c r="C4449" t="s">
        <v>9</v>
      </c>
      <c r="D4449">
        <v>15</v>
      </c>
      <c r="E4449">
        <v>61</v>
      </c>
      <c r="F4449">
        <v>6.7799999999999996E-3</v>
      </c>
      <c r="G4449">
        <v>0</v>
      </c>
      <c r="H4449" t="str">
        <f t="shared" si="207"/>
        <v>60-69</v>
      </c>
      <c r="I4449" t="str">
        <f t="shared" si="208"/>
        <v>10-19</v>
      </c>
      <c r="J4449">
        <f t="shared" si="209"/>
        <v>6.7799999999999996E-3</v>
      </c>
    </row>
    <row r="4450" spans="1:10">
      <c r="A4450" t="s">
        <v>4532</v>
      </c>
      <c r="B4450">
        <v>23</v>
      </c>
      <c r="C4450" t="s">
        <v>9</v>
      </c>
      <c r="D4450">
        <v>24</v>
      </c>
      <c r="E4450">
        <v>46</v>
      </c>
      <c r="F4450">
        <v>2.3400000000000001E-3</v>
      </c>
      <c r="G4450">
        <v>0</v>
      </c>
      <c r="H4450" t="str">
        <f t="shared" si="207"/>
        <v>40-49</v>
      </c>
      <c r="I4450" t="str">
        <f t="shared" si="208"/>
        <v>20-29</v>
      </c>
      <c r="J4450">
        <f t="shared" si="209"/>
        <v>2.3400000000000001E-3</v>
      </c>
    </row>
    <row r="4451" spans="1:10">
      <c r="A4451" t="s">
        <v>4533</v>
      </c>
      <c r="B4451">
        <v>46</v>
      </c>
      <c r="C4451" t="s">
        <v>7</v>
      </c>
      <c r="D4451">
        <v>4</v>
      </c>
      <c r="E4451">
        <v>49</v>
      </c>
      <c r="F4451">
        <v>1.0499999999999999E-3</v>
      </c>
      <c r="G4451">
        <v>0</v>
      </c>
      <c r="H4451" t="str">
        <f t="shared" si="207"/>
        <v>40-49</v>
      </c>
      <c r="I4451" t="str">
        <f t="shared" si="208"/>
        <v>0-9</v>
      </c>
      <c r="J4451">
        <f t="shared" si="209"/>
        <v>1.0499999999999999E-3</v>
      </c>
    </row>
    <row r="4452" spans="1:10">
      <c r="A4452" t="s">
        <v>4534</v>
      </c>
      <c r="B4452">
        <v>37</v>
      </c>
      <c r="C4452" t="s">
        <v>9</v>
      </c>
      <c r="D4452">
        <v>6</v>
      </c>
      <c r="E4452">
        <v>42</v>
      </c>
      <c r="F4452">
        <v>8.9999999999999998E-4</v>
      </c>
      <c r="G4452">
        <v>0</v>
      </c>
      <c r="H4452" t="str">
        <f t="shared" si="207"/>
        <v>40-49</v>
      </c>
      <c r="I4452" t="str">
        <f t="shared" si="208"/>
        <v>0-9</v>
      </c>
      <c r="J4452">
        <f t="shared" si="209"/>
        <v>8.9999999999999998E-4</v>
      </c>
    </row>
    <row r="4453" spans="1:10">
      <c r="A4453" t="s">
        <v>4535</v>
      </c>
      <c r="B4453">
        <v>53</v>
      </c>
      <c r="C4453" t="s">
        <v>7</v>
      </c>
      <c r="D4453">
        <v>3</v>
      </c>
      <c r="E4453">
        <v>55</v>
      </c>
      <c r="F4453">
        <v>1.64E-3</v>
      </c>
      <c r="G4453">
        <v>0</v>
      </c>
      <c r="H4453" t="str">
        <f t="shared" si="207"/>
        <v>50-59</v>
      </c>
      <c r="I4453" t="str">
        <f t="shared" si="208"/>
        <v>0-9</v>
      </c>
      <c r="J4453">
        <f t="shared" si="209"/>
        <v>1.64E-3</v>
      </c>
    </row>
    <row r="4454" spans="1:10">
      <c r="A4454" t="s">
        <v>4536</v>
      </c>
      <c r="B4454">
        <v>61</v>
      </c>
      <c r="C4454" t="s">
        <v>9</v>
      </c>
      <c r="D4454">
        <v>8</v>
      </c>
      <c r="E4454">
        <v>68</v>
      </c>
      <c r="F4454">
        <v>1.136E-2</v>
      </c>
      <c r="G4454">
        <v>0</v>
      </c>
      <c r="H4454" t="str">
        <f t="shared" si="207"/>
        <v>60-69</v>
      </c>
      <c r="I4454" t="str">
        <f t="shared" si="208"/>
        <v>0-9</v>
      </c>
      <c r="J4454">
        <f t="shared" si="209"/>
        <v>1.136E-2</v>
      </c>
    </row>
    <row r="4455" spans="1:10">
      <c r="A4455" t="s">
        <v>4537</v>
      </c>
      <c r="B4455">
        <v>37</v>
      </c>
      <c r="C4455" t="s">
        <v>9</v>
      </c>
      <c r="D4455">
        <v>27</v>
      </c>
      <c r="E4455">
        <v>63</v>
      </c>
      <c r="F4455">
        <v>7.79E-3</v>
      </c>
      <c r="G4455">
        <v>0</v>
      </c>
      <c r="H4455" t="str">
        <f t="shared" si="207"/>
        <v>60-69</v>
      </c>
      <c r="I4455" t="str">
        <f t="shared" si="208"/>
        <v>20-29</v>
      </c>
      <c r="J4455">
        <f t="shared" si="209"/>
        <v>7.79E-3</v>
      </c>
    </row>
    <row r="4456" spans="1:10">
      <c r="A4456" t="s">
        <v>4538</v>
      </c>
      <c r="B4456">
        <v>30</v>
      </c>
      <c r="C4456" t="s">
        <v>9</v>
      </c>
      <c r="D4456">
        <v>16</v>
      </c>
      <c r="E4456">
        <v>45</v>
      </c>
      <c r="F4456">
        <v>1.67E-3</v>
      </c>
      <c r="G4456">
        <v>0</v>
      </c>
      <c r="H4456" t="str">
        <f t="shared" si="207"/>
        <v>40-49</v>
      </c>
      <c r="I4456" t="str">
        <f t="shared" si="208"/>
        <v>10-19</v>
      </c>
      <c r="J4456">
        <f t="shared" si="209"/>
        <v>1.67E-3</v>
      </c>
    </row>
    <row r="4457" spans="1:10">
      <c r="A4457" t="s">
        <v>4539</v>
      </c>
      <c r="B4457">
        <v>21</v>
      </c>
      <c r="C4457" t="s">
        <v>9</v>
      </c>
      <c r="D4457">
        <v>25</v>
      </c>
      <c r="E4457">
        <v>45</v>
      </c>
      <c r="F4457">
        <v>2.4299999999999999E-3</v>
      </c>
      <c r="G4457">
        <v>0</v>
      </c>
      <c r="H4457" t="str">
        <f t="shared" si="207"/>
        <v>40-49</v>
      </c>
      <c r="I4457" t="str">
        <f t="shared" si="208"/>
        <v>20-29</v>
      </c>
      <c r="J4457">
        <f t="shared" si="209"/>
        <v>2.4299999999999999E-3</v>
      </c>
    </row>
    <row r="4458" spans="1:10">
      <c r="A4458" t="s">
        <v>4540</v>
      </c>
      <c r="B4458">
        <v>34</v>
      </c>
      <c r="C4458" t="s">
        <v>7</v>
      </c>
      <c r="D4458">
        <v>18</v>
      </c>
      <c r="E4458">
        <v>51</v>
      </c>
      <c r="F4458">
        <v>2E-3</v>
      </c>
      <c r="G4458">
        <v>0</v>
      </c>
      <c r="H4458" t="str">
        <f t="shared" si="207"/>
        <v>50-59</v>
      </c>
      <c r="I4458" t="str">
        <f t="shared" si="208"/>
        <v>10-19</v>
      </c>
      <c r="J4458">
        <f t="shared" si="209"/>
        <v>2E-3</v>
      </c>
    </row>
    <row r="4459" spans="1:10">
      <c r="A4459" t="s">
        <v>4541</v>
      </c>
      <c r="B4459">
        <v>27</v>
      </c>
      <c r="C4459" t="s">
        <v>7</v>
      </c>
      <c r="D4459">
        <v>9</v>
      </c>
      <c r="E4459">
        <v>35</v>
      </c>
      <c r="F4459">
        <v>4.6999999999999999E-4</v>
      </c>
      <c r="G4459">
        <v>0</v>
      </c>
      <c r="H4459" t="str">
        <f t="shared" si="207"/>
        <v>30-39</v>
      </c>
      <c r="I4459" t="str">
        <f t="shared" si="208"/>
        <v>0-9</v>
      </c>
      <c r="J4459">
        <f t="shared" si="209"/>
        <v>4.6999999999999999E-4</v>
      </c>
    </row>
    <row r="4460" spans="1:10">
      <c r="A4460" t="s">
        <v>4542</v>
      </c>
      <c r="B4460">
        <v>64</v>
      </c>
      <c r="C4460" t="s">
        <v>9</v>
      </c>
      <c r="D4460">
        <v>4</v>
      </c>
      <c r="E4460">
        <v>67</v>
      </c>
      <c r="F4460">
        <v>7.5599999999999999E-3</v>
      </c>
      <c r="G4460">
        <v>0</v>
      </c>
      <c r="H4460" t="str">
        <f t="shared" si="207"/>
        <v>60-69</v>
      </c>
      <c r="I4460" t="str">
        <f t="shared" si="208"/>
        <v>0-9</v>
      </c>
      <c r="J4460">
        <f t="shared" si="209"/>
        <v>7.5599999999999999E-3</v>
      </c>
    </row>
    <row r="4461" spans="1:10">
      <c r="A4461" t="s">
        <v>4543</v>
      </c>
      <c r="B4461">
        <v>39</v>
      </c>
      <c r="C4461" t="s">
        <v>9</v>
      </c>
      <c r="D4461">
        <v>24</v>
      </c>
      <c r="E4461">
        <v>62</v>
      </c>
      <c r="F4461">
        <v>7.7600000000000004E-3</v>
      </c>
      <c r="G4461">
        <v>0</v>
      </c>
      <c r="H4461" t="str">
        <f t="shared" si="207"/>
        <v>60-69</v>
      </c>
      <c r="I4461" t="str">
        <f t="shared" si="208"/>
        <v>20-29</v>
      </c>
      <c r="J4461">
        <f t="shared" si="209"/>
        <v>7.7600000000000004E-3</v>
      </c>
    </row>
    <row r="4462" spans="1:10">
      <c r="A4462" t="s">
        <v>4544</v>
      </c>
      <c r="B4462">
        <v>26</v>
      </c>
      <c r="C4462" t="s">
        <v>7</v>
      </c>
      <c r="D4462">
        <v>8</v>
      </c>
      <c r="E4462">
        <v>33</v>
      </c>
      <c r="F4462">
        <v>3.8000000000000002E-4</v>
      </c>
      <c r="G4462">
        <v>0</v>
      </c>
      <c r="H4462" t="str">
        <f t="shared" si="207"/>
        <v>30-39</v>
      </c>
      <c r="I4462" t="str">
        <f t="shared" si="208"/>
        <v>0-9</v>
      </c>
      <c r="J4462">
        <f t="shared" si="209"/>
        <v>3.8000000000000002E-4</v>
      </c>
    </row>
    <row r="4463" spans="1:10">
      <c r="A4463" t="s">
        <v>4545</v>
      </c>
      <c r="B4463">
        <v>35</v>
      </c>
      <c r="C4463" t="s">
        <v>7</v>
      </c>
      <c r="D4463">
        <v>25</v>
      </c>
      <c r="E4463">
        <v>59</v>
      </c>
      <c r="F4463">
        <v>4.4600000000000004E-3</v>
      </c>
      <c r="G4463">
        <v>0</v>
      </c>
      <c r="H4463" t="str">
        <f t="shared" si="207"/>
        <v>50-59</v>
      </c>
      <c r="I4463" t="str">
        <f t="shared" si="208"/>
        <v>20-29</v>
      </c>
      <c r="J4463">
        <f t="shared" si="209"/>
        <v>4.4600000000000004E-3</v>
      </c>
    </row>
    <row r="4464" spans="1:10">
      <c r="A4464" t="s">
        <v>4546</v>
      </c>
      <c r="B4464">
        <v>59</v>
      </c>
      <c r="C4464" t="s">
        <v>7</v>
      </c>
      <c r="D4464">
        <v>19</v>
      </c>
      <c r="E4464">
        <v>77</v>
      </c>
      <c r="F4464">
        <v>2.759E-2</v>
      </c>
      <c r="G4464">
        <v>0</v>
      </c>
      <c r="H4464" t="str">
        <f t="shared" si="207"/>
        <v>70-79</v>
      </c>
      <c r="I4464" t="str">
        <f t="shared" si="208"/>
        <v>10-19</v>
      </c>
      <c r="J4464">
        <f t="shared" si="209"/>
        <v>2.759E-2</v>
      </c>
    </row>
    <row r="4465" spans="1:10">
      <c r="A4465" t="s">
        <v>4547</v>
      </c>
      <c r="B4465">
        <v>31</v>
      </c>
      <c r="C4465" t="s">
        <v>9</v>
      </c>
      <c r="D4465">
        <v>21</v>
      </c>
      <c r="E4465">
        <v>51</v>
      </c>
      <c r="F4465">
        <v>2.7399999999999998E-3</v>
      </c>
      <c r="G4465">
        <v>0</v>
      </c>
      <c r="H4465" t="str">
        <f t="shared" si="207"/>
        <v>50-59</v>
      </c>
      <c r="I4465" t="str">
        <f t="shared" si="208"/>
        <v>20-29</v>
      </c>
      <c r="J4465">
        <f t="shared" si="209"/>
        <v>2.7399999999999998E-3</v>
      </c>
    </row>
    <row r="4466" spans="1:10">
      <c r="A4466" t="s">
        <v>4548</v>
      </c>
      <c r="B4466">
        <v>29</v>
      </c>
      <c r="C4466" t="s">
        <v>9</v>
      </c>
      <c r="D4466">
        <v>1</v>
      </c>
      <c r="E4466">
        <v>29</v>
      </c>
      <c r="F4466">
        <v>2.5000000000000001E-4</v>
      </c>
      <c r="G4466">
        <v>0</v>
      </c>
      <c r="H4466" t="str">
        <f t="shared" si="207"/>
        <v>20-29</v>
      </c>
      <c r="I4466" t="str">
        <f t="shared" si="208"/>
        <v>0-9</v>
      </c>
      <c r="J4466">
        <f t="shared" si="209"/>
        <v>2.5000000000000001E-4</v>
      </c>
    </row>
    <row r="4467" spans="1:10">
      <c r="A4467" t="s">
        <v>4549</v>
      </c>
      <c r="B4467">
        <v>55</v>
      </c>
      <c r="C4467" t="s">
        <v>7</v>
      </c>
      <c r="D4467">
        <v>14</v>
      </c>
      <c r="E4467">
        <v>68</v>
      </c>
      <c r="F4467">
        <v>9.5999999999999992E-3</v>
      </c>
      <c r="G4467">
        <v>1</v>
      </c>
      <c r="H4467" t="str">
        <f t="shared" si="207"/>
        <v>60-69</v>
      </c>
      <c r="I4467" t="str">
        <f t="shared" si="208"/>
        <v>10-19</v>
      </c>
      <c r="J4467">
        <f t="shared" si="209"/>
        <v>9.5999999999999992E-3</v>
      </c>
    </row>
    <row r="4468" spans="1:10">
      <c r="A4468" t="s">
        <v>4550</v>
      </c>
      <c r="B4468">
        <v>32</v>
      </c>
      <c r="C4468" t="s">
        <v>9</v>
      </c>
      <c r="D4468">
        <v>6</v>
      </c>
      <c r="E4468">
        <v>37</v>
      </c>
      <c r="F4468">
        <v>5.9000000000000003E-4</v>
      </c>
      <c r="G4468">
        <v>0</v>
      </c>
      <c r="H4468" t="str">
        <f t="shared" si="207"/>
        <v>30-39</v>
      </c>
      <c r="I4468" t="str">
        <f t="shared" si="208"/>
        <v>0-9</v>
      </c>
      <c r="J4468">
        <f t="shared" si="209"/>
        <v>5.9000000000000003E-4</v>
      </c>
    </row>
    <row r="4469" spans="1:10">
      <c r="A4469" t="s">
        <v>4551</v>
      </c>
      <c r="B4469">
        <v>47</v>
      </c>
      <c r="C4469" t="s">
        <v>7</v>
      </c>
      <c r="D4469">
        <v>9</v>
      </c>
      <c r="E4469">
        <v>55</v>
      </c>
      <c r="F4469">
        <v>2.32E-3</v>
      </c>
      <c r="G4469">
        <v>0</v>
      </c>
      <c r="H4469" t="str">
        <f t="shared" si="207"/>
        <v>50-59</v>
      </c>
      <c r="I4469" t="str">
        <f t="shared" si="208"/>
        <v>0-9</v>
      </c>
      <c r="J4469">
        <f t="shared" si="209"/>
        <v>2.32E-3</v>
      </c>
    </row>
    <row r="4470" spans="1:10">
      <c r="A4470" t="s">
        <v>4552</v>
      </c>
      <c r="B4470">
        <v>32</v>
      </c>
      <c r="C4470" t="s">
        <v>9</v>
      </c>
      <c r="D4470">
        <v>21</v>
      </c>
      <c r="E4470">
        <v>52</v>
      </c>
      <c r="F4470">
        <v>3.0000000000000001E-3</v>
      </c>
      <c r="G4470">
        <v>0</v>
      </c>
      <c r="H4470" t="str">
        <f t="shared" si="207"/>
        <v>50-59</v>
      </c>
      <c r="I4470" t="str">
        <f t="shared" si="208"/>
        <v>20-29</v>
      </c>
      <c r="J4470">
        <f t="shared" si="209"/>
        <v>3.0000000000000001E-3</v>
      </c>
    </row>
    <row r="4471" spans="1:10">
      <c r="A4471" t="s">
        <v>4553</v>
      </c>
      <c r="B4471">
        <v>58</v>
      </c>
      <c r="C4471" t="s">
        <v>7</v>
      </c>
      <c r="D4471">
        <v>19</v>
      </c>
      <c r="E4471">
        <v>76</v>
      </c>
      <c r="F4471">
        <v>2.4830000000000001E-2</v>
      </c>
      <c r="G4471">
        <v>0</v>
      </c>
      <c r="H4471" t="str">
        <f t="shared" si="207"/>
        <v>70-79</v>
      </c>
      <c r="I4471" t="str">
        <f t="shared" si="208"/>
        <v>10-19</v>
      </c>
      <c r="J4471">
        <f t="shared" si="209"/>
        <v>2.4830000000000001E-2</v>
      </c>
    </row>
    <row r="4472" spans="1:10">
      <c r="A4472" t="s">
        <v>4554</v>
      </c>
      <c r="B4472">
        <v>50</v>
      </c>
      <c r="C4472" t="s">
        <v>9</v>
      </c>
      <c r="D4472">
        <v>20</v>
      </c>
      <c r="E4472">
        <v>69</v>
      </c>
      <c r="F4472">
        <v>1.5259999999999999E-2</v>
      </c>
      <c r="G4472">
        <v>0</v>
      </c>
      <c r="H4472" t="str">
        <f t="shared" si="207"/>
        <v>60-69</v>
      </c>
      <c r="I4472" t="str">
        <f t="shared" si="208"/>
        <v>20-29</v>
      </c>
      <c r="J4472">
        <f t="shared" si="209"/>
        <v>1.5259999999999999E-2</v>
      </c>
    </row>
    <row r="4473" spans="1:10">
      <c r="A4473" t="s">
        <v>4555</v>
      </c>
      <c r="B4473">
        <v>22</v>
      </c>
      <c r="C4473" t="s">
        <v>9</v>
      </c>
      <c r="D4473">
        <v>28</v>
      </c>
      <c r="E4473">
        <v>49</v>
      </c>
      <c r="F4473">
        <v>2.6700000000000001E-3</v>
      </c>
      <c r="G4473">
        <v>0</v>
      </c>
      <c r="H4473" t="str">
        <f t="shared" si="207"/>
        <v>40-49</v>
      </c>
      <c r="I4473" t="str">
        <f t="shared" si="208"/>
        <v>20-29</v>
      </c>
      <c r="J4473">
        <f t="shared" si="209"/>
        <v>2.6700000000000001E-3</v>
      </c>
    </row>
    <row r="4474" spans="1:10">
      <c r="A4474" t="s">
        <v>4556</v>
      </c>
      <c r="B4474">
        <v>35</v>
      </c>
      <c r="C4474" t="s">
        <v>9</v>
      </c>
      <c r="D4474">
        <v>18</v>
      </c>
      <c r="E4474">
        <v>52</v>
      </c>
      <c r="F4474">
        <v>2.9099999999999998E-3</v>
      </c>
      <c r="G4474">
        <v>0</v>
      </c>
      <c r="H4474" t="str">
        <f t="shared" si="207"/>
        <v>50-59</v>
      </c>
      <c r="I4474" t="str">
        <f t="shared" si="208"/>
        <v>10-19</v>
      </c>
      <c r="J4474">
        <f t="shared" si="209"/>
        <v>2.9099999999999998E-3</v>
      </c>
    </row>
    <row r="4475" spans="1:10">
      <c r="A4475" t="s">
        <v>4557</v>
      </c>
      <c r="B4475">
        <v>55</v>
      </c>
      <c r="C4475" t="s">
        <v>7</v>
      </c>
      <c r="D4475">
        <v>1</v>
      </c>
      <c r="E4475">
        <v>55</v>
      </c>
      <c r="F4475">
        <v>5.4000000000000001E-4</v>
      </c>
      <c r="G4475">
        <v>0</v>
      </c>
      <c r="H4475" t="str">
        <f t="shared" si="207"/>
        <v>50-59</v>
      </c>
      <c r="I4475" t="str">
        <f t="shared" si="208"/>
        <v>0-9</v>
      </c>
      <c r="J4475">
        <f t="shared" si="209"/>
        <v>5.4000000000000001E-4</v>
      </c>
    </row>
    <row r="4476" spans="1:10">
      <c r="A4476" t="s">
        <v>4558</v>
      </c>
      <c r="B4476">
        <v>28</v>
      </c>
      <c r="C4476" t="s">
        <v>9</v>
      </c>
      <c r="D4476">
        <v>8</v>
      </c>
      <c r="E4476">
        <v>35</v>
      </c>
      <c r="F4476">
        <v>5.9000000000000003E-4</v>
      </c>
      <c r="G4476">
        <v>0</v>
      </c>
      <c r="H4476" t="str">
        <f t="shared" si="207"/>
        <v>30-39</v>
      </c>
      <c r="I4476" t="str">
        <f t="shared" si="208"/>
        <v>0-9</v>
      </c>
      <c r="J4476">
        <f t="shared" si="209"/>
        <v>5.9000000000000003E-4</v>
      </c>
    </row>
    <row r="4477" spans="1:10">
      <c r="A4477" t="s">
        <v>4559</v>
      </c>
      <c r="B4477">
        <v>49</v>
      </c>
      <c r="C4477" t="s">
        <v>7</v>
      </c>
      <c r="D4477">
        <v>14</v>
      </c>
      <c r="E4477">
        <v>62</v>
      </c>
      <c r="F4477">
        <v>5.5599999999999998E-3</v>
      </c>
      <c r="G4477">
        <v>0</v>
      </c>
      <c r="H4477" t="str">
        <f t="shared" si="207"/>
        <v>60-69</v>
      </c>
      <c r="I4477" t="str">
        <f t="shared" si="208"/>
        <v>10-19</v>
      </c>
      <c r="J4477">
        <f t="shared" si="209"/>
        <v>5.5599999999999998E-3</v>
      </c>
    </row>
    <row r="4478" spans="1:10">
      <c r="A4478" t="s">
        <v>4560</v>
      </c>
      <c r="B4478">
        <v>26</v>
      </c>
      <c r="C4478" t="s">
        <v>7</v>
      </c>
      <c r="D4478">
        <v>22</v>
      </c>
      <c r="E4478">
        <v>47</v>
      </c>
      <c r="F4478">
        <v>1.6000000000000001E-3</v>
      </c>
      <c r="G4478">
        <v>0</v>
      </c>
      <c r="H4478" t="str">
        <f t="shared" si="207"/>
        <v>40-49</v>
      </c>
      <c r="I4478" t="str">
        <f t="shared" si="208"/>
        <v>20-29</v>
      </c>
      <c r="J4478">
        <f t="shared" si="209"/>
        <v>1.6000000000000001E-3</v>
      </c>
    </row>
    <row r="4479" spans="1:10">
      <c r="A4479" t="s">
        <v>4561</v>
      </c>
      <c r="B4479">
        <v>65</v>
      </c>
      <c r="C4479" t="s">
        <v>9</v>
      </c>
      <c r="D4479">
        <v>5</v>
      </c>
      <c r="E4479">
        <v>69</v>
      </c>
      <c r="F4479">
        <v>9.7999999999999997E-3</v>
      </c>
      <c r="G4479">
        <v>0</v>
      </c>
      <c r="H4479" t="str">
        <f t="shared" si="207"/>
        <v>60-69</v>
      </c>
      <c r="I4479" t="str">
        <f t="shared" si="208"/>
        <v>0-9</v>
      </c>
      <c r="J4479">
        <f t="shared" si="209"/>
        <v>9.7999999999999997E-3</v>
      </c>
    </row>
    <row r="4480" spans="1:10">
      <c r="A4480" t="s">
        <v>4562</v>
      </c>
      <c r="B4480">
        <v>43</v>
      </c>
      <c r="C4480" t="s">
        <v>9</v>
      </c>
      <c r="D4480">
        <v>4</v>
      </c>
      <c r="E4480">
        <v>46</v>
      </c>
      <c r="F4480">
        <v>1.1000000000000001E-3</v>
      </c>
      <c r="G4480">
        <v>0</v>
      </c>
      <c r="H4480" t="str">
        <f t="shared" si="207"/>
        <v>40-49</v>
      </c>
      <c r="I4480" t="str">
        <f t="shared" si="208"/>
        <v>0-9</v>
      </c>
      <c r="J4480">
        <f t="shared" si="209"/>
        <v>1.1000000000000001E-3</v>
      </c>
    </row>
    <row r="4481" spans="1:10">
      <c r="A4481" t="s">
        <v>4563</v>
      </c>
      <c r="B4481">
        <v>57</v>
      </c>
      <c r="C4481" t="s">
        <v>9</v>
      </c>
      <c r="D4481">
        <v>14</v>
      </c>
      <c r="E4481">
        <v>70</v>
      </c>
      <c r="F4481">
        <v>1.6750000000000001E-2</v>
      </c>
      <c r="G4481">
        <v>0</v>
      </c>
      <c r="H4481" t="str">
        <f t="shared" si="207"/>
        <v>70-79</v>
      </c>
      <c r="I4481" t="str">
        <f t="shared" si="208"/>
        <v>10-19</v>
      </c>
      <c r="J4481">
        <f t="shared" si="209"/>
        <v>1.6750000000000001E-2</v>
      </c>
    </row>
    <row r="4482" spans="1:10">
      <c r="A4482" t="s">
        <v>4564</v>
      </c>
      <c r="B4482">
        <v>57</v>
      </c>
      <c r="C4482" t="s">
        <v>9</v>
      </c>
      <c r="D4482">
        <v>29</v>
      </c>
      <c r="E4482">
        <v>85</v>
      </c>
      <c r="F4482">
        <v>6.3329999999999997E-2</v>
      </c>
      <c r="G4482">
        <v>0</v>
      </c>
      <c r="H4482" t="str">
        <f t="shared" si="207"/>
        <v>80-89</v>
      </c>
      <c r="I4482" t="str">
        <f t="shared" si="208"/>
        <v>20-29</v>
      </c>
      <c r="J4482">
        <f t="shared" si="209"/>
        <v>6.3329999999999997E-2</v>
      </c>
    </row>
    <row r="4483" spans="1:10">
      <c r="A4483" t="s">
        <v>4565</v>
      </c>
      <c r="B4483">
        <v>41</v>
      </c>
      <c r="C4483" t="s">
        <v>9</v>
      </c>
      <c r="D4483">
        <v>30</v>
      </c>
      <c r="E4483">
        <v>70</v>
      </c>
      <c r="F4483">
        <v>1.1730000000000001E-2</v>
      </c>
      <c r="G4483">
        <v>0</v>
      </c>
      <c r="H4483" t="str">
        <f t="shared" ref="H4483:H4546" si="210">FLOOR(E4483,10) &amp; "-" &amp; FLOOR(E4483,10)+9</f>
        <v>70-79</v>
      </c>
      <c r="I4483" t="str">
        <f t="shared" ref="I4483:I4546" si="211">FLOOR(D4483, 10) &amp; "-"&amp;FLOOR(D4483, 10)+9</f>
        <v>30-39</v>
      </c>
      <c r="J4483">
        <f t="shared" ref="J4483:J4546" si="212">F4483</f>
        <v>1.1730000000000001E-2</v>
      </c>
    </row>
    <row r="4484" spans="1:10">
      <c r="A4484" t="s">
        <v>4566</v>
      </c>
      <c r="B4484">
        <v>36</v>
      </c>
      <c r="C4484" t="s">
        <v>7</v>
      </c>
      <c r="D4484">
        <v>26</v>
      </c>
      <c r="E4484">
        <v>61</v>
      </c>
      <c r="F4484">
        <v>5.4599999999999996E-3</v>
      </c>
      <c r="G4484">
        <v>0</v>
      </c>
      <c r="H4484" t="str">
        <f t="shared" si="210"/>
        <v>60-69</v>
      </c>
      <c r="I4484" t="str">
        <f t="shared" si="211"/>
        <v>20-29</v>
      </c>
      <c r="J4484">
        <f t="shared" si="212"/>
        <v>5.4599999999999996E-3</v>
      </c>
    </row>
    <row r="4485" spans="1:10">
      <c r="A4485" t="s">
        <v>4567</v>
      </c>
      <c r="B4485">
        <v>35</v>
      </c>
      <c r="C4485" t="s">
        <v>9</v>
      </c>
      <c r="D4485">
        <v>2</v>
      </c>
      <c r="E4485">
        <v>36</v>
      </c>
      <c r="F4485">
        <v>3.4000000000000002E-4</v>
      </c>
      <c r="G4485">
        <v>0</v>
      </c>
      <c r="H4485" t="str">
        <f t="shared" si="210"/>
        <v>30-39</v>
      </c>
      <c r="I4485" t="str">
        <f t="shared" si="211"/>
        <v>0-9</v>
      </c>
      <c r="J4485">
        <f t="shared" si="212"/>
        <v>3.4000000000000002E-4</v>
      </c>
    </row>
    <row r="4486" spans="1:10">
      <c r="A4486" t="s">
        <v>4568</v>
      </c>
      <c r="B4486">
        <v>30</v>
      </c>
      <c r="C4486" t="s">
        <v>7</v>
      </c>
      <c r="D4486">
        <v>22</v>
      </c>
      <c r="E4486">
        <v>51</v>
      </c>
      <c r="F4486">
        <v>2.1900000000000001E-3</v>
      </c>
      <c r="G4486">
        <v>0</v>
      </c>
      <c r="H4486" t="str">
        <f t="shared" si="210"/>
        <v>50-59</v>
      </c>
      <c r="I4486" t="str">
        <f t="shared" si="211"/>
        <v>20-29</v>
      </c>
      <c r="J4486">
        <f t="shared" si="212"/>
        <v>2.1900000000000001E-3</v>
      </c>
    </row>
    <row r="4487" spans="1:10">
      <c r="A4487" t="s">
        <v>4569</v>
      </c>
      <c r="B4487">
        <v>51</v>
      </c>
      <c r="C4487" t="s">
        <v>7</v>
      </c>
      <c r="D4487">
        <v>27</v>
      </c>
      <c r="E4487">
        <v>77</v>
      </c>
      <c r="F4487">
        <v>2.58E-2</v>
      </c>
      <c r="G4487">
        <v>0</v>
      </c>
      <c r="H4487" t="str">
        <f t="shared" si="210"/>
        <v>70-79</v>
      </c>
      <c r="I4487" t="str">
        <f t="shared" si="211"/>
        <v>20-29</v>
      </c>
      <c r="J4487">
        <f t="shared" si="212"/>
        <v>2.58E-2</v>
      </c>
    </row>
    <row r="4488" spans="1:10">
      <c r="A4488" t="s">
        <v>4570</v>
      </c>
      <c r="B4488">
        <v>41</v>
      </c>
      <c r="C4488" t="s">
        <v>9</v>
      </c>
      <c r="D4488">
        <v>4</v>
      </c>
      <c r="E4488">
        <v>44</v>
      </c>
      <c r="F4488">
        <v>9.5E-4</v>
      </c>
      <c r="G4488">
        <v>0</v>
      </c>
      <c r="H4488" t="str">
        <f t="shared" si="210"/>
        <v>40-49</v>
      </c>
      <c r="I4488" t="str">
        <f t="shared" si="211"/>
        <v>0-9</v>
      </c>
      <c r="J4488">
        <f t="shared" si="212"/>
        <v>9.5E-4</v>
      </c>
    </row>
    <row r="4489" spans="1:10">
      <c r="A4489" t="s">
        <v>4571</v>
      </c>
      <c r="B4489">
        <v>56</v>
      </c>
      <c r="C4489" t="s">
        <v>9</v>
      </c>
      <c r="D4489">
        <v>9</v>
      </c>
      <c r="E4489">
        <v>64</v>
      </c>
      <c r="F4489">
        <v>8.7399999999999995E-3</v>
      </c>
      <c r="G4489">
        <v>0</v>
      </c>
      <c r="H4489" t="str">
        <f t="shared" si="210"/>
        <v>60-69</v>
      </c>
      <c r="I4489" t="str">
        <f t="shared" si="211"/>
        <v>0-9</v>
      </c>
      <c r="J4489">
        <f t="shared" si="212"/>
        <v>8.7399999999999995E-3</v>
      </c>
    </row>
    <row r="4490" spans="1:10">
      <c r="A4490" t="s">
        <v>4572</v>
      </c>
      <c r="B4490">
        <v>42</v>
      </c>
      <c r="C4490" t="s">
        <v>9</v>
      </c>
      <c r="D4490">
        <v>25</v>
      </c>
      <c r="E4490">
        <v>66</v>
      </c>
      <c r="F4490">
        <v>1.162E-2</v>
      </c>
      <c r="G4490">
        <v>0</v>
      </c>
      <c r="H4490" t="str">
        <f t="shared" si="210"/>
        <v>60-69</v>
      </c>
      <c r="I4490" t="str">
        <f t="shared" si="211"/>
        <v>20-29</v>
      </c>
      <c r="J4490">
        <f t="shared" si="212"/>
        <v>1.162E-2</v>
      </c>
    </row>
    <row r="4491" spans="1:10">
      <c r="A4491" t="s">
        <v>4573</v>
      </c>
      <c r="B4491">
        <v>21</v>
      </c>
      <c r="C4491" t="s">
        <v>9</v>
      </c>
      <c r="D4491">
        <v>24</v>
      </c>
      <c r="E4491">
        <v>44</v>
      </c>
      <c r="F4491">
        <v>2.2899999999999999E-3</v>
      </c>
      <c r="G4491">
        <v>0</v>
      </c>
      <c r="H4491" t="str">
        <f t="shared" si="210"/>
        <v>40-49</v>
      </c>
      <c r="I4491" t="str">
        <f t="shared" si="211"/>
        <v>20-29</v>
      </c>
      <c r="J4491">
        <f t="shared" si="212"/>
        <v>2.2899999999999999E-3</v>
      </c>
    </row>
    <row r="4492" spans="1:10">
      <c r="A4492" t="s">
        <v>4574</v>
      </c>
      <c r="B4492">
        <v>21</v>
      </c>
      <c r="C4492" t="s">
        <v>9</v>
      </c>
      <c r="D4492">
        <v>22</v>
      </c>
      <c r="E4492">
        <v>42</v>
      </c>
      <c r="F4492">
        <v>1.99E-3</v>
      </c>
      <c r="G4492">
        <v>0</v>
      </c>
      <c r="H4492" t="str">
        <f t="shared" si="210"/>
        <v>40-49</v>
      </c>
      <c r="I4492" t="str">
        <f t="shared" si="211"/>
        <v>20-29</v>
      </c>
      <c r="J4492">
        <f t="shared" si="212"/>
        <v>1.99E-3</v>
      </c>
    </row>
    <row r="4493" spans="1:10">
      <c r="A4493" t="s">
        <v>4575</v>
      </c>
      <c r="B4493">
        <v>30</v>
      </c>
      <c r="C4493" t="s">
        <v>7</v>
      </c>
      <c r="D4493">
        <v>8</v>
      </c>
      <c r="E4493">
        <v>37</v>
      </c>
      <c r="F4493">
        <v>5.1999999999999995E-4</v>
      </c>
      <c r="G4493">
        <v>0</v>
      </c>
      <c r="H4493" t="str">
        <f t="shared" si="210"/>
        <v>30-39</v>
      </c>
      <c r="I4493" t="str">
        <f t="shared" si="211"/>
        <v>0-9</v>
      </c>
      <c r="J4493">
        <f t="shared" si="212"/>
        <v>5.1999999999999995E-4</v>
      </c>
    </row>
    <row r="4494" spans="1:10">
      <c r="A4494" t="s">
        <v>4576</v>
      </c>
      <c r="B4494">
        <v>32</v>
      </c>
      <c r="C4494" t="s">
        <v>9</v>
      </c>
      <c r="D4494">
        <v>27</v>
      </c>
      <c r="E4494">
        <v>58</v>
      </c>
      <c r="F4494">
        <v>4.7800000000000004E-3</v>
      </c>
      <c r="G4494">
        <v>0</v>
      </c>
      <c r="H4494" t="str">
        <f t="shared" si="210"/>
        <v>50-59</v>
      </c>
      <c r="I4494" t="str">
        <f t="shared" si="211"/>
        <v>20-29</v>
      </c>
      <c r="J4494">
        <f t="shared" si="212"/>
        <v>4.7800000000000004E-3</v>
      </c>
    </row>
    <row r="4495" spans="1:10">
      <c r="A4495" t="s">
        <v>4577</v>
      </c>
      <c r="B4495">
        <v>49</v>
      </c>
      <c r="C4495" t="s">
        <v>7</v>
      </c>
      <c r="D4495">
        <v>2</v>
      </c>
      <c r="E4495">
        <v>50</v>
      </c>
      <c r="F4495">
        <v>5.9999999999999995E-4</v>
      </c>
      <c r="G4495">
        <v>0</v>
      </c>
      <c r="H4495" t="str">
        <f t="shared" si="210"/>
        <v>50-59</v>
      </c>
      <c r="I4495" t="str">
        <f t="shared" si="211"/>
        <v>0-9</v>
      </c>
      <c r="J4495">
        <f t="shared" si="212"/>
        <v>5.9999999999999995E-4</v>
      </c>
    </row>
    <row r="4496" spans="1:10">
      <c r="A4496" t="s">
        <v>4578</v>
      </c>
      <c r="B4496">
        <v>28</v>
      </c>
      <c r="C4496" t="s">
        <v>9</v>
      </c>
      <c r="D4496">
        <v>2</v>
      </c>
      <c r="E4496">
        <v>29</v>
      </c>
      <c r="F4496">
        <v>3.1E-4</v>
      </c>
      <c r="G4496">
        <v>0</v>
      </c>
      <c r="H4496" t="str">
        <f t="shared" si="210"/>
        <v>20-29</v>
      </c>
      <c r="I4496" t="str">
        <f t="shared" si="211"/>
        <v>0-9</v>
      </c>
      <c r="J4496">
        <f t="shared" si="212"/>
        <v>3.1E-4</v>
      </c>
    </row>
    <row r="4497" spans="1:10">
      <c r="A4497" t="s">
        <v>4579</v>
      </c>
      <c r="B4497">
        <v>33</v>
      </c>
      <c r="C4497" t="s">
        <v>7</v>
      </c>
      <c r="D4497">
        <v>12</v>
      </c>
      <c r="E4497">
        <v>44</v>
      </c>
      <c r="F4497">
        <v>9.8999999999999999E-4</v>
      </c>
      <c r="G4497">
        <v>0</v>
      </c>
      <c r="H4497" t="str">
        <f t="shared" si="210"/>
        <v>40-49</v>
      </c>
      <c r="I4497" t="str">
        <f t="shared" si="211"/>
        <v>10-19</v>
      </c>
      <c r="J4497">
        <f t="shared" si="212"/>
        <v>9.8999999999999999E-4</v>
      </c>
    </row>
    <row r="4498" spans="1:10">
      <c r="A4498" t="s">
        <v>4580</v>
      </c>
      <c r="B4498">
        <v>39</v>
      </c>
      <c r="C4498" t="s">
        <v>7</v>
      </c>
      <c r="D4498">
        <v>27</v>
      </c>
      <c r="E4498">
        <v>65</v>
      </c>
      <c r="F4498">
        <v>7.4700000000000001E-3</v>
      </c>
      <c r="G4498">
        <v>0</v>
      </c>
      <c r="H4498" t="str">
        <f t="shared" si="210"/>
        <v>60-69</v>
      </c>
      <c r="I4498" t="str">
        <f t="shared" si="211"/>
        <v>20-29</v>
      </c>
      <c r="J4498">
        <f t="shared" si="212"/>
        <v>7.4700000000000001E-3</v>
      </c>
    </row>
    <row r="4499" spans="1:10">
      <c r="A4499" t="s">
        <v>4581</v>
      </c>
      <c r="B4499">
        <v>24</v>
      </c>
      <c r="C4499" t="s">
        <v>7</v>
      </c>
      <c r="D4499">
        <v>27</v>
      </c>
      <c r="E4499">
        <v>50</v>
      </c>
      <c r="F4499">
        <v>1.8699999999999999E-3</v>
      </c>
      <c r="G4499">
        <v>0</v>
      </c>
      <c r="H4499" t="str">
        <f t="shared" si="210"/>
        <v>50-59</v>
      </c>
      <c r="I4499" t="str">
        <f t="shared" si="211"/>
        <v>20-29</v>
      </c>
      <c r="J4499">
        <f t="shared" si="212"/>
        <v>1.8699999999999999E-3</v>
      </c>
    </row>
    <row r="4500" spans="1:10">
      <c r="A4500" t="s">
        <v>4582</v>
      </c>
      <c r="B4500">
        <v>20</v>
      </c>
      <c r="C4500" t="s">
        <v>9</v>
      </c>
      <c r="D4500">
        <v>6</v>
      </c>
      <c r="E4500">
        <v>25</v>
      </c>
      <c r="F4500">
        <v>7.7999999999999999E-4</v>
      </c>
      <c r="G4500">
        <v>0</v>
      </c>
      <c r="H4500" t="str">
        <f t="shared" si="210"/>
        <v>20-29</v>
      </c>
      <c r="I4500" t="str">
        <f t="shared" si="211"/>
        <v>0-9</v>
      </c>
      <c r="J4500">
        <f t="shared" si="212"/>
        <v>7.7999999999999999E-4</v>
      </c>
    </row>
    <row r="4501" spans="1:10">
      <c r="A4501" t="s">
        <v>4583</v>
      </c>
      <c r="B4501">
        <v>63</v>
      </c>
      <c r="C4501" t="s">
        <v>7</v>
      </c>
      <c r="D4501">
        <v>27</v>
      </c>
      <c r="E4501">
        <v>89</v>
      </c>
      <c r="F4501">
        <v>0.10484</v>
      </c>
      <c r="G4501">
        <v>0</v>
      </c>
      <c r="H4501" t="str">
        <f t="shared" si="210"/>
        <v>80-89</v>
      </c>
      <c r="I4501" t="str">
        <f t="shared" si="211"/>
        <v>20-29</v>
      </c>
      <c r="J4501">
        <f t="shared" si="212"/>
        <v>0.10484</v>
      </c>
    </row>
    <row r="4502" spans="1:10">
      <c r="A4502" t="s">
        <v>4584</v>
      </c>
      <c r="B4502">
        <v>30</v>
      </c>
      <c r="C4502" t="s">
        <v>9</v>
      </c>
      <c r="D4502">
        <v>7</v>
      </c>
      <c r="E4502">
        <v>36</v>
      </c>
      <c r="F4502">
        <v>5.9000000000000003E-4</v>
      </c>
      <c r="G4502">
        <v>0</v>
      </c>
      <c r="H4502" t="str">
        <f t="shared" si="210"/>
        <v>30-39</v>
      </c>
      <c r="I4502" t="str">
        <f t="shared" si="211"/>
        <v>0-9</v>
      </c>
      <c r="J4502">
        <f t="shared" si="212"/>
        <v>5.9000000000000003E-4</v>
      </c>
    </row>
    <row r="4503" spans="1:10">
      <c r="A4503" t="s">
        <v>4585</v>
      </c>
      <c r="B4503">
        <v>47</v>
      </c>
      <c r="C4503" t="s">
        <v>7</v>
      </c>
      <c r="D4503">
        <v>8</v>
      </c>
      <c r="E4503">
        <v>54</v>
      </c>
      <c r="F4503">
        <v>2.0300000000000001E-3</v>
      </c>
      <c r="G4503">
        <v>0</v>
      </c>
      <c r="H4503" t="str">
        <f t="shared" si="210"/>
        <v>50-59</v>
      </c>
      <c r="I4503" t="str">
        <f t="shared" si="211"/>
        <v>0-9</v>
      </c>
      <c r="J4503">
        <f t="shared" si="212"/>
        <v>2.0300000000000001E-3</v>
      </c>
    </row>
    <row r="4504" spans="1:10">
      <c r="A4504" t="s">
        <v>4586</v>
      </c>
      <c r="B4504">
        <v>65</v>
      </c>
      <c r="C4504" t="s">
        <v>7</v>
      </c>
      <c r="D4504">
        <v>17</v>
      </c>
      <c r="E4504">
        <v>81</v>
      </c>
      <c r="F4504">
        <v>4.2099999999999999E-2</v>
      </c>
      <c r="G4504">
        <v>0</v>
      </c>
      <c r="H4504" t="str">
        <f t="shared" si="210"/>
        <v>80-89</v>
      </c>
      <c r="I4504" t="str">
        <f t="shared" si="211"/>
        <v>10-19</v>
      </c>
      <c r="J4504">
        <f t="shared" si="212"/>
        <v>4.2099999999999999E-2</v>
      </c>
    </row>
    <row r="4505" spans="1:10">
      <c r="A4505" t="s">
        <v>4587</v>
      </c>
      <c r="B4505">
        <v>53</v>
      </c>
      <c r="C4505" t="s">
        <v>7</v>
      </c>
      <c r="D4505">
        <v>29</v>
      </c>
      <c r="E4505">
        <v>81</v>
      </c>
      <c r="F4505">
        <v>3.1989999999999998E-2</v>
      </c>
      <c r="G4505">
        <v>0</v>
      </c>
      <c r="H4505" t="str">
        <f t="shared" si="210"/>
        <v>80-89</v>
      </c>
      <c r="I4505" t="str">
        <f t="shared" si="211"/>
        <v>20-29</v>
      </c>
      <c r="J4505">
        <f t="shared" si="212"/>
        <v>3.1989999999999998E-2</v>
      </c>
    </row>
    <row r="4506" spans="1:10">
      <c r="A4506" t="s">
        <v>4588</v>
      </c>
      <c r="B4506">
        <v>57</v>
      </c>
      <c r="C4506" t="s">
        <v>7</v>
      </c>
      <c r="D4506">
        <v>11</v>
      </c>
      <c r="E4506">
        <v>67</v>
      </c>
      <c r="F4506">
        <v>7.4700000000000001E-3</v>
      </c>
      <c r="G4506">
        <v>0</v>
      </c>
      <c r="H4506" t="str">
        <f t="shared" si="210"/>
        <v>60-69</v>
      </c>
      <c r="I4506" t="str">
        <f t="shared" si="211"/>
        <v>10-19</v>
      </c>
      <c r="J4506">
        <f t="shared" si="212"/>
        <v>7.4700000000000001E-3</v>
      </c>
    </row>
    <row r="4507" spans="1:10">
      <c r="A4507" t="s">
        <v>4589</v>
      </c>
      <c r="B4507">
        <v>58</v>
      </c>
      <c r="C4507" t="s">
        <v>7</v>
      </c>
      <c r="D4507">
        <v>18</v>
      </c>
      <c r="E4507">
        <v>75</v>
      </c>
      <c r="F4507">
        <v>2.18E-2</v>
      </c>
      <c r="G4507">
        <v>0</v>
      </c>
      <c r="H4507" t="str">
        <f t="shared" si="210"/>
        <v>70-79</v>
      </c>
      <c r="I4507" t="str">
        <f t="shared" si="211"/>
        <v>10-19</v>
      </c>
      <c r="J4507">
        <f t="shared" si="212"/>
        <v>2.18E-2</v>
      </c>
    </row>
    <row r="4508" spans="1:10">
      <c r="A4508" t="s">
        <v>4590</v>
      </c>
      <c r="B4508">
        <v>48</v>
      </c>
      <c r="C4508" t="s">
        <v>9</v>
      </c>
      <c r="D4508">
        <v>14</v>
      </c>
      <c r="E4508">
        <v>61</v>
      </c>
      <c r="F4508">
        <v>6.6699999999999997E-3</v>
      </c>
      <c r="G4508">
        <v>0</v>
      </c>
      <c r="H4508" t="str">
        <f t="shared" si="210"/>
        <v>60-69</v>
      </c>
      <c r="I4508" t="str">
        <f t="shared" si="211"/>
        <v>10-19</v>
      </c>
      <c r="J4508">
        <f t="shared" si="212"/>
        <v>6.6699999999999997E-3</v>
      </c>
    </row>
    <row r="4509" spans="1:10">
      <c r="A4509" t="s">
        <v>4591</v>
      </c>
      <c r="B4509">
        <v>48</v>
      </c>
      <c r="C4509" t="s">
        <v>9</v>
      </c>
      <c r="D4509">
        <v>9</v>
      </c>
      <c r="E4509">
        <v>56</v>
      </c>
      <c r="F4509">
        <v>3.5300000000000002E-3</v>
      </c>
      <c r="G4509">
        <v>0</v>
      </c>
      <c r="H4509" t="str">
        <f t="shared" si="210"/>
        <v>50-59</v>
      </c>
      <c r="I4509" t="str">
        <f t="shared" si="211"/>
        <v>0-9</v>
      </c>
      <c r="J4509">
        <f t="shared" si="212"/>
        <v>3.5300000000000002E-3</v>
      </c>
    </row>
    <row r="4510" spans="1:10">
      <c r="A4510" t="s">
        <v>4592</v>
      </c>
      <c r="B4510">
        <v>21</v>
      </c>
      <c r="C4510" t="s">
        <v>9</v>
      </c>
      <c r="D4510">
        <v>7</v>
      </c>
      <c r="E4510">
        <v>27</v>
      </c>
      <c r="F4510">
        <v>6.8000000000000005E-4</v>
      </c>
      <c r="G4510">
        <v>0</v>
      </c>
      <c r="H4510" t="str">
        <f t="shared" si="210"/>
        <v>20-29</v>
      </c>
      <c r="I4510" t="str">
        <f t="shared" si="211"/>
        <v>0-9</v>
      </c>
      <c r="J4510">
        <f t="shared" si="212"/>
        <v>6.8000000000000005E-4</v>
      </c>
    </row>
    <row r="4511" spans="1:10">
      <c r="A4511" t="s">
        <v>4593</v>
      </c>
      <c r="B4511">
        <v>54</v>
      </c>
      <c r="C4511" t="s">
        <v>7</v>
      </c>
      <c r="D4511">
        <v>15</v>
      </c>
      <c r="E4511">
        <v>68</v>
      </c>
      <c r="F4511">
        <v>9.9799999999999993E-3</v>
      </c>
      <c r="G4511">
        <v>0</v>
      </c>
      <c r="H4511" t="str">
        <f t="shared" si="210"/>
        <v>60-69</v>
      </c>
      <c r="I4511" t="str">
        <f t="shared" si="211"/>
        <v>10-19</v>
      </c>
      <c r="J4511">
        <f t="shared" si="212"/>
        <v>9.9799999999999993E-3</v>
      </c>
    </row>
    <row r="4512" spans="1:10">
      <c r="A4512" t="s">
        <v>4594</v>
      </c>
      <c r="B4512">
        <v>27</v>
      </c>
      <c r="C4512" t="s">
        <v>7</v>
      </c>
      <c r="D4512">
        <v>26</v>
      </c>
      <c r="E4512">
        <v>52</v>
      </c>
      <c r="F4512">
        <v>2.3800000000000002E-3</v>
      </c>
      <c r="G4512">
        <v>0</v>
      </c>
      <c r="H4512" t="str">
        <f t="shared" si="210"/>
        <v>50-59</v>
      </c>
      <c r="I4512" t="str">
        <f t="shared" si="211"/>
        <v>20-29</v>
      </c>
      <c r="J4512">
        <f t="shared" si="212"/>
        <v>2.3800000000000002E-3</v>
      </c>
    </row>
    <row r="4513" spans="1:10">
      <c r="A4513" t="s">
        <v>4595</v>
      </c>
      <c r="B4513">
        <v>34</v>
      </c>
      <c r="C4513" t="s">
        <v>7</v>
      </c>
      <c r="D4513">
        <v>24</v>
      </c>
      <c r="E4513">
        <v>57</v>
      </c>
      <c r="F4513">
        <v>3.6900000000000001E-3</v>
      </c>
      <c r="G4513">
        <v>0</v>
      </c>
      <c r="H4513" t="str">
        <f t="shared" si="210"/>
        <v>50-59</v>
      </c>
      <c r="I4513" t="str">
        <f t="shared" si="211"/>
        <v>20-29</v>
      </c>
      <c r="J4513">
        <f t="shared" si="212"/>
        <v>3.6900000000000001E-3</v>
      </c>
    </row>
    <row r="4514" spans="1:10">
      <c r="A4514" t="s">
        <v>4596</v>
      </c>
      <c r="B4514">
        <v>27</v>
      </c>
      <c r="C4514" t="s">
        <v>9</v>
      </c>
      <c r="D4514">
        <v>18</v>
      </c>
      <c r="E4514">
        <v>44</v>
      </c>
      <c r="F4514">
        <v>1.7600000000000001E-3</v>
      </c>
      <c r="G4514">
        <v>0</v>
      </c>
      <c r="H4514" t="str">
        <f t="shared" si="210"/>
        <v>40-49</v>
      </c>
      <c r="I4514" t="str">
        <f t="shared" si="211"/>
        <v>10-19</v>
      </c>
      <c r="J4514">
        <f t="shared" si="212"/>
        <v>1.7600000000000001E-3</v>
      </c>
    </row>
    <row r="4515" spans="1:10">
      <c r="A4515" t="s">
        <v>4597</v>
      </c>
      <c r="B4515">
        <v>57</v>
      </c>
      <c r="C4515" t="s">
        <v>7</v>
      </c>
      <c r="D4515">
        <v>23</v>
      </c>
      <c r="E4515">
        <v>79</v>
      </c>
      <c r="F4515">
        <v>3.569E-2</v>
      </c>
      <c r="G4515">
        <v>0</v>
      </c>
      <c r="H4515" t="str">
        <f t="shared" si="210"/>
        <v>70-79</v>
      </c>
      <c r="I4515" t="str">
        <f t="shared" si="211"/>
        <v>20-29</v>
      </c>
      <c r="J4515">
        <f t="shared" si="212"/>
        <v>3.569E-2</v>
      </c>
    </row>
    <row r="4516" spans="1:10">
      <c r="A4516" t="s">
        <v>4598</v>
      </c>
      <c r="B4516">
        <v>53</v>
      </c>
      <c r="C4516" t="s">
        <v>7</v>
      </c>
      <c r="D4516">
        <v>6</v>
      </c>
      <c r="E4516">
        <v>58</v>
      </c>
      <c r="F4516">
        <v>2.7399999999999998E-3</v>
      </c>
      <c r="G4516">
        <v>0</v>
      </c>
      <c r="H4516" t="str">
        <f t="shared" si="210"/>
        <v>50-59</v>
      </c>
      <c r="I4516" t="str">
        <f t="shared" si="211"/>
        <v>0-9</v>
      </c>
      <c r="J4516">
        <f t="shared" si="212"/>
        <v>2.7399999999999998E-3</v>
      </c>
    </row>
    <row r="4517" spans="1:10">
      <c r="A4517" t="s">
        <v>4599</v>
      </c>
      <c r="B4517">
        <v>28</v>
      </c>
      <c r="C4517" t="s">
        <v>7</v>
      </c>
      <c r="D4517">
        <v>8</v>
      </c>
      <c r="E4517">
        <v>35</v>
      </c>
      <c r="F4517">
        <v>4.2999999999999999E-4</v>
      </c>
      <c r="G4517">
        <v>0</v>
      </c>
      <c r="H4517" t="str">
        <f t="shared" si="210"/>
        <v>30-39</v>
      </c>
      <c r="I4517" t="str">
        <f t="shared" si="211"/>
        <v>0-9</v>
      </c>
      <c r="J4517">
        <f t="shared" si="212"/>
        <v>4.2999999999999999E-4</v>
      </c>
    </row>
    <row r="4518" spans="1:10">
      <c r="A4518" t="s">
        <v>4600</v>
      </c>
      <c r="B4518">
        <v>58</v>
      </c>
      <c r="C4518" t="s">
        <v>7</v>
      </c>
      <c r="D4518">
        <v>18</v>
      </c>
      <c r="E4518">
        <v>75</v>
      </c>
      <c r="F4518">
        <v>2.18E-2</v>
      </c>
      <c r="G4518">
        <v>0</v>
      </c>
      <c r="H4518" t="str">
        <f t="shared" si="210"/>
        <v>70-79</v>
      </c>
      <c r="I4518" t="str">
        <f t="shared" si="211"/>
        <v>10-19</v>
      </c>
      <c r="J4518">
        <f t="shared" si="212"/>
        <v>2.18E-2</v>
      </c>
    </row>
    <row r="4519" spans="1:10">
      <c r="A4519" t="s">
        <v>4601</v>
      </c>
      <c r="B4519">
        <v>55</v>
      </c>
      <c r="C4519" t="s">
        <v>9</v>
      </c>
      <c r="D4519">
        <v>3</v>
      </c>
      <c r="E4519">
        <v>57</v>
      </c>
      <c r="F4519">
        <v>3.0699999999999998E-3</v>
      </c>
      <c r="G4519">
        <v>0</v>
      </c>
      <c r="H4519" t="str">
        <f t="shared" si="210"/>
        <v>50-59</v>
      </c>
      <c r="I4519" t="str">
        <f t="shared" si="211"/>
        <v>0-9</v>
      </c>
      <c r="J4519">
        <f t="shared" si="212"/>
        <v>3.0699999999999998E-3</v>
      </c>
    </row>
    <row r="4520" spans="1:10">
      <c r="A4520" t="s">
        <v>4602</v>
      </c>
      <c r="B4520">
        <v>36</v>
      </c>
      <c r="C4520" t="s">
        <v>9</v>
      </c>
      <c r="D4520">
        <v>9</v>
      </c>
      <c r="E4520">
        <v>44</v>
      </c>
      <c r="F4520">
        <v>1.2099999999999999E-3</v>
      </c>
      <c r="G4520">
        <v>0</v>
      </c>
      <c r="H4520" t="str">
        <f t="shared" si="210"/>
        <v>40-49</v>
      </c>
      <c r="I4520" t="str">
        <f t="shared" si="211"/>
        <v>0-9</v>
      </c>
      <c r="J4520">
        <f t="shared" si="212"/>
        <v>1.2099999999999999E-3</v>
      </c>
    </row>
    <row r="4521" spans="1:10">
      <c r="A4521" t="s">
        <v>4603</v>
      </c>
      <c r="B4521">
        <v>31</v>
      </c>
      <c r="C4521" t="s">
        <v>9</v>
      </c>
      <c r="D4521">
        <v>2</v>
      </c>
      <c r="E4521">
        <v>32</v>
      </c>
      <c r="F4521">
        <v>2.9E-4</v>
      </c>
      <c r="G4521">
        <v>0</v>
      </c>
      <c r="H4521" t="str">
        <f t="shared" si="210"/>
        <v>30-39</v>
      </c>
      <c r="I4521" t="str">
        <f t="shared" si="211"/>
        <v>0-9</v>
      </c>
      <c r="J4521">
        <f t="shared" si="212"/>
        <v>2.9E-4</v>
      </c>
    </row>
    <row r="4522" spans="1:10">
      <c r="A4522" t="s">
        <v>4604</v>
      </c>
      <c r="B4522">
        <v>33</v>
      </c>
      <c r="C4522" t="s">
        <v>7</v>
      </c>
      <c r="D4522">
        <v>5</v>
      </c>
      <c r="E4522">
        <v>37</v>
      </c>
      <c r="F4522">
        <v>4.2000000000000002E-4</v>
      </c>
      <c r="G4522">
        <v>0</v>
      </c>
      <c r="H4522" t="str">
        <f t="shared" si="210"/>
        <v>30-39</v>
      </c>
      <c r="I4522" t="str">
        <f t="shared" si="211"/>
        <v>0-9</v>
      </c>
      <c r="J4522">
        <f t="shared" si="212"/>
        <v>4.2000000000000002E-4</v>
      </c>
    </row>
    <row r="4523" spans="1:10">
      <c r="A4523" t="s">
        <v>4605</v>
      </c>
      <c r="B4523">
        <v>60</v>
      </c>
      <c r="C4523" t="s">
        <v>7</v>
      </c>
      <c r="D4523">
        <v>3</v>
      </c>
      <c r="E4523">
        <v>62</v>
      </c>
      <c r="F4523">
        <v>2.5300000000000001E-3</v>
      </c>
      <c r="G4523">
        <v>0</v>
      </c>
      <c r="H4523" t="str">
        <f t="shared" si="210"/>
        <v>60-69</v>
      </c>
      <c r="I4523" t="str">
        <f t="shared" si="211"/>
        <v>0-9</v>
      </c>
      <c r="J4523">
        <f t="shared" si="212"/>
        <v>2.5300000000000001E-3</v>
      </c>
    </row>
    <row r="4524" spans="1:10">
      <c r="A4524" t="s">
        <v>4606</v>
      </c>
      <c r="B4524">
        <v>24</v>
      </c>
      <c r="C4524" t="s">
        <v>7</v>
      </c>
      <c r="D4524">
        <v>14</v>
      </c>
      <c r="E4524">
        <v>37</v>
      </c>
      <c r="F4524">
        <v>7.2000000000000005E-4</v>
      </c>
      <c r="G4524">
        <v>0</v>
      </c>
      <c r="H4524" t="str">
        <f t="shared" si="210"/>
        <v>30-39</v>
      </c>
      <c r="I4524" t="str">
        <f t="shared" si="211"/>
        <v>10-19</v>
      </c>
      <c r="J4524">
        <f t="shared" si="212"/>
        <v>7.2000000000000005E-4</v>
      </c>
    </row>
    <row r="4525" spans="1:10">
      <c r="A4525" t="s">
        <v>4607</v>
      </c>
      <c r="B4525">
        <v>40</v>
      </c>
      <c r="C4525" t="s">
        <v>9</v>
      </c>
      <c r="D4525">
        <v>15</v>
      </c>
      <c r="E4525">
        <v>54</v>
      </c>
      <c r="F4525">
        <v>3.2699999999999999E-3</v>
      </c>
      <c r="G4525">
        <v>0</v>
      </c>
      <c r="H4525" t="str">
        <f t="shared" si="210"/>
        <v>50-59</v>
      </c>
      <c r="I4525" t="str">
        <f t="shared" si="211"/>
        <v>10-19</v>
      </c>
      <c r="J4525">
        <f t="shared" si="212"/>
        <v>3.2699999999999999E-3</v>
      </c>
    </row>
    <row r="4526" spans="1:10">
      <c r="A4526" t="s">
        <v>4608</v>
      </c>
      <c r="B4526">
        <v>41</v>
      </c>
      <c r="C4526" t="s">
        <v>9</v>
      </c>
      <c r="D4526">
        <v>1</v>
      </c>
      <c r="E4526">
        <v>41</v>
      </c>
      <c r="F4526">
        <v>3.5E-4</v>
      </c>
      <c r="G4526">
        <v>0</v>
      </c>
      <c r="H4526" t="str">
        <f t="shared" si="210"/>
        <v>40-49</v>
      </c>
      <c r="I4526" t="str">
        <f t="shared" si="211"/>
        <v>0-9</v>
      </c>
      <c r="J4526">
        <f t="shared" si="212"/>
        <v>3.5E-4</v>
      </c>
    </row>
    <row r="4527" spans="1:10">
      <c r="A4527" t="s">
        <v>4609</v>
      </c>
      <c r="B4527">
        <v>21</v>
      </c>
      <c r="C4527" t="s">
        <v>7</v>
      </c>
      <c r="D4527">
        <v>25</v>
      </c>
      <c r="E4527">
        <v>45</v>
      </c>
      <c r="F4527">
        <v>1.3799999999999999E-3</v>
      </c>
      <c r="G4527">
        <v>0</v>
      </c>
      <c r="H4527" t="str">
        <f t="shared" si="210"/>
        <v>40-49</v>
      </c>
      <c r="I4527" t="str">
        <f t="shared" si="211"/>
        <v>20-29</v>
      </c>
      <c r="J4527">
        <f t="shared" si="212"/>
        <v>1.3799999999999999E-3</v>
      </c>
    </row>
    <row r="4528" spans="1:10">
      <c r="A4528" t="s">
        <v>4610</v>
      </c>
      <c r="B4528">
        <v>21</v>
      </c>
      <c r="C4528" t="s">
        <v>9</v>
      </c>
      <c r="D4528">
        <v>3</v>
      </c>
      <c r="E4528">
        <v>23</v>
      </c>
      <c r="F4528">
        <v>6.7000000000000002E-4</v>
      </c>
      <c r="G4528">
        <v>0</v>
      </c>
      <c r="H4528" t="str">
        <f t="shared" si="210"/>
        <v>20-29</v>
      </c>
      <c r="I4528" t="str">
        <f t="shared" si="211"/>
        <v>0-9</v>
      </c>
      <c r="J4528">
        <f t="shared" si="212"/>
        <v>6.7000000000000002E-4</v>
      </c>
    </row>
    <row r="4529" spans="1:10">
      <c r="A4529" t="s">
        <v>4611</v>
      </c>
      <c r="B4529">
        <v>60</v>
      </c>
      <c r="C4529" t="s">
        <v>9</v>
      </c>
      <c r="D4529">
        <v>19</v>
      </c>
      <c r="E4529">
        <v>78</v>
      </c>
      <c r="F4529">
        <v>4.0669999999999998E-2</v>
      </c>
      <c r="G4529">
        <v>0</v>
      </c>
      <c r="H4529" t="str">
        <f t="shared" si="210"/>
        <v>70-79</v>
      </c>
      <c r="I4529" t="str">
        <f t="shared" si="211"/>
        <v>10-19</v>
      </c>
      <c r="J4529">
        <f t="shared" si="212"/>
        <v>4.0669999999999998E-2</v>
      </c>
    </row>
    <row r="4530" spans="1:10">
      <c r="A4530" t="s">
        <v>4612</v>
      </c>
      <c r="B4530">
        <v>50</v>
      </c>
      <c r="C4530" t="s">
        <v>9</v>
      </c>
      <c r="D4530">
        <v>26</v>
      </c>
      <c r="E4530">
        <v>75</v>
      </c>
      <c r="F4530">
        <v>3.006E-2</v>
      </c>
      <c r="G4530">
        <v>0</v>
      </c>
      <c r="H4530" t="str">
        <f t="shared" si="210"/>
        <v>70-79</v>
      </c>
      <c r="I4530" t="str">
        <f t="shared" si="211"/>
        <v>20-29</v>
      </c>
      <c r="J4530">
        <f t="shared" si="212"/>
        <v>3.006E-2</v>
      </c>
    </row>
    <row r="4531" spans="1:10">
      <c r="A4531" t="s">
        <v>4613</v>
      </c>
      <c r="B4531">
        <v>54</v>
      </c>
      <c r="C4531" t="s">
        <v>9</v>
      </c>
      <c r="D4531">
        <v>21</v>
      </c>
      <c r="E4531">
        <v>74</v>
      </c>
      <c r="F4531">
        <v>2.6550000000000001E-2</v>
      </c>
      <c r="G4531">
        <v>0</v>
      </c>
      <c r="H4531" t="str">
        <f t="shared" si="210"/>
        <v>70-79</v>
      </c>
      <c r="I4531" t="str">
        <f t="shared" si="211"/>
        <v>20-29</v>
      </c>
      <c r="J4531">
        <f t="shared" si="212"/>
        <v>2.6550000000000001E-2</v>
      </c>
    </row>
    <row r="4532" spans="1:10">
      <c r="A4532" t="s">
        <v>4614</v>
      </c>
      <c r="B4532">
        <v>58</v>
      </c>
      <c r="C4532" t="s">
        <v>7</v>
      </c>
      <c r="D4532">
        <v>1</v>
      </c>
      <c r="E4532">
        <v>58</v>
      </c>
      <c r="F4532">
        <v>6.2E-4</v>
      </c>
      <c r="G4532">
        <v>0</v>
      </c>
      <c r="H4532" t="str">
        <f t="shared" si="210"/>
        <v>50-59</v>
      </c>
      <c r="I4532" t="str">
        <f t="shared" si="211"/>
        <v>0-9</v>
      </c>
      <c r="J4532">
        <f t="shared" si="212"/>
        <v>6.2E-4</v>
      </c>
    </row>
    <row r="4533" spans="1:10">
      <c r="A4533" t="s">
        <v>4615</v>
      </c>
      <c r="B4533">
        <v>40</v>
      </c>
      <c r="C4533" t="s">
        <v>7</v>
      </c>
      <c r="D4533">
        <v>13</v>
      </c>
      <c r="E4533">
        <v>52</v>
      </c>
      <c r="F4533">
        <v>2.0699999999999998E-3</v>
      </c>
      <c r="G4533">
        <v>0</v>
      </c>
      <c r="H4533" t="str">
        <f t="shared" si="210"/>
        <v>50-59</v>
      </c>
      <c r="I4533" t="str">
        <f t="shared" si="211"/>
        <v>10-19</v>
      </c>
      <c r="J4533">
        <f t="shared" si="212"/>
        <v>2.0699999999999998E-3</v>
      </c>
    </row>
    <row r="4534" spans="1:10">
      <c r="A4534" t="s">
        <v>4616</v>
      </c>
      <c r="B4534">
        <v>52</v>
      </c>
      <c r="C4534" t="s">
        <v>9</v>
      </c>
      <c r="D4534">
        <v>21</v>
      </c>
      <c r="E4534">
        <v>72</v>
      </c>
      <c r="F4534">
        <v>2.1329999999999998E-2</v>
      </c>
      <c r="G4534">
        <v>0</v>
      </c>
      <c r="H4534" t="str">
        <f t="shared" si="210"/>
        <v>70-79</v>
      </c>
      <c r="I4534" t="str">
        <f t="shared" si="211"/>
        <v>20-29</v>
      </c>
      <c r="J4534">
        <f t="shared" si="212"/>
        <v>2.1329999999999998E-2</v>
      </c>
    </row>
    <row r="4535" spans="1:10">
      <c r="A4535" t="s">
        <v>4617</v>
      </c>
      <c r="B4535">
        <v>30</v>
      </c>
      <c r="C4535" t="s">
        <v>7</v>
      </c>
      <c r="D4535">
        <v>3</v>
      </c>
      <c r="E4535">
        <v>32</v>
      </c>
      <c r="F4535">
        <v>2.2000000000000001E-4</v>
      </c>
      <c r="G4535">
        <v>0</v>
      </c>
      <c r="H4535" t="str">
        <f t="shared" si="210"/>
        <v>30-39</v>
      </c>
      <c r="I4535" t="str">
        <f t="shared" si="211"/>
        <v>0-9</v>
      </c>
      <c r="J4535">
        <f t="shared" si="212"/>
        <v>2.2000000000000001E-4</v>
      </c>
    </row>
    <row r="4536" spans="1:10">
      <c r="A4536" t="s">
        <v>4618</v>
      </c>
      <c r="B4536">
        <v>62</v>
      </c>
      <c r="C4536" t="s">
        <v>7</v>
      </c>
      <c r="D4536">
        <v>19</v>
      </c>
      <c r="E4536">
        <v>80</v>
      </c>
      <c r="F4536">
        <v>3.8629999999999998E-2</v>
      </c>
      <c r="G4536">
        <v>0</v>
      </c>
      <c r="H4536" t="str">
        <f t="shared" si="210"/>
        <v>80-89</v>
      </c>
      <c r="I4536" t="str">
        <f t="shared" si="211"/>
        <v>10-19</v>
      </c>
      <c r="J4536">
        <f t="shared" si="212"/>
        <v>3.8629999999999998E-2</v>
      </c>
    </row>
    <row r="4537" spans="1:10">
      <c r="A4537" t="s">
        <v>4619</v>
      </c>
      <c r="B4537">
        <v>53</v>
      </c>
      <c r="C4537" t="s">
        <v>7</v>
      </c>
      <c r="D4537">
        <v>30</v>
      </c>
      <c r="E4537">
        <v>82</v>
      </c>
      <c r="F4537">
        <v>3.1989999999999998E-2</v>
      </c>
      <c r="G4537">
        <v>0</v>
      </c>
      <c r="H4537" t="str">
        <f t="shared" si="210"/>
        <v>80-89</v>
      </c>
      <c r="I4537" t="str">
        <f t="shared" si="211"/>
        <v>30-39</v>
      </c>
      <c r="J4537">
        <f t="shared" si="212"/>
        <v>3.1989999999999998E-2</v>
      </c>
    </row>
    <row r="4538" spans="1:10">
      <c r="A4538" t="s">
        <v>4620</v>
      </c>
      <c r="B4538">
        <v>38</v>
      </c>
      <c r="C4538" t="s">
        <v>7</v>
      </c>
      <c r="D4538">
        <v>17</v>
      </c>
      <c r="E4538">
        <v>54</v>
      </c>
      <c r="F4538">
        <v>2.5799999999999998E-3</v>
      </c>
      <c r="G4538">
        <v>0</v>
      </c>
      <c r="H4538" t="str">
        <f t="shared" si="210"/>
        <v>50-59</v>
      </c>
      <c r="I4538" t="str">
        <f t="shared" si="211"/>
        <v>10-19</v>
      </c>
      <c r="J4538">
        <f t="shared" si="212"/>
        <v>2.5799999999999998E-3</v>
      </c>
    </row>
    <row r="4539" spans="1:10">
      <c r="A4539" t="s">
        <v>4621</v>
      </c>
      <c r="B4539">
        <v>44</v>
      </c>
      <c r="C4539" t="s">
        <v>9</v>
      </c>
      <c r="D4539">
        <v>16</v>
      </c>
      <c r="E4539">
        <v>59</v>
      </c>
      <c r="F4539">
        <v>5.6100000000000004E-3</v>
      </c>
      <c r="G4539">
        <v>0</v>
      </c>
      <c r="H4539" t="str">
        <f t="shared" si="210"/>
        <v>50-59</v>
      </c>
      <c r="I4539" t="str">
        <f t="shared" si="211"/>
        <v>10-19</v>
      </c>
      <c r="J4539">
        <f t="shared" si="212"/>
        <v>5.6100000000000004E-3</v>
      </c>
    </row>
    <row r="4540" spans="1:10">
      <c r="A4540" t="s">
        <v>4622</v>
      </c>
      <c r="B4540">
        <v>21</v>
      </c>
      <c r="C4540" t="s">
        <v>7</v>
      </c>
      <c r="D4540">
        <v>2</v>
      </c>
      <c r="E4540">
        <v>22</v>
      </c>
      <c r="F4540">
        <v>2.5000000000000001E-4</v>
      </c>
      <c r="G4540">
        <v>0</v>
      </c>
      <c r="H4540" t="str">
        <f t="shared" si="210"/>
        <v>20-29</v>
      </c>
      <c r="I4540" t="str">
        <f t="shared" si="211"/>
        <v>0-9</v>
      </c>
      <c r="J4540">
        <f t="shared" si="212"/>
        <v>2.5000000000000001E-4</v>
      </c>
    </row>
    <row r="4541" spans="1:10">
      <c r="A4541" t="s">
        <v>4623</v>
      </c>
      <c r="B4541">
        <v>36</v>
      </c>
      <c r="C4541" t="s">
        <v>9</v>
      </c>
      <c r="D4541">
        <v>29</v>
      </c>
      <c r="E4541">
        <v>64</v>
      </c>
      <c r="F4541">
        <v>7.0200000000000002E-3</v>
      </c>
      <c r="G4541">
        <v>0</v>
      </c>
      <c r="H4541" t="str">
        <f t="shared" si="210"/>
        <v>60-69</v>
      </c>
      <c r="I4541" t="str">
        <f t="shared" si="211"/>
        <v>20-29</v>
      </c>
      <c r="J4541">
        <f t="shared" si="212"/>
        <v>7.0200000000000002E-3</v>
      </c>
    </row>
    <row r="4542" spans="1:10">
      <c r="A4542" t="s">
        <v>4624</v>
      </c>
      <c r="B4542">
        <v>41</v>
      </c>
      <c r="C4542" t="s">
        <v>9</v>
      </c>
      <c r="D4542">
        <v>3</v>
      </c>
      <c r="E4542">
        <v>43</v>
      </c>
      <c r="F4542">
        <v>8.1999999999999998E-4</v>
      </c>
      <c r="G4542">
        <v>0</v>
      </c>
      <c r="H4542" t="str">
        <f t="shared" si="210"/>
        <v>40-49</v>
      </c>
      <c r="I4542" t="str">
        <f t="shared" si="211"/>
        <v>0-9</v>
      </c>
      <c r="J4542">
        <f t="shared" si="212"/>
        <v>8.1999999999999998E-4</v>
      </c>
    </row>
    <row r="4543" spans="1:10">
      <c r="A4543" t="s">
        <v>4625</v>
      </c>
      <c r="B4543">
        <v>53</v>
      </c>
      <c r="C4543" t="s">
        <v>9</v>
      </c>
      <c r="D4543">
        <v>5</v>
      </c>
      <c r="E4543">
        <v>57</v>
      </c>
      <c r="F4543">
        <v>3.5699999999999998E-3</v>
      </c>
      <c r="G4543">
        <v>0</v>
      </c>
      <c r="H4543" t="str">
        <f t="shared" si="210"/>
        <v>50-59</v>
      </c>
      <c r="I4543" t="str">
        <f t="shared" si="211"/>
        <v>0-9</v>
      </c>
      <c r="J4543">
        <f t="shared" si="212"/>
        <v>3.5699999999999998E-3</v>
      </c>
    </row>
    <row r="4544" spans="1:10">
      <c r="A4544" t="s">
        <v>4626</v>
      </c>
      <c r="B4544">
        <v>35</v>
      </c>
      <c r="C4544" t="s">
        <v>9</v>
      </c>
      <c r="D4544">
        <v>14</v>
      </c>
      <c r="E4544">
        <v>48</v>
      </c>
      <c r="F4544">
        <v>1.91E-3</v>
      </c>
      <c r="G4544">
        <v>0</v>
      </c>
      <c r="H4544" t="str">
        <f t="shared" si="210"/>
        <v>40-49</v>
      </c>
      <c r="I4544" t="str">
        <f t="shared" si="211"/>
        <v>10-19</v>
      </c>
      <c r="J4544">
        <f t="shared" si="212"/>
        <v>1.91E-3</v>
      </c>
    </row>
    <row r="4545" spans="1:10">
      <c r="A4545" t="s">
        <v>4627</v>
      </c>
      <c r="B4545">
        <v>34</v>
      </c>
      <c r="C4545" t="s">
        <v>9</v>
      </c>
      <c r="D4545">
        <v>11</v>
      </c>
      <c r="E4545">
        <v>44</v>
      </c>
      <c r="F4545">
        <v>1.2800000000000001E-3</v>
      </c>
      <c r="G4545">
        <v>0</v>
      </c>
      <c r="H4545" t="str">
        <f t="shared" si="210"/>
        <v>40-49</v>
      </c>
      <c r="I4545" t="str">
        <f t="shared" si="211"/>
        <v>10-19</v>
      </c>
      <c r="J4545">
        <f t="shared" si="212"/>
        <v>1.2800000000000001E-3</v>
      </c>
    </row>
    <row r="4546" spans="1:10">
      <c r="A4546" t="s">
        <v>4628</v>
      </c>
      <c r="B4546">
        <v>39</v>
      </c>
      <c r="C4546" t="s">
        <v>9</v>
      </c>
      <c r="D4546">
        <v>27</v>
      </c>
      <c r="E4546">
        <v>65</v>
      </c>
      <c r="F4546">
        <v>9.6200000000000001E-3</v>
      </c>
      <c r="G4546">
        <v>0</v>
      </c>
      <c r="H4546" t="str">
        <f t="shared" si="210"/>
        <v>60-69</v>
      </c>
      <c r="I4546" t="str">
        <f t="shared" si="211"/>
        <v>20-29</v>
      </c>
      <c r="J4546">
        <f t="shared" si="212"/>
        <v>9.6200000000000001E-3</v>
      </c>
    </row>
    <row r="4547" spans="1:10">
      <c r="A4547" t="s">
        <v>4629</v>
      </c>
      <c r="B4547">
        <v>22</v>
      </c>
      <c r="C4547" t="s">
        <v>7</v>
      </c>
      <c r="D4547">
        <v>18</v>
      </c>
      <c r="E4547">
        <v>39</v>
      </c>
      <c r="F4547">
        <v>1E-3</v>
      </c>
      <c r="G4547">
        <v>0</v>
      </c>
      <c r="H4547" t="str">
        <f t="shared" ref="H4547:H4610" si="213">FLOOR(E4547,10) &amp; "-" &amp; FLOOR(E4547,10)+9</f>
        <v>30-39</v>
      </c>
      <c r="I4547" t="str">
        <f t="shared" ref="I4547:I4610" si="214">FLOOR(D4547, 10) &amp; "-"&amp;FLOOR(D4547, 10)+9</f>
        <v>10-19</v>
      </c>
      <c r="J4547">
        <f t="shared" ref="J4547:J4610" si="215">F4547</f>
        <v>1E-3</v>
      </c>
    </row>
    <row r="4548" spans="1:10">
      <c r="A4548" t="s">
        <v>4630</v>
      </c>
      <c r="B4548">
        <v>23</v>
      </c>
      <c r="C4548" t="s">
        <v>9</v>
      </c>
      <c r="D4548">
        <v>14</v>
      </c>
      <c r="E4548">
        <v>36</v>
      </c>
      <c r="F4548">
        <v>9.1E-4</v>
      </c>
      <c r="G4548">
        <v>0</v>
      </c>
      <c r="H4548" t="str">
        <f t="shared" si="213"/>
        <v>30-39</v>
      </c>
      <c r="I4548" t="str">
        <f t="shared" si="214"/>
        <v>10-19</v>
      </c>
      <c r="J4548">
        <f t="shared" si="215"/>
        <v>9.1E-4</v>
      </c>
    </row>
    <row r="4549" spans="1:10">
      <c r="A4549" t="s">
        <v>4631</v>
      </c>
      <c r="B4549">
        <v>59</v>
      </c>
      <c r="C4549" t="s">
        <v>9</v>
      </c>
      <c r="D4549">
        <v>18</v>
      </c>
      <c r="E4549">
        <v>76</v>
      </c>
      <c r="F4549">
        <v>3.3079999999999998E-2</v>
      </c>
      <c r="G4549">
        <v>0</v>
      </c>
      <c r="H4549" t="str">
        <f t="shared" si="213"/>
        <v>70-79</v>
      </c>
      <c r="I4549" t="str">
        <f t="shared" si="214"/>
        <v>10-19</v>
      </c>
      <c r="J4549">
        <f t="shared" si="215"/>
        <v>3.3079999999999998E-2</v>
      </c>
    </row>
    <row r="4550" spans="1:10">
      <c r="A4550" t="s">
        <v>4632</v>
      </c>
      <c r="B4550">
        <v>21</v>
      </c>
      <c r="C4550" t="s">
        <v>7</v>
      </c>
      <c r="D4550">
        <v>25</v>
      </c>
      <c r="E4550">
        <v>45</v>
      </c>
      <c r="F4550">
        <v>1.3799999999999999E-3</v>
      </c>
      <c r="G4550">
        <v>0</v>
      </c>
      <c r="H4550" t="str">
        <f t="shared" si="213"/>
        <v>40-49</v>
      </c>
      <c r="I4550" t="str">
        <f t="shared" si="214"/>
        <v>20-29</v>
      </c>
      <c r="J4550">
        <f t="shared" si="215"/>
        <v>1.3799999999999999E-3</v>
      </c>
    </row>
    <row r="4551" spans="1:10">
      <c r="A4551" t="s">
        <v>4633</v>
      </c>
      <c r="B4551">
        <v>53</v>
      </c>
      <c r="C4551" t="s">
        <v>9</v>
      </c>
      <c r="D4551">
        <v>6</v>
      </c>
      <c r="E4551">
        <v>58</v>
      </c>
      <c r="F4551">
        <v>4.1399999999999996E-3</v>
      </c>
      <c r="G4551">
        <v>0</v>
      </c>
      <c r="H4551" t="str">
        <f t="shared" si="213"/>
        <v>50-59</v>
      </c>
      <c r="I4551" t="str">
        <f t="shared" si="214"/>
        <v>0-9</v>
      </c>
      <c r="J4551">
        <f t="shared" si="215"/>
        <v>4.1399999999999996E-3</v>
      </c>
    </row>
    <row r="4552" spans="1:10">
      <c r="A4552" t="s">
        <v>4634</v>
      </c>
      <c r="B4552">
        <v>23</v>
      </c>
      <c r="C4552" t="s">
        <v>9</v>
      </c>
      <c r="D4552">
        <v>30</v>
      </c>
      <c r="E4552">
        <v>52</v>
      </c>
      <c r="F4552">
        <v>2.7399999999999998E-3</v>
      </c>
      <c r="G4552">
        <v>0</v>
      </c>
      <c r="H4552" t="str">
        <f t="shared" si="213"/>
        <v>50-59</v>
      </c>
      <c r="I4552" t="str">
        <f t="shared" si="214"/>
        <v>30-39</v>
      </c>
      <c r="J4552">
        <f t="shared" si="215"/>
        <v>2.7399999999999998E-3</v>
      </c>
    </row>
    <row r="4553" spans="1:10">
      <c r="A4553" t="s">
        <v>4635</v>
      </c>
      <c r="B4553">
        <v>53</v>
      </c>
      <c r="C4553" t="s">
        <v>7</v>
      </c>
      <c r="D4553">
        <v>4</v>
      </c>
      <c r="E4553">
        <v>56</v>
      </c>
      <c r="F4553">
        <v>2.0400000000000001E-3</v>
      </c>
      <c r="G4553">
        <v>0</v>
      </c>
      <c r="H4553" t="str">
        <f t="shared" si="213"/>
        <v>50-59</v>
      </c>
      <c r="I4553" t="str">
        <f t="shared" si="214"/>
        <v>0-9</v>
      </c>
      <c r="J4553">
        <f t="shared" si="215"/>
        <v>2.0400000000000001E-3</v>
      </c>
    </row>
    <row r="4554" spans="1:10">
      <c r="A4554" t="s">
        <v>4636</v>
      </c>
      <c r="B4554">
        <v>20</v>
      </c>
      <c r="C4554" t="s">
        <v>7</v>
      </c>
      <c r="D4554">
        <v>9</v>
      </c>
      <c r="E4554">
        <v>28</v>
      </c>
      <c r="F4554">
        <v>3.4000000000000002E-4</v>
      </c>
      <c r="G4554">
        <v>0</v>
      </c>
      <c r="H4554" t="str">
        <f t="shared" si="213"/>
        <v>20-29</v>
      </c>
      <c r="I4554" t="str">
        <f t="shared" si="214"/>
        <v>0-9</v>
      </c>
      <c r="J4554">
        <f t="shared" si="215"/>
        <v>3.4000000000000002E-4</v>
      </c>
    </row>
    <row r="4555" spans="1:10">
      <c r="A4555" t="s">
        <v>4637</v>
      </c>
      <c r="B4555">
        <v>61</v>
      </c>
      <c r="C4555" t="s">
        <v>7</v>
      </c>
      <c r="D4555">
        <v>6</v>
      </c>
      <c r="E4555">
        <v>66</v>
      </c>
      <c r="F4555">
        <v>6.0499999999999998E-3</v>
      </c>
      <c r="G4555">
        <v>0</v>
      </c>
      <c r="H4555" t="str">
        <f t="shared" si="213"/>
        <v>60-69</v>
      </c>
      <c r="I4555" t="str">
        <f t="shared" si="214"/>
        <v>0-9</v>
      </c>
      <c r="J4555">
        <f t="shared" si="215"/>
        <v>6.0499999999999998E-3</v>
      </c>
    </row>
    <row r="4556" spans="1:10">
      <c r="A4556" t="s">
        <v>4638</v>
      </c>
      <c r="B4556">
        <v>35</v>
      </c>
      <c r="C4556" t="s">
        <v>9</v>
      </c>
      <c r="D4556">
        <v>17</v>
      </c>
      <c r="E4556">
        <v>51</v>
      </c>
      <c r="F4556">
        <v>2.65E-3</v>
      </c>
      <c r="G4556">
        <v>0</v>
      </c>
      <c r="H4556" t="str">
        <f t="shared" si="213"/>
        <v>50-59</v>
      </c>
      <c r="I4556" t="str">
        <f t="shared" si="214"/>
        <v>10-19</v>
      </c>
      <c r="J4556">
        <f t="shared" si="215"/>
        <v>2.65E-3</v>
      </c>
    </row>
    <row r="4557" spans="1:10">
      <c r="A4557" t="s">
        <v>4639</v>
      </c>
      <c r="B4557">
        <v>32</v>
      </c>
      <c r="C4557" t="s">
        <v>7</v>
      </c>
      <c r="D4557">
        <v>17</v>
      </c>
      <c r="E4557">
        <v>48</v>
      </c>
      <c r="F4557">
        <v>1.56E-3</v>
      </c>
      <c r="G4557">
        <v>0</v>
      </c>
      <c r="H4557" t="str">
        <f t="shared" si="213"/>
        <v>40-49</v>
      </c>
      <c r="I4557" t="str">
        <f t="shared" si="214"/>
        <v>10-19</v>
      </c>
      <c r="J4557">
        <f t="shared" si="215"/>
        <v>1.56E-3</v>
      </c>
    </row>
    <row r="4558" spans="1:10">
      <c r="A4558" t="s">
        <v>4640</v>
      </c>
      <c r="B4558">
        <v>35</v>
      </c>
      <c r="C4558" t="s">
        <v>7</v>
      </c>
      <c r="D4558">
        <v>5</v>
      </c>
      <c r="E4558">
        <v>39</v>
      </c>
      <c r="F4558">
        <v>5.1999999999999995E-4</v>
      </c>
      <c r="G4558">
        <v>0</v>
      </c>
      <c r="H4558" t="str">
        <f t="shared" si="213"/>
        <v>30-39</v>
      </c>
      <c r="I4558" t="str">
        <f t="shared" si="214"/>
        <v>0-9</v>
      </c>
      <c r="J4558">
        <f t="shared" si="215"/>
        <v>5.1999999999999995E-4</v>
      </c>
    </row>
    <row r="4559" spans="1:10">
      <c r="A4559" t="s">
        <v>4641</v>
      </c>
      <c r="B4559">
        <v>45</v>
      </c>
      <c r="C4559" t="s">
        <v>7</v>
      </c>
      <c r="D4559">
        <v>20</v>
      </c>
      <c r="E4559">
        <v>64</v>
      </c>
      <c r="F4559">
        <v>7.4000000000000003E-3</v>
      </c>
      <c r="G4559">
        <v>0</v>
      </c>
      <c r="H4559" t="str">
        <f t="shared" si="213"/>
        <v>60-69</v>
      </c>
      <c r="I4559" t="str">
        <f t="shared" si="214"/>
        <v>20-29</v>
      </c>
      <c r="J4559">
        <f t="shared" si="215"/>
        <v>7.4000000000000003E-3</v>
      </c>
    </row>
    <row r="4560" spans="1:10">
      <c r="A4560" t="s">
        <v>4642</v>
      </c>
      <c r="B4560">
        <v>53</v>
      </c>
      <c r="C4560" t="s">
        <v>7</v>
      </c>
      <c r="D4560">
        <v>19</v>
      </c>
      <c r="E4560">
        <v>71</v>
      </c>
      <c r="F4560">
        <v>1.47E-2</v>
      </c>
      <c r="G4560">
        <v>0</v>
      </c>
      <c r="H4560" t="str">
        <f t="shared" si="213"/>
        <v>70-79</v>
      </c>
      <c r="I4560" t="str">
        <f t="shared" si="214"/>
        <v>10-19</v>
      </c>
      <c r="J4560">
        <f t="shared" si="215"/>
        <v>1.47E-2</v>
      </c>
    </row>
    <row r="4561" spans="1:10">
      <c r="A4561" t="s">
        <v>4643</v>
      </c>
      <c r="B4561">
        <v>39</v>
      </c>
      <c r="C4561" t="s">
        <v>9</v>
      </c>
      <c r="D4561">
        <v>14</v>
      </c>
      <c r="E4561">
        <v>52</v>
      </c>
      <c r="F4561">
        <v>2.6800000000000001E-3</v>
      </c>
      <c r="G4561">
        <v>0</v>
      </c>
      <c r="H4561" t="str">
        <f t="shared" si="213"/>
        <v>50-59</v>
      </c>
      <c r="I4561" t="str">
        <f t="shared" si="214"/>
        <v>10-19</v>
      </c>
      <c r="J4561">
        <f t="shared" si="215"/>
        <v>2.6800000000000001E-3</v>
      </c>
    </row>
    <row r="4562" spans="1:10">
      <c r="A4562" t="s">
        <v>4644</v>
      </c>
      <c r="B4562">
        <v>46</v>
      </c>
      <c r="C4562" t="s">
        <v>7</v>
      </c>
      <c r="D4562">
        <v>25</v>
      </c>
      <c r="E4562">
        <v>70</v>
      </c>
      <c r="F4562">
        <v>1.404E-2</v>
      </c>
      <c r="G4562">
        <v>0</v>
      </c>
      <c r="H4562" t="str">
        <f t="shared" si="213"/>
        <v>70-79</v>
      </c>
      <c r="I4562" t="str">
        <f t="shared" si="214"/>
        <v>20-29</v>
      </c>
      <c r="J4562">
        <f t="shared" si="215"/>
        <v>1.404E-2</v>
      </c>
    </row>
    <row r="4563" spans="1:10">
      <c r="A4563" t="s">
        <v>4645</v>
      </c>
      <c r="B4563">
        <v>53</v>
      </c>
      <c r="C4563" t="s">
        <v>9</v>
      </c>
      <c r="D4563">
        <v>14</v>
      </c>
      <c r="E4563">
        <v>66</v>
      </c>
      <c r="F4563">
        <v>1.116E-2</v>
      </c>
      <c r="G4563">
        <v>0</v>
      </c>
      <c r="H4563" t="str">
        <f t="shared" si="213"/>
        <v>60-69</v>
      </c>
      <c r="I4563" t="str">
        <f t="shared" si="214"/>
        <v>10-19</v>
      </c>
      <c r="J4563">
        <f t="shared" si="215"/>
        <v>1.116E-2</v>
      </c>
    </row>
    <row r="4564" spans="1:10">
      <c r="A4564" t="s">
        <v>4646</v>
      </c>
      <c r="B4564">
        <v>36</v>
      </c>
      <c r="C4564" t="s">
        <v>9</v>
      </c>
      <c r="D4564">
        <v>3</v>
      </c>
      <c r="E4564">
        <v>38</v>
      </c>
      <c r="F4564">
        <v>5.4000000000000001E-4</v>
      </c>
      <c r="G4564">
        <v>0</v>
      </c>
      <c r="H4564" t="str">
        <f t="shared" si="213"/>
        <v>30-39</v>
      </c>
      <c r="I4564" t="str">
        <f t="shared" si="214"/>
        <v>0-9</v>
      </c>
      <c r="J4564">
        <f t="shared" si="215"/>
        <v>5.4000000000000001E-4</v>
      </c>
    </row>
    <row r="4565" spans="1:10">
      <c r="A4565" t="s">
        <v>4647</v>
      </c>
      <c r="B4565">
        <v>44</v>
      </c>
      <c r="C4565" t="s">
        <v>7</v>
      </c>
      <c r="D4565">
        <v>10</v>
      </c>
      <c r="E4565">
        <v>53</v>
      </c>
      <c r="F4565">
        <v>2.0600000000000002E-3</v>
      </c>
      <c r="G4565">
        <v>0</v>
      </c>
      <c r="H4565" t="str">
        <f t="shared" si="213"/>
        <v>50-59</v>
      </c>
      <c r="I4565" t="str">
        <f t="shared" si="214"/>
        <v>10-19</v>
      </c>
      <c r="J4565">
        <f t="shared" si="215"/>
        <v>2.0600000000000002E-3</v>
      </c>
    </row>
    <row r="4566" spans="1:10">
      <c r="A4566" t="s">
        <v>4648</v>
      </c>
      <c r="B4566">
        <v>30</v>
      </c>
      <c r="C4566" t="s">
        <v>7</v>
      </c>
      <c r="D4566">
        <v>12</v>
      </c>
      <c r="E4566">
        <v>41</v>
      </c>
      <c r="F4566">
        <v>8.8000000000000003E-4</v>
      </c>
      <c r="G4566">
        <v>0</v>
      </c>
      <c r="H4566" t="str">
        <f t="shared" si="213"/>
        <v>40-49</v>
      </c>
      <c r="I4566" t="str">
        <f t="shared" si="214"/>
        <v>10-19</v>
      </c>
      <c r="J4566">
        <f t="shared" si="215"/>
        <v>8.8000000000000003E-4</v>
      </c>
    </row>
    <row r="4567" spans="1:10">
      <c r="A4567" t="s">
        <v>4649</v>
      </c>
      <c r="B4567">
        <v>38</v>
      </c>
      <c r="C4567" t="s">
        <v>7</v>
      </c>
      <c r="D4567">
        <v>28</v>
      </c>
      <c r="E4567">
        <v>65</v>
      </c>
      <c r="F4567">
        <v>6.7200000000000003E-3</v>
      </c>
      <c r="G4567">
        <v>0</v>
      </c>
      <c r="H4567" t="str">
        <f t="shared" si="213"/>
        <v>60-69</v>
      </c>
      <c r="I4567" t="str">
        <f t="shared" si="214"/>
        <v>20-29</v>
      </c>
      <c r="J4567">
        <f t="shared" si="215"/>
        <v>6.7200000000000003E-3</v>
      </c>
    </row>
    <row r="4568" spans="1:10">
      <c r="A4568" t="s">
        <v>4650</v>
      </c>
      <c r="B4568">
        <v>34</v>
      </c>
      <c r="C4568" t="s">
        <v>7</v>
      </c>
      <c r="D4568">
        <v>24</v>
      </c>
      <c r="E4568">
        <v>57</v>
      </c>
      <c r="F4568">
        <v>3.6900000000000001E-3</v>
      </c>
      <c r="G4568">
        <v>0</v>
      </c>
      <c r="H4568" t="str">
        <f t="shared" si="213"/>
        <v>50-59</v>
      </c>
      <c r="I4568" t="str">
        <f t="shared" si="214"/>
        <v>20-29</v>
      </c>
      <c r="J4568">
        <f t="shared" si="215"/>
        <v>3.6900000000000001E-3</v>
      </c>
    </row>
    <row r="4569" spans="1:10">
      <c r="A4569" t="s">
        <v>4651</v>
      </c>
      <c r="B4569">
        <v>63</v>
      </c>
      <c r="C4569" t="s">
        <v>9</v>
      </c>
      <c r="D4569">
        <v>6</v>
      </c>
      <c r="E4569">
        <v>68</v>
      </c>
      <c r="F4569">
        <v>9.8899999999999995E-3</v>
      </c>
      <c r="G4569">
        <v>0</v>
      </c>
      <c r="H4569" t="str">
        <f t="shared" si="213"/>
        <v>60-69</v>
      </c>
      <c r="I4569" t="str">
        <f t="shared" si="214"/>
        <v>0-9</v>
      </c>
      <c r="J4569">
        <f t="shared" si="215"/>
        <v>9.8899999999999995E-3</v>
      </c>
    </row>
    <row r="4570" spans="1:10">
      <c r="A4570" t="s">
        <v>4652</v>
      </c>
      <c r="B4570">
        <v>21</v>
      </c>
      <c r="C4570" t="s">
        <v>9</v>
      </c>
      <c r="D4570">
        <v>22</v>
      </c>
      <c r="E4570">
        <v>42</v>
      </c>
      <c r="F4570">
        <v>1.99E-3</v>
      </c>
      <c r="G4570">
        <v>0</v>
      </c>
      <c r="H4570" t="str">
        <f t="shared" si="213"/>
        <v>40-49</v>
      </c>
      <c r="I4570" t="str">
        <f t="shared" si="214"/>
        <v>20-29</v>
      </c>
      <c r="J4570">
        <f t="shared" si="215"/>
        <v>1.99E-3</v>
      </c>
    </row>
    <row r="4571" spans="1:10">
      <c r="A4571" t="s">
        <v>4653</v>
      </c>
      <c r="B4571">
        <v>46</v>
      </c>
      <c r="C4571" t="s">
        <v>9</v>
      </c>
      <c r="D4571">
        <v>26</v>
      </c>
      <c r="E4571">
        <v>71</v>
      </c>
      <c r="F4571">
        <v>1.9089999999999999E-2</v>
      </c>
      <c r="G4571">
        <v>0</v>
      </c>
      <c r="H4571" t="str">
        <f t="shared" si="213"/>
        <v>70-79</v>
      </c>
      <c r="I4571" t="str">
        <f t="shared" si="214"/>
        <v>20-29</v>
      </c>
      <c r="J4571">
        <f t="shared" si="215"/>
        <v>1.9089999999999999E-2</v>
      </c>
    </row>
    <row r="4572" spans="1:10">
      <c r="A4572" t="s">
        <v>4654</v>
      </c>
      <c r="B4572">
        <v>56</v>
      </c>
      <c r="C4572" t="s">
        <v>7</v>
      </c>
      <c r="D4572">
        <v>27</v>
      </c>
      <c r="E4572">
        <v>82</v>
      </c>
      <c r="F4572">
        <v>4.4880000000000003E-2</v>
      </c>
      <c r="G4572">
        <v>0</v>
      </c>
      <c r="H4572" t="str">
        <f t="shared" si="213"/>
        <v>80-89</v>
      </c>
      <c r="I4572" t="str">
        <f t="shared" si="214"/>
        <v>20-29</v>
      </c>
      <c r="J4572">
        <f t="shared" si="215"/>
        <v>4.4880000000000003E-2</v>
      </c>
    </row>
    <row r="4573" spans="1:10">
      <c r="A4573" t="s">
        <v>4655</v>
      </c>
      <c r="B4573">
        <v>21</v>
      </c>
      <c r="C4573" t="s">
        <v>9</v>
      </c>
      <c r="D4573">
        <v>25</v>
      </c>
      <c r="E4573">
        <v>45</v>
      </c>
      <c r="F4573">
        <v>2.4299999999999999E-3</v>
      </c>
      <c r="G4573">
        <v>0</v>
      </c>
      <c r="H4573" t="str">
        <f t="shared" si="213"/>
        <v>40-49</v>
      </c>
      <c r="I4573" t="str">
        <f t="shared" si="214"/>
        <v>20-29</v>
      </c>
      <c r="J4573">
        <f t="shared" si="215"/>
        <v>2.4299999999999999E-3</v>
      </c>
    </row>
    <row r="4574" spans="1:10">
      <c r="A4574" t="s">
        <v>4656</v>
      </c>
      <c r="B4574">
        <v>35</v>
      </c>
      <c r="C4574" t="s">
        <v>7</v>
      </c>
      <c r="D4574">
        <v>18</v>
      </c>
      <c r="E4574">
        <v>52</v>
      </c>
      <c r="F4574">
        <v>2.1700000000000001E-3</v>
      </c>
      <c r="G4574">
        <v>0</v>
      </c>
      <c r="H4574" t="str">
        <f t="shared" si="213"/>
        <v>50-59</v>
      </c>
      <c r="I4574" t="str">
        <f t="shared" si="214"/>
        <v>10-19</v>
      </c>
      <c r="J4574">
        <f t="shared" si="215"/>
        <v>2.1700000000000001E-3</v>
      </c>
    </row>
    <row r="4575" spans="1:10">
      <c r="A4575" t="s">
        <v>4657</v>
      </c>
      <c r="B4575">
        <v>37</v>
      </c>
      <c r="C4575" t="s">
        <v>7</v>
      </c>
      <c r="D4575">
        <v>11</v>
      </c>
      <c r="E4575">
        <v>47</v>
      </c>
      <c r="F4575">
        <v>1.2199999999999999E-3</v>
      </c>
      <c r="G4575">
        <v>0</v>
      </c>
      <c r="H4575" t="str">
        <f t="shared" si="213"/>
        <v>40-49</v>
      </c>
      <c r="I4575" t="str">
        <f t="shared" si="214"/>
        <v>10-19</v>
      </c>
      <c r="J4575">
        <f t="shared" si="215"/>
        <v>1.2199999999999999E-3</v>
      </c>
    </row>
    <row r="4576" spans="1:10">
      <c r="A4576" t="s">
        <v>4658</v>
      </c>
      <c r="B4576">
        <v>59</v>
      </c>
      <c r="C4576" t="s">
        <v>7</v>
      </c>
      <c r="D4576">
        <v>27</v>
      </c>
      <c r="E4576">
        <v>85</v>
      </c>
      <c r="F4576">
        <v>6.4490000000000006E-2</v>
      </c>
      <c r="G4576">
        <v>0</v>
      </c>
      <c r="H4576" t="str">
        <f t="shared" si="213"/>
        <v>80-89</v>
      </c>
      <c r="I4576" t="str">
        <f t="shared" si="214"/>
        <v>20-29</v>
      </c>
      <c r="J4576">
        <f t="shared" si="215"/>
        <v>6.4490000000000006E-2</v>
      </c>
    </row>
    <row r="4577" spans="1:10">
      <c r="A4577" t="s">
        <v>4659</v>
      </c>
      <c r="B4577">
        <v>41</v>
      </c>
      <c r="C4577" t="s">
        <v>9</v>
      </c>
      <c r="D4577">
        <v>2</v>
      </c>
      <c r="E4577">
        <v>42</v>
      </c>
      <c r="F4577">
        <v>5.9999999999999995E-4</v>
      </c>
      <c r="G4577">
        <v>0</v>
      </c>
      <c r="H4577" t="str">
        <f t="shared" si="213"/>
        <v>40-49</v>
      </c>
      <c r="I4577" t="str">
        <f t="shared" si="214"/>
        <v>0-9</v>
      </c>
      <c r="J4577">
        <f t="shared" si="215"/>
        <v>5.9999999999999995E-4</v>
      </c>
    </row>
    <row r="4578" spans="1:10">
      <c r="A4578" t="s">
        <v>4660</v>
      </c>
      <c r="B4578">
        <v>38</v>
      </c>
      <c r="C4578" t="s">
        <v>9</v>
      </c>
      <c r="D4578">
        <v>8</v>
      </c>
      <c r="E4578">
        <v>45</v>
      </c>
      <c r="F4578">
        <v>1.1999999999999999E-3</v>
      </c>
      <c r="G4578">
        <v>0</v>
      </c>
      <c r="H4578" t="str">
        <f t="shared" si="213"/>
        <v>40-49</v>
      </c>
      <c r="I4578" t="str">
        <f t="shared" si="214"/>
        <v>0-9</v>
      </c>
      <c r="J4578">
        <f t="shared" si="215"/>
        <v>1.1999999999999999E-3</v>
      </c>
    </row>
    <row r="4579" spans="1:10">
      <c r="A4579" t="s">
        <v>4661</v>
      </c>
      <c r="B4579">
        <v>42</v>
      </c>
      <c r="C4579" t="s">
        <v>7</v>
      </c>
      <c r="D4579">
        <v>7</v>
      </c>
      <c r="E4579">
        <v>48</v>
      </c>
      <c r="F4579">
        <v>1.1299999999999999E-3</v>
      </c>
      <c r="G4579">
        <v>0</v>
      </c>
      <c r="H4579" t="str">
        <f t="shared" si="213"/>
        <v>40-49</v>
      </c>
      <c r="I4579" t="str">
        <f t="shared" si="214"/>
        <v>0-9</v>
      </c>
      <c r="J4579">
        <f t="shared" si="215"/>
        <v>1.1299999999999999E-3</v>
      </c>
    </row>
    <row r="4580" spans="1:10">
      <c r="A4580" t="s">
        <v>4662</v>
      </c>
      <c r="B4580">
        <v>40</v>
      </c>
      <c r="C4580" t="s">
        <v>7</v>
      </c>
      <c r="D4580">
        <v>29</v>
      </c>
      <c r="E4580">
        <v>68</v>
      </c>
      <c r="F4580">
        <v>8.3099999999999997E-3</v>
      </c>
      <c r="G4580">
        <v>0</v>
      </c>
      <c r="H4580" t="str">
        <f t="shared" si="213"/>
        <v>60-69</v>
      </c>
      <c r="I4580" t="str">
        <f t="shared" si="214"/>
        <v>20-29</v>
      </c>
      <c r="J4580">
        <f t="shared" si="215"/>
        <v>8.3099999999999997E-3</v>
      </c>
    </row>
    <row r="4581" spans="1:10">
      <c r="A4581" t="s">
        <v>4663</v>
      </c>
      <c r="B4581">
        <v>34</v>
      </c>
      <c r="C4581" t="s">
        <v>9</v>
      </c>
      <c r="D4581">
        <v>26</v>
      </c>
      <c r="E4581">
        <v>59</v>
      </c>
      <c r="F4581">
        <v>5.7400000000000003E-3</v>
      </c>
      <c r="G4581">
        <v>0</v>
      </c>
      <c r="H4581" t="str">
        <f t="shared" si="213"/>
        <v>50-59</v>
      </c>
      <c r="I4581" t="str">
        <f t="shared" si="214"/>
        <v>20-29</v>
      </c>
      <c r="J4581">
        <f t="shared" si="215"/>
        <v>5.7400000000000003E-3</v>
      </c>
    </row>
    <row r="4582" spans="1:10">
      <c r="A4582" t="s">
        <v>4664</v>
      </c>
      <c r="B4582">
        <v>26</v>
      </c>
      <c r="C4582" t="s">
        <v>7</v>
      </c>
      <c r="D4582">
        <v>23</v>
      </c>
      <c r="E4582">
        <v>48</v>
      </c>
      <c r="F4582">
        <v>1.73E-3</v>
      </c>
      <c r="G4582">
        <v>0</v>
      </c>
      <c r="H4582" t="str">
        <f t="shared" si="213"/>
        <v>40-49</v>
      </c>
      <c r="I4582" t="str">
        <f t="shared" si="214"/>
        <v>20-29</v>
      </c>
      <c r="J4582">
        <f t="shared" si="215"/>
        <v>1.73E-3</v>
      </c>
    </row>
    <row r="4583" spans="1:10">
      <c r="A4583" t="s">
        <v>4665</v>
      </c>
      <c r="B4583">
        <v>27</v>
      </c>
      <c r="C4583" t="s">
        <v>9</v>
      </c>
      <c r="D4583">
        <v>18</v>
      </c>
      <c r="E4583">
        <v>44</v>
      </c>
      <c r="F4583">
        <v>1.7600000000000001E-3</v>
      </c>
      <c r="G4583">
        <v>0</v>
      </c>
      <c r="H4583" t="str">
        <f t="shared" si="213"/>
        <v>40-49</v>
      </c>
      <c r="I4583" t="str">
        <f t="shared" si="214"/>
        <v>10-19</v>
      </c>
      <c r="J4583">
        <f t="shared" si="215"/>
        <v>1.7600000000000001E-3</v>
      </c>
    </row>
    <row r="4584" spans="1:10">
      <c r="A4584" t="s">
        <v>4666</v>
      </c>
      <c r="B4584">
        <v>35</v>
      </c>
      <c r="C4584" t="s">
        <v>9</v>
      </c>
      <c r="D4584">
        <v>19</v>
      </c>
      <c r="E4584">
        <v>53</v>
      </c>
      <c r="F4584">
        <v>3.2200000000000002E-3</v>
      </c>
      <c r="G4584">
        <v>0</v>
      </c>
      <c r="H4584" t="str">
        <f t="shared" si="213"/>
        <v>50-59</v>
      </c>
      <c r="I4584" t="str">
        <f t="shared" si="214"/>
        <v>10-19</v>
      </c>
      <c r="J4584">
        <f t="shared" si="215"/>
        <v>3.2200000000000002E-3</v>
      </c>
    </row>
    <row r="4585" spans="1:10">
      <c r="A4585" t="s">
        <v>4667</v>
      </c>
      <c r="B4585">
        <v>51</v>
      </c>
      <c r="C4585" t="s">
        <v>9</v>
      </c>
      <c r="D4585">
        <v>7</v>
      </c>
      <c r="E4585">
        <v>57</v>
      </c>
      <c r="F4585">
        <v>3.6900000000000001E-3</v>
      </c>
      <c r="G4585">
        <v>0</v>
      </c>
      <c r="H4585" t="str">
        <f t="shared" si="213"/>
        <v>50-59</v>
      </c>
      <c r="I4585" t="str">
        <f t="shared" si="214"/>
        <v>0-9</v>
      </c>
      <c r="J4585">
        <f t="shared" si="215"/>
        <v>3.6900000000000001E-3</v>
      </c>
    </row>
    <row r="4586" spans="1:10">
      <c r="A4586" t="s">
        <v>4668</v>
      </c>
      <c r="B4586">
        <v>34</v>
      </c>
      <c r="C4586" t="s">
        <v>7</v>
      </c>
      <c r="D4586">
        <v>2</v>
      </c>
      <c r="E4586">
        <v>35</v>
      </c>
      <c r="F4586">
        <v>2.3000000000000001E-4</v>
      </c>
      <c r="G4586">
        <v>0</v>
      </c>
      <c r="H4586" t="str">
        <f t="shared" si="213"/>
        <v>30-39</v>
      </c>
      <c r="I4586" t="str">
        <f t="shared" si="214"/>
        <v>0-9</v>
      </c>
      <c r="J4586">
        <f t="shared" si="215"/>
        <v>2.3000000000000001E-4</v>
      </c>
    </row>
    <row r="4587" spans="1:10">
      <c r="A4587" t="s">
        <v>4669</v>
      </c>
      <c r="B4587">
        <v>24</v>
      </c>
      <c r="C4587" t="s">
        <v>7</v>
      </c>
      <c r="D4587">
        <v>3</v>
      </c>
      <c r="E4587">
        <v>26</v>
      </c>
      <c r="F4587">
        <v>2.2000000000000001E-4</v>
      </c>
      <c r="G4587">
        <v>0</v>
      </c>
      <c r="H4587" t="str">
        <f t="shared" si="213"/>
        <v>20-29</v>
      </c>
      <c r="I4587" t="str">
        <f t="shared" si="214"/>
        <v>0-9</v>
      </c>
      <c r="J4587">
        <f t="shared" si="215"/>
        <v>2.2000000000000001E-4</v>
      </c>
    </row>
    <row r="4588" spans="1:10">
      <c r="A4588" t="s">
        <v>4670</v>
      </c>
      <c r="B4588">
        <v>52</v>
      </c>
      <c r="C4588" t="s">
        <v>7</v>
      </c>
      <c r="D4588">
        <v>16</v>
      </c>
      <c r="E4588">
        <v>67</v>
      </c>
      <c r="F4588">
        <v>9.4000000000000004E-3</v>
      </c>
      <c r="G4588">
        <v>0</v>
      </c>
      <c r="H4588" t="str">
        <f t="shared" si="213"/>
        <v>60-69</v>
      </c>
      <c r="I4588" t="str">
        <f t="shared" si="214"/>
        <v>10-19</v>
      </c>
      <c r="J4588">
        <f t="shared" si="215"/>
        <v>9.4000000000000004E-3</v>
      </c>
    </row>
    <row r="4589" spans="1:10">
      <c r="A4589" t="s">
        <v>4671</v>
      </c>
      <c r="B4589">
        <v>44</v>
      </c>
      <c r="C4589" t="s">
        <v>9</v>
      </c>
      <c r="D4589">
        <v>4</v>
      </c>
      <c r="E4589">
        <v>47</v>
      </c>
      <c r="F4589">
        <v>1.1999999999999999E-3</v>
      </c>
      <c r="G4589">
        <v>0</v>
      </c>
      <c r="H4589" t="str">
        <f t="shared" si="213"/>
        <v>40-49</v>
      </c>
      <c r="I4589" t="str">
        <f t="shared" si="214"/>
        <v>0-9</v>
      </c>
      <c r="J4589">
        <f t="shared" si="215"/>
        <v>1.1999999999999999E-3</v>
      </c>
    </row>
    <row r="4590" spans="1:10">
      <c r="A4590" t="s">
        <v>4672</v>
      </c>
      <c r="B4590">
        <v>46</v>
      </c>
      <c r="C4590" t="s">
        <v>7</v>
      </c>
      <c r="D4590">
        <v>25</v>
      </c>
      <c r="E4590">
        <v>70</v>
      </c>
      <c r="F4590">
        <v>1.404E-2</v>
      </c>
      <c r="G4590">
        <v>0</v>
      </c>
      <c r="H4590" t="str">
        <f t="shared" si="213"/>
        <v>70-79</v>
      </c>
      <c r="I4590" t="str">
        <f t="shared" si="214"/>
        <v>20-29</v>
      </c>
      <c r="J4590">
        <f t="shared" si="215"/>
        <v>1.404E-2</v>
      </c>
    </row>
    <row r="4591" spans="1:10">
      <c r="A4591" t="s">
        <v>4673</v>
      </c>
      <c r="B4591">
        <v>20</v>
      </c>
      <c r="C4591" t="s">
        <v>7</v>
      </c>
      <c r="D4591">
        <v>1</v>
      </c>
      <c r="E4591">
        <v>20</v>
      </c>
      <c r="F4591">
        <v>2.9E-4</v>
      </c>
      <c r="G4591">
        <v>0</v>
      </c>
      <c r="H4591" t="str">
        <f t="shared" si="213"/>
        <v>20-29</v>
      </c>
      <c r="I4591" t="str">
        <f t="shared" si="214"/>
        <v>0-9</v>
      </c>
      <c r="J4591">
        <f t="shared" si="215"/>
        <v>2.9E-4</v>
      </c>
    </row>
    <row r="4592" spans="1:10">
      <c r="A4592" t="s">
        <v>4674</v>
      </c>
      <c r="B4592">
        <v>21</v>
      </c>
      <c r="C4592" t="s">
        <v>9</v>
      </c>
      <c r="D4592">
        <v>26</v>
      </c>
      <c r="E4592">
        <v>46</v>
      </c>
      <c r="F4592">
        <v>2.6099999999999999E-3</v>
      </c>
      <c r="G4592">
        <v>0</v>
      </c>
      <c r="H4592" t="str">
        <f t="shared" si="213"/>
        <v>40-49</v>
      </c>
      <c r="I4592" t="str">
        <f t="shared" si="214"/>
        <v>20-29</v>
      </c>
      <c r="J4592">
        <f t="shared" si="215"/>
        <v>2.6099999999999999E-3</v>
      </c>
    </row>
    <row r="4593" spans="1:10">
      <c r="A4593" t="s">
        <v>4675</v>
      </c>
      <c r="B4593">
        <v>46</v>
      </c>
      <c r="C4593" t="s">
        <v>7</v>
      </c>
      <c r="D4593">
        <v>4</v>
      </c>
      <c r="E4593">
        <v>49</v>
      </c>
      <c r="F4593">
        <v>1.0499999999999999E-3</v>
      </c>
      <c r="G4593">
        <v>0</v>
      </c>
      <c r="H4593" t="str">
        <f t="shared" si="213"/>
        <v>40-49</v>
      </c>
      <c r="I4593" t="str">
        <f t="shared" si="214"/>
        <v>0-9</v>
      </c>
      <c r="J4593">
        <f t="shared" si="215"/>
        <v>1.0499999999999999E-3</v>
      </c>
    </row>
    <row r="4594" spans="1:10">
      <c r="A4594" t="s">
        <v>4676</v>
      </c>
      <c r="B4594">
        <v>53</v>
      </c>
      <c r="C4594" t="s">
        <v>9</v>
      </c>
      <c r="D4594">
        <v>30</v>
      </c>
      <c r="E4594">
        <v>82</v>
      </c>
      <c r="F4594">
        <v>4.1250000000000002E-2</v>
      </c>
      <c r="G4594">
        <v>0</v>
      </c>
      <c r="H4594" t="str">
        <f t="shared" si="213"/>
        <v>80-89</v>
      </c>
      <c r="I4594" t="str">
        <f t="shared" si="214"/>
        <v>30-39</v>
      </c>
      <c r="J4594">
        <f t="shared" si="215"/>
        <v>4.1250000000000002E-2</v>
      </c>
    </row>
    <row r="4595" spans="1:10">
      <c r="A4595" t="s">
        <v>4677</v>
      </c>
      <c r="B4595">
        <v>41</v>
      </c>
      <c r="C4595" t="s">
        <v>7</v>
      </c>
      <c r="D4595">
        <v>16</v>
      </c>
      <c r="E4595">
        <v>56</v>
      </c>
      <c r="F4595">
        <v>3.0799999999999998E-3</v>
      </c>
      <c r="G4595">
        <v>0</v>
      </c>
      <c r="H4595" t="str">
        <f t="shared" si="213"/>
        <v>50-59</v>
      </c>
      <c r="I4595" t="str">
        <f t="shared" si="214"/>
        <v>10-19</v>
      </c>
      <c r="J4595">
        <f t="shared" si="215"/>
        <v>3.0799999999999998E-3</v>
      </c>
    </row>
    <row r="4596" spans="1:10">
      <c r="A4596" t="s">
        <v>4678</v>
      </c>
      <c r="B4596">
        <v>38</v>
      </c>
      <c r="C4596" t="s">
        <v>7</v>
      </c>
      <c r="D4596">
        <v>27</v>
      </c>
      <c r="E4596">
        <v>64</v>
      </c>
      <c r="F4596">
        <v>6.7200000000000003E-3</v>
      </c>
      <c r="G4596">
        <v>0</v>
      </c>
      <c r="H4596" t="str">
        <f t="shared" si="213"/>
        <v>60-69</v>
      </c>
      <c r="I4596" t="str">
        <f t="shared" si="214"/>
        <v>20-29</v>
      </c>
      <c r="J4596">
        <f t="shared" si="215"/>
        <v>6.7200000000000003E-3</v>
      </c>
    </row>
    <row r="4597" spans="1:10">
      <c r="A4597" t="s">
        <v>4679</v>
      </c>
      <c r="B4597">
        <v>46</v>
      </c>
      <c r="C4597" t="s">
        <v>9</v>
      </c>
      <c r="D4597">
        <v>30</v>
      </c>
      <c r="E4597">
        <v>75</v>
      </c>
      <c r="F4597">
        <v>1.9089999999999999E-2</v>
      </c>
      <c r="G4597">
        <v>0</v>
      </c>
      <c r="H4597" t="str">
        <f t="shared" si="213"/>
        <v>70-79</v>
      </c>
      <c r="I4597" t="str">
        <f t="shared" si="214"/>
        <v>30-39</v>
      </c>
      <c r="J4597">
        <f t="shared" si="215"/>
        <v>1.9089999999999999E-2</v>
      </c>
    </row>
    <row r="4598" spans="1:10">
      <c r="A4598" t="s">
        <v>4680</v>
      </c>
      <c r="B4598">
        <v>33</v>
      </c>
      <c r="C4598" t="s">
        <v>9</v>
      </c>
      <c r="D4598">
        <v>13</v>
      </c>
      <c r="E4598">
        <v>45</v>
      </c>
      <c r="F4598">
        <v>1.4499999999999999E-3</v>
      </c>
      <c r="G4598">
        <v>0</v>
      </c>
      <c r="H4598" t="str">
        <f t="shared" si="213"/>
        <v>40-49</v>
      </c>
      <c r="I4598" t="str">
        <f t="shared" si="214"/>
        <v>10-19</v>
      </c>
      <c r="J4598">
        <f t="shared" si="215"/>
        <v>1.4499999999999999E-3</v>
      </c>
    </row>
    <row r="4599" spans="1:10">
      <c r="A4599" t="s">
        <v>4681</v>
      </c>
      <c r="B4599">
        <v>28</v>
      </c>
      <c r="C4599" t="s">
        <v>9</v>
      </c>
      <c r="D4599">
        <v>29</v>
      </c>
      <c r="E4599">
        <v>56</v>
      </c>
      <c r="F4599">
        <v>3.5000000000000001E-3</v>
      </c>
      <c r="G4599">
        <v>0</v>
      </c>
      <c r="H4599" t="str">
        <f t="shared" si="213"/>
        <v>50-59</v>
      </c>
      <c r="I4599" t="str">
        <f t="shared" si="214"/>
        <v>20-29</v>
      </c>
      <c r="J4599">
        <f t="shared" si="215"/>
        <v>3.5000000000000001E-3</v>
      </c>
    </row>
    <row r="4600" spans="1:10">
      <c r="A4600" t="s">
        <v>4682</v>
      </c>
      <c r="B4600">
        <v>24</v>
      </c>
      <c r="C4600" t="s">
        <v>9</v>
      </c>
      <c r="D4600">
        <v>26</v>
      </c>
      <c r="E4600">
        <v>49</v>
      </c>
      <c r="F4600">
        <v>2.81E-3</v>
      </c>
      <c r="G4600">
        <v>0</v>
      </c>
      <c r="H4600" t="str">
        <f t="shared" si="213"/>
        <v>40-49</v>
      </c>
      <c r="I4600" t="str">
        <f t="shared" si="214"/>
        <v>20-29</v>
      </c>
      <c r="J4600">
        <f t="shared" si="215"/>
        <v>2.81E-3</v>
      </c>
    </row>
    <row r="4601" spans="1:10">
      <c r="A4601" t="s">
        <v>4683</v>
      </c>
      <c r="B4601">
        <v>56</v>
      </c>
      <c r="C4601" t="s">
        <v>9</v>
      </c>
      <c r="D4601">
        <v>10</v>
      </c>
      <c r="E4601">
        <v>65</v>
      </c>
      <c r="F4601">
        <v>9.7599999999999996E-3</v>
      </c>
      <c r="G4601">
        <v>0</v>
      </c>
      <c r="H4601" t="str">
        <f t="shared" si="213"/>
        <v>60-69</v>
      </c>
      <c r="I4601" t="str">
        <f t="shared" si="214"/>
        <v>10-19</v>
      </c>
      <c r="J4601">
        <f t="shared" si="215"/>
        <v>9.7599999999999996E-3</v>
      </c>
    </row>
    <row r="4602" spans="1:10">
      <c r="A4602" t="s">
        <v>4684</v>
      </c>
      <c r="B4602">
        <v>34</v>
      </c>
      <c r="C4602" t="s">
        <v>7</v>
      </c>
      <c r="D4602">
        <v>13</v>
      </c>
      <c r="E4602">
        <v>46</v>
      </c>
      <c r="F4602">
        <v>1.1999999999999999E-3</v>
      </c>
      <c r="G4602">
        <v>0</v>
      </c>
      <c r="H4602" t="str">
        <f t="shared" si="213"/>
        <v>40-49</v>
      </c>
      <c r="I4602" t="str">
        <f t="shared" si="214"/>
        <v>10-19</v>
      </c>
      <c r="J4602">
        <f t="shared" si="215"/>
        <v>1.1999999999999999E-3</v>
      </c>
    </row>
    <row r="4603" spans="1:10">
      <c r="A4603" t="s">
        <v>4685</v>
      </c>
      <c r="B4603">
        <v>21</v>
      </c>
      <c r="C4603" t="s">
        <v>9</v>
      </c>
      <c r="D4603">
        <v>19</v>
      </c>
      <c r="E4603">
        <v>39</v>
      </c>
      <c r="F4603">
        <v>1.48E-3</v>
      </c>
      <c r="G4603">
        <v>0</v>
      </c>
      <c r="H4603" t="str">
        <f t="shared" si="213"/>
        <v>30-39</v>
      </c>
      <c r="I4603" t="str">
        <f t="shared" si="214"/>
        <v>10-19</v>
      </c>
      <c r="J4603">
        <f t="shared" si="215"/>
        <v>1.48E-3</v>
      </c>
    </row>
    <row r="4604" spans="1:10">
      <c r="A4604" t="s">
        <v>4686</v>
      </c>
      <c r="B4604">
        <v>32</v>
      </c>
      <c r="C4604" t="s">
        <v>7</v>
      </c>
      <c r="D4604">
        <v>6</v>
      </c>
      <c r="E4604">
        <v>37</v>
      </c>
      <c r="F4604">
        <v>4.4999999999999999E-4</v>
      </c>
      <c r="G4604">
        <v>0</v>
      </c>
      <c r="H4604" t="str">
        <f t="shared" si="213"/>
        <v>30-39</v>
      </c>
      <c r="I4604" t="str">
        <f t="shared" si="214"/>
        <v>0-9</v>
      </c>
      <c r="J4604">
        <f t="shared" si="215"/>
        <v>4.4999999999999999E-4</v>
      </c>
    </row>
    <row r="4605" spans="1:10">
      <c r="A4605" t="s">
        <v>4687</v>
      </c>
      <c r="B4605">
        <v>33</v>
      </c>
      <c r="C4605" t="s">
        <v>7</v>
      </c>
      <c r="D4605">
        <v>20</v>
      </c>
      <c r="E4605">
        <v>52</v>
      </c>
      <c r="F4605">
        <v>2.2899999999999999E-3</v>
      </c>
      <c r="G4605">
        <v>0</v>
      </c>
      <c r="H4605" t="str">
        <f t="shared" si="213"/>
        <v>50-59</v>
      </c>
      <c r="I4605" t="str">
        <f t="shared" si="214"/>
        <v>20-29</v>
      </c>
      <c r="J4605">
        <f t="shared" si="215"/>
        <v>2.2899999999999999E-3</v>
      </c>
    </row>
    <row r="4606" spans="1:10">
      <c r="A4606" t="s">
        <v>4688</v>
      </c>
      <c r="B4606">
        <v>35</v>
      </c>
      <c r="C4606" t="s">
        <v>9</v>
      </c>
      <c r="D4606">
        <v>15</v>
      </c>
      <c r="E4606">
        <v>49</v>
      </c>
      <c r="F4606">
        <v>2.1299999999999999E-3</v>
      </c>
      <c r="G4606">
        <v>0</v>
      </c>
      <c r="H4606" t="str">
        <f t="shared" si="213"/>
        <v>40-49</v>
      </c>
      <c r="I4606" t="str">
        <f t="shared" si="214"/>
        <v>10-19</v>
      </c>
      <c r="J4606">
        <f t="shared" si="215"/>
        <v>2.1299999999999999E-3</v>
      </c>
    </row>
    <row r="4607" spans="1:10">
      <c r="A4607" t="s">
        <v>4689</v>
      </c>
      <c r="B4607">
        <v>24</v>
      </c>
      <c r="C4607" t="s">
        <v>9</v>
      </c>
      <c r="D4607">
        <v>3</v>
      </c>
      <c r="E4607">
        <v>26</v>
      </c>
      <c r="F4607">
        <v>4.4999999999999999E-4</v>
      </c>
      <c r="G4607">
        <v>0</v>
      </c>
      <c r="H4607" t="str">
        <f t="shared" si="213"/>
        <v>20-29</v>
      </c>
      <c r="I4607" t="str">
        <f t="shared" si="214"/>
        <v>0-9</v>
      </c>
      <c r="J4607">
        <f t="shared" si="215"/>
        <v>4.4999999999999999E-4</v>
      </c>
    </row>
    <row r="4608" spans="1:10">
      <c r="A4608" t="s">
        <v>4690</v>
      </c>
      <c r="B4608">
        <v>38</v>
      </c>
      <c r="C4608" t="s">
        <v>7</v>
      </c>
      <c r="D4608">
        <v>5</v>
      </c>
      <c r="E4608">
        <v>42</v>
      </c>
      <c r="F4608">
        <v>6.7000000000000002E-4</v>
      </c>
      <c r="G4608">
        <v>0</v>
      </c>
      <c r="H4608" t="str">
        <f t="shared" si="213"/>
        <v>40-49</v>
      </c>
      <c r="I4608" t="str">
        <f t="shared" si="214"/>
        <v>0-9</v>
      </c>
      <c r="J4608">
        <f t="shared" si="215"/>
        <v>6.7000000000000002E-4</v>
      </c>
    </row>
    <row r="4609" spans="1:10">
      <c r="A4609" t="s">
        <v>4691</v>
      </c>
      <c r="B4609">
        <v>22</v>
      </c>
      <c r="C4609" t="s">
        <v>9</v>
      </c>
      <c r="D4609">
        <v>27</v>
      </c>
      <c r="E4609">
        <v>48</v>
      </c>
      <c r="F4609">
        <v>2.6700000000000001E-3</v>
      </c>
      <c r="G4609">
        <v>0</v>
      </c>
      <c r="H4609" t="str">
        <f t="shared" si="213"/>
        <v>40-49</v>
      </c>
      <c r="I4609" t="str">
        <f t="shared" si="214"/>
        <v>20-29</v>
      </c>
      <c r="J4609">
        <f t="shared" si="215"/>
        <v>2.6700000000000001E-3</v>
      </c>
    </row>
    <row r="4610" spans="1:10">
      <c r="A4610" t="s">
        <v>4692</v>
      </c>
      <c r="B4610">
        <v>41</v>
      </c>
      <c r="C4610" t="s">
        <v>9</v>
      </c>
      <c r="D4610">
        <v>8</v>
      </c>
      <c r="E4610">
        <v>48</v>
      </c>
      <c r="F4610">
        <v>1.58E-3</v>
      </c>
      <c r="G4610">
        <v>0</v>
      </c>
      <c r="H4610" t="str">
        <f t="shared" si="213"/>
        <v>40-49</v>
      </c>
      <c r="I4610" t="str">
        <f t="shared" si="214"/>
        <v>0-9</v>
      </c>
      <c r="J4610">
        <f t="shared" si="215"/>
        <v>1.58E-3</v>
      </c>
    </row>
    <row r="4611" spans="1:10">
      <c r="A4611" t="s">
        <v>4693</v>
      </c>
      <c r="B4611">
        <v>47</v>
      </c>
      <c r="C4611" t="s">
        <v>7</v>
      </c>
      <c r="D4611">
        <v>26</v>
      </c>
      <c r="E4611">
        <v>72</v>
      </c>
      <c r="F4611">
        <v>1.7170000000000001E-2</v>
      </c>
      <c r="G4611">
        <v>0</v>
      </c>
      <c r="H4611" t="str">
        <f t="shared" ref="H4611:H4674" si="216">FLOOR(E4611,10) &amp; "-" &amp; FLOOR(E4611,10)+9</f>
        <v>70-79</v>
      </c>
      <c r="I4611" t="str">
        <f t="shared" ref="I4611:I4674" si="217">FLOOR(D4611, 10) &amp; "-"&amp;FLOOR(D4611, 10)+9</f>
        <v>20-29</v>
      </c>
      <c r="J4611">
        <f t="shared" ref="J4611:J4674" si="218">F4611</f>
        <v>1.7170000000000001E-2</v>
      </c>
    </row>
    <row r="4612" spans="1:10">
      <c r="A4612" t="s">
        <v>4694</v>
      </c>
      <c r="B4612">
        <v>26</v>
      </c>
      <c r="C4612" t="s">
        <v>7</v>
      </c>
      <c r="D4612">
        <v>4</v>
      </c>
      <c r="E4612">
        <v>29</v>
      </c>
      <c r="F4612">
        <v>2.2000000000000001E-4</v>
      </c>
      <c r="G4612">
        <v>0</v>
      </c>
      <c r="H4612" t="str">
        <f t="shared" si="216"/>
        <v>20-29</v>
      </c>
      <c r="I4612" t="str">
        <f t="shared" si="217"/>
        <v>0-9</v>
      </c>
      <c r="J4612">
        <f t="shared" si="218"/>
        <v>2.2000000000000001E-4</v>
      </c>
    </row>
    <row r="4613" spans="1:10">
      <c r="A4613" t="s">
        <v>4695</v>
      </c>
      <c r="B4613">
        <v>21</v>
      </c>
      <c r="C4613" t="s">
        <v>7</v>
      </c>
      <c r="D4613">
        <v>2</v>
      </c>
      <c r="E4613">
        <v>22</v>
      </c>
      <c r="F4613">
        <v>2.5000000000000001E-4</v>
      </c>
      <c r="G4613">
        <v>0</v>
      </c>
      <c r="H4613" t="str">
        <f t="shared" si="216"/>
        <v>20-29</v>
      </c>
      <c r="I4613" t="str">
        <f t="shared" si="217"/>
        <v>0-9</v>
      </c>
      <c r="J4613">
        <f t="shared" si="218"/>
        <v>2.5000000000000001E-4</v>
      </c>
    </row>
    <row r="4614" spans="1:10">
      <c r="A4614" t="s">
        <v>4696</v>
      </c>
      <c r="B4614">
        <v>23</v>
      </c>
      <c r="C4614" t="s">
        <v>7</v>
      </c>
      <c r="D4614">
        <v>17</v>
      </c>
      <c r="E4614">
        <v>39</v>
      </c>
      <c r="F4614">
        <v>9.5E-4</v>
      </c>
      <c r="G4614">
        <v>0</v>
      </c>
      <c r="H4614" t="str">
        <f t="shared" si="216"/>
        <v>30-39</v>
      </c>
      <c r="I4614" t="str">
        <f t="shared" si="217"/>
        <v>10-19</v>
      </c>
      <c r="J4614">
        <f t="shared" si="218"/>
        <v>9.5E-4</v>
      </c>
    </row>
    <row r="4615" spans="1:10">
      <c r="A4615" t="s">
        <v>4697</v>
      </c>
      <c r="B4615">
        <v>45</v>
      </c>
      <c r="C4615" t="s">
        <v>7</v>
      </c>
      <c r="D4615">
        <v>29</v>
      </c>
      <c r="E4615">
        <v>73</v>
      </c>
      <c r="F4615">
        <v>1.404E-2</v>
      </c>
      <c r="G4615">
        <v>0</v>
      </c>
      <c r="H4615" t="str">
        <f t="shared" si="216"/>
        <v>70-79</v>
      </c>
      <c r="I4615" t="str">
        <f t="shared" si="217"/>
        <v>20-29</v>
      </c>
      <c r="J4615">
        <f t="shared" si="218"/>
        <v>1.404E-2</v>
      </c>
    </row>
    <row r="4616" spans="1:10">
      <c r="A4616" t="s">
        <v>4698</v>
      </c>
      <c r="B4616">
        <v>21</v>
      </c>
      <c r="C4616" t="s">
        <v>9</v>
      </c>
      <c r="D4616">
        <v>13</v>
      </c>
      <c r="E4616">
        <v>33</v>
      </c>
      <c r="F4616">
        <v>7.7999999999999999E-4</v>
      </c>
      <c r="G4616">
        <v>0</v>
      </c>
      <c r="H4616" t="str">
        <f t="shared" si="216"/>
        <v>30-39</v>
      </c>
      <c r="I4616" t="str">
        <f t="shared" si="217"/>
        <v>10-19</v>
      </c>
      <c r="J4616">
        <f t="shared" si="218"/>
        <v>7.7999999999999999E-4</v>
      </c>
    </row>
    <row r="4617" spans="1:10">
      <c r="A4617" t="s">
        <v>4699</v>
      </c>
      <c r="B4617">
        <v>40</v>
      </c>
      <c r="C4617" t="s">
        <v>9</v>
      </c>
      <c r="D4617">
        <v>24</v>
      </c>
      <c r="E4617">
        <v>63</v>
      </c>
      <c r="F4617">
        <v>8.5900000000000004E-3</v>
      </c>
      <c r="G4617">
        <v>0</v>
      </c>
      <c r="H4617" t="str">
        <f t="shared" si="216"/>
        <v>60-69</v>
      </c>
      <c r="I4617" t="str">
        <f t="shared" si="217"/>
        <v>20-29</v>
      </c>
      <c r="J4617">
        <f t="shared" si="218"/>
        <v>8.5900000000000004E-3</v>
      </c>
    </row>
    <row r="4618" spans="1:10">
      <c r="A4618" t="s">
        <v>4700</v>
      </c>
      <c r="B4618">
        <v>33</v>
      </c>
      <c r="C4618" t="s">
        <v>7</v>
      </c>
      <c r="D4618">
        <v>9</v>
      </c>
      <c r="E4618">
        <v>41</v>
      </c>
      <c r="F4618">
        <v>7.2999999999999996E-4</v>
      </c>
      <c r="G4618">
        <v>0</v>
      </c>
      <c r="H4618" t="str">
        <f t="shared" si="216"/>
        <v>40-49</v>
      </c>
      <c r="I4618" t="str">
        <f t="shared" si="217"/>
        <v>0-9</v>
      </c>
      <c r="J4618">
        <f t="shared" si="218"/>
        <v>7.2999999999999996E-4</v>
      </c>
    </row>
    <row r="4619" spans="1:10">
      <c r="A4619" t="s">
        <v>4701</v>
      </c>
      <c r="B4619">
        <v>47</v>
      </c>
      <c r="C4619" t="s">
        <v>7</v>
      </c>
      <c r="D4619">
        <v>17</v>
      </c>
      <c r="E4619">
        <v>63</v>
      </c>
      <c r="F4619">
        <v>6.45E-3</v>
      </c>
      <c r="G4619">
        <v>0</v>
      </c>
      <c r="H4619" t="str">
        <f t="shared" si="216"/>
        <v>60-69</v>
      </c>
      <c r="I4619" t="str">
        <f t="shared" si="217"/>
        <v>10-19</v>
      </c>
      <c r="J4619">
        <f t="shared" si="218"/>
        <v>6.45E-3</v>
      </c>
    </row>
    <row r="4620" spans="1:10">
      <c r="A4620" t="s">
        <v>4702</v>
      </c>
      <c r="B4620">
        <v>26</v>
      </c>
      <c r="C4620" t="s">
        <v>7</v>
      </c>
      <c r="D4620">
        <v>16</v>
      </c>
      <c r="E4620">
        <v>41</v>
      </c>
      <c r="F4620">
        <v>1.01E-3</v>
      </c>
      <c r="G4620">
        <v>0</v>
      </c>
      <c r="H4620" t="str">
        <f t="shared" si="216"/>
        <v>40-49</v>
      </c>
      <c r="I4620" t="str">
        <f t="shared" si="217"/>
        <v>10-19</v>
      </c>
      <c r="J4620">
        <f t="shared" si="218"/>
        <v>1.01E-3</v>
      </c>
    </row>
    <row r="4621" spans="1:10">
      <c r="A4621" t="s">
        <v>4703</v>
      </c>
      <c r="B4621">
        <v>55</v>
      </c>
      <c r="C4621" t="s">
        <v>7</v>
      </c>
      <c r="D4621">
        <v>21</v>
      </c>
      <c r="E4621">
        <v>75</v>
      </c>
      <c r="F4621">
        <v>2.325E-2</v>
      </c>
      <c r="G4621">
        <v>0</v>
      </c>
      <c r="H4621" t="str">
        <f t="shared" si="216"/>
        <v>70-79</v>
      </c>
      <c r="I4621" t="str">
        <f t="shared" si="217"/>
        <v>20-29</v>
      </c>
      <c r="J4621">
        <f t="shared" si="218"/>
        <v>2.325E-2</v>
      </c>
    </row>
    <row r="4622" spans="1:10">
      <c r="A4622" t="s">
        <v>4704</v>
      </c>
      <c r="B4622">
        <v>53</v>
      </c>
      <c r="C4622" t="s">
        <v>9</v>
      </c>
      <c r="D4622">
        <v>27</v>
      </c>
      <c r="E4622">
        <v>79</v>
      </c>
      <c r="F4622">
        <v>4.1250000000000002E-2</v>
      </c>
      <c r="G4622">
        <v>0</v>
      </c>
      <c r="H4622" t="str">
        <f t="shared" si="216"/>
        <v>70-79</v>
      </c>
      <c r="I4622" t="str">
        <f t="shared" si="217"/>
        <v>20-29</v>
      </c>
      <c r="J4622">
        <f t="shared" si="218"/>
        <v>4.1250000000000002E-2</v>
      </c>
    </row>
    <row r="4623" spans="1:10">
      <c r="A4623" t="s">
        <v>4705</v>
      </c>
      <c r="B4623">
        <v>22</v>
      </c>
      <c r="C4623" t="s">
        <v>9</v>
      </c>
      <c r="D4623">
        <v>4</v>
      </c>
      <c r="E4623">
        <v>25</v>
      </c>
      <c r="F4623">
        <v>5.8E-4</v>
      </c>
      <c r="G4623">
        <v>0</v>
      </c>
      <c r="H4623" t="str">
        <f t="shared" si="216"/>
        <v>20-29</v>
      </c>
      <c r="I4623" t="str">
        <f t="shared" si="217"/>
        <v>0-9</v>
      </c>
      <c r="J4623">
        <f t="shared" si="218"/>
        <v>5.8E-4</v>
      </c>
    </row>
    <row r="4624" spans="1:10">
      <c r="A4624" t="s">
        <v>4706</v>
      </c>
      <c r="B4624">
        <v>20</v>
      </c>
      <c r="C4624" t="s">
        <v>7</v>
      </c>
      <c r="D4624">
        <v>26</v>
      </c>
      <c r="E4624">
        <v>45</v>
      </c>
      <c r="F4624">
        <v>1.3799999999999999E-3</v>
      </c>
      <c r="G4624">
        <v>0</v>
      </c>
      <c r="H4624" t="str">
        <f t="shared" si="216"/>
        <v>40-49</v>
      </c>
      <c r="I4624" t="str">
        <f t="shared" si="217"/>
        <v>20-29</v>
      </c>
      <c r="J4624">
        <f t="shared" si="218"/>
        <v>1.3799999999999999E-3</v>
      </c>
    </row>
    <row r="4625" spans="1:10">
      <c r="A4625" t="s">
        <v>4707</v>
      </c>
      <c r="B4625">
        <v>32</v>
      </c>
      <c r="C4625" t="s">
        <v>9</v>
      </c>
      <c r="D4625">
        <v>11</v>
      </c>
      <c r="E4625">
        <v>42</v>
      </c>
      <c r="F4625">
        <v>1.16E-3</v>
      </c>
      <c r="G4625">
        <v>0</v>
      </c>
      <c r="H4625" t="str">
        <f t="shared" si="216"/>
        <v>40-49</v>
      </c>
      <c r="I4625" t="str">
        <f t="shared" si="217"/>
        <v>10-19</v>
      </c>
      <c r="J4625">
        <f t="shared" si="218"/>
        <v>1.16E-3</v>
      </c>
    </row>
    <row r="4626" spans="1:10">
      <c r="A4626" t="s">
        <v>4708</v>
      </c>
      <c r="B4626">
        <v>62</v>
      </c>
      <c r="C4626" t="s">
        <v>7</v>
      </c>
      <c r="D4626">
        <v>30</v>
      </c>
      <c r="E4626">
        <v>91</v>
      </c>
      <c r="F4626">
        <v>9.3240000000000003E-2</v>
      </c>
      <c r="G4626">
        <v>0</v>
      </c>
      <c r="H4626" t="str">
        <f t="shared" si="216"/>
        <v>90-99</v>
      </c>
      <c r="I4626" t="str">
        <f t="shared" si="217"/>
        <v>30-39</v>
      </c>
      <c r="J4626">
        <f t="shared" si="218"/>
        <v>9.3240000000000003E-2</v>
      </c>
    </row>
    <row r="4627" spans="1:10">
      <c r="A4627" t="s">
        <v>4709</v>
      </c>
      <c r="B4627">
        <v>28</v>
      </c>
      <c r="C4627" t="s">
        <v>9</v>
      </c>
      <c r="D4627">
        <v>14</v>
      </c>
      <c r="E4627">
        <v>41</v>
      </c>
      <c r="F4627">
        <v>1.2600000000000001E-3</v>
      </c>
      <c r="G4627">
        <v>0</v>
      </c>
      <c r="H4627" t="str">
        <f t="shared" si="216"/>
        <v>40-49</v>
      </c>
      <c r="I4627" t="str">
        <f t="shared" si="217"/>
        <v>10-19</v>
      </c>
      <c r="J4627">
        <f t="shared" si="218"/>
        <v>1.2600000000000001E-3</v>
      </c>
    </row>
    <row r="4628" spans="1:10">
      <c r="A4628" t="s">
        <v>4710</v>
      </c>
      <c r="B4628">
        <v>43</v>
      </c>
      <c r="C4628" t="s">
        <v>7</v>
      </c>
      <c r="D4628">
        <v>20</v>
      </c>
      <c r="E4628">
        <v>62</v>
      </c>
      <c r="F4628">
        <v>5.9800000000000001E-3</v>
      </c>
      <c r="G4628">
        <v>0</v>
      </c>
      <c r="H4628" t="str">
        <f t="shared" si="216"/>
        <v>60-69</v>
      </c>
      <c r="I4628" t="str">
        <f t="shared" si="217"/>
        <v>20-29</v>
      </c>
      <c r="J4628">
        <f t="shared" si="218"/>
        <v>5.9800000000000001E-3</v>
      </c>
    </row>
    <row r="4629" spans="1:10">
      <c r="A4629" t="s">
        <v>4711</v>
      </c>
      <c r="B4629">
        <v>62</v>
      </c>
      <c r="C4629" t="s">
        <v>9</v>
      </c>
      <c r="D4629">
        <v>12</v>
      </c>
      <c r="E4629">
        <v>73</v>
      </c>
      <c r="F4629">
        <v>2.103E-2</v>
      </c>
      <c r="G4629">
        <v>0</v>
      </c>
      <c r="H4629" t="str">
        <f t="shared" si="216"/>
        <v>70-79</v>
      </c>
      <c r="I4629" t="str">
        <f t="shared" si="217"/>
        <v>10-19</v>
      </c>
      <c r="J4629">
        <f t="shared" si="218"/>
        <v>2.103E-2</v>
      </c>
    </row>
    <row r="4630" spans="1:10">
      <c r="A4630" t="s">
        <v>4712</v>
      </c>
      <c r="B4630">
        <v>58</v>
      </c>
      <c r="C4630" t="s">
        <v>9</v>
      </c>
      <c r="D4630">
        <v>27</v>
      </c>
      <c r="E4630">
        <v>84</v>
      </c>
      <c r="F4630">
        <v>7.1389999999999995E-2</v>
      </c>
      <c r="G4630">
        <v>0</v>
      </c>
      <c r="H4630" t="str">
        <f t="shared" si="216"/>
        <v>80-89</v>
      </c>
      <c r="I4630" t="str">
        <f t="shared" si="217"/>
        <v>20-29</v>
      </c>
      <c r="J4630">
        <f t="shared" si="218"/>
        <v>7.1389999999999995E-2</v>
      </c>
    </row>
    <row r="4631" spans="1:10">
      <c r="A4631" t="s">
        <v>4713</v>
      </c>
      <c r="B4631">
        <v>56</v>
      </c>
      <c r="C4631" t="s">
        <v>7</v>
      </c>
      <c r="D4631">
        <v>19</v>
      </c>
      <c r="E4631">
        <v>74</v>
      </c>
      <c r="F4631">
        <v>2.019E-2</v>
      </c>
      <c r="G4631">
        <v>0</v>
      </c>
      <c r="H4631" t="str">
        <f t="shared" si="216"/>
        <v>70-79</v>
      </c>
      <c r="I4631" t="str">
        <f t="shared" si="217"/>
        <v>10-19</v>
      </c>
      <c r="J4631">
        <f t="shared" si="218"/>
        <v>2.019E-2</v>
      </c>
    </row>
    <row r="4632" spans="1:10">
      <c r="A4632" t="s">
        <v>4714</v>
      </c>
      <c r="B4632">
        <v>38</v>
      </c>
      <c r="C4632" t="s">
        <v>9</v>
      </c>
      <c r="D4632">
        <v>19</v>
      </c>
      <c r="E4632">
        <v>56</v>
      </c>
      <c r="F4632">
        <v>4.2100000000000002E-3</v>
      </c>
      <c r="G4632">
        <v>0</v>
      </c>
      <c r="H4632" t="str">
        <f t="shared" si="216"/>
        <v>50-59</v>
      </c>
      <c r="I4632" t="str">
        <f t="shared" si="217"/>
        <v>10-19</v>
      </c>
      <c r="J4632">
        <f t="shared" si="218"/>
        <v>4.2100000000000002E-3</v>
      </c>
    </row>
    <row r="4633" spans="1:10">
      <c r="A4633" t="s">
        <v>4715</v>
      </c>
      <c r="B4633">
        <v>48</v>
      </c>
      <c r="C4633" t="s">
        <v>7</v>
      </c>
      <c r="D4633">
        <v>9</v>
      </c>
      <c r="E4633">
        <v>56</v>
      </c>
      <c r="F4633">
        <v>2.5100000000000001E-3</v>
      </c>
      <c r="G4633">
        <v>0</v>
      </c>
      <c r="H4633" t="str">
        <f t="shared" si="216"/>
        <v>50-59</v>
      </c>
      <c r="I4633" t="str">
        <f t="shared" si="217"/>
        <v>0-9</v>
      </c>
      <c r="J4633">
        <f t="shared" si="218"/>
        <v>2.5100000000000001E-3</v>
      </c>
    </row>
    <row r="4634" spans="1:10">
      <c r="A4634" t="s">
        <v>4716</v>
      </c>
      <c r="B4634">
        <v>58</v>
      </c>
      <c r="C4634" t="s">
        <v>7</v>
      </c>
      <c r="D4634">
        <v>23</v>
      </c>
      <c r="E4634">
        <v>80</v>
      </c>
      <c r="F4634">
        <v>3.986E-2</v>
      </c>
      <c r="G4634">
        <v>0</v>
      </c>
      <c r="H4634" t="str">
        <f t="shared" si="216"/>
        <v>80-89</v>
      </c>
      <c r="I4634" t="str">
        <f t="shared" si="217"/>
        <v>20-29</v>
      </c>
      <c r="J4634">
        <f t="shared" si="218"/>
        <v>3.986E-2</v>
      </c>
    </row>
    <row r="4635" spans="1:10">
      <c r="A4635" t="s">
        <v>4717</v>
      </c>
      <c r="B4635">
        <v>46</v>
      </c>
      <c r="C4635" t="s">
        <v>7</v>
      </c>
      <c r="D4635">
        <v>25</v>
      </c>
      <c r="E4635">
        <v>70</v>
      </c>
      <c r="F4635">
        <v>1.404E-2</v>
      </c>
      <c r="G4635">
        <v>0</v>
      </c>
      <c r="H4635" t="str">
        <f t="shared" si="216"/>
        <v>70-79</v>
      </c>
      <c r="I4635" t="str">
        <f t="shared" si="217"/>
        <v>20-29</v>
      </c>
      <c r="J4635">
        <f t="shared" si="218"/>
        <v>1.404E-2</v>
      </c>
    </row>
    <row r="4636" spans="1:10">
      <c r="A4636" t="s">
        <v>4718</v>
      </c>
      <c r="B4636">
        <v>62</v>
      </c>
      <c r="C4636" t="s">
        <v>7</v>
      </c>
      <c r="D4636">
        <v>10</v>
      </c>
      <c r="E4636">
        <v>71</v>
      </c>
      <c r="F4636">
        <v>9.9100000000000004E-3</v>
      </c>
      <c r="G4636">
        <v>0</v>
      </c>
      <c r="H4636" t="str">
        <f t="shared" si="216"/>
        <v>70-79</v>
      </c>
      <c r="I4636" t="str">
        <f t="shared" si="217"/>
        <v>10-19</v>
      </c>
      <c r="J4636">
        <f t="shared" si="218"/>
        <v>9.9100000000000004E-3</v>
      </c>
    </row>
    <row r="4637" spans="1:10">
      <c r="A4637" t="s">
        <v>4719</v>
      </c>
      <c r="B4637">
        <v>58</v>
      </c>
      <c r="C4637" t="s">
        <v>7</v>
      </c>
      <c r="D4637">
        <v>24</v>
      </c>
      <c r="E4637">
        <v>81</v>
      </c>
      <c r="F4637">
        <v>4.4880000000000003E-2</v>
      </c>
      <c r="G4637">
        <v>0</v>
      </c>
      <c r="H4637" t="str">
        <f t="shared" si="216"/>
        <v>80-89</v>
      </c>
      <c r="I4637" t="str">
        <f t="shared" si="217"/>
        <v>20-29</v>
      </c>
      <c r="J4637">
        <f t="shared" si="218"/>
        <v>4.4880000000000003E-2</v>
      </c>
    </row>
    <row r="4638" spans="1:10">
      <c r="A4638" t="s">
        <v>4720</v>
      </c>
      <c r="B4638">
        <v>49</v>
      </c>
      <c r="C4638" t="s">
        <v>7</v>
      </c>
      <c r="D4638">
        <v>3</v>
      </c>
      <c r="E4638">
        <v>51</v>
      </c>
      <c r="F4638">
        <v>1.1199999999999999E-3</v>
      </c>
      <c r="G4638">
        <v>0</v>
      </c>
      <c r="H4638" t="str">
        <f t="shared" si="216"/>
        <v>50-59</v>
      </c>
      <c r="I4638" t="str">
        <f t="shared" si="217"/>
        <v>0-9</v>
      </c>
      <c r="J4638">
        <f t="shared" si="218"/>
        <v>1.1199999999999999E-3</v>
      </c>
    </row>
    <row r="4639" spans="1:10">
      <c r="A4639" t="s">
        <v>4721</v>
      </c>
      <c r="B4639">
        <v>54</v>
      </c>
      <c r="C4639" t="s">
        <v>9</v>
      </c>
      <c r="D4639">
        <v>26</v>
      </c>
      <c r="E4639">
        <v>79</v>
      </c>
      <c r="F4639">
        <v>4.5769999999999998E-2</v>
      </c>
      <c r="G4639">
        <v>0</v>
      </c>
      <c r="H4639" t="str">
        <f t="shared" si="216"/>
        <v>70-79</v>
      </c>
      <c r="I4639" t="str">
        <f t="shared" si="217"/>
        <v>20-29</v>
      </c>
      <c r="J4639">
        <f t="shared" si="218"/>
        <v>4.5769999999999998E-2</v>
      </c>
    </row>
    <row r="4640" spans="1:10">
      <c r="A4640" t="s">
        <v>4722</v>
      </c>
      <c r="B4640">
        <v>56</v>
      </c>
      <c r="C4640" t="s">
        <v>9</v>
      </c>
      <c r="D4640">
        <v>8</v>
      </c>
      <c r="E4640">
        <v>63</v>
      </c>
      <c r="F4640">
        <v>7.6899999999999998E-3</v>
      </c>
      <c r="G4640">
        <v>0</v>
      </c>
      <c r="H4640" t="str">
        <f t="shared" si="216"/>
        <v>60-69</v>
      </c>
      <c r="I4640" t="str">
        <f t="shared" si="217"/>
        <v>0-9</v>
      </c>
      <c r="J4640">
        <f t="shared" si="218"/>
        <v>7.6899999999999998E-3</v>
      </c>
    </row>
    <row r="4641" spans="1:10">
      <c r="A4641" t="s">
        <v>4723</v>
      </c>
      <c r="B4641">
        <v>38</v>
      </c>
      <c r="C4641" t="s">
        <v>7</v>
      </c>
      <c r="D4641">
        <v>1</v>
      </c>
      <c r="E4641">
        <v>38</v>
      </c>
      <c r="F4641">
        <v>2.0000000000000001E-4</v>
      </c>
      <c r="G4641">
        <v>0</v>
      </c>
      <c r="H4641" t="str">
        <f t="shared" si="216"/>
        <v>30-39</v>
      </c>
      <c r="I4641" t="str">
        <f t="shared" si="217"/>
        <v>0-9</v>
      </c>
      <c r="J4641">
        <f t="shared" si="218"/>
        <v>2.0000000000000001E-4</v>
      </c>
    </row>
    <row r="4642" spans="1:10">
      <c r="A4642" t="s">
        <v>4724</v>
      </c>
      <c r="B4642">
        <v>56</v>
      </c>
      <c r="C4642" t="s">
        <v>7</v>
      </c>
      <c r="D4642">
        <v>20</v>
      </c>
      <c r="E4642">
        <v>75</v>
      </c>
      <c r="F4642">
        <v>2.299E-2</v>
      </c>
      <c r="G4642">
        <v>0</v>
      </c>
      <c r="H4642" t="str">
        <f t="shared" si="216"/>
        <v>70-79</v>
      </c>
      <c r="I4642" t="str">
        <f t="shared" si="217"/>
        <v>20-29</v>
      </c>
      <c r="J4642">
        <f t="shared" si="218"/>
        <v>2.299E-2</v>
      </c>
    </row>
    <row r="4643" spans="1:10">
      <c r="A4643" t="s">
        <v>4725</v>
      </c>
      <c r="B4643">
        <v>31</v>
      </c>
      <c r="C4643" t="s">
        <v>9</v>
      </c>
      <c r="D4643">
        <v>29</v>
      </c>
      <c r="E4643">
        <v>59</v>
      </c>
      <c r="F4643">
        <v>4.3899999999999998E-3</v>
      </c>
      <c r="G4643">
        <v>0</v>
      </c>
      <c r="H4643" t="str">
        <f t="shared" si="216"/>
        <v>50-59</v>
      </c>
      <c r="I4643" t="str">
        <f t="shared" si="217"/>
        <v>20-29</v>
      </c>
      <c r="J4643">
        <f t="shared" si="218"/>
        <v>4.3899999999999998E-3</v>
      </c>
    </row>
    <row r="4644" spans="1:10">
      <c r="A4644" t="s">
        <v>4726</v>
      </c>
      <c r="B4644">
        <v>34</v>
      </c>
      <c r="C4644" t="s">
        <v>7</v>
      </c>
      <c r="D4644">
        <v>10</v>
      </c>
      <c r="E4644">
        <v>43</v>
      </c>
      <c r="F4644">
        <v>8.4000000000000003E-4</v>
      </c>
      <c r="G4644">
        <v>0</v>
      </c>
      <c r="H4644" t="str">
        <f t="shared" si="216"/>
        <v>40-49</v>
      </c>
      <c r="I4644" t="str">
        <f t="shared" si="217"/>
        <v>10-19</v>
      </c>
      <c r="J4644">
        <f t="shared" si="218"/>
        <v>8.4000000000000003E-4</v>
      </c>
    </row>
    <row r="4645" spans="1:10">
      <c r="A4645" t="s">
        <v>4727</v>
      </c>
      <c r="B4645">
        <v>47</v>
      </c>
      <c r="C4645" t="s">
        <v>7</v>
      </c>
      <c r="D4645">
        <v>13</v>
      </c>
      <c r="E4645">
        <v>59</v>
      </c>
      <c r="F4645">
        <v>4.0000000000000001E-3</v>
      </c>
      <c r="G4645">
        <v>0</v>
      </c>
      <c r="H4645" t="str">
        <f t="shared" si="216"/>
        <v>50-59</v>
      </c>
      <c r="I4645" t="str">
        <f t="shared" si="217"/>
        <v>10-19</v>
      </c>
      <c r="J4645">
        <f t="shared" si="218"/>
        <v>4.0000000000000001E-3</v>
      </c>
    </row>
    <row r="4646" spans="1:10">
      <c r="A4646" t="s">
        <v>4728</v>
      </c>
      <c r="B4646">
        <v>23</v>
      </c>
      <c r="C4646" t="s">
        <v>7</v>
      </c>
      <c r="D4646">
        <v>14</v>
      </c>
      <c r="E4646">
        <v>36</v>
      </c>
      <c r="F4646">
        <v>6.4999999999999997E-4</v>
      </c>
      <c r="G4646">
        <v>0</v>
      </c>
      <c r="H4646" t="str">
        <f t="shared" si="216"/>
        <v>30-39</v>
      </c>
      <c r="I4646" t="str">
        <f t="shared" si="217"/>
        <v>10-19</v>
      </c>
      <c r="J4646">
        <f t="shared" si="218"/>
        <v>6.4999999999999997E-4</v>
      </c>
    </row>
    <row r="4647" spans="1:10">
      <c r="A4647" t="s">
        <v>4729</v>
      </c>
      <c r="B4647">
        <v>55</v>
      </c>
      <c r="C4647" t="s">
        <v>9</v>
      </c>
      <c r="D4647">
        <v>16</v>
      </c>
      <c r="E4647">
        <v>70</v>
      </c>
      <c r="F4647">
        <v>1.6750000000000001E-2</v>
      </c>
      <c r="G4647">
        <v>0</v>
      </c>
      <c r="H4647" t="str">
        <f t="shared" si="216"/>
        <v>70-79</v>
      </c>
      <c r="I4647" t="str">
        <f t="shared" si="217"/>
        <v>10-19</v>
      </c>
      <c r="J4647">
        <f t="shared" si="218"/>
        <v>1.6750000000000001E-2</v>
      </c>
    </row>
    <row r="4648" spans="1:10">
      <c r="A4648" t="s">
        <v>4730</v>
      </c>
      <c r="B4648">
        <v>49</v>
      </c>
      <c r="C4648" t="s">
        <v>9</v>
      </c>
      <c r="D4648">
        <v>25</v>
      </c>
      <c r="E4648">
        <v>73</v>
      </c>
      <c r="F4648">
        <v>2.3939999999999999E-2</v>
      </c>
      <c r="G4648">
        <v>0</v>
      </c>
      <c r="H4648" t="str">
        <f t="shared" si="216"/>
        <v>70-79</v>
      </c>
      <c r="I4648" t="str">
        <f t="shared" si="217"/>
        <v>20-29</v>
      </c>
      <c r="J4648">
        <f t="shared" si="218"/>
        <v>2.3939999999999999E-2</v>
      </c>
    </row>
    <row r="4649" spans="1:10">
      <c r="A4649" t="s">
        <v>4731</v>
      </c>
      <c r="B4649">
        <v>61</v>
      </c>
      <c r="C4649" t="s">
        <v>9</v>
      </c>
      <c r="D4649">
        <v>15</v>
      </c>
      <c r="E4649">
        <v>75</v>
      </c>
      <c r="F4649">
        <v>2.8510000000000001E-2</v>
      </c>
      <c r="G4649">
        <v>0</v>
      </c>
      <c r="H4649" t="str">
        <f t="shared" si="216"/>
        <v>70-79</v>
      </c>
      <c r="I4649" t="str">
        <f t="shared" si="217"/>
        <v>10-19</v>
      </c>
      <c r="J4649">
        <f t="shared" si="218"/>
        <v>2.8510000000000001E-2</v>
      </c>
    </row>
    <row r="4650" spans="1:10">
      <c r="A4650" t="s">
        <v>4732</v>
      </c>
      <c r="B4650">
        <v>55</v>
      </c>
      <c r="C4650" t="s">
        <v>9</v>
      </c>
      <c r="D4650">
        <v>24</v>
      </c>
      <c r="E4650">
        <v>78</v>
      </c>
      <c r="F4650">
        <v>4.1189999999999997E-2</v>
      </c>
      <c r="G4650">
        <v>0</v>
      </c>
      <c r="H4650" t="str">
        <f t="shared" si="216"/>
        <v>70-79</v>
      </c>
      <c r="I4650" t="str">
        <f t="shared" si="217"/>
        <v>20-29</v>
      </c>
      <c r="J4650">
        <f t="shared" si="218"/>
        <v>4.1189999999999997E-2</v>
      </c>
    </row>
    <row r="4651" spans="1:10">
      <c r="A4651" t="s">
        <v>4733</v>
      </c>
      <c r="B4651">
        <v>40</v>
      </c>
      <c r="C4651" t="s">
        <v>7</v>
      </c>
      <c r="D4651">
        <v>22</v>
      </c>
      <c r="E4651">
        <v>61</v>
      </c>
      <c r="F4651">
        <v>5.4599999999999996E-3</v>
      </c>
      <c r="G4651">
        <v>0</v>
      </c>
      <c r="H4651" t="str">
        <f t="shared" si="216"/>
        <v>60-69</v>
      </c>
      <c r="I4651" t="str">
        <f t="shared" si="217"/>
        <v>20-29</v>
      </c>
      <c r="J4651">
        <f t="shared" si="218"/>
        <v>5.4599999999999996E-3</v>
      </c>
    </row>
    <row r="4652" spans="1:10">
      <c r="A4652" t="s">
        <v>4734</v>
      </c>
      <c r="B4652">
        <v>61</v>
      </c>
      <c r="C4652" t="s">
        <v>7</v>
      </c>
      <c r="D4652">
        <v>8</v>
      </c>
      <c r="E4652">
        <v>68</v>
      </c>
      <c r="F4652">
        <v>7.2500000000000004E-3</v>
      </c>
      <c r="G4652">
        <v>0</v>
      </c>
      <c r="H4652" t="str">
        <f t="shared" si="216"/>
        <v>60-69</v>
      </c>
      <c r="I4652" t="str">
        <f t="shared" si="217"/>
        <v>0-9</v>
      </c>
      <c r="J4652">
        <f t="shared" si="218"/>
        <v>7.2500000000000004E-3</v>
      </c>
    </row>
    <row r="4653" spans="1:10">
      <c r="A4653" t="s">
        <v>4735</v>
      </c>
      <c r="B4653">
        <v>62</v>
      </c>
      <c r="C4653" t="s">
        <v>7</v>
      </c>
      <c r="D4653">
        <v>29</v>
      </c>
      <c r="E4653">
        <v>90</v>
      </c>
      <c r="F4653">
        <v>9.3240000000000003E-2</v>
      </c>
      <c r="G4653">
        <v>1</v>
      </c>
      <c r="H4653" t="str">
        <f t="shared" si="216"/>
        <v>90-99</v>
      </c>
      <c r="I4653" t="str">
        <f t="shared" si="217"/>
        <v>20-29</v>
      </c>
      <c r="J4653">
        <f t="shared" si="218"/>
        <v>9.3240000000000003E-2</v>
      </c>
    </row>
    <row r="4654" spans="1:10">
      <c r="A4654" t="s">
        <v>4736</v>
      </c>
      <c r="B4654">
        <v>38</v>
      </c>
      <c r="C4654" t="s">
        <v>9</v>
      </c>
      <c r="D4654">
        <v>27</v>
      </c>
      <c r="E4654">
        <v>64</v>
      </c>
      <c r="F4654">
        <v>8.6599999999999993E-3</v>
      </c>
      <c r="G4654">
        <v>0</v>
      </c>
      <c r="H4654" t="str">
        <f t="shared" si="216"/>
        <v>60-69</v>
      </c>
      <c r="I4654" t="str">
        <f t="shared" si="217"/>
        <v>20-29</v>
      </c>
      <c r="J4654">
        <f t="shared" si="218"/>
        <v>8.6599999999999993E-3</v>
      </c>
    </row>
    <row r="4655" spans="1:10">
      <c r="A4655" t="s">
        <v>4737</v>
      </c>
      <c r="B4655">
        <v>46</v>
      </c>
      <c r="C4655" t="s">
        <v>7</v>
      </c>
      <c r="D4655">
        <v>29</v>
      </c>
      <c r="E4655">
        <v>74</v>
      </c>
      <c r="F4655">
        <v>1.553E-2</v>
      </c>
      <c r="G4655">
        <v>0</v>
      </c>
      <c r="H4655" t="str">
        <f t="shared" si="216"/>
        <v>70-79</v>
      </c>
      <c r="I4655" t="str">
        <f t="shared" si="217"/>
        <v>20-29</v>
      </c>
      <c r="J4655">
        <f t="shared" si="218"/>
        <v>1.553E-2</v>
      </c>
    </row>
    <row r="4656" spans="1:10">
      <c r="A4656" t="s">
        <v>4738</v>
      </c>
      <c r="B4656">
        <v>64</v>
      </c>
      <c r="C4656" t="s">
        <v>7</v>
      </c>
      <c r="D4656">
        <v>19</v>
      </c>
      <c r="E4656">
        <v>82</v>
      </c>
      <c r="F4656">
        <v>4.9939999999999998E-2</v>
      </c>
      <c r="G4656">
        <v>0</v>
      </c>
      <c r="H4656" t="str">
        <f t="shared" si="216"/>
        <v>80-89</v>
      </c>
      <c r="I4656" t="str">
        <f t="shared" si="217"/>
        <v>10-19</v>
      </c>
      <c r="J4656">
        <f t="shared" si="218"/>
        <v>4.9939999999999998E-2</v>
      </c>
    </row>
    <row r="4657" spans="1:10">
      <c r="A4657" t="s">
        <v>4739</v>
      </c>
      <c r="B4657">
        <v>55</v>
      </c>
      <c r="C4657" t="s">
        <v>7</v>
      </c>
      <c r="D4657">
        <v>26</v>
      </c>
      <c r="E4657">
        <v>80</v>
      </c>
      <c r="F4657">
        <v>3.986E-2</v>
      </c>
      <c r="G4657">
        <v>0</v>
      </c>
      <c r="H4657" t="str">
        <f t="shared" si="216"/>
        <v>80-89</v>
      </c>
      <c r="I4657" t="str">
        <f t="shared" si="217"/>
        <v>20-29</v>
      </c>
      <c r="J4657">
        <f t="shared" si="218"/>
        <v>3.986E-2</v>
      </c>
    </row>
    <row r="4658" spans="1:10">
      <c r="A4658" t="s">
        <v>4740</v>
      </c>
      <c r="B4658">
        <v>57</v>
      </c>
      <c r="C4658" t="s">
        <v>9</v>
      </c>
      <c r="D4658">
        <v>25</v>
      </c>
      <c r="E4658">
        <v>81</v>
      </c>
      <c r="F4658">
        <v>5.6829999999999999E-2</v>
      </c>
      <c r="G4658">
        <v>0</v>
      </c>
      <c r="H4658" t="str">
        <f t="shared" si="216"/>
        <v>80-89</v>
      </c>
      <c r="I4658" t="str">
        <f t="shared" si="217"/>
        <v>20-29</v>
      </c>
      <c r="J4658">
        <f t="shared" si="218"/>
        <v>5.6829999999999999E-2</v>
      </c>
    </row>
    <row r="4659" spans="1:10">
      <c r="A4659" t="s">
        <v>4741</v>
      </c>
      <c r="B4659">
        <v>47</v>
      </c>
      <c r="C4659" t="s">
        <v>9</v>
      </c>
      <c r="D4659">
        <v>22</v>
      </c>
      <c r="E4659">
        <v>68</v>
      </c>
      <c r="F4659">
        <v>1.405E-2</v>
      </c>
      <c r="G4659">
        <v>0</v>
      </c>
      <c r="H4659" t="str">
        <f t="shared" si="216"/>
        <v>60-69</v>
      </c>
      <c r="I4659" t="str">
        <f t="shared" si="217"/>
        <v>20-29</v>
      </c>
      <c r="J4659">
        <f t="shared" si="218"/>
        <v>1.405E-2</v>
      </c>
    </row>
    <row r="4660" spans="1:10">
      <c r="A4660" t="s">
        <v>4742</v>
      </c>
      <c r="B4660">
        <v>44</v>
      </c>
      <c r="C4660" t="s">
        <v>9</v>
      </c>
      <c r="D4660">
        <v>19</v>
      </c>
      <c r="E4660">
        <v>62</v>
      </c>
      <c r="F4660">
        <v>7.7400000000000004E-3</v>
      </c>
      <c r="G4660">
        <v>0</v>
      </c>
      <c r="H4660" t="str">
        <f t="shared" si="216"/>
        <v>60-69</v>
      </c>
      <c r="I4660" t="str">
        <f t="shared" si="217"/>
        <v>10-19</v>
      </c>
      <c r="J4660">
        <f t="shared" si="218"/>
        <v>7.7400000000000004E-3</v>
      </c>
    </row>
    <row r="4661" spans="1:10">
      <c r="A4661" t="s">
        <v>4743</v>
      </c>
      <c r="B4661">
        <v>24</v>
      </c>
      <c r="C4661" t="s">
        <v>7</v>
      </c>
      <c r="D4661">
        <v>30</v>
      </c>
      <c r="E4661">
        <v>53</v>
      </c>
      <c r="F4661">
        <v>1.8699999999999999E-3</v>
      </c>
      <c r="G4661">
        <v>0</v>
      </c>
      <c r="H4661" t="str">
        <f t="shared" si="216"/>
        <v>50-59</v>
      </c>
      <c r="I4661" t="str">
        <f t="shared" si="217"/>
        <v>30-39</v>
      </c>
      <c r="J4661">
        <f t="shared" si="218"/>
        <v>1.8699999999999999E-3</v>
      </c>
    </row>
    <row r="4662" spans="1:10">
      <c r="A4662" t="s">
        <v>4744</v>
      </c>
      <c r="B4662">
        <v>50</v>
      </c>
      <c r="C4662" t="s">
        <v>9</v>
      </c>
      <c r="D4662">
        <v>26</v>
      </c>
      <c r="E4662">
        <v>75</v>
      </c>
      <c r="F4662">
        <v>3.006E-2</v>
      </c>
      <c r="G4662">
        <v>0</v>
      </c>
      <c r="H4662" t="str">
        <f t="shared" si="216"/>
        <v>70-79</v>
      </c>
      <c r="I4662" t="str">
        <f t="shared" si="217"/>
        <v>20-29</v>
      </c>
      <c r="J4662">
        <f t="shared" si="218"/>
        <v>3.006E-2</v>
      </c>
    </row>
    <row r="4663" spans="1:10">
      <c r="A4663" t="s">
        <v>4745</v>
      </c>
      <c r="B4663">
        <v>63</v>
      </c>
      <c r="C4663" t="s">
        <v>9</v>
      </c>
      <c r="D4663">
        <v>29</v>
      </c>
      <c r="E4663">
        <v>91</v>
      </c>
      <c r="F4663">
        <v>0.13258</v>
      </c>
      <c r="G4663">
        <v>0</v>
      </c>
      <c r="H4663" t="str">
        <f t="shared" si="216"/>
        <v>90-99</v>
      </c>
      <c r="I4663" t="str">
        <f t="shared" si="217"/>
        <v>20-29</v>
      </c>
      <c r="J4663">
        <f t="shared" si="218"/>
        <v>0.13258</v>
      </c>
    </row>
    <row r="4664" spans="1:10">
      <c r="A4664" t="s">
        <v>4746</v>
      </c>
      <c r="B4664">
        <v>53</v>
      </c>
      <c r="C4664" t="s">
        <v>7</v>
      </c>
      <c r="D4664">
        <v>11</v>
      </c>
      <c r="E4664">
        <v>63</v>
      </c>
      <c r="F4664">
        <v>5.3299999999999997E-3</v>
      </c>
      <c r="G4664">
        <v>0</v>
      </c>
      <c r="H4664" t="str">
        <f t="shared" si="216"/>
        <v>60-69</v>
      </c>
      <c r="I4664" t="str">
        <f t="shared" si="217"/>
        <v>10-19</v>
      </c>
      <c r="J4664">
        <f t="shared" si="218"/>
        <v>5.3299999999999997E-3</v>
      </c>
    </row>
    <row r="4665" spans="1:10">
      <c r="A4665" t="s">
        <v>4747</v>
      </c>
      <c r="B4665">
        <v>27</v>
      </c>
      <c r="C4665" t="s">
        <v>7</v>
      </c>
      <c r="D4665">
        <v>9</v>
      </c>
      <c r="E4665">
        <v>35</v>
      </c>
      <c r="F4665">
        <v>4.6999999999999999E-4</v>
      </c>
      <c r="G4665">
        <v>0</v>
      </c>
      <c r="H4665" t="str">
        <f t="shared" si="216"/>
        <v>30-39</v>
      </c>
      <c r="I4665" t="str">
        <f t="shared" si="217"/>
        <v>0-9</v>
      </c>
      <c r="J4665">
        <f t="shared" si="218"/>
        <v>4.6999999999999999E-4</v>
      </c>
    </row>
    <row r="4666" spans="1:10">
      <c r="A4666" t="s">
        <v>4748</v>
      </c>
      <c r="B4666">
        <v>45</v>
      </c>
      <c r="C4666" t="s">
        <v>9</v>
      </c>
      <c r="D4666">
        <v>18</v>
      </c>
      <c r="E4666">
        <v>62</v>
      </c>
      <c r="F4666">
        <v>7.7400000000000004E-3</v>
      </c>
      <c r="G4666">
        <v>0</v>
      </c>
      <c r="H4666" t="str">
        <f t="shared" si="216"/>
        <v>60-69</v>
      </c>
      <c r="I4666" t="str">
        <f t="shared" si="217"/>
        <v>10-19</v>
      </c>
      <c r="J4666">
        <f t="shared" si="218"/>
        <v>7.7400000000000004E-3</v>
      </c>
    </row>
    <row r="4667" spans="1:10">
      <c r="A4667" t="s">
        <v>4749</v>
      </c>
      <c r="B4667">
        <v>39</v>
      </c>
      <c r="C4667" t="s">
        <v>7</v>
      </c>
      <c r="D4667">
        <v>28</v>
      </c>
      <c r="E4667">
        <v>66</v>
      </c>
      <c r="F4667">
        <v>7.4700000000000001E-3</v>
      </c>
      <c r="G4667">
        <v>0</v>
      </c>
      <c r="H4667" t="str">
        <f t="shared" si="216"/>
        <v>60-69</v>
      </c>
      <c r="I4667" t="str">
        <f t="shared" si="217"/>
        <v>20-29</v>
      </c>
      <c r="J4667">
        <f t="shared" si="218"/>
        <v>7.4700000000000001E-3</v>
      </c>
    </row>
    <row r="4668" spans="1:10">
      <c r="A4668" t="s">
        <v>4750</v>
      </c>
      <c r="B4668">
        <v>22</v>
      </c>
      <c r="C4668" t="s">
        <v>9</v>
      </c>
      <c r="D4668">
        <v>28</v>
      </c>
      <c r="E4668">
        <v>49</v>
      </c>
      <c r="F4668">
        <v>2.6700000000000001E-3</v>
      </c>
      <c r="G4668">
        <v>0</v>
      </c>
      <c r="H4668" t="str">
        <f t="shared" si="216"/>
        <v>40-49</v>
      </c>
      <c r="I4668" t="str">
        <f t="shared" si="217"/>
        <v>20-29</v>
      </c>
      <c r="J4668">
        <f t="shared" si="218"/>
        <v>2.6700000000000001E-3</v>
      </c>
    </row>
    <row r="4669" spans="1:10">
      <c r="A4669" t="s">
        <v>4751</v>
      </c>
      <c r="B4669">
        <v>50</v>
      </c>
      <c r="C4669" t="s">
        <v>9</v>
      </c>
      <c r="D4669">
        <v>25</v>
      </c>
      <c r="E4669">
        <v>74</v>
      </c>
      <c r="F4669">
        <v>2.6859999999999998E-2</v>
      </c>
      <c r="G4669">
        <v>1</v>
      </c>
      <c r="H4669" t="str">
        <f t="shared" si="216"/>
        <v>70-79</v>
      </c>
      <c r="I4669" t="str">
        <f t="shared" si="217"/>
        <v>20-29</v>
      </c>
      <c r="J4669">
        <f t="shared" si="218"/>
        <v>2.6859999999999998E-2</v>
      </c>
    </row>
    <row r="4670" spans="1:10">
      <c r="A4670" t="s">
        <v>4752</v>
      </c>
      <c r="B4670">
        <v>52</v>
      </c>
      <c r="C4670" t="s">
        <v>7</v>
      </c>
      <c r="D4670">
        <v>14</v>
      </c>
      <c r="E4670">
        <v>65</v>
      </c>
      <c r="F4670">
        <v>7.2399999999999999E-3</v>
      </c>
      <c r="G4670">
        <v>0</v>
      </c>
      <c r="H4670" t="str">
        <f t="shared" si="216"/>
        <v>60-69</v>
      </c>
      <c r="I4670" t="str">
        <f t="shared" si="217"/>
        <v>10-19</v>
      </c>
      <c r="J4670">
        <f t="shared" si="218"/>
        <v>7.2399999999999999E-3</v>
      </c>
    </row>
    <row r="4671" spans="1:10">
      <c r="A4671" t="s">
        <v>4753</v>
      </c>
      <c r="B4671">
        <v>44</v>
      </c>
      <c r="C4671" t="s">
        <v>7</v>
      </c>
      <c r="D4671">
        <v>3</v>
      </c>
      <c r="E4671">
        <v>46</v>
      </c>
      <c r="F4671">
        <v>6.2E-4</v>
      </c>
      <c r="G4671">
        <v>0</v>
      </c>
      <c r="H4671" t="str">
        <f t="shared" si="216"/>
        <v>40-49</v>
      </c>
      <c r="I4671" t="str">
        <f t="shared" si="217"/>
        <v>0-9</v>
      </c>
      <c r="J4671">
        <f t="shared" si="218"/>
        <v>6.2E-4</v>
      </c>
    </row>
    <row r="4672" spans="1:10">
      <c r="A4672" t="s">
        <v>4754</v>
      </c>
      <c r="B4672">
        <v>44</v>
      </c>
      <c r="C4672" t="s">
        <v>9</v>
      </c>
      <c r="D4672">
        <v>17</v>
      </c>
      <c r="E4672">
        <v>60</v>
      </c>
      <c r="F4672">
        <v>6.3299999999999997E-3</v>
      </c>
      <c r="G4672">
        <v>0</v>
      </c>
      <c r="H4672" t="str">
        <f t="shared" si="216"/>
        <v>60-69</v>
      </c>
      <c r="I4672" t="str">
        <f t="shared" si="217"/>
        <v>10-19</v>
      </c>
      <c r="J4672">
        <f t="shared" si="218"/>
        <v>6.3299999999999997E-3</v>
      </c>
    </row>
    <row r="4673" spans="1:10">
      <c r="A4673" t="s">
        <v>4755</v>
      </c>
      <c r="B4673">
        <v>32</v>
      </c>
      <c r="C4673" t="s">
        <v>7</v>
      </c>
      <c r="D4673">
        <v>27</v>
      </c>
      <c r="E4673">
        <v>58</v>
      </c>
      <c r="F4673">
        <v>3.6900000000000001E-3</v>
      </c>
      <c r="G4673">
        <v>0</v>
      </c>
      <c r="H4673" t="str">
        <f t="shared" si="216"/>
        <v>50-59</v>
      </c>
      <c r="I4673" t="str">
        <f t="shared" si="217"/>
        <v>20-29</v>
      </c>
      <c r="J4673">
        <f t="shared" si="218"/>
        <v>3.6900000000000001E-3</v>
      </c>
    </row>
    <row r="4674" spans="1:10">
      <c r="A4674" t="s">
        <v>4756</v>
      </c>
      <c r="B4674">
        <v>21</v>
      </c>
      <c r="C4674" t="s">
        <v>7</v>
      </c>
      <c r="D4674">
        <v>2</v>
      </c>
      <c r="E4674">
        <v>22</v>
      </c>
      <c r="F4674">
        <v>2.5000000000000001E-4</v>
      </c>
      <c r="G4674">
        <v>0</v>
      </c>
      <c r="H4674" t="str">
        <f t="shared" si="216"/>
        <v>20-29</v>
      </c>
      <c r="I4674" t="str">
        <f t="shared" si="217"/>
        <v>0-9</v>
      </c>
      <c r="J4674">
        <f t="shared" si="218"/>
        <v>2.5000000000000001E-4</v>
      </c>
    </row>
    <row r="4675" spans="1:10">
      <c r="A4675" t="s">
        <v>4757</v>
      </c>
      <c r="B4675">
        <v>23</v>
      </c>
      <c r="C4675" t="s">
        <v>7</v>
      </c>
      <c r="D4675">
        <v>20</v>
      </c>
      <c r="E4675">
        <v>42</v>
      </c>
      <c r="F4675">
        <v>1.23E-3</v>
      </c>
      <c r="G4675">
        <v>0</v>
      </c>
      <c r="H4675" t="str">
        <f t="shared" ref="H4675:H4738" si="219">FLOOR(E4675,10) &amp; "-" &amp; FLOOR(E4675,10)+9</f>
        <v>40-49</v>
      </c>
      <c r="I4675" t="str">
        <f t="shared" ref="I4675:I4738" si="220">FLOOR(D4675, 10) &amp; "-"&amp;FLOOR(D4675, 10)+9</f>
        <v>20-29</v>
      </c>
      <c r="J4675">
        <f t="shared" ref="J4675:J4738" si="221">F4675</f>
        <v>1.23E-3</v>
      </c>
    </row>
    <row r="4676" spans="1:10">
      <c r="A4676" t="s">
        <v>4758</v>
      </c>
      <c r="B4676">
        <v>60</v>
      </c>
      <c r="C4676" t="s">
        <v>9</v>
      </c>
      <c r="D4676">
        <v>20</v>
      </c>
      <c r="E4676">
        <v>79</v>
      </c>
      <c r="F4676">
        <v>4.5769999999999998E-2</v>
      </c>
      <c r="G4676">
        <v>0</v>
      </c>
      <c r="H4676" t="str">
        <f t="shared" si="219"/>
        <v>70-79</v>
      </c>
      <c r="I4676" t="str">
        <f t="shared" si="220"/>
        <v>20-29</v>
      </c>
      <c r="J4676">
        <f t="shared" si="221"/>
        <v>4.5769999999999998E-2</v>
      </c>
    </row>
    <row r="4677" spans="1:10">
      <c r="A4677" t="s">
        <v>4759</v>
      </c>
      <c r="B4677">
        <v>23</v>
      </c>
      <c r="C4677" t="s">
        <v>9</v>
      </c>
      <c r="D4677">
        <v>15</v>
      </c>
      <c r="E4677">
        <v>37</v>
      </c>
      <c r="F4677">
        <v>9.8999999999999999E-4</v>
      </c>
      <c r="G4677">
        <v>0</v>
      </c>
      <c r="H4677" t="str">
        <f t="shared" si="219"/>
        <v>30-39</v>
      </c>
      <c r="I4677" t="str">
        <f t="shared" si="220"/>
        <v>10-19</v>
      </c>
      <c r="J4677">
        <f t="shared" si="221"/>
        <v>9.8999999999999999E-4</v>
      </c>
    </row>
    <row r="4678" spans="1:10">
      <c r="A4678" t="s">
        <v>4760</v>
      </c>
      <c r="B4678">
        <v>60</v>
      </c>
      <c r="C4678" t="s">
        <v>9</v>
      </c>
      <c r="D4678">
        <v>17</v>
      </c>
      <c r="E4678">
        <v>76</v>
      </c>
      <c r="F4678">
        <v>3.2719999999999999E-2</v>
      </c>
      <c r="G4678">
        <v>0</v>
      </c>
      <c r="H4678" t="str">
        <f t="shared" si="219"/>
        <v>70-79</v>
      </c>
      <c r="I4678" t="str">
        <f t="shared" si="220"/>
        <v>10-19</v>
      </c>
      <c r="J4678">
        <f t="shared" si="221"/>
        <v>3.2719999999999999E-2</v>
      </c>
    </row>
    <row r="4679" spans="1:10">
      <c r="A4679" t="s">
        <v>4761</v>
      </c>
      <c r="B4679">
        <v>48</v>
      </c>
      <c r="C4679" t="s">
        <v>9</v>
      </c>
      <c r="D4679">
        <v>21</v>
      </c>
      <c r="E4679">
        <v>68</v>
      </c>
      <c r="F4679">
        <v>1.3950000000000001E-2</v>
      </c>
      <c r="G4679">
        <v>0</v>
      </c>
      <c r="H4679" t="str">
        <f t="shared" si="219"/>
        <v>60-69</v>
      </c>
      <c r="I4679" t="str">
        <f t="shared" si="220"/>
        <v>20-29</v>
      </c>
      <c r="J4679">
        <f t="shared" si="221"/>
        <v>1.3950000000000001E-2</v>
      </c>
    </row>
    <row r="4680" spans="1:10">
      <c r="A4680" t="s">
        <v>4762</v>
      </c>
      <c r="B4680">
        <v>43</v>
      </c>
      <c r="C4680" t="s">
        <v>7</v>
      </c>
      <c r="D4680">
        <v>8</v>
      </c>
      <c r="E4680">
        <v>50</v>
      </c>
      <c r="F4680">
        <v>1.41E-3</v>
      </c>
      <c r="G4680">
        <v>0</v>
      </c>
      <c r="H4680" t="str">
        <f t="shared" si="219"/>
        <v>50-59</v>
      </c>
      <c r="I4680" t="str">
        <f t="shared" si="220"/>
        <v>0-9</v>
      </c>
      <c r="J4680">
        <f t="shared" si="221"/>
        <v>1.41E-3</v>
      </c>
    </row>
    <row r="4681" spans="1:10">
      <c r="A4681" t="s">
        <v>4763</v>
      </c>
      <c r="B4681">
        <v>51</v>
      </c>
      <c r="C4681" t="s">
        <v>9</v>
      </c>
      <c r="D4681">
        <v>15</v>
      </c>
      <c r="E4681">
        <v>65</v>
      </c>
      <c r="F4681">
        <v>1.005E-2</v>
      </c>
      <c r="G4681">
        <v>0</v>
      </c>
      <c r="H4681" t="str">
        <f t="shared" si="219"/>
        <v>60-69</v>
      </c>
      <c r="I4681" t="str">
        <f t="shared" si="220"/>
        <v>10-19</v>
      </c>
      <c r="J4681">
        <f t="shared" si="221"/>
        <v>1.005E-2</v>
      </c>
    </row>
    <row r="4682" spans="1:10">
      <c r="A4682" t="s">
        <v>4764</v>
      </c>
      <c r="B4682">
        <v>30</v>
      </c>
      <c r="C4682" t="s">
        <v>7</v>
      </c>
      <c r="D4682">
        <v>2</v>
      </c>
      <c r="E4682">
        <v>31</v>
      </c>
      <c r="F4682">
        <v>1.8000000000000001E-4</v>
      </c>
      <c r="G4682">
        <v>0</v>
      </c>
      <c r="H4682" t="str">
        <f t="shared" si="219"/>
        <v>30-39</v>
      </c>
      <c r="I4682" t="str">
        <f t="shared" si="220"/>
        <v>0-9</v>
      </c>
      <c r="J4682">
        <f t="shared" si="221"/>
        <v>1.8000000000000001E-4</v>
      </c>
    </row>
    <row r="4683" spans="1:10">
      <c r="A4683" t="s">
        <v>4765</v>
      </c>
      <c r="B4683">
        <v>28</v>
      </c>
      <c r="C4683" t="s">
        <v>9</v>
      </c>
      <c r="D4683">
        <v>24</v>
      </c>
      <c r="E4683">
        <v>51</v>
      </c>
      <c r="F4683">
        <v>2.8900000000000002E-3</v>
      </c>
      <c r="G4683">
        <v>0</v>
      </c>
      <c r="H4683" t="str">
        <f t="shared" si="219"/>
        <v>50-59</v>
      </c>
      <c r="I4683" t="str">
        <f t="shared" si="220"/>
        <v>20-29</v>
      </c>
      <c r="J4683">
        <f t="shared" si="221"/>
        <v>2.8900000000000002E-3</v>
      </c>
    </row>
    <row r="4684" spans="1:10">
      <c r="A4684" t="s">
        <v>4766</v>
      </c>
      <c r="B4684">
        <v>62</v>
      </c>
      <c r="C4684" t="s">
        <v>7</v>
      </c>
      <c r="D4684">
        <v>5</v>
      </c>
      <c r="E4684">
        <v>66</v>
      </c>
      <c r="F4684">
        <v>5.8500000000000002E-3</v>
      </c>
      <c r="G4684">
        <v>0</v>
      </c>
      <c r="H4684" t="str">
        <f t="shared" si="219"/>
        <v>60-69</v>
      </c>
      <c r="I4684" t="str">
        <f t="shared" si="220"/>
        <v>0-9</v>
      </c>
      <c r="J4684">
        <f t="shared" si="221"/>
        <v>5.8500000000000002E-3</v>
      </c>
    </row>
    <row r="4685" spans="1:10">
      <c r="A4685" t="s">
        <v>4767</v>
      </c>
      <c r="B4685">
        <v>55</v>
      </c>
      <c r="C4685" t="s">
        <v>9</v>
      </c>
      <c r="D4685">
        <v>26</v>
      </c>
      <c r="E4685">
        <v>80</v>
      </c>
      <c r="F4685">
        <v>5.0909999999999997E-2</v>
      </c>
      <c r="G4685">
        <v>0</v>
      </c>
      <c r="H4685" t="str">
        <f t="shared" si="219"/>
        <v>80-89</v>
      </c>
      <c r="I4685" t="str">
        <f t="shared" si="220"/>
        <v>20-29</v>
      </c>
      <c r="J4685">
        <f t="shared" si="221"/>
        <v>5.0909999999999997E-2</v>
      </c>
    </row>
    <row r="4686" spans="1:10">
      <c r="A4686" t="s">
        <v>4768</v>
      </c>
      <c r="B4686">
        <v>60</v>
      </c>
      <c r="C4686" t="s">
        <v>9</v>
      </c>
      <c r="D4686">
        <v>27</v>
      </c>
      <c r="E4686">
        <v>86</v>
      </c>
      <c r="F4686">
        <v>9.1270000000000004E-2</v>
      </c>
      <c r="G4686">
        <v>0</v>
      </c>
      <c r="H4686" t="str">
        <f t="shared" si="219"/>
        <v>80-89</v>
      </c>
      <c r="I4686" t="str">
        <f t="shared" si="220"/>
        <v>20-29</v>
      </c>
      <c r="J4686">
        <f t="shared" si="221"/>
        <v>9.1270000000000004E-2</v>
      </c>
    </row>
    <row r="4687" spans="1:10">
      <c r="A4687" t="s">
        <v>4769</v>
      </c>
      <c r="B4687">
        <v>23</v>
      </c>
      <c r="C4687" t="s">
        <v>7</v>
      </c>
      <c r="D4687">
        <v>6</v>
      </c>
      <c r="E4687">
        <v>28</v>
      </c>
      <c r="F4687">
        <v>2.7E-4</v>
      </c>
      <c r="G4687">
        <v>0</v>
      </c>
      <c r="H4687" t="str">
        <f t="shared" si="219"/>
        <v>20-29</v>
      </c>
      <c r="I4687" t="str">
        <f t="shared" si="220"/>
        <v>0-9</v>
      </c>
      <c r="J4687">
        <f t="shared" si="221"/>
        <v>2.7E-4</v>
      </c>
    </row>
    <row r="4688" spans="1:10">
      <c r="A4688" t="s">
        <v>4770</v>
      </c>
      <c r="B4688">
        <v>24</v>
      </c>
      <c r="C4688" t="s">
        <v>7</v>
      </c>
      <c r="D4688">
        <v>25</v>
      </c>
      <c r="E4688">
        <v>48</v>
      </c>
      <c r="F4688">
        <v>1.73E-3</v>
      </c>
      <c r="G4688">
        <v>0</v>
      </c>
      <c r="H4688" t="str">
        <f t="shared" si="219"/>
        <v>40-49</v>
      </c>
      <c r="I4688" t="str">
        <f t="shared" si="220"/>
        <v>20-29</v>
      </c>
      <c r="J4688">
        <f t="shared" si="221"/>
        <v>1.73E-3</v>
      </c>
    </row>
    <row r="4689" spans="1:10">
      <c r="A4689" t="s">
        <v>4771</v>
      </c>
      <c r="B4689">
        <v>53</v>
      </c>
      <c r="C4689" t="s">
        <v>7</v>
      </c>
      <c r="D4689">
        <v>22</v>
      </c>
      <c r="E4689">
        <v>74</v>
      </c>
      <c r="F4689">
        <v>2.0979999999999999E-2</v>
      </c>
      <c r="G4689">
        <v>0</v>
      </c>
      <c r="H4689" t="str">
        <f t="shared" si="219"/>
        <v>70-79</v>
      </c>
      <c r="I4689" t="str">
        <f t="shared" si="220"/>
        <v>20-29</v>
      </c>
      <c r="J4689">
        <f t="shared" si="221"/>
        <v>2.0979999999999999E-2</v>
      </c>
    </row>
    <row r="4690" spans="1:10">
      <c r="A4690" t="s">
        <v>4772</v>
      </c>
      <c r="B4690">
        <v>32</v>
      </c>
      <c r="C4690" t="s">
        <v>9</v>
      </c>
      <c r="D4690">
        <v>7</v>
      </c>
      <c r="E4690">
        <v>38</v>
      </c>
      <c r="F4690">
        <v>6.6E-4</v>
      </c>
      <c r="G4690">
        <v>0</v>
      </c>
      <c r="H4690" t="str">
        <f t="shared" si="219"/>
        <v>30-39</v>
      </c>
      <c r="I4690" t="str">
        <f t="shared" si="220"/>
        <v>0-9</v>
      </c>
      <c r="J4690">
        <f t="shared" si="221"/>
        <v>6.6E-4</v>
      </c>
    </row>
    <row r="4691" spans="1:10">
      <c r="A4691" t="s">
        <v>4773</v>
      </c>
      <c r="B4691">
        <v>28</v>
      </c>
      <c r="C4691" t="s">
        <v>9</v>
      </c>
      <c r="D4691">
        <v>30</v>
      </c>
      <c r="E4691">
        <v>57</v>
      </c>
      <c r="F4691">
        <v>3.5000000000000001E-3</v>
      </c>
      <c r="G4691">
        <v>0</v>
      </c>
      <c r="H4691" t="str">
        <f t="shared" si="219"/>
        <v>50-59</v>
      </c>
      <c r="I4691" t="str">
        <f t="shared" si="220"/>
        <v>30-39</v>
      </c>
      <c r="J4691">
        <f t="shared" si="221"/>
        <v>3.5000000000000001E-3</v>
      </c>
    </row>
    <row r="4692" spans="1:10">
      <c r="A4692" t="s">
        <v>4774</v>
      </c>
      <c r="B4692">
        <v>30</v>
      </c>
      <c r="C4692" t="s">
        <v>9</v>
      </c>
      <c r="D4692">
        <v>7</v>
      </c>
      <c r="E4692">
        <v>36</v>
      </c>
      <c r="F4692">
        <v>5.9000000000000003E-4</v>
      </c>
      <c r="G4692">
        <v>0</v>
      </c>
      <c r="H4692" t="str">
        <f t="shared" si="219"/>
        <v>30-39</v>
      </c>
      <c r="I4692" t="str">
        <f t="shared" si="220"/>
        <v>0-9</v>
      </c>
      <c r="J4692">
        <f t="shared" si="221"/>
        <v>5.9000000000000003E-4</v>
      </c>
    </row>
    <row r="4693" spans="1:10">
      <c r="A4693" t="s">
        <v>4775</v>
      </c>
      <c r="B4693">
        <v>26</v>
      </c>
      <c r="C4693" t="s">
        <v>7</v>
      </c>
      <c r="D4693">
        <v>15</v>
      </c>
      <c r="E4693">
        <v>40</v>
      </c>
      <c r="F4693">
        <v>9.3999999999999997E-4</v>
      </c>
      <c r="G4693">
        <v>0</v>
      </c>
      <c r="H4693" t="str">
        <f t="shared" si="219"/>
        <v>40-49</v>
      </c>
      <c r="I4693" t="str">
        <f t="shared" si="220"/>
        <v>10-19</v>
      </c>
      <c r="J4693">
        <f t="shared" si="221"/>
        <v>9.3999999999999997E-4</v>
      </c>
    </row>
    <row r="4694" spans="1:10">
      <c r="A4694" t="s">
        <v>4776</v>
      </c>
      <c r="B4694">
        <v>20</v>
      </c>
      <c r="C4694" t="s">
        <v>7</v>
      </c>
      <c r="D4694">
        <v>7</v>
      </c>
      <c r="E4694">
        <v>26</v>
      </c>
      <c r="F4694">
        <v>3.1E-4</v>
      </c>
      <c r="G4694">
        <v>0</v>
      </c>
      <c r="H4694" t="str">
        <f t="shared" si="219"/>
        <v>20-29</v>
      </c>
      <c r="I4694" t="str">
        <f t="shared" si="220"/>
        <v>0-9</v>
      </c>
      <c r="J4694">
        <f t="shared" si="221"/>
        <v>3.1E-4</v>
      </c>
    </row>
    <row r="4695" spans="1:10">
      <c r="A4695" t="s">
        <v>4777</v>
      </c>
      <c r="B4695">
        <v>30</v>
      </c>
      <c r="C4695" t="s">
        <v>9</v>
      </c>
      <c r="D4695">
        <v>22</v>
      </c>
      <c r="E4695">
        <v>51</v>
      </c>
      <c r="F4695">
        <v>2.7699999999999999E-3</v>
      </c>
      <c r="G4695">
        <v>0</v>
      </c>
      <c r="H4695" t="str">
        <f t="shared" si="219"/>
        <v>50-59</v>
      </c>
      <c r="I4695" t="str">
        <f t="shared" si="220"/>
        <v>20-29</v>
      </c>
      <c r="J4695">
        <f t="shared" si="221"/>
        <v>2.7699999999999999E-3</v>
      </c>
    </row>
    <row r="4696" spans="1:10">
      <c r="A4696" t="s">
        <v>4778</v>
      </c>
      <c r="B4696">
        <v>20</v>
      </c>
      <c r="C4696" t="s">
        <v>9</v>
      </c>
      <c r="D4696">
        <v>13</v>
      </c>
      <c r="E4696">
        <v>32</v>
      </c>
      <c r="F4696">
        <v>7.6000000000000004E-4</v>
      </c>
      <c r="G4696">
        <v>0</v>
      </c>
      <c r="H4696" t="str">
        <f t="shared" si="219"/>
        <v>30-39</v>
      </c>
      <c r="I4696" t="str">
        <f t="shared" si="220"/>
        <v>10-19</v>
      </c>
      <c r="J4696">
        <f t="shared" si="221"/>
        <v>7.6000000000000004E-4</v>
      </c>
    </row>
    <row r="4697" spans="1:10">
      <c r="A4697" t="s">
        <v>4779</v>
      </c>
      <c r="B4697">
        <v>35</v>
      </c>
      <c r="C4697" t="s">
        <v>7</v>
      </c>
      <c r="D4697">
        <v>27</v>
      </c>
      <c r="E4697">
        <v>61</v>
      </c>
      <c r="F4697">
        <v>4.9300000000000004E-3</v>
      </c>
      <c r="G4697">
        <v>0</v>
      </c>
      <c r="H4697" t="str">
        <f t="shared" si="219"/>
        <v>60-69</v>
      </c>
      <c r="I4697" t="str">
        <f t="shared" si="220"/>
        <v>20-29</v>
      </c>
      <c r="J4697">
        <f t="shared" si="221"/>
        <v>4.9300000000000004E-3</v>
      </c>
    </row>
    <row r="4698" spans="1:10">
      <c r="A4698" t="s">
        <v>4780</v>
      </c>
      <c r="B4698">
        <v>28</v>
      </c>
      <c r="C4698" t="s">
        <v>9</v>
      </c>
      <c r="D4698">
        <v>15</v>
      </c>
      <c r="E4698">
        <v>42</v>
      </c>
      <c r="F4698">
        <v>1.41E-3</v>
      </c>
      <c r="G4698">
        <v>0</v>
      </c>
      <c r="H4698" t="str">
        <f t="shared" si="219"/>
        <v>40-49</v>
      </c>
      <c r="I4698" t="str">
        <f t="shared" si="220"/>
        <v>10-19</v>
      </c>
      <c r="J4698">
        <f t="shared" si="221"/>
        <v>1.41E-3</v>
      </c>
    </row>
    <row r="4699" spans="1:10">
      <c r="A4699" t="s">
        <v>4781</v>
      </c>
      <c r="B4699">
        <v>42</v>
      </c>
      <c r="C4699" t="s">
        <v>9</v>
      </c>
      <c r="D4699">
        <v>13</v>
      </c>
      <c r="E4699">
        <v>54</v>
      </c>
      <c r="F4699">
        <v>3.2100000000000002E-3</v>
      </c>
      <c r="G4699">
        <v>0</v>
      </c>
      <c r="H4699" t="str">
        <f t="shared" si="219"/>
        <v>50-59</v>
      </c>
      <c r="I4699" t="str">
        <f t="shared" si="220"/>
        <v>10-19</v>
      </c>
      <c r="J4699">
        <f t="shared" si="221"/>
        <v>3.2100000000000002E-3</v>
      </c>
    </row>
    <row r="4700" spans="1:10">
      <c r="A4700" t="s">
        <v>4782</v>
      </c>
      <c r="B4700">
        <v>24</v>
      </c>
      <c r="C4700" t="s">
        <v>7</v>
      </c>
      <c r="D4700">
        <v>29</v>
      </c>
      <c r="E4700">
        <v>52</v>
      </c>
      <c r="F4700">
        <v>1.8699999999999999E-3</v>
      </c>
      <c r="G4700">
        <v>0</v>
      </c>
      <c r="H4700" t="str">
        <f t="shared" si="219"/>
        <v>50-59</v>
      </c>
      <c r="I4700" t="str">
        <f t="shared" si="220"/>
        <v>20-29</v>
      </c>
      <c r="J4700">
        <f t="shared" si="221"/>
        <v>1.8699999999999999E-3</v>
      </c>
    </row>
    <row r="4701" spans="1:10">
      <c r="A4701" t="s">
        <v>4783</v>
      </c>
      <c r="B4701">
        <v>36</v>
      </c>
      <c r="C4701" t="s">
        <v>9</v>
      </c>
      <c r="D4701">
        <v>19</v>
      </c>
      <c r="E4701">
        <v>54</v>
      </c>
      <c r="F4701">
        <v>3.5000000000000001E-3</v>
      </c>
      <c r="G4701">
        <v>0</v>
      </c>
      <c r="H4701" t="str">
        <f t="shared" si="219"/>
        <v>50-59</v>
      </c>
      <c r="I4701" t="str">
        <f t="shared" si="220"/>
        <v>10-19</v>
      </c>
      <c r="J4701">
        <f t="shared" si="221"/>
        <v>3.5000000000000001E-3</v>
      </c>
    </row>
    <row r="4702" spans="1:10">
      <c r="A4702" t="s">
        <v>4784</v>
      </c>
      <c r="B4702">
        <v>57</v>
      </c>
      <c r="C4702" t="s">
        <v>9</v>
      </c>
      <c r="D4702">
        <v>11</v>
      </c>
      <c r="E4702">
        <v>67</v>
      </c>
      <c r="F4702">
        <v>1.2E-2</v>
      </c>
      <c r="G4702">
        <v>0</v>
      </c>
      <c r="H4702" t="str">
        <f t="shared" si="219"/>
        <v>60-69</v>
      </c>
      <c r="I4702" t="str">
        <f t="shared" si="220"/>
        <v>10-19</v>
      </c>
      <c r="J4702">
        <f t="shared" si="221"/>
        <v>1.2E-2</v>
      </c>
    </row>
    <row r="4703" spans="1:10">
      <c r="A4703" t="s">
        <v>4785</v>
      </c>
      <c r="B4703">
        <v>38</v>
      </c>
      <c r="C4703" t="s">
        <v>9</v>
      </c>
      <c r="D4703">
        <v>17</v>
      </c>
      <c r="E4703">
        <v>54</v>
      </c>
      <c r="F4703">
        <v>3.3700000000000002E-3</v>
      </c>
      <c r="G4703">
        <v>0</v>
      </c>
      <c r="H4703" t="str">
        <f t="shared" si="219"/>
        <v>50-59</v>
      </c>
      <c r="I4703" t="str">
        <f t="shared" si="220"/>
        <v>10-19</v>
      </c>
      <c r="J4703">
        <f t="shared" si="221"/>
        <v>3.3700000000000002E-3</v>
      </c>
    </row>
    <row r="4704" spans="1:10">
      <c r="A4704" t="s">
        <v>4786</v>
      </c>
      <c r="B4704">
        <v>47</v>
      </c>
      <c r="C4704" t="s">
        <v>9</v>
      </c>
      <c r="D4704">
        <v>9</v>
      </c>
      <c r="E4704">
        <v>55</v>
      </c>
      <c r="F4704">
        <v>3.1900000000000001E-3</v>
      </c>
      <c r="G4704">
        <v>0</v>
      </c>
      <c r="H4704" t="str">
        <f t="shared" si="219"/>
        <v>50-59</v>
      </c>
      <c r="I4704" t="str">
        <f t="shared" si="220"/>
        <v>0-9</v>
      </c>
      <c r="J4704">
        <f t="shared" si="221"/>
        <v>3.1900000000000001E-3</v>
      </c>
    </row>
    <row r="4705" spans="1:10">
      <c r="A4705" t="s">
        <v>4787</v>
      </c>
      <c r="B4705">
        <v>48</v>
      </c>
      <c r="C4705" t="s">
        <v>7</v>
      </c>
      <c r="D4705">
        <v>7</v>
      </c>
      <c r="E4705">
        <v>54</v>
      </c>
      <c r="F4705">
        <v>1.9400000000000001E-3</v>
      </c>
      <c r="G4705">
        <v>0</v>
      </c>
      <c r="H4705" t="str">
        <f t="shared" si="219"/>
        <v>50-59</v>
      </c>
      <c r="I4705" t="str">
        <f t="shared" si="220"/>
        <v>0-9</v>
      </c>
      <c r="J4705">
        <f t="shared" si="221"/>
        <v>1.9400000000000001E-3</v>
      </c>
    </row>
    <row r="4706" spans="1:10">
      <c r="A4706" t="s">
        <v>4788</v>
      </c>
      <c r="B4706">
        <v>45</v>
      </c>
      <c r="C4706" t="s">
        <v>7</v>
      </c>
      <c r="D4706">
        <v>16</v>
      </c>
      <c r="E4706">
        <v>60</v>
      </c>
      <c r="F4706">
        <v>4.62E-3</v>
      </c>
      <c r="G4706">
        <v>0</v>
      </c>
      <c r="H4706" t="str">
        <f t="shared" si="219"/>
        <v>60-69</v>
      </c>
      <c r="I4706" t="str">
        <f t="shared" si="220"/>
        <v>10-19</v>
      </c>
      <c r="J4706">
        <f t="shared" si="221"/>
        <v>4.62E-3</v>
      </c>
    </row>
    <row r="4707" spans="1:10">
      <c r="A4707" t="s">
        <v>4789</v>
      </c>
      <c r="B4707">
        <v>49</v>
      </c>
      <c r="C4707" t="s">
        <v>7</v>
      </c>
      <c r="D4707">
        <v>24</v>
      </c>
      <c r="E4707">
        <v>72</v>
      </c>
      <c r="F4707">
        <v>1.7170000000000001E-2</v>
      </c>
      <c r="G4707">
        <v>0</v>
      </c>
      <c r="H4707" t="str">
        <f t="shared" si="219"/>
        <v>70-79</v>
      </c>
      <c r="I4707" t="str">
        <f t="shared" si="220"/>
        <v>20-29</v>
      </c>
      <c r="J4707">
        <f t="shared" si="221"/>
        <v>1.7170000000000001E-2</v>
      </c>
    </row>
    <row r="4708" spans="1:10">
      <c r="A4708" t="s">
        <v>4790</v>
      </c>
      <c r="B4708">
        <v>30</v>
      </c>
      <c r="C4708" t="s">
        <v>9</v>
      </c>
      <c r="D4708">
        <v>30</v>
      </c>
      <c r="E4708">
        <v>59</v>
      </c>
      <c r="F4708">
        <v>4.0499999999999998E-3</v>
      </c>
      <c r="G4708">
        <v>0</v>
      </c>
      <c r="H4708" t="str">
        <f t="shared" si="219"/>
        <v>50-59</v>
      </c>
      <c r="I4708" t="str">
        <f t="shared" si="220"/>
        <v>30-39</v>
      </c>
      <c r="J4708">
        <f t="shared" si="221"/>
        <v>4.0499999999999998E-3</v>
      </c>
    </row>
    <row r="4709" spans="1:10">
      <c r="A4709" t="s">
        <v>4791</v>
      </c>
      <c r="B4709">
        <v>30</v>
      </c>
      <c r="C4709" t="s">
        <v>9</v>
      </c>
      <c r="D4709">
        <v>21</v>
      </c>
      <c r="E4709">
        <v>50</v>
      </c>
      <c r="F4709">
        <v>2.5200000000000001E-3</v>
      </c>
      <c r="G4709">
        <v>0</v>
      </c>
      <c r="H4709" t="str">
        <f t="shared" si="219"/>
        <v>50-59</v>
      </c>
      <c r="I4709" t="str">
        <f t="shared" si="220"/>
        <v>20-29</v>
      </c>
      <c r="J4709">
        <f t="shared" si="221"/>
        <v>2.5200000000000001E-3</v>
      </c>
    </row>
    <row r="4710" spans="1:10">
      <c r="A4710" t="s">
        <v>4792</v>
      </c>
      <c r="B4710">
        <v>57</v>
      </c>
      <c r="C4710" t="s">
        <v>7</v>
      </c>
      <c r="D4710">
        <v>18</v>
      </c>
      <c r="E4710">
        <v>74</v>
      </c>
      <c r="F4710">
        <v>1.968E-2</v>
      </c>
      <c r="G4710">
        <v>0</v>
      </c>
      <c r="H4710" t="str">
        <f t="shared" si="219"/>
        <v>70-79</v>
      </c>
      <c r="I4710" t="str">
        <f t="shared" si="220"/>
        <v>10-19</v>
      </c>
      <c r="J4710">
        <f t="shared" si="221"/>
        <v>1.968E-2</v>
      </c>
    </row>
    <row r="4711" spans="1:10">
      <c r="A4711" t="s">
        <v>4793</v>
      </c>
      <c r="B4711">
        <v>32</v>
      </c>
      <c r="C4711" t="s">
        <v>7</v>
      </c>
      <c r="D4711">
        <v>9</v>
      </c>
      <c r="E4711">
        <v>40</v>
      </c>
      <c r="F4711">
        <v>6.9999999999999999E-4</v>
      </c>
      <c r="G4711">
        <v>0</v>
      </c>
      <c r="H4711" t="str">
        <f t="shared" si="219"/>
        <v>40-49</v>
      </c>
      <c r="I4711" t="str">
        <f t="shared" si="220"/>
        <v>0-9</v>
      </c>
      <c r="J4711">
        <f t="shared" si="221"/>
        <v>6.9999999999999999E-4</v>
      </c>
    </row>
    <row r="4712" spans="1:10">
      <c r="A4712" t="s">
        <v>4794</v>
      </c>
      <c r="B4712">
        <v>30</v>
      </c>
      <c r="C4712" t="s">
        <v>7</v>
      </c>
      <c r="D4712">
        <v>19</v>
      </c>
      <c r="E4712">
        <v>48</v>
      </c>
      <c r="F4712">
        <v>1.64E-3</v>
      </c>
      <c r="G4712">
        <v>0</v>
      </c>
      <c r="H4712" t="str">
        <f t="shared" si="219"/>
        <v>40-49</v>
      </c>
      <c r="I4712" t="str">
        <f t="shared" si="220"/>
        <v>10-19</v>
      </c>
      <c r="J4712">
        <f t="shared" si="221"/>
        <v>1.64E-3</v>
      </c>
    </row>
    <row r="4713" spans="1:10">
      <c r="A4713" t="s">
        <v>4795</v>
      </c>
      <c r="B4713">
        <v>51</v>
      </c>
      <c r="C4713" t="s">
        <v>7</v>
      </c>
      <c r="D4713">
        <v>26</v>
      </c>
      <c r="E4713">
        <v>76</v>
      </c>
      <c r="F4713">
        <v>2.58E-2</v>
      </c>
      <c r="G4713">
        <v>0</v>
      </c>
      <c r="H4713" t="str">
        <f t="shared" si="219"/>
        <v>70-79</v>
      </c>
      <c r="I4713" t="str">
        <f t="shared" si="220"/>
        <v>20-29</v>
      </c>
      <c r="J4713">
        <f t="shared" si="221"/>
        <v>2.58E-2</v>
      </c>
    </row>
    <row r="4714" spans="1:10">
      <c r="A4714" t="s">
        <v>4796</v>
      </c>
      <c r="B4714">
        <v>34</v>
      </c>
      <c r="C4714" t="s">
        <v>9</v>
      </c>
      <c r="D4714">
        <v>25</v>
      </c>
      <c r="E4714">
        <v>58</v>
      </c>
      <c r="F4714">
        <v>5.2199999999999998E-3</v>
      </c>
      <c r="G4714">
        <v>0</v>
      </c>
      <c r="H4714" t="str">
        <f t="shared" si="219"/>
        <v>50-59</v>
      </c>
      <c r="I4714" t="str">
        <f t="shared" si="220"/>
        <v>20-29</v>
      </c>
      <c r="J4714">
        <f t="shared" si="221"/>
        <v>5.2199999999999998E-3</v>
      </c>
    </row>
    <row r="4715" spans="1:10">
      <c r="A4715" t="s">
        <v>4797</v>
      </c>
      <c r="B4715">
        <v>54</v>
      </c>
      <c r="C4715" t="s">
        <v>7</v>
      </c>
      <c r="D4715">
        <v>8</v>
      </c>
      <c r="E4715">
        <v>61</v>
      </c>
      <c r="F4715">
        <v>3.9899999999999996E-3</v>
      </c>
      <c r="G4715">
        <v>0</v>
      </c>
      <c r="H4715" t="str">
        <f t="shared" si="219"/>
        <v>60-69</v>
      </c>
      <c r="I4715" t="str">
        <f t="shared" si="220"/>
        <v>0-9</v>
      </c>
      <c r="J4715">
        <f t="shared" si="221"/>
        <v>3.9899999999999996E-3</v>
      </c>
    </row>
    <row r="4716" spans="1:10">
      <c r="A4716" t="s">
        <v>4798</v>
      </c>
      <c r="B4716">
        <v>31</v>
      </c>
      <c r="C4716" t="s">
        <v>7</v>
      </c>
      <c r="D4716">
        <v>18</v>
      </c>
      <c r="E4716">
        <v>48</v>
      </c>
      <c r="F4716">
        <v>1.6100000000000001E-3</v>
      </c>
      <c r="G4716">
        <v>0</v>
      </c>
      <c r="H4716" t="str">
        <f t="shared" si="219"/>
        <v>40-49</v>
      </c>
      <c r="I4716" t="str">
        <f t="shared" si="220"/>
        <v>10-19</v>
      </c>
      <c r="J4716">
        <f t="shared" si="221"/>
        <v>1.6100000000000001E-3</v>
      </c>
    </row>
    <row r="4717" spans="1:10">
      <c r="A4717" t="s">
        <v>4799</v>
      </c>
      <c r="B4717">
        <v>21</v>
      </c>
      <c r="C4717" t="s">
        <v>9</v>
      </c>
      <c r="D4717">
        <v>11</v>
      </c>
      <c r="E4717">
        <v>31</v>
      </c>
      <c r="F4717">
        <v>6.8000000000000005E-4</v>
      </c>
      <c r="G4717">
        <v>0</v>
      </c>
      <c r="H4717" t="str">
        <f t="shared" si="219"/>
        <v>30-39</v>
      </c>
      <c r="I4717" t="str">
        <f t="shared" si="220"/>
        <v>10-19</v>
      </c>
      <c r="J4717">
        <f t="shared" si="221"/>
        <v>6.8000000000000005E-4</v>
      </c>
    </row>
    <row r="4718" spans="1:10">
      <c r="A4718" t="s">
        <v>4800</v>
      </c>
      <c r="B4718">
        <v>21</v>
      </c>
      <c r="C4718" t="s">
        <v>7</v>
      </c>
      <c r="D4718">
        <v>16</v>
      </c>
      <c r="E4718">
        <v>36</v>
      </c>
      <c r="F4718">
        <v>7.2999999999999996E-4</v>
      </c>
      <c r="G4718">
        <v>0</v>
      </c>
      <c r="H4718" t="str">
        <f t="shared" si="219"/>
        <v>30-39</v>
      </c>
      <c r="I4718" t="str">
        <f t="shared" si="220"/>
        <v>10-19</v>
      </c>
      <c r="J4718">
        <f t="shared" si="221"/>
        <v>7.2999999999999996E-4</v>
      </c>
    </row>
    <row r="4719" spans="1:10">
      <c r="A4719" t="s">
        <v>4801</v>
      </c>
      <c r="B4719">
        <v>60</v>
      </c>
      <c r="C4719" t="s">
        <v>9</v>
      </c>
      <c r="D4719">
        <v>14</v>
      </c>
      <c r="E4719">
        <v>73</v>
      </c>
      <c r="F4719">
        <v>2.3050000000000001E-2</v>
      </c>
      <c r="G4719">
        <v>0</v>
      </c>
      <c r="H4719" t="str">
        <f t="shared" si="219"/>
        <v>70-79</v>
      </c>
      <c r="I4719" t="str">
        <f t="shared" si="220"/>
        <v>10-19</v>
      </c>
      <c r="J4719">
        <f t="shared" si="221"/>
        <v>2.3050000000000001E-2</v>
      </c>
    </row>
    <row r="4720" spans="1:10">
      <c r="A4720" t="s">
        <v>4802</v>
      </c>
      <c r="B4720">
        <v>27</v>
      </c>
      <c r="C4720" t="s">
        <v>9</v>
      </c>
      <c r="D4720">
        <v>15</v>
      </c>
      <c r="E4720">
        <v>41</v>
      </c>
      <c r="F4720">
        <v>1.32E-3</v>
      </c>
      <c r="G4720">
        <v>0</v>
      </c>
      <c r="H4720" t="str">
        <f t="shared" si="219"/>
        <v>40-49</v>
      </c>
      <c r="I4720" t="str">
        <f t="shared" si="220"/>
        <v>10-19</v>
      </c>
      <c r="J4720">
        <f t="shared" si="221"/>
        <v>1.32E-3</v>
      </c>
    </row>
    <row r="4721" spans="1:10">
      <c r="A4721" t="s">
        <v>4803</v>
      </c>
      <c r="B4721">
        <v>51</v>
      </c>
      <c r="C4721" t="s">
        <v>7</v>
      </c>
      <c r="D4721">
        <v>8</v>
      </c>
      <c r="E4721">
        <v>58</v>
      </c>
      <c r="F4721">
        <v>2.9199999999999999E-3</v>
      </c>
      <c r="G4721">
        <v>0</v>
      </c>
      <c r="H4721" t="str">
        <f t="shared" si="219"/>
        <v>50-59</v>
      </c>
      <c r="I4721" t="str">
        <f t="shared" si="220"/>
        <v>0-9</v>
      </c>
      <c r="J4721">
        <f t="shared" si="221"/>
        <v>2.9199999999999999E-3</v>
      </c>
    </row>
    <row r="4722" spans="1:10">
      <c r="A4722" t="s">
        <v>4804</v>
      </c>
      <c r="B4722">
        <v>29</v>
      </c>
      <c r="C4722" t="s">
        <v>7</v>
      </c>
      <c r="D4722">
        <v>28</v>
      </c>
      <c r="E4722">
        <v>56</v>
      </c>
      <c r="F4722">
        <v>2.82E-3</v>
      </c>
      <c r="G4722">
        <v>0</v>
      </c>
      <c r="H4722" t="str">
        <f t="shared" si="219"/>
        <v>50-59</v>
      </c>
      <c r="I4722" t="str">
        <f t="shared" si="220"/>
        <v>20-29</v>
      </c>
      <c r="J4722">
        <f t="shared" si="221"/>
        <v>2.82E-3</v>
      </c>
    </row>
    <row r="4723" spans="1:10">
      <c r="A4723" t="s">
        <v>4805</v>
      </c>
      <c r="B4723">
        <v>20</v>
      </c>
      <c r="C4723" t="s">
        <v>7</v>
      </c>
      <c r="D4723">
        <v>13</v>
      </c>
      <c r="E4723">
        <v>32</v>
      </c>
      <c r="F4723">
        <v>4.4000000000000002E-4</v>
      </c>
      <c r="G4723">
        <v>0</v>
      </c>
      <c r="H4723" t="str">
        <f t="shared" si="219"/>
        <v>30-39</v>
      </c>
      <c r="I4723" t="str">
        <f t="shared" si="220"/>
        <v>10-19</v>
      </c>
      <c r="J4723">
        <f t="shared" si="221"/>
        <v>4.4000000000000002E-4</v>
      </c>
    </row>
    <row r="4724" spans="1:10">
      <c r="A4724" t="s">
        <v>4806</v>
      </c>
      <c r="B4724">
        <v>30</v>
      </c>
      <c r="C4724" t="s">
        <v>9</v>
      </c>
      <c r="D4724">
        <v>6</v>
      </c>
      <c r="E4724">
        <v>35</v>
      </c>
      <c r="F4724">
        <v>5.2999999999999998E-4</v>
      </c>
      <c r="G4724">
        <v>0</v>
      </c>
      <c r="H4724" t="str">
        <f t="shared" si="219"/>
        <v>30-39</v>
      </c>
      <c r="I4724" t="str">
        <f t="shared" si="220"/>
        <v>0-9</v>
      </c>
      <c r="J4724">
        <f t="shared" si="221"/>
        <v>5.2999999999999998E-4</v>
      </c>
    </row>
    <row r="4725" spans="1:10">
      <c r="A4725" t="s">
        <v>4807</v>
      </c>
      <c r="B4725">
        <v>63</v>
      </c>
      <c r="C4725" t="s">
        <v>9</v>
      </c>
      <c r="D4725">
        <v>6</v>
      </c>
      <c r="E4725">
        <v>68</v>
      </c>
      <c r="F4725">
        <v>9.8899999999999995E-3</v>
      </c>
      <c r="G4725">
        <v>0</v>
      </c>
      <c r="H4725" t="str">
        <f t="shared" si="219"/>
        <v>60-69</v>
      </c>
      <c r="I4725" t="str">
        <f t="shared" si="220"/>
        <v>0-9</v>
      </c>
      <c r="J4725">
        <f t="shared" si="221"/>
        <v>9.8899999999999995E-3</v>
      </c>
    </row>
    <row r="4726" spans="1:10">
      <c r="A4726" t="s">
        <v>4808</v>
      </c>
      <c r="B4726">
        <v>62</v>
      </c>
      <c r="C4726" t="s">
        <v>9</v>
      </c>
      <c r="D4726">
        <v>12</v>
      </c>
      <c r="E4726">
        <v>73</v>
      </c>
      <c r="F4726">
        <v>2.103E-2</v>
      </c>
      <c r="G4726">
        <v>0</v>
      </c>
      <c r="H4726" t="str">
        <f t="shared" si="219"/>
        <v>70-79</v>
      </c>
      <c r="I4726" t="str">
        <f t="shared" si="220"/>
        <v>10-19</v>
      </c>
      <c r="J4726">
        <f t="shared" si="221"/>
        <v>2.103E-2</v>
      </c>
    </row>
    <row r="4727" spans="1:10">
      <c r="A4727" t="s">
        <v>4809</v>
      </c>
      <c r="B4727">
        <v>48</v>
      </c>
      <c r="C4727" t="s">
        <v>9</v>
      </c>
      <c r="D4727">
        <v>30</v>
      </c>
      <c r="E4727">
        <v>77</v>
      </c>
      <c r="F4727">
        <v>2.3939999999999999E-2</v>
      </c>
      <c r="G4727">
        <v>0</v>
      </c>
      <c r="H4727" t="str">
        <f t="shared" si="219"/>
        <v>70-79</v>
      </c>
      <c r="I4727" t="str">
        <f t="shared" si="220"/>
        <v>30-39</v>
      </c>
      <c r="J4727">
        <f t="shared" si="221"/>
        <v>2.3939999999999999E-2</v>
      </c>
    </row>
    <row r="4728" spans="1:10">
      <c r="A4728" t="s">
        <v>4810</v>
      </c>
      <c r="B4728">
        <v>56</v>
      </c>
      <c r="C4728" t="s">
        <v>7</v>
      </c>
      <c r="D4728">
        <v>5</v>
      </c>
      <c r="E4728">
        <v>60</v>
      </c>
      <c r="F4728">
        <v>3.2299999999999998E-3</v>
      </c>
      <c r="G4728">
        <v>0</v>
      </c>
      <c r="H4728" t="str">
        <f t="shared" si="219"/>
        <v>60-69</v>
      </c>
      <c r="I4728" t="str">
        <f t="shared" si="220"/>
        <v>0-9</v>
      </c>
      <c r="J4728">
        <f t="shared" si="221"/>
        <v>3.2299999999999998E-3</v>
      </c>
    </row>
    <row r="4729" spans="1:10">
      <c r="A4729" t="s">
        <v>4811</v>
      </c>
      <c r="B4729">
        <v>31</v>
      </c>
      <c r="C4729" t="s">
        <v>7</v>
      </c>
      <c r="D4729">
        <v>3</v>
      </c>
      <c r="E4729">
        <v>33</v>
      </c>
      <c r="F4729">
        <v>2.3000000000000001E-4</v>
      </c>
      <c r="G4729">
        <v>0</v>
      </c>
      <c r="H4729" t="str">
        <f t="shared" si="219"/>
        <v>30-39</v>
      </c>
      <c r="I4729" t="str">
        <f t="shared" si="220"/>
        <v>0-9</v>
      </c>
      <c r="J4729">
        <f t="shared" si="221"/>
        <v>2.3000000000000001E-4</v>
      </c>
    </row>
    <row r="4730" spans="1:10">
      <c r="A4730" t="s">
        <v>4812</v>
      </c>
      <c r="B4730">
        <v>56</v>
      </c>
      <c r="C4730" t="s">
        <v>7</v>
      </c>
      <c r="D4730">
        <v>13</v>
      </c>
      <c r="E4730">
        <v>68</v>
      </c>
      <c r="F4730">
        <v>9.1299999999999992E-3</v>
      </c>
      <c r="G4730">
        <v>0</v>
      </c>
      <c r="H4730" t="str">
        <f t="shared" si="219"/>
        <v>60-69</v>
      </c>
      <c r="I4730" t="str">
        <f t="shared" si="220"/>
        <v>10-19</v>
      </c>
      <c r="J4730">
        <f t="shared" si="221"/>
        <v>9.1299999999999992E-3</v>
      </c>
    </row>
    <row r="4731" spans="1:10">
      <c r="A4731" t="s">
        <v>4813</v>
      </c>
      <c r="B4731">
        <v>22</v>
      </c>
      <c r="C4731" t="s">
        <v>7</v>
      </c>
      <c r="D4731">
        <v>18</v>
      </c>
      <c r="E4731">
        <v>39</v>
      </c>
      <c r="F4731">
        <v>1E-3</v>
      </c>
      <c r="G4731">
        <v>0</v>
      </c>
      <c r="H4731" t="str">
        <f t="shared" si="219"/>
        <v>30-39</v>
      </c>
      <c r="I4731" t="str">
        <f t="shared" si="220"/>
        <v>10-19</v>
      </c>
      <c r="J4731">
        <f t="shared" si="221"/>
        <v>1E-3</v>
      </c>
    </row>
    <row r="4732" spans="1:10">
      <c r="A4732" t="s">
        <v>4814</v>
      </c>
      <c r="B4732">
        <v>37</v>
      </c>
      <c r="C4732" t="s">
        <v>9</v>
      </c>
      <c r="D4732">
        <v>8</v>
      </c>
      <c r="E4732">
        <v>44</v>
      </c>
      <c r="F4732">
        <v>1.17E-3</v>
      </c>
      <c r="G4732">
        <v>0</v>
      </c>
      <c r="H4732" t="str">
        <f t="shared" si="219"/>
        <v>40-49</v>
      </c>
      <c r="I4732" t="str">
        <f t="shared" si="220"/>
        <v>0-9</v>
      </c>
      <c r="J4732">
        <f t="shared" si="221"/>
        <v>1.17E-3</v>
      </c>
    </row>
    <row r="4733" spans="1:10">
      <c r="A4733" t="s">
        <v>4815</v>
      </c>
      <c r="B4733">
        <v>38</v>
      </c>
      <c r="C4733" t="s">
        <v>7</v>
      </c>
      <c r="D4733">
        <v>26</v>
      </c>
      <c r="E4733">
        <v>63</v>
      </c>
      <c r="F4733">
        <v>6.7200000000000003E-3</v>
      </c>
      <c r="G4733">
        <v>0</v>
      </c>
      <c r="H4733" t="str">
        <f t="shared" si="219"/>
        <v>60-69</v>
      </c>
      <c r="I4733" t="str">
        <f t="shared" si="220"/>
        <v>20-29</v>
      </c>
      <c r="J4733">
        <f t="shared" si="221"/>
        <v>6.7200000000000003E-3</v>
      </c>
    </row>
    <row r="4734" spans="1:10">
      <c r="A4734" t="s">
        <v>4816</v>
      </c>
      <c r="B4734">
        <v>30</v>
      </c>
      <c r="C4734" t="s">
        <v>7</v>
      </c>
      <c r="D4734">
        <v>5</v>
      </c>
      <c r="E4734">
        <v>34</v>
      </c>
      <c r="F4734">
        <v>2.9E-4</v>
      </c>
      <c r="G4734">
        <v>0</v>
      </c>
      <c r="H4734" t="str">
        <f t="shared" si="219"/>
        <v>30-39</v>
      </c>
      <c r="I4734" t="str">
        <f t="shared" si="220"/>
        <v>0-9</v>
      </c>
      <c r="J4734">
        <f t="shared" si="221"/>
        <v>2.9E-4</v>
      </c>
    </row>
    <row r="4735" spans="1:10">
      <c r="A4735" t="s">
        <v>4817</v>
      </c>
      <c r="B4735">
        <v>41</v>
      </c>
      <c r="C4735" t="s">
        <v>9</v>
      </c>
      <c r="D4735">
        <v>26</v>
      </c>
      <c r="E4735">
        <v>66</v>
      </c>
      <c r="F4735">
        <v>1.1730000000000001E-2</v>
      </c>
      <c r="G4735">
        <v>0</v>
      </c>
      <c r="H4735" t="str">
        <f t="shared" si="219"/>
        <v>60-69</v>
      </c>
      <c r="I4735" t="str">
        <f t="shared" si="220"/>
        <v>20-29</v>
      </c>
      <c r="J4735">
        <f t="shared" si="221"/>
        <v>1.1730000000000001E-2</v>
      </c>
    </row>
    <row r="4736" spans="1:10">
      <c r="A4736" t="s">
        <v>4818</v>
      </c>
      <c r="B4736">
        <v>34</v>
      </c>
      <c r="C4736" t="s">
        <v>7</v>
      </c>
      <c r="D4736">
        <v>22</v>
      </c>
      <c r="E4736">
        <v>55</v>
      </c>
      <c r="F4736">
        <v>3.0799999999999998E-3</v>
      </c>
      <c r="G4736">
        <v>0</v>
      </c>
      <c r="H4736" t="str">
        <f t="shared" si="219"/>
        <v>50-59</v>
      </c>
      <c r="I4736" t="str">
        <f t="shared" si="220"/>
        <v>20-29</v>
      </c>
      <c r="J4736">
        <f t="shared" si="221"/>
        <v>3.0799999999999998E-3</v>
      </c>
    </row>
    <row r="4737" spans="1:10">
      <c r="A4737" t="s">
        <v>4819</v>
      </c>
      <c r="B4737">
        <v>58</v>
      </c>
      <c r="C4737" t="s">
        <v>7</v>
      </c>
      <c r="D4737">
        <v>23</v>
      </c>
      <c r="E4737">
        <v>80</v>
      </c>
      <c r="F4737">
        <v>3.986E-2</v>
      </c>
      <c r="G4737">
        <v>0</v>
      </c>
      <c r="H4737" t="str">
        <f t="shared" si="219"/>
        <v>80-89</v>
      </c>
      <c r="I4737" t="str">
        <f t="shared" si="220"/>
        <v>20-29</v>
      </c>
      <c r="J4737">
        <f t="shared" si="221"/>
        <v>3.986E-2</v>
      </c>
    </row>
    <row r="4738" spans="1:10">
      <c r="A4738" t="s">
        <v>4820</v>
      </c>
      <c r="B4738">
        <v>38</v>
      </c>
      <c r="C4738" t="s">
        <v>9</v>
      </c>
      <c r="D4738">
        <v>21</v>
      </c>
      <c r="E4738">
        <v>58</v>
      </c>
      <c r="F4738">
        <v>5.2199999999999998E-3</v>
      </c>
      <c r="G4738">
        <v>0</v>
      </c>
      <c r="H4738" t="str">
        <f t="shared" si="219"/>
        <v>50-59</v>
      </c>
      <c r="I4738" t="str">
        <f t="shared" si="220"/>
        <v>20-29</v>
      </c>
      <c r="J4738">
        <f t="shared" si="221"/>
        <v>5.2199999999999998E-3</v>
      </c>
    </row>
    <row r="4739" spans="1:10">
      <c r="A4739" t="s">
        <v>4821</v>
      </c>
      <c r="B4739">
        <v>41</v>
      </c>
      <c r="C4739" t="s">
        <v>7</v>
      </c>
      <c r="D4739">
        <v>28</v>
      </c>
      <c r="E4739">
        <v>68</v>
      </c>
      <c r="F4739">
        <v>9.2399999999999999E-3</v>
      </c>
      <c r="G4739">
        <v>0</v>
      </c>
      <c r="H4739" t="str">
        <f t="shared" ref="H4739:H4802" si="222">FLOOR(E4739,10) &amp; "-" &amp; FLOOR(E4739,10)+9</f>
        <v>60-69</v>
      </c>
      <c r="I4739" t="str">
        <f t="shared" ref="I4739:I4802" si="223">FLOOR(D4739, 10) &amp; "-"&amp;FLOOR(D4739, 10)+9</f>
        <v>20-29</v>
      </c>
      <c r="J4739">
        <f t="shared" ref="J4739:J4802" si="224">F4739</f>
        <v>9.2399999999999999E-3</v>
      </c>
    </row>
    <row r="4740" spans="1:10">
      <c r="A4740" t="s">
        <v>4822</v>
      </c>
      <c r="B4740">
        <v>60</v>
      </c>
      <c r="C4740" t="s">
        <v>7</v>
      </c>
      <c r="D4740">
        <v>3</v>
      </c>
      <c r="E4740">
        <v>62</v>
      </c>
      <c r="F4740">
        <v>2.5300000000000001E-3</v>
      </c>
      <c r="G4740">
        <v>0</v>
      </c>
      <c r="H4740" t="str">
        <f t="shared" si="222"/>
        <v>60-69</v>
      </c>
      <c r="I4740" t="str">
        <f t="shared" si="223"/>
        <v>0-9</v>
      </c>
      <c r="J4740">
        <f t="shared" si="224"/>
        <v>2.5300000000000001E-3</v>
      </c>
    </row>
    <row r="4741" spans="1:10">
      <c r="A4741" t="s">
        <v>4823</v>
      </c>
      <c r="B4741">
        <v>48</v>
      </c>
      <c r="C4741" t="s">
        <v>7</v>
      </c>
      <c r="D4741">
        <v>21</v>
      </c>
      <c r="E4741">
        <v>68</v>
      </c>
      <c r="F4741">
        <v>1.141E-2</v>
      </c>
      <c r="G4741">
        <v>0</v>
      </c>
      <c r="H4741" t="str">
        <f t="shared" si="222"/>
        <v>60-69</v>
      </c>
      <c r="I4741" t="str">
        <f t="shared" si="223"/>
        <v>20-29</v>
      </c>
      <c r="J4741">
        <f t="shared" si="224"/>
        <v>1.141E-2</v>
      </c>
    </row>
    <row r="4742" spans="1:10">
      <c r="A4742" t="s">
        <v>4824</v>
      </c>
      <c r="B4742">
        <v>22</v>
      </c>
      <c r="C4742" t="s">
        <v>7</v>
      </c>
      <c r="D4742">
        <v>23</v>
      </c>
      <c r="E4742">
        <v>44</v>
      </c>
      <c r="F4742">
        <v>1.33E-3</v>
      </c>
      <c r="G4742">
        <v>0</v>
      </c>
      <c r="H4742" t="str">
        <f t="shared" si="222"/>
        <v>40-49</v>
      </c>
      <c r="I4742" t="str">
        <f t="shared" si="223"/>
        <v>20-29</v>
      </c>
      <c r="J4742">
        <f t="shared" si="224"/>
        <v>1.33E-3</v>
      </c>
    </row>
    <row r="4743" spans="1:10">
      <c r="A4743" t="s">
        <v>4825</v>
      </c>
      <c r="B4743">
        <v>31</v>
      </c>
      <c r="C4743" t="s">
        <v>7</v>
      </c>
      <c r="D4743">
        <v>8</v>
      </c>
      <c r="E4743">
        <v>38</v>
      </c>
      <c r="F4743">
        <v>5.6999999999999998E-4</v>
      </c>
      <c r="G4743">
        <v>0</v>
      </c>
      <c r="H4743" t="str">
        <f t="shared" si="222"/>
        <v>30-39</v>
      </c>
      <c r="I4743" t="str">
        <f t="shared" si="223"/>
        <v>0-9</v>
      </c>
      <c r="J4743">
        <f t="shared" si="224"/>
        <v>5.6999999999999998E-4</v>
      </c>
    </row>
    <row r="4744" spans="1:10">
      <c r="A4744" t="s">
        <v>4826</v>
      </c>
      <c r="B4744">
        <v>44</v>
      </c>
      <c r="C4744" t="s">
        <v>9</v>
      </c>
      <c r="D4744">
        <v>16</v>
      </c>
      <c r="E4744">
        <v>59</v>
      </c>
      <c r="F4744">
        <v>5.6100000000000004E-3</v>
      </c>
      <c r="G4744">
        <v>0</v>
      </c>
      <c r="H4744" t="str">
        <f t="shared" si="222"/>
        <v>50-59</v>
      </c>
      <c r="I4744" t="str">
        <f t="shared" si="223"/>
        <v>10-19</v>
      </c>
      <c r="J4744">
        <f t="shared" si="224"/>
        <v>5.6100000000000004E-3</v>
      </c>
    </row>
    <row r="4745" spans="1:10">
      <c r="A4745" t="s">
        <v>4827</v>
      </c>
      <c r="B4745">
        <v>62</v>
      </c>
      <c r="C4745" t="s">
        <v>9</v>
      </c>
      <c r="D4745">
        <v>6</v>
      </c>
      <c r="E4745">
        <v>67</v>
      </c>
      <c r="F4745">
        <v>9.2800000000000001E-3</v>
      </c>
      <c r="G4745">
        <v>0</v>
      </c>
      <c r="H4745" t="str">
        <f t="shared" si="222"/>
        <v>60-69</v>
      </c>
      <c r="I4745" t="str">
        <f t="shared" si="223"/>
        <v>0-9</v>
      </c>
      <c r="J4745">
        <f t="shared" si="224"/>
        <v>9.2800000000000001E-3</v>
      </c>
    </row>
    <row r="4746" spans="1:10">
      <c r="A4746" t="s">
        <v>4828</v>
      </c>
      <c r="B4746">
        <v>37</v>
      </c>
      <c r="C4746" t="s">
        <v>7</v>
      </c>
      <c r="D4746">
        <v>13</v>
      </c>
      <c r="E4746">
        <v>49</v>
      </c>
      <c r="F4746">
        <v>1.5900000000000001E-3</v>
      </c>
      <c r="G4746">
        <v>0</v>
      </c>
      <c r="H4746" t="str">
        <f t="shared" si="222"/>
        <v>40-49</v>
      </c>
      <c r="I4746" t="str">
        <f t="shared" si="223"/>
        <v>10-19</v>
      </c>
      <c r="J4746">
        <f t="shared" si="224"/>
        <v>1.5900000000000001E-3</v>
      </c>
    </row>
    <row r="4747" spans="1:10">
      <c r="A4747" t="s">
        <v>4829</v>
      </c>
      <c r="B4747">
        <v>24</v>
      </c>
      <c r="C4747" t="s">
        <v>7</v>
      </c>
      <c r="D4747">
        <v>24</v>
      </c>
      <c r="E4747">
        <v>47</v>
      </c>
      <c r="F4747">
        <v>1.6000000000000001E-3</v>
      </c>
      <c r="G4747">
        <v>0</v>
      </c>
      <c r="H4747" t="str">
        <f t="shared" si="222"/>
        <v>40-49</v>
      </c>
      <c r="I4747" t="str">
        <f t="shared" si="223"/>
        <v>20-29</v>
      </c>
      <c r="J4747">
        <f t="shared" si="224"/>
        <v>1.6000000000000001E-3</v>
      </c>
    </row>
    <row r="4748" spans="1:10">
      <c r="A4748" t="s">
        <v>4830</v>
      </c>
      <c r="B4748">
        <v>51</v>
      </c>
      <c r="C4748" t="s">
        <v>7</v>
      </c>
      <c r="D4748">
        <v>20</v>
      </c>
      <c r="E4748">
        <v>70</v>
      </c>
      <c r="F4748">
        <v>1.3610000000000001E-2</v>
      </c>
      <c r="G4748">
        <v>0</v>
      </c>
      <c r="H4748" t="str">
        <f t="shared" si="222"/>
        <v>70-79</v>
      </c>
      <c r="I4748" t="str">
        <f t="shared" si="223"/>
        <v>20-29</v>
      </c>
      <c r="J4748">
        <f t="shared" si="224"/>
        <v>1.3610000000000001E-2</v>
      </c>
    </row>
    <row r="4749" spans="1:10">
      <c r="A4749" t="s">
        <v>4831</v>
      </c>
      <c r="B4749">
        <v>29</v>
      </c>
      <c r="C4749" t="s">
        <v>7</v>
      </c>
      <c r="D4749">
        <v>28</v>
      </c>
      <c r="E4749">
        <v>56</v>
      </c>
      <c r="F4749">
        <v>2.82E-3</v>
      </c>
      <c r="G4749">
        <v>0</v>
      </c>
      <c r="H4749" t="str">
        <f t="shared" si="222"/>
        <v>50-59</v>
      </c>
      <c r="I4749" t="str">
        <f t="shared" si="223"/>
        <v>20-29</v>
      </c>
      <c r="J4749">
        <f t="shared" si="224"/>
        <v>2.82E-3</v>
      </c>
    </row>
    <row r="4750" spans="1:10">
      <c r="A4750" t="s">
        <v>4832</v>
      </c>
      <c r="B4750">
        <v>52</v>
      </c>
      <c r="C4750" t="s">
        <v>7</v>
      </c>
      <c r="D4750">
        <v>16</v>
      </c>
      <c r="E4750">
        <v>67</v>
      </c>
      <c r="F4750">
        <v>9.4000000000000004E-3</v>
      </c>
      <c r="G4750">
        <v>0</v>
      </c>
      <c r="H4750" t="str">
        <f t="shared" si="222"/>
        <v>60-69</v>
      </c>
      <c r="I4750" t="str">
        <f t="shared" si="223"/>
        <v>10-19</v>
      </c>
      <c r="J4750">
        <f t="shared" si="224"/>
        <v>9.4000000000000004E-3</v>
      </c>
    </row>
    <row r="4751" spans="1:10">
      <c r="A4751" t="s">
        <v>4833</v>
      </c>
      <c r="B4751">
        <v>28</v>
      </c>
      <c r="C4751" t="s">
        <v>7</v>
      </c>
      <c r="D4751">
        <v>11</v>
      </c>
      <c r="E4751">
        <v>38</v>
      </c>
      <c r="F4751">
        <v>6.7000000000000002E-4</v>
      </c>
      <c r="G4751">
        <v>0</v>
      </c>
      <c r="H4751" t="str">
        <f t="shared" si="222"/>
        <v>30-39</v>
      </c>
      <c r="I4751" t="str">
        <f t="shared" si="223"/>
        <v>10-19</v>
      </c>
      <c r="J4751">
        <f t="shared" si="224"/>
        <v>6.7000000000000002E-4</v>
      </c>
    </row>
    <row r="4752" spans="1:10">
      <c r="A4752" t="s">
        <v>4834</v>
      </c>
      <c r="B4752">
        <v>22</v>
      </c>
      <c r="C4752" t="s">
        <v>7</v>
      </c>
      <c r="D4752">
        <v>26</v>
      </c>
      <c r="E4752">
        <v>47</v>
      </c>
      <c r="F4752">
        <v>1.6000000000000001E-3</v>
      </c>
      <c r="G4752">
        <v>0</v>
      </c>
      <c r="H4752" t="str">
        <f t="shared" si="222"/>
        <v>40-49</v>
      </c>
      <c r="I4752" t="str">
        <f t="shared" si="223"/>
        <v>20-29</v>
      </c>
      <c r="J4752">
        <f t="shared" si="224"/>
        <v>1.6000000000000001E-3</v>
      </c>
    </row>
    <row r="4753" spans="1:10">
      <c r="A4753" t="s">
        <v>4835</v>
      </c>
      <c r="B4753">
        <v>53</v>
      </c>
      <c r="C4753" t="s">
        <v>9</v>
      </c>
      <c r="D4753">
        <v>1</v>
      </c>
      <c r="E4753">
        <v>53</v>
      </c>
      <c r="F4753">
        <v>9.5E-4</v>
      </c>
      <c r="G4753">
        <v>0</v>
      </c>
      <c r="H4753" t="str">
        <f t="shared" si="222"/>
        <v>50-59</v>
      </c>
      <c r="I4753" t="str">
        <f t="shared" si="223"/>
        <v>0-9</v>
      </c>
      <c r="J4753">
        <f t="shared" si="224"/>
        <v>9.5E-4</v>
      </c>
    </row>
    <row r="4754" spans="1:10">
      <c r="A4754" t="s">
        <v>4836</v>
      </c>
      <c r="B4754">
        <v>60</v>
      </c>
      <c r="C4754" t="s">
        <v>9</v>
      </c>
      <c r="D4754">
        <v>26</v>
      </c>
      <c r="E4754">
        <v>85</v>
      </c>
      <c r="F4754">
        <v>9.1270000000000004E-2</v>
      </c>
      <c r="G4754">
        <v>1</v>
      </c>
      <c r="H4754" t="str">
        <f t="shared" si="222"/>
        <v>80-89</v>
      </c>
      <c r="I4754" t="str">
        <f t="shared" si="223"/>
        <v>20-29</v>
      </c>
      <c r="J4754">
        <f t="shared" si="224"/>
        <v>9.1270000000000004E-2</v>
      </c>
    </row>
    <row r="4755" spans="1:10">
      <c r="A4755" t="s">
        <v>4837</v>
      </c>
      <c r="B4755">
        <v>37</v>
      </c>
      <c r="C4755" t="s">
        <v>9</v>
      </c>
      <c r="D4755">
        <v>29</v>
      </c>
      <c r="E4755">
        <v>65</v>
      </c>
      <c r="F4755">
        <v>7.79E-3</v>
      </c>
      <c r="G4755">
        <v>0</v>
      </c>
      <c r="H4755" t="str">
        <f t="shared" si="222"/>
        <v>60-69</v>
      </c>
      <c r="I4755" t="str">
        <f t="shared" si="223"/>
        <v>20-29</v>
      </c>
      <c r="J4755">
        <f t="shared" si="224"/>
        <v>7.79E-3</v>
      </c>
    </row>
    <row r="4756" spans="1:10">
      <c r="A4756" t="s">
        <v>4838</v>
      </c>
      <c r="B4756">
        <v>43</v>
      </c>
      <c r="C4756" t="s">
        <v>7</v>
      </c>
      <c r="D4756">
        <v>25</v>
      </c>
      <c r="E4756">
        <v>67</v>
      </c>
      <c r="F4756">
        <v>1.027E-2</v>
      </c>
      <c r="G4756">
        <v>0</v>
      </c>
      <c r="H4756" t="str">
        <f t="shared" si="222"/>
        <v>60-69</v>
      </c>
      <c r="I4756" t="str">
        <f t="shared" si="223"/>
        <v>20-29</v>
      </c>
      <c r="J4756">
        <f t="shared" si="224"/>
        <v>1.027E-2</v>
      </c>
    </row>
    <row r="4757" spans="1:10">
      <c r="A4757" t="s">
        <v>4839</v>
      </c>
      <c r="B4757">
        <v>59</v>
      </c>
      <c r="C4757" t="s">
        <v>7</v>
      </c>
      <c r="D4757">
        <v>11</v>
      </c>
      <c r="E4757">
        <v>69</v>
      </c>
      <c r="F4757">
        <v>8.6400000000000001E-3</v>
      </c>
      <c r="G4757">
        <v>0</v>
      </c>
      <c r="H4757" t="str">
        <f t="shared" si="222"/>
        <v>60-69</v>
      </c>
      <c r="I4757" t="str">
        <f t="shared" si="223"/>
        <v>10-19</v>
      </c>
      <c r="J4757">
        <f t="shared" si="224"/>
        <v>8.6400000000000001E-3</v>
      </c>
    </row>
    <row r="4758" spans="1:10">
      <c r="A4758" t="s">
        <v>4840</v>
      </c>
      <c r="B4758">
        <v>21</v>
      </c>
      <c r="C4758" t="s">
        <v>9</v>
      </c>
      <c r="D4758">
        <v>22</v>
      </c>
      <c r="E4758">
        <v>42</v>
      </c>
      <c r="F4758">
        <v>1.99E-3</v>
      </c>
      <c r="G4758">
        <v>0</v>
      </c>
      <c r="H4758" t="str">
        <f t="shared" si="222"/>
        <v>40-49</v>
      </c>
      <c r="I4758" t="str">
        <f t="shared" si="223"/>
        <v>20-29</v>
      </c>
      <c r="J4758">
        <f t="shared" si="224"/>
        <v>1.99E-3</v>
      </c>
    </row>
    <row r="4759" spans="1:10">
      <c r="A4759" t="s">
        <v>4841</v>
      </c>
      <c r="B4759">
        <v>54</v>
      </c>
      <c r="C4759" t="s">
        <v>7</v>
      </c>
      <c r="D4759">
        <v>6</v>
      </c>
      <c r="E4759">
        <v>59</v>
      </c>
      <c r="F4759">
        <v>3.0400000000000002E-3</v>
      </c>
      <c r="G4759">
        <v>0</v>
      </c>
      <c r="H4759" t="str">
        <f t="shared" si="222"/>
        <v>50-59</v>
      </c>
      <c r="I4759" t="str">
        <f t="shared" si="223"/>
        <v>0-9</v>
      </c>
      <c r="J4759">
        <f t="shared" si="224"/>
        <v>3.0400000000000002E-3</v>
      </c>
    </row>
    <row r="4760" spans="1:10">
      <c r="A4760" t="s">
        <v>4842</v>
      </c>
      <c r="B4760">
        <v>43</v>
      </c>
      <c r="C4760" t="s">
        <v>9</v>
      </c>
      <c r="D4760">
        <v>9</v>
      </c>
      <c r="E4760">
        <v>51</v>
      </c>
      <c r="F4760">
        <v>2.1900000000000001E-3</v>
      </c>
      <c r="G4760">
        <v>0</v>
      </c>
      <c r="H4760" t="str">
        <f t="shared" si="222"/>
        <v>50-59</v>
      </c>
      <c r="I4760" t="str">
        <f t="shared" si="223"/>
        <v>0-9</v>
      </c>
      <c r="J4760">
        <f t="shared" si="224"/>
        <v>2.1900000000000001E-3</v>
      </c>
    </row>
    <row r="4761" spans="1:10">
      <c r="A4761" t="s">
        <v>4843</v>
      </c>
      <c r="B4761">
        <v>45</v>
      </c>
      <c r="C4761" t="s">
        <v>7</v>
      </c>
      <c r="D4761">
        <v>15</v>
      </c>
      <c r="E4761">
        <v>59</v>
      </c>
      <c r="F4761">
        <v>4.1200000000000004E-3</v>
      </c>
      <c r="G4761">
        <v>0</v>
      </c>
      <c r="H4761" t="str">
        <f t="shared" si="222"/>
        <v>50-59</v>
      </c>
      <c r="I4761" t="str">
        <f t="shared" si="223"/>
        <v>10-19</v>
      </c>
      <c r="J4761">
        <f t="shared" si="224"/>
        <v>4.1200000000000004E-3</v>
      </c>
    </row>
    <row r="4762" spans="1:10">
      <c r="A4762" t="s">
        <v>4844</v>
      </c>
      <c r="B4762">
        <v>42</v>
      </c>
      <c r="C4762" t="s">
        <v>7</v>
      </c>
      <c r="D4762">
        <v>27</v>
      </c>
      <c r="E4762">
        <v>68</v>
      </c>
      <c r="F4762">
        <v>1.027E-2</v>
      </c>
      <c r="G4762">
        <v>0</v>
      </c>
      <c r="H4762" t="str">
        <f t="shared" si="222"/>
        <v>60-69</v>
      </c>
      <c r="I4762" t="str">
        <f t="shared" si="223"/>
        <v>20-29</v>
      </c>
      <c r="J4762">
        <f t="shared" si="224"/>
        <v>1.027E-2</v>
      </c>
    </row>
    <row r="4763" spans="1:10">
      <c r="A4763" t="s">
        <v>4845</v>
      </c>
      <c r="B4763">
        <v>60</v>
      </c>
      <c r="C4763" t="s">
        <v>7</v>
      </c>
      <c r="D4763">
        <v>8</v>
      </c>
      <c r="E4763">
        <v>67</v>
      </c>
      <c r="F4763">
        <v>6.8100000000000001E-3</v>
      </c>
      <c r="G4763">
        <v>0</v>
      </c>
      <c r="H4763" t="str">
        <f t="shared" si="222"/>
        <v>60-69</v>
      </c>
      <c r="I4763" t="str">
        <f t="shared" si="223"/>
        <v>0-9</v>
      </c>
      <c r="J4763">
        <f t="shared" si="224"/>
        <v>6.8100000000000001E-3</v>
      </c>
    </row>
    <row r="4764" spans="1:10">
      <c r="A4764" t="s">
        <v>4846</v>
      </c>
      <c r="B4764">
        <v>54</v>
      </c>
      <c r="C4764" t="s">
        <v>7</v>
      </c>
      <c r="D4764">
        <v>24</v>
      </c>
      <c r="E4764">
        <v>77</v>
      </c>
      <c r="F4764">
        <v>2.8719999999999999E-2</v>
      </c>
      <c r="G4764">
        <v>0</v>
      </c>
      <c r="H4764" t="str">
        <f t="shared" si="222"/>
        <v>70-79</v>
      </c>
      <c r="I4764" t="str">
        <f t="shared" si="223"/>
        <v>20-29</v>
      </c>
      <c r="J4764">
        <f t="shared" si="224"/>
        <v>2.8719999999999999E-2</v>
      </c>
    </row>
    <row r="4765" spans="1:10">
      <c r="A4765" t="s">
        <v>4847</v>
      </c>
      <c r="B4765">
        <v>45</v>
      </c>
      <c r="C4765" t="s">
        <v>7</v>
      </c>
      <c r="D4765">
        <v>27</v>
      </c>
      <c r="E4765">
        <v>71</v>
      </c>
      <c r="F4765">
        <v>1.404E-2</v>
      </c>
      <c r="G4765">
        <v>0</v>
      </c>
      <c r="H4765" t="str">
        <f t="shared" si="222"/>
        <v>70-79</v>
      </c>
      <c r="I4765" t="str">
        <f t="shared" si="223"/>
        <v>20-29</v>
      </c>
      <c r="J4765">
        <f t="shared" si="224"/>
        <v>1.404E-2</v>
      </c>
    </row>
    <row r="4766" spans="1:10">
      <c r="A4766" t="s">
        <v>4848</v>
      </c>
      <c r="B4766">
        <v>32</v>
      </c>
      <c r="C4766" t="s">
        <v>7</v>
      </c>
      <c r="D4766">
        <v>18</v>
      </c>
      <c r="E4766">
        <v>49</v>
      </c>
      <c r="F4766">
        <v>1.73E-3</v>
      </c>
      <c r="G4766">
        <v>0</v>
      </c>
      <c r="H4766" t="str">
        <f t="shared" si="222"/>
        <v>40-49</v>
      </c>
      <c r="I4766" t="str">
        <f t="shared" si="223"/>
        <v>10-19</v>
      </c>
      <c r="J4766">
        <f t="shared" si="224"/>
        <v>1.73E-3</v>
      </c>
    </row>
    <row r="4767" spans="1:10">
      <c r="A4767" t="s">
        <v>4849</v>
      </c>
      <c r="B4767">
        <v>26</v>
      </c>
      <c r="C4767" t="s">
        <v>9</v>
      </c>
      <c r="D4767">
        <v>11</v>
      </c>
      <c r="E4767">
        <v>36</v>
      </c>
      <c r="F4767">
        <v>7.6999999999999996E-4</v>
      </c>
      <c r="G4767">
        <v>0</v>
      </c>
      <c r="H4767" t="str">
        <f t="shared" si="222"/>
        <v>30-39</v>
      </c>
      <c r="I4767" t="str">
        <f t="shared" si="223"/>
        <v>10-19</v>
      </c>
      <c r="J4767">
        <f t="shared" si="224"/>
        <v>7.6999999999999996E-4</v>
      </c>
    </row>
    <row r="4768" spans="1:10">
      <c r="A4768" t="s">
        <v>4850</v>
      </c>
      <c r="B4768">
        <v>63</v>
      </c>
      <c r="C4768" t="s">
        <v>7</v>
      </c>
      <c r="D4768">
        <v>22</v>
      </c>
      <c r="E4768">
        <v>84</v>
      </c>
      <c r="F4768">
        <v>6.4490000000000006E-2</v>
      </c>
      <c r="G4768">
        <v>0</v>
      </c>
      <c r="H4768" t="str">
        <f t="shared" si="222"/>
        <v>80-89</v>
      </c>
      <c r="I4768" t="str">
        <f t="shared" si="223"/>
        <v>20-29</v>
      </c>
      <c r="J4768">
        <f t="shared" si="224"/>
        <v>6.4490000000000006E-2</v>
      </c>
    </row>
    <row r="4769" spans="1:10">
      <c r="A4769" t="s">
        <v>4851</v>
      </c>
      <c r="B4769">
        <v>41</v>
      </c>
      <c r="C4769" t="s">
        <v>7</v>
      </c>
      <c r="D4769">
        <v>24</v>
      </c>
      <c r="E4769">
        <v>64</v>
      </c>
      <c r="F4769">
        <v>7.4700000000000001E-3</v>
      </c>
      <c r="G4769">
        <v>0</v>
      </c>
      <c r="H4769" t="str">
        <f t="shared" si="222"/>
        <v>60-69</v>
      </c>
      <c r="I4769" t="str">
        <f t="shared" si="223"/>
        <v>20-29</v>
      </c>
      <c r="J4769">
        <f t="shared" si="224"/>
        <v>7.4700000000000001E-3</v>
      </c>
    </row>
    <row r="4770" spans="1:10">
      <c r="A4770" t="s">
        <v>4852</v>
      </c>
      <c r="B4770">
        <v>41</v>
      </c>
      <c r="C4770" t="s">
        <v>9</v>
      </c>
      <c r="D4770">
        <v>13</v>
      </c>
      <c r="E4770">
        <v>53</v>
      </c>
      <c r="F4770">
        <v>2.9099999999999998E-3</v>
      </c>
      <c r="G4770">
        <v>0</v>
      </c>
      <c r="H4770" t="str">
        <f t="shared" si="222"/>
        <v>50-59</v>
      </c>
      <c r="I4770" t="str">
        <f t="shared" si="223"/>
        <v>10-19</v>
      </c>
      <c r="J4770">
        <f t="shared" si="224"/>
        <v>2.9099999999999998E-3</v>
      </c>
    </row>
    <row r="4771" spans="1:10">
      <c r="A4771" t="s">
        <v>4853</v>
      </c>
      <c r="B4771">
        <v>45</v>
      </c>
      <c r="C4771" t="s">
        <v>9</v>
      </c>
      <c r="D4771">
        <v>19</v>
      </c>
      <c r="E4771">
        <v>63</v>
      </c>
      <c r="F4771">
        <v>8.4899999999999993E-3</v>
      </c>
      <c r="G4771">
        <v>0</v>
      </c>
      <c r="H4771" t="str">
        <f t="shared" si="222"/>
        <v>60-69</v>
      </c>
      <c r="I4771" t="str">
        <f t="shared" si="223"/>
        <v>10-19</v>
      </c>
      <c r="J4771">
        <f t="shared" si="224"/>
        <v>8.4899999999999993E-3</v>
      </c>
    </row>
    <row r="4772" spans="1:10">
      <c r="A4772" t="s">
        <v>4854</v>
      </c>
      <c r="B4772">
        <v>41</v>
      </c>
      <c r="C4772" t="s">
        <v>7</v>
      </c>
      <c r="D4772">
        <v>17</v>
      </c>
      <c r="E4772">
        <v>57</v>
      </c>
      <c r="F4772">
        <v>3.4499999999999999E-3</v>
      </c>
      <c r="G4772">
        <v>0</v>
      </c>
      <c r="H4772" t="str">
        <f t="shared" si="222"/>
        <v>50-59</v>
      </c>
      <c r="I4772" t="str">
        <f t="shared" si="223"/>
        <v>10-19</v>
      </c>
      <c r="J4772">
        <f t="shared" si="224"/>
        <v>3.4499999999999999E-3</v>
      </c>
    </row>
    <row r="4773" spans="1:10">
      <c r="A4773" t="s">
        <v>4855</v>
      </c>
      <c r="B4773">
        <v>26</v>
      </c>
      <c r="C4773" t="s">
        <v>7</v>
      </c>
      <c r="D4773">
        <v>8</v>
      </c>
      <c r="E4773">
        <v>33</v>
      </c>
      <c r="F4773">
        <v>3.8000000000000002E-4</v>
      </c>
      <c r="G4773">
        <v>0</v>
      </c>
      <c r="H4773" t="str">
        <f t="shared" si="222"/>
        <v>30-39</v>
      </c>
      <c r="I4773" t="str">
        <f t="shared" si="223"/>
        <v>0-9</v>
      </c>
      <c r="J4773">
        <f t="shared" si="224"/>
        <v>3.8000000000000002E-4</v>
      </c>
    </row>
    <row r="4774" spans="1:10">
      <c r="A4774" t="s">
        <v>4856</v>
      </c>
      <c r="B4774">
        <v>26</v>
      </c>
      <c r="C4774" t="s">
        <v>7</v>
      </c>
      <c r="D4774">
        <v>18</v>
      </c>
      <c r="E4774">
        <v>43</v>
      </c>
      <c r="F4774">
        <v>1.1800000000000001E-3</v>
      </c>
      <c r="G4774">
        <v>0</v>
      </c>
      <c r="H4774" t="str">
        <f t="shared" si="222"/>
        <v>40-49</v>
      </c>
      <c r="I4774" t="str">
        <f t="shared" si="223"/>
        <v>10-19</v>
      </c>
      <c r="J4774">
        <f t="shared" si="224"/>
        <v>1.1800000000000001E-3</v>
      </c>
    </row>
    <row r="4775" spans="1:10">
      <c r="A4775" t="s">
        <v>4857</v>
      </c>
      <c r="B4775">
        <v>21</v>
      </c>
      <c r="C4775" t="s">
        <v>9</v>
      </c>
      <c r="D4775">
        <v>21</v>
      </c>
      <c r="E4775">
        <v>41</v>
      </c>
      <c r="F4775">
        <v>1.8400000000000001E-3</v>
      </c>
      <c r="G4775">
        <v>0</v>
      </c>
      <c r="H4775" t="str">
        <f t="shared" si="222"/>
        <v>40-49</v>
      </c>
      <c r="I4775" t="str">
        <f t="shared" si="223"/>
        <v>20-29</v>
      </c>
      <c r="J4775">
        <f t="shared" si="224"/>
        <v>1.8400000000000001E-3</v>
      </c>
    </row>
    <row r="4776" spans="1:10">
      <c r="A4776" t="s">
        <v>4858</v>
      </c>
      <c r="B4776">
        <v>44</v>
      </c>
      <c r="C4776" t="s">
        <v>7</v>
      </c>
      <c r="D4776">
        <v>28</v>
      </c>
      <c r="E4776">
        <v>71</v>
      </c>
      <c r="F4776">
        <v>1.2659999999999999E-2</v>
      </c>
      <c r="G4776">
        <v>0</v>
      </c>
      <c r="H4776" t="str">
        <f t="shared" si="222"/>
        <v>70-79</v>
      </c>
      <c r="I4776" t="str">
        <f t="shared" si="223"/>
        <v>20-29</v>
      </c>
      <c r="J4776">
        <f t="shared" si="224"/>
        <v>1.2659999999999999E-2</v>
      </c>
    </row>
    <row r="4777" spans="1:10">
      <c r="A4777" t="s">
        <v>4859</v>
      </c>
      <c r="B4777">
        <v>40</v>
      </c>
      <c r="C4777" t="s">
        <v>9</v>
      </c>
      <c r="D4777">
        <v>25</v>
      </c>
      <c r="E4777">
        <v>64</v>
      </c>
      <c r="F4777">
        <v>9.5899999999999996E-3</v>
      </c>
      <c r="G4777">
        <v>0</v>
      </c>
      <c r="H4777" t="str">
        <f t="shared" si="222"/>
        <v>60-69</v>
      </c>
      <c r="I4777" t="str">
        <f t="shared" si="223"/>
        <v>20-29</v>
      </c>
      <c r="J4777">
        <f t="shared" si="224"/>
        <v>9.5899999999999996E-3</v>
      </c>
    </row>
    <row r="4778" spans="1:10">
      <c r="A4778" t="s">
        <v>4860</v>
      </c>
      <c r="B4778">
        <v>36</v>
      </c>
      <c r="C4778" t="s">
        <v>9</v>
      </c>
      <c r="D4778">
        <v>8</v>
      </c>
      <c r="E4778">
        <v>43</v>
      </c>
      <c r="F4778">
        <v>1.1000000000000001E-3</v>
      </c>
      <c r="G4778">
        <v>0</v>
      </c>
      <c r="H4778" t="str">
        <f t="shared" si="222"/>
        <v>40-49</v>
      </c>
      <c r="I4778" t="str">
        <f t="shared" si="223"/>
        <v>0-9</v>
      </c>
      <c r="J4778">
        <f t="shared" si="224"/>
        <v>1.1000000000000001E-3</v>
      </c>
    </row>
    <row r="4779" spans="1:10">
      <c r="A4779" t="s">
        <v>4861</v>
      </c>
      <c r="B4779">
        <v>59</v>
      </c>
      <c r="C4779" t="s">
        <v>7</v>
      </c>
      <c r="D4779">
        <v>4</v>
      </c>
      <c r="E4779">
        <v>62</v>
      </c>
      <c r="F4779">
        <v>3.4499999999999999E-3</v>
      </c>
      <c r="G4779">
        <v>0</v>
      </c>
      <c r="H4779" t="str">
        <f t="shared" si="222"/>
        <v>60-69</v>
      </c>
      <c r="I4779" t="str">
        <f t="shared" si="223"/>
        <v>0-9</v>
      </c>
      <c r="J4779">
        <f t="shared" si="224"/>
        <v>3.4499999999999999E-3</v>
      </c>
    </row>
    <row r="4780" spans="1:10">
      <c r="A4780" t="s">
        <v>4862</v>
      </c>
      <c r="B4780">
        <v>56</v>
      </c>
      <c r="C4780" t="s">
        <v>7</v>
      </c>
      <c r="D4780">
        <v>3</v>
      </c>
      <c r="E4780">
        <v>58</v>
      </c>
      <c r="F4780">
        <v>1.9300000000000001E-3</v>
      </c>
      <c r="G4780">
        <v>0</v>
      </c>
      <c r="H4780" t="str">
        <f t="shared" si="222"/>
        <v>50-59</v>
      </c>
      <c r="I4780" t="str">
        <f t="shared" si="223"/>
        <v>0-9</v>
      </c>
      <c r="J4780">
        <f t="shared" si="224"/>
        <v>1.9300000000000001E-3</v>
      </c>
    </row>
    <row r="4781" spans="1:10">
      <c r="A4781" t="s">
        <v>4863</v>
      </c>
      <c r="B4781">
        <v>50</v>
      </c>
      <c r="C4781" t="s">
        <v>9</v>
      </c>
      <c r="D4781">
        <v>20</v>
      </c>
      <c r="E4781">
        <v>69</v>
      </c>
      <c r="F4781">
        <v>1.5259999999999999E-2</v>
      </c>
      <c r="G4781">
        <v>0</v>
      </c>
      <c r="H4781" t="str">
        <f t="shared" si="222"/>
        <v>60-69</v>
      </c>
      <c r="I4781" t="str">
        <f t="shared" si="223"/>
        <v>20-29</v>
      </c>
      <c r="J4781">
        <f t="shared" si="224"/>
        <v>1.5259999999999999E-2</v>
      </c>
    </row>
    <row r="4782" spans="1:10">
      <c r="A4782" t="s">
        <v>4864</v>
      </c>
      <c r="B4782">
        <v>53</v>
      </c>
      <c r="C4782" t="s">
        <v>7</v>
      </c>
      <c r="D4782">
        <v>27</v>
      </c>
      <c r="E4782">
        <v>79</v>
      </c>
      <c r="F4782">
        <v>3.1989999999999998E-2</v>
      </c>
      <c r="G4782">
        <v>0</v>
      </c>
      <c r="H4782" t="str">
        <f t="shared" si="222"/>
        <v>70-79</v>
      </c>
      <c r="I4782" t="str">
        <f t="shared" si="223"/>
        <v>20-29</v>
      </c>
      <c r="J4782">
        <f t="shared" si="224"/>
        <v>3.1989999999999998E-2</v>
      </c>
    </row>
    <row r="4783" spans="1:10">
      <c r="A4783" t="s">
        <v>4865</v>
      </c>
      <c r="B4783">
        <v>37</v>
      </c>
      <c r="C4783" t="s">
        <v>9</v>
      </c>
      <c r="D4783">
        <v>26</v>
      </c>
      <c r="E4783">
        <v>62</v>
      </c>
      <c r="F4783">
        <v>7.79E-3</v>
      </c>
      <c r="G4783">
        <v>0</v>
      </c>
      <c r="H4783" t="str">
        <f t="shared" si="222"/>
        <v>60-69</v>
      </c>
      <c r="I4783" t="str">
        <f t="shared" si="223"/>
        <v>20-29</v>
      </c>
      <c r="J4783">
        <f t="shared" si="224"/>
        <v>7.79E-3</v>
      </c>
    </row>
    <row r="4784" spans="1:10">
      <c r="A4784" t="s">
        <v>4866</v>
      </c>
      <c r="B4784">
        <v>33</v>
      </c>
      <c r="C4784" t="s">
        <v>9</v>
      </c>
      <c r="D4784">
        <v>13</v>
      </c>
      <c r="E4784">
        <v>45</v>
      </c>
      <c r="F4784">
        <v>1.4499999999999999E-3</v>
      </c>
      <c r="G4784">
        <v>0</v>
      </c>
      <c r="H4784" t="str">
        <f t="shared" si="222"/>
        <v>40-49</v>
      </c>
      <c r="I4784" t="str">
        <f t="shared" si="223"/>
        <v>10-19</v>
      </c>
      <c r="J4784">
        <f t="shared" si="224"/>
        <v>1.4499999999999999E-3</v>
      </c>
    </row>
    <row r="4785" spans="1:10">
      <c r="A4785" t="s">
        <v>4867</v>
      </c>
      <c r="B4785">
        <v>49</v>
      </c>
      <c r="C4785" t="s">
        <v>9</v>
      </c>
      <c r="D4785">
        <v>4</v>
      </c>
      <c r="E4785">
        <v>52</v>
      </c>
      <c r="F4785">
        <v>1.9400000000000001E-3</v>
      </c>
      <c r="G4785">
        <v>0</v>
      </c>
      <c r="H4785" t="str">
        <f t="shared" si="222"/>
        <v>50-59</v>
      </c>
      <c r="I4785" t="str">
        <f t="shared" si="223"/>
        <v>0-9</v>
      </c>
      <c r="J4785">
        <f t="shared" si="224"/>
        <v>1.9400000000000001E-3</v>
      </c>
    </row>
    <row r="4786" spans="1:10">
      <c r="A4786" t="s">
        <v>4868</v>
      </c>
      <c r="B4786">
        <v>26</v>
      </c>
      <c r="C4786" t="s">
        <v>7</v>
      </c>
      <c r="D4786">
        <v>7</v>
      </c>
      <c r="E4786">
        <v>32</v>
      </c>
      <c r="F4786">
        <v>3.3E-4</v>
      </c>
      <c r="G4786">
        <v>0</v>
      </c>
      <c r="H4786" t="str">
        <f t="shared" si="222"/>
        <v>30-39</v>
      </c>
      <c r="I4786" t="str">
        <f t="shared" si="223"/>
        <v>0-9</v>
      </c>
      <c r="J4786">
        <f t="shared" si="224"/>
        <v>3.3E-4</v>
      </c>
    </row>
    <row r="4787" spans="1:10">
      <c r="A4787" t="s">
        <v>4869</v>
      </c>
      <c r="B4787">
        <v>33</v>
      </c>
      <c r="C4787" t="s">
        <v>9</v>
      </c>
      <c r="D4787">
        <v>27</v>
      </c>
      <c r="E4787">
        <v>59</v>
      </c>
      <c r="F4787">
        <v>5.2199999999999998E-3</v>
      </c>
      <c r="G4787">
        <v>0</v>
      </c>
      <c r="H4787" t="str">
        <f t="shared" si="222"/>
        <v>50-59</v>
      </c>
      <c r="I4787" t="str">
        <f t="shared" si="223"/>
        <v>20-29</v>
      </c>
      <c r="J4787">
        <f t="shared" si="224"/>
        <v>5.2199999999999998E-3</v>
      </c>
    </row>
    <row r="4788" spans="1:10">
      <c r="A4788" t="s">
        <v>4870</v>
      </c>
      <c r="B4788">
        <v>53</v>
      </c>
      <c r="C4788" t="s">
        <v>9</v>
      </c>
      <c r="D4788">
        <v>4</v>
      </c>
      <c r="E4788">
        <v>56</v>
      </c>
      <c r="F4788">
        <v>3.0899999999999999E-3</v>
      </c>
      <c r="G4788">
        <v>0</v>
      </c>
      <c r="H4788" t="str">
        <f t="shared" si="222"/>
        <v>50-59</v>
      </c>
      <c r="I4788" t="str">
        <f t="shared" si="223"/>
        <v>0-9</v>
      </c>
      <c r="J4788">
        <f t="shared" si="224"/>
        <v>3.0899999999999999E-3</v>
      </c>
    </row>
    <row r="4789" spans="1:10">
      <c r="A4789" t="s">
        <v>4871</v>
      </c>
      <c r="B4789">
        <v>40</v>
      </c>
      <c r="C4789" t="s">
        <v>9</v>
      </c>
      <c r="D4789">
        <v>2</v>
      </c>
      <c r="E4789">
        <v>41</v>
      </c>
      <c r="F4789">
        <v>5.4000000000000001E-4</v>
      </c>
      <c r="G4789">
        <v>0</v>
      </c>
      <c r="H4789" t="str">
        <f t="shared" si="222"/>
        <v>40-49</v>
      </c>
      <c r="I4789" t="str">
        <f t="shared" si="223"/>
        <v>0-9</v>
      </c>
      <c r="J4789">
        <f t="shared" si="224"/>
        <v>5.4000000000000001E-4</v>
      </c>
    </row>
    <row r="4790" spans="1:10">
      <c r="A4790" t="s">
        <v>4872</v>
      </c>
      <c r="B4790">
        <v>29</v>
      </c>
      <c r="C4790" t="s">
        <v>7</v>
      </c>
      <c r="D4790">
        <v>23</v>
      </c>
      <c r="E4790">
        <v>51</v>
      </c>
      <c r="F4790">
        <v>2.1900000000000001E-3</v>
      </c>
      <c r="G4790">
        <v>0</v>
      </c>
      <c r="H4790" t="str">
        <f t="shared" si="222"/>
        <v>50-59</v>
      </c>
      <c r="I4790" t="str">
        <f t="shared" si="223"/>
        <v>20-29</v>
      </c>
      <c r="J4790">
        <f t="shared" si="224"/>
        <v>2.1900000000000001E-3</v>
      </c>
    </row>
    <row r="4791" spans="1:10">
      <c r="A4791" t="s">
        <v>4873</v>
      </c>
      <c r="B4791">
        <v>38</v>
      </c>
      <c r="C4791" t="s">
        <v>7</v>
      </c>
      <c r="D4791">
        <v>25</v>
      </c>
      <c r="E4791">
        <v>62</v>
      </c>
      <c r="F4791">
        <v>6.0499999999999998E-3</v>
      </c>
      <c r="G4791">
        <v>0</v>
      </c>
      <c r="H4791" t="str">
        <f t="shared" si="222"/>
        <v>60-69</v>
      </c>
      <c r="I4791" t="str">
        <f t="shared" si="223"/>
        <v>20-29</v>
      </c>
      <c r="J4791">
        <f t="shared" si="224"/>
        <v>6.0499999999999998E-3</v>
      </c>
    </row>
    <row r="4792" spans="1:10">
      <c r="A4792" t="s">
        <v>4874</v>
      </c>
      <c r="B4792">
        <v>42</v>
      </c>
      <c r="C4792" t="s">
        <v>9</v>
      </c>
      <c r="D4792">
        <v>6</v>
      </c>
      <c r="E4792">
        <v>47</v>
      </c>
      <c r="F4792">
        <v>1.33E-3</v>
      </c>
      <c r="G4792">
        <v>0</v>
      </c>
      <c r="H4792" t="str">
        <f t="shared" si="222"/>
        <v>40-49</v>
      </c>
      <c r="I4792" t="str">
        <f t="shared" si="223"/>
        <v>0-9</v>
      </c>
      <c r="J4792">
        <f t="shared" si="224"/>
        <v>1.33E-3</v>
      </c>
    </row>
    <row r="4793" spans="1:10">
      <c r="A4793" t="s">
        <v>4875</v>
      </c>
      <c r="B4793">
        <v>27</v>
      </c>
      <c r="C4793" t="s">
        <v>7</v>
      </c>
      <c r="D4793">
        <v>23</v>
      </c>
      <c r="E4793">
        <v>49</v>
      </c>
      <c r="F4793">
        <v>1.8699999999999999E-3</v>
      </c>
      <c r="G4793">
        <v>0</v>
      </c>
      <c r="H4793" t="str">
        <f t="shared" si="222"/>
        <v>40-49</v>
      </c>
      <c r="I4793" t="str">
        <f t="shared" si="223"/>
        <v>20-29</v>
      </c>
      <c r="J4793">
        <f t="shared" si="224"/>
        <v>1.8699999999999999E-3</v>
      </c>
    </row>
    <row r="4794" spans="1:10">
      <c r="A4794" t="s">
        <v>4876</v>
      </c>
      <c r="B4794">
        <v>23</v>
      </c>
      <c r="C4794" t="s">
        <v>7</v>
      </c>
      <c r="D4794">
        <v>20</v>
      </c>
      <c r="E4794">
        <v>42</v>
      </c>
      <c r="F4794">
        <v>1.23E-3</v>
      </c>
      <c r="G4794">
        <v>0</v>
      </c>
      <c r="H4794" t="str">
        <f t="shared" si="222"/>
        <v>40-49</v>
      </c>
      <c r="I4794" t="str">
        <f t="shared" si="223"/>
        <v>20-29</v>
      </c>
      <c r="J4794">
        <f t="shared" si="224"/>
        <v>1.23E-3</v>
      </c>
    </row>
    <row r="4795" spans="1:10">
      <c r="A4795" t="s">
        <v>4877</v>
      </c>
      <c r="B4795">
        <v>50</v>
      </c>
      <c r="C4795" t="s">
        <v>9</v>
      </c>
      <c r="D4795">
        <v>1</v>
      </c>
      <c r="E4795">
        <v>50</v>
      </c>
      <c r="F4795">
        <v>8.1999999999999998E-4</v>
      </c>
      <c r="G4795">
        <v>0</v>
      </c>
      <c r="H4795" t="str">
        <f t="shared" si="222"/>
        <v>50-59</v>
      </c>
      <c r="I4795" t="str">
        <f t="shared" si="223"/>
        <v>0-9</v>
      </c>
      <c r="J4795">
        <f t="shared" si="224"/>
        <v>8.1999999999999998E-4</v>
      </c>
    </row>
    <row r="4796" spans="1:10">
      <c r="A4796" t="s">
        <v>4878</v>
      </c>
      <c r="B4796">
        <v>52</v>
      </c>
      <c r="C4796" t="s">
        <v>7</v>
      </c>
      <c r="D4796">
        <v>17</v>
      </c>
      <c r="E4796">
        <v>68</v>
      </c>
      <c r="F4796">
        <v>1.056E-2</v>
      </c>
      <c r="G4796">
        <v>0</v>
      </c>
      <c r="H4796" t="str">
        <f t="shared" si="222"/>
        <v>60-69</v>
      </c>
      <c r="I4796" t="str">
        <f t="shared" si="223"/>
        <v>10-19</v>
      </c>
      <c r="J4796">
        <f t="shared" si="224"/>
        <v>1.056E-2</v>
      </c>
    </row>
    <row r="4797" spans="1:10">
      <c r="A4797" t="s">
        <v>4879</v>
      </c>
      <c r="B4797">
        <v>45</v>
      </c>
      <c r="C4797" t="s">
        <v>7</v>
      </c>
      <c r="D4797">
        <v>6</v>
      </c>
      <c r="E4797">
        <v>50</v>
      </c>
      <c r="F4797">
        <v>1.2800000000000001E-3</v>
      </c>
      <c r="G4797">
        <v>0</v>
      </c>
      <c r="H4797" t="str">
        <f t="shared" si="222"/>
        <v>50-59</v>
      </c>
      <c r="I4797" t="str">
        <f t="shared" si="223"/>
        <v>0-9</v>
      </c>
      <c r="J4797">
        <f t="shared" si="224"/>
        <v>1.2800000000000001E-3</v>
      </c>
    </row>
    <row r="4798" spans="1:10">
      <c r="A4798" t="s">
        <v>4880</v>
      </c>
      <c r="B4798">
        <v>55</v>
      </c>
      <c r="C4798" t="s">
        <v>7</v>
      </c>
      <c r="D4798">
        <v>26</v>
      </c>
      <c r="E4798">
        <v>80</v>
      </c>
      <c r="F4798">
        <v>3.986E-2</v>
      </c>
      <c r="G4798">
        <v>0</v>
      </c>
      <c r="H4798" t="str">
        <f t="shared" si="222"/>
        <v>80-89</v>
      </c>
      <c r="I4798" t="str">
        <f t="shared" si="223"/>
        <v>20-29</v>
      </c>
      <c r="J4798">
        <f t="shared" si="224"/>
        <v>3.986E-2</v>
      </c>
    </row>
    <row r="4799" spans="1:10">
      <c r="A4799" t="s">
        <v>4881</v>
      </c>
      <c r="B4799">
        <v>46</v>
      </c>
      <c r="C4799" t="s">
        <v>7</v>
      </c>
      <c r="D4799">
        <v>2</v>
      </c>
      <c r="E4799">
        <v>47</v>
      </c>
      <c r="F4799">
        <v>4.6000000000000001E-4</v>
      </c>
      <c r="G4799">
        <v>0</v>
      </c>
      <c r="H4799" t="str">
        <f t="shared" si="222"/>
        <v>40-49</v>
      </c>
      <c r="I4799" t="str">
        <f t="shared" si="223"/>
        <v>0-9</v>
      </c>
      <c r="J4799">
        <f t="shared" si="224"/>
        <v>4.6000000000000001E-4</v>
      </c>
    </row>
    <row r="4800" spans="1:10">
      <c r="A4800" t="s">
        <v>4882</v>
      </c>
      <c r="B4800">
        <v>57</v>
      </c>
      <c r="C4800" t="s">
        <v>9</v>
      </c>
      <c r="D4800">
        <v>17</v>
      </c>
      <c r="E4800">
        <v>73</v>
      </c>
      <c r="F4800">
        <v>2.3859999999999999E-2</v>
      </c>
      <c r="G4800">
        <v>0</v>
      </c>
      <c r="H4800" t="str">
        <f t="shared" si="222"/>
        <v>70-79</v>
      </c>
      <c r="I4800" t="str">
        <f t="shared" si="223"/>
        <v>10-19</v>
      </c>
      <c r="J4800">
        <f t="shared" si="224"/>
        <v>2.3859999999999999E-2</v>
      </c>
    </row>
    <row r="4801" spans="1:10">
      <c r="A4801" t="s">
        <v>4883</v>
      </c>
      <c r="B4801">
        <v>54</v>
      </c>
      <c r="C4801" t="s">
        <v>9</v>
      </c>
      <c r="D4801">
        <v>15</v>
      </c>
      <c r="E4801">
        <v>68</v>
      </c>
      <c r="F4801">
        <v>1.3690000000000001E-2</v>
      </c>
      <c r="G4801">
        <v>0</v>
      </c>
      <c r="H4801" t="str">
        <f t="shared" si="222"/>
        <v>60-69</v>
      </c>
      <c r="I4801" t="str">
        <f t="shared" si="223"/>
        <v>10-19</v>
      </c>
      <c r="J4801">
        <f t="shared" si="224"/>
        <v>1.3690000000000001E-2</v>
      </c>
    </row>
    <row r="4802" spans="1:10">
      <c r="A4802" t="s">
        <v>4884</v>
      </c>
      <c r="B4802">
        <v>28</v>
      </c>
      <c r="C4802" t="s">
        <v>7</v>
      </c>
      <c r="D4802">
        <v>16</v>
      </c>
      <c r="E4802">
        <v>43</v>
      </c>
      <c r="F4802">
        <v>1.09E-3</v>
      </c>
      <c r="G4802">
        <v>0</v>
      </c>
      <c r="H4802" t="str">
        <f t="shared" si="222"/>
        <v>40-49</v>
      </c>
      <c r="I4802" t="str">
        <f t="shared" si="223"/>
        <v>10-19</v>
      </c>
      <c r="J4802">
        <f t="shared" si="224"/>
        <v>1.09E-3</v>
      </c>
    </row>
    <row r="4803" spans="1:10">
      <c r="A4803" t="s">
        <v>4885</v>
      </c>
      <c r="B4803">
        <v>62</v>
      </c>
      <c r="C4803" t="s">
        <v>7</v>
      </c>
      <c r="D4803">
        <v>9</v>
      </c>
      <c r="E4803">
        <v>70</v>
      </c>
      <c r="F4803">
        <v>8.6499999999999997E-3</v>
      </c>
      <c r="G4803">
        <v>0</v>
      </c>
      <c r="H4803" t="str">
        <f t="shared" ref="H4803:H4866" si="225">FLOOR(E4803,10) &amp; "-" &amp; FLOOR(E4803,10)+9</f>
        <v>70-79</v>
      </c>
      <c r="I4803" t="str">
        <f t="shared" ref="I4803:I4866" si="226">FLOOR(D4803, 10) &amp; "-"&amp;FLOOR(D4803, 10)+9</f>
        <v>0-9</v>
      </c>
      <c r="J4803">
        <f t="shared" ref="J4803:J4866" si="227">F4803</f>
        <v>8.6499999999999997E-3</v>
      </c>
    </row>
    <row r="4804" spans="1:10">
      <c r="A4804" t="s">
        <v>4886</v>
      </c>
      <c r="B4804">
        <v>57</v>
      </c>
      <c r="C4804" t="s">
        <v>7</v>
      </c>
      <c r="D4804">
        <v>14</v>
      </c>
      <c r="E4804">
        <v>70</v>
      </c>
      <c r="F4804">
        <v>1.1520000000000001E-2</v>
      </c>
      <c r="G4804">
        <v>0</v>
      </c>
      <c r="H4804" t="str">
        <f t="shared" si="225"/>
        <v>70-79</v>
      </c>
      <c r="I4804" t="str">
        <f t="shared" si="226"/>
        <v>10-19</v>
      </c>
      <c r="J4804">
        <f t="shared" si="227"/>
        <v>1.1520000000000001E-2</v>
      </c>
    </row>
    <row r="4805" spans="1:10">
      <c r="A4805" t="s">
        <v>4887</v>
      </c>
      <c r="B4805">
        <v>40</v>
      </c>
      <c r="C4805" t="s">
        <v>7</v>
      </c>
      <c r="D4805">
        <v>26</v>
      </c>
      <c r="E4805">
        <v>65</v>
      </c>
      <c r="F4805">
        <v>8.3099999999999997E-3</v>
      </c>
      <c r="G4805">
        <v>0</v>
      </c>
      <c r="H4805" t="str">
        <f t="shared" si="225"/>
        <v>60-69</v>
      </c>
      <c r="I4805" t="str">
        <f t="shared" si="226"/>
        <v>20-29</v>
      </c>
      <c r="J4805">
        <f t="shared" si="227"/>
        <v>8.3099999999999997E-3</v>
      </c>
    </row>
    <row r="4806" spans="1:10">
      <c r="A4806" t="s">
        <v>4888</v>
      </c>
      <c r="B4806">
        <v>31</v>
      </c>
      <c r="C4806" t="s">
        <v>9</v>
      </c>
      <c r="D4806">
        <v>17</v>
      </c>
      <c r="E4806">
        <v>47</v>
      </c>
      <c r="F4806">
        <v>1.97E-3</v>
      </c>
      <c r="G4806">
        <v>0</v>
      </c>
      <c r="H4806" t="str">
        <f t="shared" si="225"/>
        <v>40-49</v>
      </c>
      <c r="I4806" t="str">
        <f t="shared" si="226"/>
        <v>10-19</v>
      </c>
      <c r="J4806">
        <f t="shared" si="227"/>
        <v>1.97E-3</v>
      </c>
    </row>
    <row r="4807" spans="1:10">
      <c r="A4807" t="s">
        <v>4889</v>
      </c>
      <c r="B4807">
        <v>27</v>
      </c>
      <c r="C4807" t="s">
        <v>7</v>
      </c>
      <c r="D4807">
        <v>3</v>
      </c>
      <c r="E4807">
        <v>29</v>
      </c>
      <c r="F4807">
        <v>2.0000000000000001E-4</v>
      </c>
      <c r="G4807">
        <v>0</v>
      </c>
      <c r="H4807" t="str">
        <f t="shared" si="225"/>
        <v>20-29</v>
      </c>
      <c r="I4807" t="str">
        <f t="shared" si="226"/>
        <v>0-9</v>
      </c>
      <c r="J4807">
        <f t="shared" si="227"/>
        <v>2.0000000000000001E-4</v>
      </c>
    </row>
    <row r="4808" spans="1:10">
      <c r="A4808" t="s">
        <v>4890</v>
      </c>
      <c r="B4808">
        <v>41</v>
      </c>
      <c r="C4808" t="s">
        <v>9</v>
      </c>
      <c r="D4808">
        <v>1</v>
      </c>
      <c r="E4808">
        <v>41</v>
      </c>
      <c r="F4808">
        <v>3.5E-4</v>
      </c>
      <c r="G4808">
        <v>0</v>
      </c>
      <c r="H4808" t="str">
        <f t="shared" si="225"/>
        <v>40-49</v>
      </c>
      <c r="I4808" t="str">
        <f t="shared" si="226"/>
        <v>0-9</v>
      </c>
      <c r="J4808">
        <f t="shared" si="227"/>
        <v>3.5E-4</v>
      </c>
    </row>
    <row r="4809" spans="1:10">
      <c r="A4809" t="s">
        <v>4891</v>
      </c>
      <c r="B4809">
        <v>22</v>
      </c>
      <c r="C4809" t="s">
        <v>9</v>
      </c>
      <c r="D4809">
        <v>2</v>
      </c>
      <c r="E4809">
        <v>23</v>
      </c>
      <c r="F4809">
        <v>6.0999999999999997E-4</v>
      </c>
      <c r="G4809">
        <v>0</v>
      </c>
      <c r="H4809" t="str">
        <f t="shared" si="225"/>
        <v>20-29</v>
      </c>
      <c r="I4809" t="str">
        <f t="shared" si="226"/>
        <v>0-9</v>
      </c>
      <c r="J4809">
        <f t="shared" si="227"/>
        <v>6.0999999999999997E-4</v>
      </c>
    </row>
    <row r="4810" spans="1:10">
      <c r="A4810" t="s">
        <v>4892</v>
      </c>
      <c r="B4810">
        <v>60</v>
      </c>
      <c r="C4810" t="s">
        <v>7</v>
      </c>
      <c r="D4810">
        <v>8</v>
      </c>
      <c r="E4810">
        <v>67</v>
      </c>
      <c r="F4810">
        <v>6.8100000000000001E-3</v>
      </c>
      <c r="G4810">
        <v>0</v>
      </c>
      <c r="H4810" t="str">
        <f t="shared" si="225"/>
        <v>60-69</v>
      </c>
      <c r="I4810" t="str">
        <f t="shared" si="226"/>
        <v>0-9</v>
      </c>
      <c r="J4810">
        <f t="shared" si="227"/>
        <v>6.8100000000000001E-3</v>
      </c>
    </row>
    <row r="4811" spans="1:10">
      <c r="A4811" t="s">
        <v>4893</v>
      </c>
      <c r="B4811">
        <v>24</v>
      </c>
      <c r="C4811" t="s">
        <v>9</v>
      </c>
      <c r="D4811">
        <v>8</v>
      </c>
      <c r="E4811">
        <v>31</v>
      </c>
      <c r="F4811">
        <v>5.2999999999999998E-4</v>
      </c>
      <c r="G4811">
        <v>0</v>
      </c>
      <c r="H4811" t="str">
        <f t="shared" si="225"/>
        <v>30-39</v>
      </c>
      <c r="I4811" t="str">
        <f t="shared" si="226"/>
        <v>0-9</v>
      </c>
      <c r="J4811">
        <f t="shared" si="227"/>
        <v>5.2999999999999998E-4</v>
      </c>
    </row>
    <row r="4812" spans="1:10">
      <c r="A4812" t="s">
        <v>4894</v>
      </c>
      <c r="B4812">
        <v>27</v>
      </c>
      <c r="C4812" t="s">
        <v>9</v>
      </c>
      <c r="D4812">
        <v>26</v>
      </c>
      <c r="E4812">
        <v>52</v>
      </c>
      <c r="F4812">
        <v>3.2799999999999999E-3</v>
      </c>
      <c r="G4812">
        <v>0</v>
      </c>
      <c r="H4812" t="str">
        <f t="shared" si="225"/>
        <v>50-59</v>
      </c>
      <c r="I4812" t="str">
        <f t="shared" si="226"/>
        <v>20-29</v>
      </c>
      <c r="J4812">
        <f t="shared" si="227"/>
        <v>3.2799999999999999E-3</v>
      </c>
    </row>
    <row r="4813" spans="1:10">
      <c r="A4813" t="s">
        <v>4895</v>
      </c>
      <c r="B4813">
        <v>33</v>
      </c>
      <c r="C4813" t="s">
        <v>9</v>
      </c>
      <c r="D4813">
        <v>1</v>
      </c>
      <c r="E4813">
        <v>33</v>
      </c>
      <c r="F4813">
        <v>2.4000000000000001E-4</v>
      </c>
      <c r="G4813">
        <v>0</v>
      </c>
      <c r="H4813" t="str">
        <f t="shared" si="225"/>
        <v>30-39</v>
      </c>
      <c r="I4813" t="str">
        <f t="shared" si="226"/>
        <v>0-9</v>
      </c>
      <c r="J4813">
        <f t="shared" si="227"/>
        <v>2.4000000000000001E-4</v>
      </c>
    </row>
    <row r="4814" spans="1:10">
      <c r="A4814" t="s">
        <v>4896</v>
      </c>
      <c r="B4814">
        <v>53</v>
      </c>
      <c r="C4814" t="s">
        <v>7</v>
      </c>
      <c r="D4814">
        <v>7</v>
      </c>
      <c r="E4814">
        <v>59</v>
      </c>
      <c r="F4814">
        <v>3.13E-3</v>
      </c>
      <c r="G4814">
        <v>0</v>
      </c>
      <c r="H4814" t="str">
        <f t="shared" si="225"/>
        <v>50-59</v>
      </c>
      <c r="I4814" t="str">
        <f t="shared" si="226"/>
        <v>0-9</v>
      </c>
      <c r="J4814">
        <f t="shared" si="227"/>
        <v>3.13E-3</v>
      </c>
    </row>
    <row r="4815" spans="1:10">
      <c r="A4815" t="s">
        <v>4897</v>
      </c>
      <c r="B4815">
        <v>31</v>
      </c>
      <c r="C4815" t="s">
        <v>9</v>
      </c>
      <c r="D4815">
        <v>22</v>
      </c>
      <c r="E4815">
        <v>52</v>
      </c>
      <c r="F4815">
        <v>3.0200000000000001E-3</v>
      </c>
      <c r="G4815">
        <v>0</v>
      </c>
      <c r="H4815" t="str">
        <f t="shared" si="225"/>
        <v>50-59</v>
      </c>
      <c r="I4815" t="str">
        <f t="shared" si="226"/>
        <v>20-29</v>
      </c>
      <c r="J4815">
        <f t="shared" si="227"/>
        <v>3.0200000000000001E-3</v>
      </c>
    </row>
    <row r="4816" spans="1:10">
      <c r="A4816" t="s">
        <v>4898</v>
      </c>
      <c r="B4816">
        <v>53</v>
      </c>
      <c r="C4816" t="s">
        <v>7</v>
      </c>
      <c r="D4816">
        <v>17</v>
      </c>
      <c r="E4816">
        <v>69</v>
      </c>
      <c r="F4816">
        <v>1.159E-2</v>
      </c>
      <c r="G4816">
        <v>0</v>
      </c>
      <c r="H4816" t="str">
        <f t="shared" si="225"/>
        <v>60-69</v>
      </c>
      <c r="I4816" t="str">
        <f t="shared" si="226"/>
        <v>10-19</v>
      </c>
      <c r="J4816">
        <f t="shared" si="227"/>
        <v>1.159E-2</v>
      </c>
    </row>
    <row r="4817" spans="1:10">
      <c r="A4817" t="s">
        <v>4899</v>
      </c>
      <c r="B4817">
        <v>59</v>
      </c>
      <c r="C4817" t="s">
        <v>9</v>
      </c>
      <c r="D4817">
        <v>23</v>
      </c>
      <c r="E4817">
        <v>81</v>
      </c>
      <c r="F4817">
        <v>5.6829999999999999E-2</v>
      </c>
      <c r="G4817">
        <v>0</v>
      </c>
      <c r="H4817" t="str">
        <f t="shared" si="225"/>
        <v>80-89</v>
      </c>
      <c r="I4817" t="str">
        <f t="shared" si="226"/>
        <v>20-29</v>
      </c>
      <c r="J4817">
        <f t="shared" si="227"/>
        <v>5.6829999999999999E-2</v>
      </c>
    </row>
    <row r="4818" spans="1:10">
      <c r="A4818" t="s">
        <v>4900</v>
      </c>
      <c r="B4818">
        <v>64</v>
      </c>
      <c r="C4818" t="s">
        <v>9</v>
      </c>
      <c r="D4818">
        <v>30</v>
      </c>
      <c r="E4818">
        <v>93</v>
      </c>
      <c r="F4818">
        <v>0.14893999999999999</v>
      </c>
      <c r="G4818">
        <v>0</v>
      </c>
      <c r="H4818" t="str">
        <f t="shared" si="225"/>
        <v>90-99</v>
      </c>
      <c r="I4818" t="str">
        <f t="shared" si="226"/>
        <v>30-39</v>
      </c>
      <c r="J4818">
        <f t="shared" si="227"/>
        <v>0.14893999999999999</v>
      </c>
    </row>
    <row r="4819" spans="1:10">
      <c r="A4819" t="s">
        <v>4901</v>
      </c>
      <c r="B4819">
        <v>60</v>
      </c>
      <c r="C4819" t="s">
        <v>9</v>
      </c>
      <c r="D4819">
        <v>26</v>
      </c>
      <c r="E4819">
        <v>85</v>
      </c>
      <c r="F4819">
        <v>9.1270000000000004E-2</v>
      </c>
      <c r="G4819">
        <v>0</v>
      </c>
      <c r="H4819" t="str">
        <f t="shared" si="225"/>
        <v>80-89</v>
      </c>
      <c r="I4819" t="str">
        <f t="shared" si="226"/>
        <v>20-29</v>
      </c>
      <c r="J4819">
        <f t="shared" si="227"/>
        <v>9.1270000000000004E-2</v>
      </c>
    </row>
    <row r="4820" spans="1:10">
      <c r="A4820" t="s">
        <v>4902</v>
      </c>
      <c r="B4820">
        <v>61</v>
      </c>
      <c r="C4820" t="s">
        <v>9</v>
      </c>
      <c r="D4820">
        <v>14</v>
      </c>
      <c r="E4820">
        <v>74</v>
      </c>
      <c r="F4820">
        <v>2.4910000000000002E-2</v>
      </c>
      <c r="G4820">
        <v>1</v>
      </c>
      <c r="H4820" t="str">
        <f t="shared" si="225"/>
        <v>70-79</v>
      </c>
      <c r="I4820" t="str">
        <f t="shared" si="226"/>
        <v>10-19</v>
      </c>
      <c r="J4820">
        <f t="shared" si="227"/>
        <v>2.4910000000000002E-2</v>
      </c>
    </row>
    <row r="4821" spans="1:10">
      <c r="A4821" t="s">
        <v>4903</v>
      </c>
      <c r="B4821">
        <v>43</v>
      </c>
      <c r="C4821" t="s">
        <v>7</v>
      </c>
      <c r="D4821">
        <v>28</v>
      </c>
      <c r="E4821">
        <v>70</v>
      </c>
      <c r="F4821">
        <v>1.141E-2</v>
      </c>
      <c r="G4821">
        <v>0</v>
      </c>
      <c r="H4821" t="str">
        <f t="shared" si="225"/>
        <v>70-79</v>
      </c>
      <c r="I4821" t="str">
        <f t="shared" si="226"/>
        <v>20-29</v>
      </c>
      <c r="J4821">
        <f t="shared" si="227"/>
        <v>1.141E-2</v>
      </c>
    </row>
    <row r="4822" spans="1:10">
      <c r="A4822" t="s">
        <v>4904</v>
      </c>
      <c r="B4822">
        <v>30</v>
      </c>
      <c r="C4822" t="s">
        <v>9</v>
      </c>
      <c r="D4822">
        <v>30</v>
      </c>
      <c r="E4822">
        <v>59</v>
      </c>
      <c r="F4822">
        <v>4.0499999999999998E-3</v>
      </c>
      <c r="G4822">
        <v>0</v>
      </c>
      <c r="H4822" t="str">
        <f t="shared" si="225"/>
        <v>50-59</v>
      </c>
      <c r="I4822" t="str">
        <f t="shared" si="226"/>
        <v>30-39</v>
      </c>
      <c r="J4822">
        <f t="shared" si="227"/>
        <v>4.0499999999999998E-3</v>
      </c>
    </row>
    <row r="4823" spans="1:10">
      <c r="A4823" t="s">
        <v>4905</v>
      </c>
      <c r="B4823">
        <v>24</v>
      </c>
      <c r="C4823" t="s">
        <v>9</v>
      </c>
      <c r="D4823">
        <v>17</v>
      </c>
      <c r="E4823">
        <v>40</v>
      </c>
      <c r="F4823">
        <v>1.3600000000000001E-3</v>
      </c>
      <c r="G4823">
        <v>0</v>
      </c>
      <c r="H4823" t="str">
        <f t="shared" si="225"/>
        <v>40-49</v>
      </c>
      <c r="I4823" t="str">
        <f t="shared" si="226"/>
        <v>10-19</v>
      </c>
      <c r="J4823">
        <f t="shared" si="227"/>
        <v>1.3600000000000001E-3</v>
      </c>
    </row>
    <row r="4824" spans="1:10">
      <c r="A4824" t="s">
        <v>4906</v>
      </c>
      <c r="B4824">
        <v>65</v>
      </c>
      <c r="C4824" t="s">
        <v>7</v>
      </c>
      <c r="D4824">
        <v>18</v>
      </c>
      <c r="E4824">
        <v>82</v>
      </c>
      <c r="F4824">
        <v>4.897E-2</v>
      </c>
      <c r="G4824">
        <v>0</v>
      </c>
      <c r="H4824" t="str">
        <f t="shared" si="225"/>
        <v>80-89</v>
      </c>
      <c r="I4824" t="str">
        <f t="shared" si="226"/>
        <v>10-19</v>
      </c>
      <c r="J4824">
        <f t="shared" si="227"/>
        <v>4.897E-2</v>
      </c>
    </row>
    <row r="4825" spans="1:10">
      <c r="A4825" t="s">
        <v>4907</v>
      </c>
      <c r="B4825">
        <v>28</v>
      </c>
      <c r="C4825" t="s">
        <v>7</v>
      </c>
      <c r="D4825">
        <v>7</v>
      </c>
      <c r="E4825">
        <v>34</v>
      </c>
      <c r="F4825">
        <v>3.6000000000000002E-4</v>
      </c>
      <c r="G4825">
        <v>0</v>
      </c>
      <c r="H4825" t="str">
        <f t="shared" si="225"/>
        <v>30-39</v>
      </c>
      <c r="I4825" t="str">
        <f t="shared" si="226"/>
        <v>0-9</v>
      </c>
      <c r="J4825">
        <f t="shared" si="227"/>
        <v>3.6000000000000002E-4</v>
      </c>
    </row>
    <row r="4826" spans="1:10">
      <c r="A4826" t="s">
        <v>4908</v>
      </c>
      <c r="B4826">
        <v>58</v>
      </c>
      <c r="C4826" t="s">
        <v>7</v>
      </c>
      <c r="D4826">
        <v>5</v>
      </c>
      <c r="E4826">
        <v>62</v>
      </c>
      <c r="F4826">
        <v>4.0299999999999997E-3</v>
      </c>
      <c r="G4826">
        <v>0</v>
      </c>
      <c r="H4826" t="str">
        <f t="shared" si="225"/>
        <v>60-69</v>
      </c>
      <c r="I4826" t="str">
        <f t="shared" si="226"/>
        <v>0-9</v>
      </c>
      <c r="J4826">
        <f t="shared" si="227"/>
        <v>4.0299999999999997E-3</v>
      </c>
    </row>
    <row r="4827" spans="1:10">
      <c r="A4827" t="s">
        <v>4909</v>
      </c>
      <c r="B4827">
        <v>60</v>
      </c>
      <c r="C4827" t="s">
        <v>7</v>
      </c>
      <c r="D4827">
        <v>10</v>
      </c>
      <c r="E4827">
        <v>69</v>
      </c>
      <c r="F4827">
        <v>8.3300000000000006E-3</v>
      </c>
      <c r="G4827">
        <v>0</v>
      </c>
      <c r="H4827" t="str">
        <f t="shared" si="225"/>
        <v>60-69</v>
      </c>
      <c r="I4827" t="str">
        <f t="shared" si="226"/>
        <v>10-19</v>
      </c>
      <c r="J4827">
        <f t="shared" si="227"/>
        <v>8.3300000000000006E-3</v>
      </c>
    </row>
    <row r="4828" spans="1:10">
      <c r="A4828" t="s">
        <v>4910</v>
      </c>
      <c r="B4828">
        <v>20</v>
      </c>
      <c r="C4828" t="s">
        <v>9</v>
      </c>
      <c r="D4828">
        <v>29</v>
      </c>
      <c r="E4828">
        <v>48</v>
      </c>
      <c r="F4828">
        <v>2.5400000000000002E-3</v>
      </c>
      <c r="G4828">
        <v>0</v>
      </c>
      <c r="H4828" t="str">
        <f t="shared" si="225"/>
        <v>40-49</v>
      </c>
      <c r="I4828" t="str">
        <f t="shared" si="226"/>
        <v>20-29</v>
      </c>
      <c r="J4828">
        <f t="shared" si="227"/>
        <v>2.5400000000000002E-3</v>
      </c>
    </row>
    <row r="4829" spans="1:10">
      <c r="A4829" t="s">
        <v>4911</v>
      </c>
      <c r="B4829">
        <v>36</v>
      </c>
      <c r="C4829" t="s">
        <v>9</v>
      </c>
      <c r="D4829">
        <v>16</v>
      </c>
      <c r="E4829">
        <v>51</v>
      </c>
      <c r="F4829">
        <v>2.5799999999999998E-3</v>
      </c>
      <c r="G4829">
        <v>0</v>
      </c>
      <c r="H4829" t="str">
        <f t="shared" si="225"/>
        <v>50-59</v>
      </c>
      <c r="I4829" t="str">
        <f t="shared" si="226"/>
        <v>10-19</v>
      </c>
      <c r="J4829">
        <f t="shared" si="227"/>
        <v>2.5799999999999998E-3</v>
      </c>
    </row>
    <row r="4830" spans="1:10">
      <c r="A4830" t="s">
        <v>4912</v>
      </c>
      <c r="B4830">
        <v>49</v>
      </c>
      <c r="C4830" t="s">
        <v>9</v>
      </c>
      <c r="D4830">
        <v>12</v>
      </c>
      <c r="E4830">
        <v>60</v>
      </c>
      <c r="F4830">
        <v>5.9199999999999999E-3</v>
      </c>
      <c r="G4830">
        <v>0</v>
      </c>
      <c r="H4830" t="str">
        <f t="shared" si="225"/>
        <v>60-69</v>
      </c>
      <c r="I4830" t="str">
        <f t="shared" si="226"/>
        <v>10-19</v>
      </c>
      <c r="J4830">
        <f t="shared" si="227"/>
        <v>5.9199999999999999E-3</v>
      </c>
    </row>
    <row r="4831" spans="1:10">
      <c r="A4831" t="s">
        <v>4913</v>
      </c>
      <c r="B4831">
        <v>50</v>
      </c>
      <c r="C4831" t="s">
        <v>7</v>
      </c>
      <c r="D4831">
        <v>13</v>
      </c>
      <c r="E4831">
        <v>62</v>
      </c>
      <c r="F4831">
        <v>5.3499999999999997E-3</v>
      </c>
      <c r="G4831">
        <v>0</v>
      </c>
      <c r="H4831" t="str">
        <f t="shared" si="225"/>
        <v>60-69</v>
      </c>
      <c r="I4831" t="str">
        <f t="shared" si="226"/>
        <v>10-19</v>
      </c>
      <c r="J4831">
        <f t="shared" si="227"/>
        <v>5.3499999999999997E-3</v>
      </c>
    </row>
    <row r="4832" spans="1:10">
      <c r="A4832" t="s">
        <v>4914</v>
      </c>
      <c r="B4832">
        <v>49</v>
      </c>
      <c r="C4832" t="s">
        <v>7</v>
      </c>
      <c r="D4832">
        <v>6</v>
      </c>
      <c r="E4832">
        <v>54</v>
      </c>
      <c r="F4832">
        <v>1.8600000000000001E-3</v>
      </c>
      <c r="G4832">
        <v>0</v>
      </c>
      <c r="H4832" t="str">
        <f t="shared" si="225"/>
        <v>50-59</v>
      </c>
      <c r="I4832" t="str">
        <f t="shared" si="226"/>
        <v>0-9</v>
      </c>
      <c r="J4832">
        <f t="shared" si="227"/>
        <v>1.8600000000000001E-3</v>
      </c>
    </row>
    <row r="4833" spans="1:10">
      <c r="A4833" t="s">
        <v>4915</v>
      </c>
      <c r="B4833">
        <v>50</v>
      </c>
      <c r="C4833" t="s">
        <v>9</v>
      </c>
      <c r="D4833">
        <v>15</v>
      </c>
      <c r="E4833">
        <v>64</v>
      </c>
      <c r="F4833">
        <v>9.11E-3</v>
      </c>
      <c r="G4833">
        <v>0</v>
      </c>
      <c r="H4833" t="str">
        <f t="shared" si="225"/>
        <v>60-69</v>
      </c>
      <c r="I4833" t="str">
        <f t="shared" si="226"/>
        <v>10-19</v>
      </c>
      <c r="J4833">
        <f t="shared" si="227"/>
        <v>9.11E-3</v>
      </c>
    </row>
    <row r="4834" spans="1:10">
      <c r="A4834" t="s">
        <v>4916</v>
      </c>
      <c r="B4834">
        <v>43</v>
      </c>
      <c r="C4834" t="s">
        <v>7</v>
      </c>
      <c r="D4834">
        <v>18</v>
      </c>
      <c r="E4834">
        <v>60</v>
      </c>
      <c r="F4834">
        <v>4.7299999999999998E-3</v>
      </c>
      <c r="G4834">
        <v>0</v>
      </c>
      <c r="H4834" t="str">
        <f t="shared" si="225"/>
        <v>60-69</v>
      </c>
      <c r="I4834" t="str">
        <f t="shared" si="226"/>
        <v>10-19</v>
      </c>
      <c r="J4834">
        <f t="shared" si="227"/>
        <v>4.7299999999999998E-3</v>
      </c>
    </row>
    <row r="4835" spans="1:10">
      <c r="A4835" t="s">
        <v>4917</v>
      </c>
      <c r="B4835">
        <v>44</v>
      </c>
      <c r="C4835" t="s">
        <v>7</v>
      </c>
      <c r="D4835">
        <v>5</v>
      </c>
      <c r="E4835">
        <v>48</v>
      </c>
      <c r="F4835">
        <v>1.0300000000000001E-3</v>
      </c>
      <c r="G4835">
        <v>0</v>
      </c>
      <c r="H4835" t="str">
        <f t="shared" si="225"/>
        <v>40-49</v>
      </c>
      <c r="I4835" t="str">
        <f t="shared" si="226"/>
        <v>0-9</v>
      </c>
      <c r="J4835">
        <f t="shared" si="227"/>
        <v>1.0300000000000001E-3</v>
      </c>
    </row>
    <row r="4836" spans="1:10">
      <c r="A4836" t="s">
        <v>4918</v>
      </c>
      <c r="B4836">
        <v>40</v>
      </c>
      <c r="C4836" t="s">
        <v>7</v>
      </c>
      <c r="D4836">
        <v>5</v>
      </c>
      <c r="E4836">
        <v>44</v>
      </c>
      <c r="F4836">
        <v>7.6000000000000004E-4</v>
      </c>
      <c r="G4836">
        <v>0</v>
      </c>
      <c r="H4836" t="str">
        <f t="shared" si="225"/>
        <v>40-49</v>
      </c>
      <c r="I4836" t="str">
        <f t="shared" si="226"/>
        <v>0-9</v>
      </c>
      <c r="J4836">
        <f t="shared" si="227"/>
        <v>7.6000000000000004E-4</v>
      </c>
    </row>
    <row r="4837" spans="1:10">
      <c r="A4837" t="s">
        <v>4919</v>
      </c>
      <c r="B4837">
        <v>62</v>
      </c>
      <c r="C4837" t="s">
        <v>9</v>
      </c>
      <c r="D4837">
        <v>24</v>
      </c>
      <c r="E4837">
        <v>85</v>
      </c>
      <c r="F4837">
        <v>9.1270000000000004E-2</v>
      </c>
      <c r="G4837">
        <v>0</v>
      </c>
      <c r="H4837" t="str">
        <f t="shared" si="225"/>
        <v>80-89</v>
      </c>
      <c r="I4837" t="str">
        <f t="shared" si="226"/>
        <v>20-29</v>
      </c>
      <c r="J4837">
        <f t="shared" si="227"/>
        <v>9.1270000000000004E-2</v>
      </c>
    </row>
    <row r="4838" spans="1:10">
      <c r="A4838" t="s">
        <v>4920</v>
      </c>
      <c r="B4838">
        <v>55</v>
      </c>
      <c r="C4838" t="s">
        <v>7</v>
      </c>
      <c r="D4838">
        <v>8</v>
      </c>
      <c r="E4838">
        <v>62</v>
      </c>
      <c r="F4838">
        <v>4.4600000000000004E-3</v>
      </c>
      <c r="G4838">
        <v>0</v>
      </c>
      <c r="H4838" t="str">
        <f t="shared" si="225"/>
        <v>60-69</v>
      </c>
      <c r="I4838" t="str">
        <f t="shared" si="226"/>
        <v>0-9</v>
      </c>
      <c r="J4838">
        <f t="shared" si="227"/>
        <v>4.4600000000000004E-3</v>
      </c>
    </row>
    <row r="4839" spans="1:10">
      <c r="A4839" t="s">
        <v>4921</v>
      </c>
      <c r="B4839">
        <v>55</v>
      </c>
      <c r="C4839" t="s">
        <v>9</v>
      </c>
      <c r="D4839">
        <v>28</v>
      </c>
      <c r="E4839">
        <v>82</v>
      </c>
      <c r="F4839">
        <v>5.0909999999999997E-2</v>
      </c>
      <c r="G4839">
        <v>0</v>
      </c>
      <c r="H4839" t="str">
        <f t="shared" si="225"/>
        <v>80-89</v>
      </c>
      <c r="I4839" t="str">
        <f t="shared" si="226"/>
        <v>20-29</v>
      </c>
      <c r="J4839">
        <f t="shared" si="227"/>
        <v>5.0909999999999997E-2</v>
      </c>
    </row>
    <row r="4840" spans="1:10">
      <c r="A4840" t="s">
        <v>4922</v>
      </c>
      <c r="B4840">
        <v>27</v>
      </c>
      <c r="C4840" t="s">
        <v>9</v>
      </c>
      <c r="D4840">
        <v>21</v>
      </c>
      <c r="E4840">
        <v>47</v>
      </c>
      <c r="F4840">
        <v>2.0799999999999998E-3</v>
      </c>
      <c r="G4840">
        <v>0</v>
      </c>
      <c r="H4840" t="str">
        <f t="shared" si="225"/>
        <v>40-49</v>
      </c>
      <c r="I4840" t="str">
        <f t="shared" si="226"/>
        <v>20-29</v>
      </c>
      <c r="J4840">
        <f t="shared" si="227"/>
        <v>2.0799999999999998E-3</v>
      </c>
    </row>
    <row r="4841" spans="1:10">
      <c r="A4841" t="s">
        <v>4923</v>
      </c>
      <c r="B4841">
        <v>63</v>
      </c>
      <c r="C4841" t="s">
        <v>9</v>
      </c>
      <c r="D4841">
        <v>7</v>
      </c>
      <c r="E4841">
        <v>69</v>
      </c>
      <c r="F4841">
        <v>1.0999999999999999E-2</v>
      </c>
      <c r="G4841">
        <v>0</v>
      </c>
      <c r="H4841" t="str">
        <f t="shared" si="225"/>
        <v>60-69</v>
      </c>
      <c r="I4841" t="str">
        <f t="shared" si="226"/>
        <v>0-9</v>
      </c>
      <c r="J4841">
        <f t="shared" si="227"/>
        <v>1.0999999999999999E-2</v>
      </c>
    </row>
    <row r="4842" spans="1:10">
      <c r="A4842" t="s">
        <v>4924</v>
      </c>
      <c r="B4842">
        <v>33</v>
      </c>
      <c r="C4842" t="s">
        <v>7</v>
      </c>
      <c r="D4842">
        <v>30</v>
      </c>
      <c r="E4842">
        <v>62</v>
      </c>
      <c r="F4842">
        <v>4.0499999999999998E-3</v>
      </c>
      <c r="G4842">
        <v>0</v>
      </c>
      <c r="H4842" t="str">
        <f t="shared" si="225"/>
        <v>60-69</v>
      </c>
      <c r="I4842" t="str">
        <f t="shared" si="226"/>
        <v>30-39</v>
      </c>
      <c r="J4842">
        <f t="shared" si="227"/>
        <v>4.0499999999999998E-3</v>
      </c>
    </row>
    <row r="4843" spans="1:10">
      <c r="A4843" t="s">
        <v>4925</v>
      </c>
      <c r="B4843">
        <v>31</v>
      </c>
      <c r="C4843" t="s">
        <v>7</v>
      </c>
      <c r="D4843">
        <v>27</v>
      </c>
      <c r="E4843">
        <v>57</v>
      </c>
      <c r="F4843">
        <v>3.3700000000000002E-3</v>
      </c>
      <c r="G4843">
        <v>0</v>
      </c>
      <c r="H4843" t="str">
        <f t="shared" si="225"/>
        <v>50-59</v>
      </c>
      <c r="I4843" t="str">
        <f t="shared" si="226"/>
        <v>20-29</v>
      </c>
      <c r="J4843">
        <f t="shared" si="227"/>
        <v>3.3700000000000002E-3</v>
      </c>
    </row>
    <row r="4844" spans="1:10">
      <c r="A4844" t="s">
        <v>4926</v>
      </c>
      <c r="B4844">
        <v>31</v>
      </c>
      <c r="C4844" t="s">
        <v>7</v>
      </c>
      <c r="D4844">
        <v>5</v>
      </c>
      <c r="E4844">
        <v>35</v>
      </c>
      <c r="F4844">
        <v>3.2000000000000003E-4</v>
      </c>
      <c r="G4844">
        <v>0</v>
      </c>
      <c r="H4844" t="str">
        <f t="shared" si="225"/>
        <v>30-39</v>
      </c>
      <c r="I4844" t="str">
        <f t="shared" si="226"/>
        <v>0-9</v>
      </c>
      <c r="J4844">
        <f t="shared" si="227"/>
        <v>3.2000000000000003E-4</v>
      </c>
    </row>
    <row r="4845" spans="1:10">
      <c r="A4845" t="s">
        <v>4927</v>
      </c>
      <c r="B4845">
        <v>59</v>
      </c>
      <c r="C4845" t="s">
        <v>7</v>
      </c>
      <c r="D4845">
        <v>7</v>
      </c>
      <c r="E4845">
        <v>65</v>
      </c>
      <c r="F4845">
        <v>5.79E-3</v>
      </c>
      <c r="G4845">
        <v>0</v>
      </c>
      <c r="H4845" t="str">
        <f t="shared" si="225"/>
        <v>60-69</v>
      </c>
      <c r="I4845" t="str">
        <f t="shared" si="226"/>
        <v>0-9</v>
      </c>
      <c r="J4845">
        <f t="shared" si="227"/>
        <v>5.79E-3</v>
      </c>
    </row>
    <row r="4846" spans="1:10">
      <c r="A4846" t="s">
        <v>4928</v>
      </c>
      <c r="B4846">
        <v>26</v>
      </c>
      <c r="C4846" t="s">
        <v>9</v>
      </c>
      <c r="D4846">
        <v>24</v>
      </c>
      <c r="E4846">
        <v>49</v>
      </c>
      <c r="F4846">
        <v>2.5999999999999999E-3</v>
      </c>
      <c r="G4846">
        <v>0</v>
      </c>
      <c r="H4846" t="str">
        <f t="shared" si="225"/>
        <v>40-49</v>
      </c>
      <c r="I4846" t="str">
        <f t="shared" si="226"/>
        <v>20-29</v>
      </c>
      <c r="J4846">
        <f t="shared" si="227"/>
        <v>2.5999999999999999E-3</v>
      </c>
    </row>
    <row r="4847" spans="1:10">
      <c r="A4847" t="s">
        <v>4929</v>
      </c>
      <c r="B4847">
        <v>57</v>
      </c>
      <c r="C4847" t="s">
        <v>7</v>
      </c>
      <c r="D4847">
        <v>3</v>
      </c>
      <c r="E4847">
        <v>59</v>
      </c>
      <c r="F4847">
        <v>2E-3</v>
      </c>
      <c r="G4847">
        <v>0</v>
      </c>
      <c r="H4847" t="str">
        <f t="shared" si="225"/>
        <v>50-59</v>
      </c>
      <c r="I4847" t="str">
        <f t="shared" si="226"/>
        <v>0-9</v>
      </c>
      <c r="J4847">
        <f t="shared" si="227"/>
        <v>2E-3</v>
      </c>
    </row>
    <row r="4848" spans="1:10">
      <c r="A4848" t="s">
        <v>4930</v>
      </c>
      <c r="B4848">
        <v>55</v>
      </c>
      <c r="C4848" t="s">
        <v>9</v>
      </c>
      <c r="D4848">
        <v>5</v>
      </c>
      <c r="E4848">
        <v>59</v>
      </c>
      <c r="F4848">
        <v>4.4799999999999996E-3</v>
      </c>
      <c r="G4848">
        <v>0</v>
      </c>
      <c r="H4848" t="str">
        <f t="shared" si="225"/>
        <v>50-59</v>
      </c>
      <c r="I4848" t="str">
        <f t="shared" si="226"/>
        <v>0-9</v>
      </c>
      <c r="J4848">
        <f t="shared" si="227"/>
        <v>4.4799999999999996E-3</v>
      </c>
    </row>
    <row r="4849" spans="1:10">
      <c r="A4849" t="s">
        <v>4931</v>
      </c>
      <c r="B4849">
        <v>61</v>
      </c>
      <c r="C4849" t="s">
        <v>7</v>
      </c>
      <c r="D4849">
        <v>12</v>
      </c>
      <c r="E4849">
        <v>72</v>
      </c>
      <c r="F4849">
        <v>1.226E-2</v>
      </c>
      <c r="G4849">
        <v>0</v>
      </c>
      <c r="H4849" t="str">
        <f t="shared" si="225"/>
        <v>70-79</v>
      </c>
      <c r="I4849" t="str">
        <f t="shared" si="226"/>
        <v>10-19</v>
      </c>
      <c r="J4849">
        <f t="shared" si="227"/>
        <v>1.226E-2</v>
      </c>
    </row>
    <row r="4850" spans="1:10">
      <c r="A4850" t="s">
        <v>4932</v>
      </c>
      <c r="B4850">
        <v>56</v>
      </c>
      <c r="C4850" t="s">
        <v>7</v>
      </c>
      <c r="D4850">
        <v>28</v>
      </c>
      <c r="E4850">
        <v>83</v>
      </c>
      <c r="F4850">
        <v>4.4880000000000003E-2</v>
      </c>
      <c r="G4850">
        <v>0</v>
      </c>
      <c r="H4850" t="str">
        <f t="shared" si="225"/>
        <v>80-89</v>
      </c>
      <c r="I4850" t="str">
        <f t="shared" si="226"/>
        <v>20-29</v>
      </c>
      <c r="J4850">
        <f t="shared" si="227"/>
        <v>4.4880000000000003E-2</v>
      </c>
    </row>
    <row r="4851" spans="1:10">
      <c r="A4851" t="s">
        <v>4933</v>
      </c>
      <c r="B4851">
        <v>55</v>
      </c>
      <c r="C4851" t="s">
        <v>9</v>
      </c>
      <c r="D4851">
        <v>10</v>
      </c>
      <c r="E4851">
        <v>64</v>
      </c>
      <c r="F4851">
        <v>8.8699999999999994E-3</v>
      </c>
      <c r="G4851">
        <v>0</v>
      </c>
      <c r="H4851" t="str">
        <f t="shared" si="225"/>
        <v>60-69</v>
      </c>
      <c r="I4851" t="str">
        <f t="shared" si="226"/>
        <v>10-19</v>
      </c>
      <c r="J4851">
        <f t="shared" si="227"/>
        <v>8.8699999999999994E-3</v>
      </c>
    </row>
    <row r="4852" spans="1:10">
      <c r="A4852" t="s">
        <v>4934</v>
      </c>
      <c r="B4852">
        <v>61</v>
      </c>
      <c r="C4852" t="s">
        <v>7</v>
      </c>
      <c r="D4852">
        <v>15</v>
      </c>
      <c r="E4852">
        <v>75</v>
      </c>
      <c r="F4852">
        <v>1.9740000000000001E-2</v>
      </c>
      <c r="G4852">
        <v>0</v>
      </c>
      <c r="H4852" t="str">
        <f t="shared" si="225"/>
        <v>70-79</v>
      </c>
      <c r="I4852" t="str">
        <f t="shared" si="226"/>
        <v>10-19</v>
      </c>
      <c r="J4852">
        <f t="shared" si="227"/>
        <v>1.9740000000000001E-2</v>
      </c>
    </row>
    <row r="4853" spans="1:10">
      <c r="A4853" t="s">
        <v>4935</v>
      </c>
      <c r="B4853">
        <v>34</v>
      </c>
      <c r="C4853" t="s">
        <v>7</v>
      </c>
      <c r="D4853">
        <v>6</v>
      </c>
      <c r="E4853">
        <v>39</v>
      </c>
      <c r="F4853">
        <v>5.4000000000000001E-4</v>
      </c>
      <c r="G4853">
        <v>0</v>
      </c>
      <c r="H4853" t="str">
        <f t="shared" si="225"/>
        <v>30-39</v>
      </c>
      <c r="I4853" t="str">
        <f t="shared" si="226"/>
        <v>0-9</v>
      </c>
      <c r="J4853">
        <f t="shared" si="227"/>
        <v>5.4000000000000001E-4</v>
      </c>
    </row>
    <row r="4854" spans="1:10">
      <c r="A4854" t="s">
        <v>4936</v>
      </c>
      <c r="B4854">
        <v>21</v>
      </c>
      <c r="C4854" t="s">
        <v>9</v>
      </c>
      <c r="D4854">
        <v>19</v>
      </c>
      <c r="E4854">
        <v>39</v>
      </c>
      <c r="F4854">
        <v>1.48E-3</v>
      </c>
      <c r="G4854">
        <v>0</v>
      </c>
      <c r="H4854" t="str">
        <f t="shared" si="225"/>
        <v>30-39</v>
      </c>
      <c r="I4854" t="str">
        <f t="shared" si="226"/>
        <v>10-19</v>
      </c>
      <c r="J4854">
        <f t="shared" si="227"/>
        <v>1.48E-3</v>
      </c>
    </row>
    <row r="4855" spans="1:10">
      <c r="A4855" t="s">
        <v>4937</v>
      </c>
      <c r="B4855">
        <v>56</v>
      </c>
      <c r="C4855" t="s">
        <v>7</v>
      </c>
      <c r="D4855">
        <v>26</v>
      </c>
      <c r="E4855">
        <v>81</v>
      </c>
      <c r="F4855">
        <v>4.4880000000000003E-2</v>
      </c>
      <c r="G4855">
        <v>0</v>
      </c>
      <c r="H4855" t="str">
        <f t="shared" si="225"/>
        <v>80-89</v>
      </c>
      <c r="I4855" t="str">
        <f t="shared" si="226"/>
        <v>20-29</v>
      </c>
      <c r="J4855">
        <f t="shared" si="227"/>
        <v>4.4880000000000003E-2</v>
      </c>
    </row>
    <row r="4856" spans="1:10">
      <c r="A4856" t="s">
        <v>4938</v>
      </c>
      <c r="B4856">
        <v>65</v>
      </c>
      <c r="C4856" t="s">
        <v>9</v>
      </c>
      <c r="D4856">
        <v>24</v>
      </c>
      <c r="E4856">
        <v>88</v>
      </c>
      <c r="F4856">
        <v>0.13236000000000001</v>
      </c>
      <c r="G4856">
        <v>0</v>
      </c>
      <c r="H4856" t="str">
        <f t="shared" si="225"/>
        <v>80-89</v>
      </c>
      <c r="I4856" t="str">
        <f t="shared" si="226"/>
        <v>20-29</v>
      </c>
      <c r="J4856">
        <f t="shared" si="227"/>
        <v>0.13236000000000001</v>
      </c>
    </row>
    <row r="4857" spans="1:10">
      <c r="A4857" t="s">
        <v>4939</v>
      </c>
      <c r="B4857">
        <v>58</v>
      </c>
      <c r="C4857" t="s">
        <v>7</v>
      </c>
      <c r="D4857">
        <v>27</v>
      </c>
      <c r="E4857">
        <v>84</v>
      </c>
      <c r="F4857">
        <v>5.704E-2</v>
      </c>
      <c r="G4857">
        <v>0</v>
      </c>
      <c r="H4857" t="str">
        <f t="shared" si="225"/>
        <v>80-89</v>
      </c>
      <c r="I4857" t="str">
        <f t="shared" si="226"/>
        <v>20-29</v>
      </c>
      <c r="J4857">
        <f t="shared" si="227"/>
        <v>5.704E-2</v>
      </c>
    </row>
    <row r="4858" spans="1:10">
      <c r="A4858" t="s">
        <v>4940</v>
      </c>
      <c r="B4858">
        <v>20</v>
      </c>
      <c r="C4858" t="s">
        <v>7</v>
      </c>
      <c r="D4858">
        <v>6</v>
      </c>
      <c r="E4858">
        <v>25</v>
      </c>
      <c r="F4858">
        <v>3.2000000000000003E-4</v>
      </c>
      <c r="G4858">
        <v>0</v>
      </c>
      <c r="H4858" t="str">
        <f t="shared" si="225"/>
        <v>20-29</v>
      </c>
      <c r="I4858" t="str">
        <f t="shared" si="226"/>
        <v>0-9</v>
      </c>
      <c r="J4858">
        <f t="shared" si="227"/>
        <v>3.2000000000000003E-4</v>
      </c>
    </row>
    <row r="4859" spans="1:10">
      <c r="A4859" t="s">
        <v>4941</v>
      </c>
      <c r="B4859">
        <v>30</v>
      </c>
      <c r="C4859" t="s">
        <v>9</v>
      </c>
      <c r="D4859">
        <v>2</v>
      </c>
      <c r="E4859">
        <v>31</v>
      </c>
      <c r="F4859">
        <v>2.9E-4</v>
      </c>
      <c r="G4859">
        <v>0</v>
      </c>
      <c r="H4859" t="str">
        <f t="shared" si="225"/>
        <v>30-39</v>
      </c>
      <c r="I4859" t="str">
        <f t="shared" si="226"/>
        <v>0-9</v>
      </c>
      <c r="J4859">
        <f t="shared" si="227"/>
        <v>2.9E-4</v>
      </c>
    </row>
    <row r="4860" spans="1:10">
      <c r="A4860" t="s">
        <v>4942</v>
      </c>
      <c r="B4860">
        <v>58</v>
      </c>
      <c r="C4860" t="s">
        <v>7</v>
      </c>
      <c r="D4860">
        <v>15</v>
      </c>
      <c r="E4860">
        <v>72</v>
      </c>
      <c r="F4860">
        <v>1.46E-2</v>
      </c>
      <c r="G4860">
        <v>0</v>
      </c>
      <c r="H4860" t="str">
        <f t="shared" si="225"/>
        <v>70-79</v>
      </c>
      <c r="I4860" t="str">
        <f t="shared" si="226"/>
        <v>10-19</v>
      </c>
      <c r="J4860">
        <f t="shared" si="227"/>
        <v>1.46E-2</v>
      </c>
    </row>
    <row r="4861" spans="1:10">
      <c r="A4861" t="s">
        <v>4943</v>
      </c>
      <c r="B4861">
        <v>27</v>
      </c>
      <c r="C4861" t="s">
        <v>9</v>
      </c>
      <c r="D4861">
        <v>7</v>
      </c>
      <c r="E4861">
        <v>33</v>
      </c>
      <c r="F4861">
        <v>5.0000000000000001E-4</v>
      </c>
      <c r="G4861">
        <v>0</v>
      </c>
      <c r="H4861" t="str">
        <f t="shared" si="225"/>
        <v>30-39</v>
      </c>
      <c r="I4861" t="str">
        <f t="shared" si="226"/>
        <v>0-9</v>
      </c>
      <c r="J4861">
        <f t="shared" si="227"/>
        <v>5.0000000000000001E-4</v>
      </c>
    </row>
    <row r="4862" spans="1:10">
      <c r="A4862" t="s">
        <v>4944</v>
      </c>
      <c r="B4862">
        <v>40</v>
      </c>
      <c r="C4862" t="s">
        <v>7</v>
      </c>
      <c r="D4862">
        <v>5</v>
      </c>
      <c r="E4862">
        <v>44</v>
      </c>
      <c r="F4862">
        <v>7.6000000000000004E-4</v>
      </c>
      <c r="G4862">
        <v>0</v>
      </c>
      <c r="H4862" t="str">
        <f t="shared" si="225"/>
        <v>40-49</v>
      </c>
      <c r="I4862" t="str">
        <f t="shared" si="226"/>
        <v>0-9</v>
      </c>
      <c r="J4862">
        <f t="shared" si="227"/>
        <v>7.6000000000000004E-4</v>
      </c>
    </row>
    <row r="4863" spans="1:10">
      <c r="A4863" t="s">
        <v>4945</v>
      </c>
      <c r="B4863">
        <v>53</v>
      </c>
      <c r="C4863" t="s">
        <v>9</v>
      </c>
      <c r="D4863">
        <v>8</v>
      </c>
      <c r="E4863">
        <v>60</v>
      </c>
      <c r="F4863">
        <v>5.5100000000000001E-3</v>
      </c>
      <c r="G4863">
        <v>0</v>
      </c>
      <c r="H4863" t="str">
        <f t="shared" si="225"/>
        <v>60-69</v>
      </c>
      <c r="I4863" t="str">
        <f t="shared" si="226"/>
        <v>0-9</v>
      </c>
      <c r="J4863">
        <f t="shared" si="227"/>
        <v>5.5100000000000001E-3</v>
      </c>
    </row>
    <row r="4864" spans="1:10">
      <c r="A4864" t="s">
        <v>4946</v>
      </c>
      <c r="B4864">
        <v>63</v>
      </c>
      <c r="C4864" t="s">
        <v>7</v>
      </c>
      <c r="D4864">
        <v>25</v>
      </c>
      <c r="E4864">
        <v>87</v>
      </c>
      <c r="F4864">
        <v>9.3240000000000003E-2</v>
      </c>
      <c r="G4864">
        <v>0</v>
      </c>
      <c r="H4864" t="str">
        <f t="shared" si="225"/>
        <v>80-89</v>
      </c>
      <c r="I4864" t="str">
        <f t="shared" si="226"/>
        <v>20-29</v>
      </c>
      <c r="J4864">
        <f t="shared" si="227"/>
        <v>9.3240000000000003E-2</v>
      </c>
    </row>
    <row r="4865" spans="1:10">
      <c r="A4865" t="s">
        <v>4947</v>
      </c>
      <c r="B4865">
        <v>43</v>
      </c>
      <c r="C4865" t="s">
        <v>7</v>
      </c>
      <c r="D4865">
        <v>13</v>
      </c>
      <c r="E4865">
        <v>55</v>
      </c>
      <c r="F4865">
        <v>2.6800000000000001E-3</v>
      </c>
      <c r="G4865">
        <v>0</v>
      </c>
      <c r="H4865" t="str">
        <f t="shared" si="225"/>
        <v>50-59</v>
      </c>
      <c r="I4865" t="str">
        <f t="shared" si="226"/>
        <v>10-19</v>
      </c>
      <c r="J4865">
        <f t="shared" si="227"/>
        <v>2.6800000000000001E-3</v>
      </c>
    </row>
    <row r="4866" spans="1:10">
      <c r="A4866" t="s">
        <v>4948</v>
      </c>
      <c r="B4866">
        <v>23</v>
      </c>
      <c r="C4866" t="s">
        <v>9</v>
      </c>
      <c r="D4866">
        <v>18</v>
      </c>
      <c r="E4866">
        <v>40</v>
      </c>
      <c r="F4866">
        <v>1.4599999999999999E-3</v>
      </c>
      <c r="G4866">
        <v>0</v>
      </c>
      <c r="H4866" t="str">
        <f t="shared" si="225"/>
        <v>40-49</v>
      </c>
      <c r="I4866" t="str">
        <f t="shared" si="226"/>
        <v>10-19</v>
      </c>
      <c r="J4866">
        <f t="shared" si="227"/>
        <v>1.4599999999999999E-3</v>
      </c>
    </row>
    <row r="4867" spans="1:10">
      <c r="A4867" t="s">
        <v>4949</v>
      </c>
      <c r="B4867">
        <v>22</v>
      </c>
      <c r="C4867" t="s">
        <v>7</v>
      </c>
      <c r="D4867">
        <v>9</v>
      </c>
      <c r="E4867">
        <v>30</v>
      </c>
      <c r="F4867">
        <v>3.6999999999999999E-4</v>
      </c>
      <c r="G4867">
        <v>0</v>
      </c>
      <c r="H4867" t="str">
        <f t="shared" ref="H4867:H4930" si="228">FLOOR(E4867,10) &amp; "-" &amp; FLOOR(E4867,10)+9</f>
        <v>30-39</v>
      </c>
      <c r="I4867" t="str">
        <f t="shared" ref="I4867:I4930" si="229">FLOOR(D4867, 10) &amp; "-"&amp;FLOOR(D4867, 10)+9</f>
        <v>0-9</v>
      </c>
      <c r="J4867">
        <f t="shared" ref="J4867:J4930" si="230">F4867</f>
        <v>3.6999999999999999E-4</v>
      </c>
    </row>
    <row r="4868" spans="1:10">
      <c r="A4868" t="s">
        <v>4950</v>
      </c>
      <c r="B4868">
        <v>63</v>
      </c>
      <c r="C4868" t="s">
        <v>9</v>
      </c>
      <c r="D4868">
        <v>29</v>
      </c>
      <c r="E4868">
        <v>91</v>
      </c>
      <c r="F4868">
        <v>0.13258</v>
      </c>
      <c r="G4868">
        <v>0</v>
      </c>
      <c r="H4868" t="str">
        <f t="shared" si="228"/>
        <v>90-99</v>
      </c>
      <c r="I4868" t="str">
        <f t="shared" si="229"/>
        <v>20-29</v>
      </c>
      <c r="J4868">
        <f t="shared" si="230"/>
        <v>0.13258</v>
      </c>
    </row>
    <row r="4869" spans="1:10">
      <c r="A4869" t="s">
        <v>4951</v>
      </c>
      <c r="B4869">
        <v>56</v>
      </c>
      <c r="C4869" t="s">
        <v>9</v>
      </c>
      <c r="D4869">
        <v>15</v>
      </c>
      <c r="E4869">
        <v>70</v>
      </c>
      <c r="F4869">
        <v>1.6750000000000001E-2</v>
      </c>
      <c r="G4869">
        <v>0</v>
      </c>
      <c r="H4869" t="str">
        <f t="shared" si="228"/>
        <v>70-79</v>
      </c>
      <c r="I4869" t="str">
        <f t="shared" si="229"/>
        <v>10-19</v>
      </c>
      <c r="J4869">
        <f t="shared" si="230"/>
        <v>1.6750000000000001E-2</v>
      </c>
    </row>
    <row r="4870" spans="1:10">
      <c r="A4870" t="s">
        <v>4952</v>
      </c>
      <c r="B4870">
        <v>65</v>
      </c>
      <c r="C4870" t="s">
        <v>9</v>
      </c>
      <c r="D4870">
        <v>29</v>
      </c>
      <c r="E4870">
        <v>93</v>
      </c>
      <c r="F4870">
        <v>0.16611999999999999</v>
      </c>
      <c r="G4870">
        <v>0</v>
      </c>
      <c r="H4870" t="str">
        <f t="shared" si="228"/>
        <v>90-99</v>
      </c>
      <c r="I4870" t="str">
        <f t="shared" si="229"/>
        <v>20-29</v>
      </c>
      <c r="J4870">
        <f t="shared" si="230"/>
        <v>0.16611999999999999</v>
      </c>
    </row>
    <row r="4871" spans="1:10">
      <c r="A4871" t="s">
        <v>4953</v>
      </c>
      <c r="B4871">
        <v>31</v>
      </c>
      <c r="C4871" t="s">
        <v>7</v>
      </c>
      <c r="D4871">
        <v>8</v>
      </c>
      <c r="E4871">
        <v>38</v>
      </c>
      <c r="F4871">
        <v>5.6999999999999998E-4</v>
      </c>
      <c r="G4871">
        <v>0</v>
      </c>
      <c r="H4871" t="str">
        <f t="shared" si="228"/>
        <v>30-39</v>
      </c>
      <c r="I4871" t="str">
        <f t="shared" si="229"/>
        <v>0-9</v>
      </c>
      <c r="J4871">
        <f t="shared" si="230"/>
        <v>5.6999999999999998E-4</v>
      </c>
    </row>
    <row r="4872" spans="1:10">
      <c r="A4872" t="s">
        <v>4954</v>
      </c>
      <c r="B4872">
        <v>23</v>
      </c>
      <c r="C4872" t="s">
        <v>7</v>
      </c>
      <c r="D4872">
        <v>26</v>
      </c>
      <c r="E4872">
        <v>48</v>
      </c>
      <c r="F4872">
        <v>1.73E-3</v>
      </c>
      <c r="G4872">
        <v>0</v>
      </c>
      <c r="H4872" t="str">
        <f t="shared" si="228"/>
        <v>40-49</v>
      </c>
      <c r="I4872" t="str">
        <f t="shared" si="229"/>
        <v>20-29</v>
      </c>
      <c r="J4872">
        <f t="shared" si="230"/>
        <v>1.73E-3</v>
      </c>
    </row>
    <row r="4873" spans="1:10">
      <c r="A4873" t="s">
        <v>4955</v>
      </c>
      <c r="B4873">
        <v>22</v>
      </c>
      <c r="C4873" t="s">
        <v>9</v>
      </c>
      <c r="D4873">
        <v>7</v>
      </c>
      <c r="E4873">
        <v>28</v>
      </c>
      <c r="F4873">
        <v>5.9999999999999995E-4</v>
      </c>
      <c r="G4873">
        <v>0</v>
      </c>
      <c r="H4873" t="str">
        <f t="shared" si="228"/>
        <v>20-29</v>
      </c>
      <c r="I4873" t="str">
        <f t="shared" si="229"/>
        <v>0-9</v>
      </c>
      <c r="J4873">
        <f t="shared" si="230"/>
        <v>5.9999999999999995E-4</v>
      </c>
    </row>
    <row r="4874" spans="1:10">
      <c r="A4874" t="s">
        <v>4956</v>
      </c>
      <c r="B4874">
        <v>35</v>
      </c>
      <c r="C4874" t="s">
        <v>9</v>
      </c>
      <c r="D4874">
        <v>30</v>
      </c>
      <c r="E4874">
        <v>64</v>
      </c>
      <c r="F4874">
        <v>6.3299999999999997E-3</v>
      </c>
      <c r="G4874">
        <v>0</v>
      </c>
      <c r="H4874" t="str">
        <f t="shared" si="228"/>
        <v>60-69</v>
      </c>
      <c r="I4874" t="str">
        <f t="shared" si="229"/>
        <v>30-39</v>
      </c>
      <c r="J4874">
        <f t="shared" si="230"/>
        <v>6.3299999999999997E-3</v>
      </c>
    </row>
    <row r="4875" spans="1:10">
      <c r="A4875" t="s">
        <v>4957</v>
      </c>
      <c r="B4875">
        <v>56</v>
      </c>
      <c r="C4875" t="s">
        <v>7</v>
      </c>
      <c r="D4875">
        <v>28</v>
      </c>
      <c r="E4875">
        <v>83</v>
      </c>
      <c r="F4875">
        <v>4.4880000000000003E-2</v>
      </c>
      <c r="G4875">
        <v>0</v>
      </c>
      <c r="H4875" t="str">
        <f t="shared" si="228"/>
        <v>80-89</v>
      </c>
      <c r="I4875" t="str">
        <f t="shared" si="229"/>
        <v>20-29</v>
      </c>
      <c r="J4875">
        <f t="shared" si="230"/>
        <v>4.4880000000000003E-2</v>
      </c>
    </row>
    <row r="4876" spans="1:10">
      <c r="A4876" t="s">
        <v>4958</v>
      </c>
      <c r="B4876">
        <v>49</v>
      </c>
      <c r="C4876" t="s">
        <v>9</v>
      </c>
      <c r="D4876">
        <v>3</v>
      </c>
      <c r="E4876">
        <v>51</v>
      </c>
      <c r="F4876">
        <v>1.5399999999999999E-3</v>
      </c>
      <c r="G4876">
        <v>0</v>
      </c>
      <c r="H4876" t="str">
        <f t="shared" si="228"/>
        <v>50-59</v>
      </c>
      <c r="I4876" t="str">
        <f t="shared" si="229"/>
        <v>0-9</v>
      </c>
      <c r="J4876">
        <f t="shared" si="230"/>
        <v>1.5399999999999999E-3</v>
      </c>
    </row>
    <row r="4877" spans="1:10">
      <c r="A4877" t="s">
        <v>4959</v>
      </c>
      <c r="B4877">
        <v>33</v>
      </c>
      <c r="C4877" t="s">
        <v>7</v>
      </c>
      <c r="D4877">
        <v>28</v>
      </c>
      <c r="E4877">
        <v>60</v>
      </c>
      <c r="F4877">
        <v>4.0499999999999998E-3</v>
      </c>
      <c r="G4877">
        <v>0</v>
      </c>
      <c r="H4877" t="str">
        <f t="shared" si="228"/>
        <v>60-69</v>
      </c>
      <c r="I4877" t="str">
        <f t="shared" si="229"/>
        <v>20-29</v>
      </c>
      <c r="J4877">
        <f t="shared" si="230"/>
        <v>4.0499999999999998E-3</v>
      </c>
    </row>
    <row r="4878" spans="1:10">
      <c r="A4878" t="s">
        <v>4960</v>
      </c>
      <c r="B4878">
        <v>25</v>
      </c>
      <c r="C4878" t="s">
        <v>7</v>
      </c>
      <c r="D4878">
        <v>1</v>
      </c>
      <c r="E4878">
        <v>25</v>
      </c>
      <c r="F4878">
        <v>1.6000000000000001E-4</v>
      </c>
      <c r="G4878">
        <v>0</v>
      </c>
      <c r="H4878" t="str">
        <f t="shared" si="228"/>
        <v>20-29</v>
      </c>
      <c r="I4878" t="str">
        <f t="shared" si="229"/>
        <v>0-9</v>
      </c>
      <c r="J4878">
        <f t="shared" si="230"/>
        <v>1.6000000000000001E-4</v>
      </c>
    </row>
    <row r="4879" spans="1:10">
      <c r="A4879" t="s">
        <v>4961</v>
      </c>
      <c r="B4879">
        <v>30</v>
      </c>
      <c r="C4879" t="s">
        <v>7</v>
      </c>
      <c r="D4879">
        <v>25</v>
      </c>
      <c r="E4879">
        <v>54</v>
      </c>
      <c r="F4879">
        <v>2.82E-3</v>
      </c>
      <c r="G4879">
        <v>0</v>
      </c>
      <c r="H4879" t="str">
        <f t="shared" si="228"/>
        <v>50-59</v>
      </c>
      <c r="I4879" t="str">
        <f t="shared" si="229"/>
        <v>20-29</v>
      </c>
      <c r="J4879">
        <f t="shared" si="230"/>
        <v>2.82E-3</v>
      </c>
    </row>
    <row r="4880" spans="1:10">
      <c r="A4880" t="s">
        <v>4962</v>
      </c>
      <c r="B4880">
        <v>42</v>
      </c>
      <c r="C4880" t="s">
        <v>9</v>
      </c>
      <c r="D4880">
        <v>22</v>
      </c>
      <c r="E4880">
        <v>63</v>
      </c>
      <c r="F4880">
        <v>8.5000000000000006E-3</v>
      </c>
      <c r="G4880">
        <v>0</v>
      </c>
      <c r="H4880" t="str">
        <f t="shared" si="228"/>
        <v>60-69</v>
      </c>
      <c r="I4880" t="str">
        <f t="shared" si="229"/>
        <v>20-29</v>
      </c>
      <c r="J4880">
        <f t="shared" si="230"/>
        <v>8.5000000000000006E-3</v>
      </c>
    </row>
    <row r="4881" spans="1:10">
      <c r="A4881" t="s">
        <v>4963</v>
      </c>
      <c r="B4881">
        <v>50</v>
      </c>
      <c r="C4881" t="s">
        <v>7</v>
      </c>
      <c r="D4881">
        <v>9</v>
      </c>
      <c r="E4881">
        <v>58</v>
      </c>
      <c r="F4881">
        <v>3.0200000000000001E-3</v>
      </c>
      <c r="G4881">
        <v>0</v>
      </c>
      <c r="H4881" t="str">
        <f t="shared" si="228"/>
        <v>50-59</v>
      </c>
      <c r="I4881" t="str">
        <f t="shared" si="229"/>
        <v>0-9</v>
      </c>
      <c r="J4881">
        <f t="shared" si="230"/>
        <v>3.0200000000000001E-3</v>
      </c>
    </row>
    <row r="4882" spans="1:10">
      <c r="A4882" t="s">
        <v>4964</v>
      </c>
      <c r="B4882">
        <v>32</v>
      </c>
      <c r="C4882" t="s">
        <v>7</v>
      </c>
      <c r="D4882">
        <v>2</v>
      </c>
      <c r="E4882">
        <v>33</v>
      </c>
      <c r="F4882">
        <v>2.0000000000000001E-4</v>
      </c>
      <c r="G4882">
        <v>0</v>
      </c>
      <c r="H4882" t="str">
        <f t="shared" si="228"/>
        <v>30-39</v>
      </c>
      <c r="I4882" t="str">
        <f t="shared" si="229"/>
        <v>0-9</v>
      </c>
      <c r="J4882">
        <f t="shared" si="230"/>
        <v>2.0000000000000001E-4</v>
      </c>
    </row>
    <row r="4883" spans="1:10">
      <c r="A4883" t="s">
        <v>4965</v>
      </c>
      <c r="B4883">
        <v>20</v>
      </c>
      <c r="C4883" t="s">
        <v>9</v>
      </c>
      <c r="D4883">
        <v>19</v>
      </c>
      <c r="E4883">
        <v>38</v>
      </c>
      <c r="F4883">
        <v>1.4E-3</v>
      </c>
      <c r="G4883">
        <v>0</v>
      </c>
      <c r="H4883" t="str">
        <f t="shared" si="228"/>
        <v>30-39</v>
      </c>
      <c r="I4883" t="str">
        <f t="shared" si="229"/>
        <v>10-19</v>
      </c>
      <c r="J4883">
        <f t="shared" si="230"/>
        <v>1.4E-3</v>
      </c>
    </row>
    <row r="4884" spans="1:10">
      <c r="A4884" t="s">
        <v>4966</v>
      </c>
      <c r="B4884">
        <v>33</v>
      </c>
      <c r="C4884" t="s">
        <v>7</v>
      </c>
      <c r="D4884">
        <v>22</v>
      </c>
      <c r="E4884">
        <v>54</v>
      </c>
      <c r="F4884">
        <v>2.82E-3</v>
      </c>
      <c r="G4884">
        <v>0</v>
      </c>
      <c r="H4884" t="str">
        <f t="shared" si="228"/>
        <v>50-59</v>
      </c>
      <c r="I4884" t="str">
        <f t="shared" si="229"/>
        <v>20-29</v>
      </c>
      <c r="J4884">
        <f t="shared" si="230"/>
        <v>2.82E-3</v>
      </c>
    </row>
    <row r="4885" spans="1:10">
      <c r="A4885" t="s">
        <v>4967</v>
      </c>
      <c r="B4885">
        <v>27</v>
      </c>
      <c r="C4885" t="s">
        <v>9</v>
      </c>
      <c r="D4885">
        <v>5</v>
      </c>
      <c r="E4885">
        <v>31</v>
      </c>
      <c r="F4885">
        <v>4.0000000000000002E-4</v>
      </c>
      <c r="G4885">
        <v>0</v>
      </c>
      <c r="H4885" t="str">
        <f t="shared" si="228"/>
        <v>30-39</v>
      </c>
      <c r="I4885" t="str">
        <f t="shared" si="229"/>
        <v>0-9</v>
      </c>
      <c r="J4885">
        <f t="shared" si="230"/>
        <v>4.0000000000000002E-4</v>
      </c>
    </row>
    <row r="4886" spans="1:10">
      <c r="A4886" t="s">
        <v>4968</v>
      </c>
      <c r="B4886">
        <v>29</v>
      </c>
      <c r="C4886" t="s">
        <v>9</v>
      </c>
      <c r="D4886">
        <v>4</v>
      </c>
      <c r="E4886">
        <v>32</v>
      </c>
      <c r="F4886">
        <v>4.0999999999999999E-4</v>
      </c>
      <c r="G4886">
        <v>0</v>
      </c>
      <c r="H4886" t="str">
        <f t="shared" si="228"/>
        <v>30-39</v>
      </c>
      <c r="I4886" t="str">
        <f t="shared" si="229"/>
        <v>0-9</v>
      </c>
      <c r="J4886">
        <f t="shared" si="230"/>
        <v>4.0999999999999999E-4</v>
      </c>
    </row>
    <row r="4887" spans="1:10">
      <c r="A4887" t="s">
        <v>4969</v>
      </c>
      <c r="B4887">
        <v>63</v>
      </c>
      <c r="C4887" t="s">
        <v>7</v>
      </c>
      <c r="D4887">
        <v>30</v>
      </c>
      <c r="E4887">
        <v>92</v>
      </c>
      <c r="F4887">
        <v>0.10484</v>
      </c>
      <c r="G4887">
        <v>0</v>
      </c>
      <c r="H4887" t="str">
        <f t="shared" si="228"/>
        <v>90-99</v>
      </c>
      <c r="I4887" t="str">
        <f t="shared" si="229"/>
        <v>30-39</v>
      </c>
      <c r="J4887">
        <f t="shared" si="230"/>
        <v>0.10484</v>
      </c>
    </row>
    <row r="4888" spans="1:10">
      <c r="A4888" t="s">
        <v>4970</v>
      </c>
      <c r="B4888">
        <v>49</v>
      </c>
      <c r="C4888" t="s">
        <v>7</v>
      </c>
      <c r="D4888">
        <v>25</v>
      </c>
      <c r="E4888">
        <v>73</v>
      </c>
      <c r="F4888">
        <v>1.8970000000000001E-2</v>
      </c>
      <c r="G4888">
        <v>0</v>
      </c>
      <c r="H4888" t="str">
        <f t="shared" si="228"/>
        <v>70-79</v>
      </c>
      <c r="I4888" t="str">
        <f t="shared" si="229"/>
        <v>20-29</v>
      </c>
      <c r="J4888">
        <f t="shared" si="230"/>
        <v>1.8970000000000001E-2</v>
      </c>
    </row>
    <row r="4889" spans="1:10">
      <c r="A4889" t="s">
        <v>4971</v>
      </c>
      <c r="B4889">
        <v>58</v>
      </c>
      <c r="C4889" t="s">
        <v>7</v>
      </c>
      <c r="D4889">
        <v>25</v>
      </c>
      <c r="E4889">
        <v>82</v>
      </c>
      <c r="F4889">
        <v>5.0599999999999999E-2</v>
      </c>
      <c r="G4889">
        <v>0</v>
      </c>
      <c r="H4889" t="str">
        <f t="shared" si="228"/>
        <v>80-89</v>
      </c>
      <c r="I4889" t="str">
        <f t="shared" si="229"/>
        <v>20-29</v>
      </c>
      <c r="J4889">
        <f t="shared" si="230"/>
        <v>5.0599999999999999E-2</v>
      </c>
    </row>
    <row r="4890" spans="1:10">
      <c r="A4890" t="s">
        <v>4972</v>
      </c>
      <c r="B4890">
        <v>27</v>
      </c>
      <c r="C4890" t="s">
        <v>9</v>
      </c>
      <c r="D4890">
        <v>13</v>
      </c>
      <c r="E4890">
        <v>39</v>
      </c>
      <c r="F4890">
        <v>1.0300000000000001E-3</v>
      </c>
      <c r="G4890">
        <v>0</v>
      </c>
      <c r="H4890" t="str">
        <f t="shared" si="228"/>
        <v>30-39</v>
      </c>
      <c r="I4890" t="str">
        <f t="shared" si="229"/>
        <v>10-19</v>
      </c>
      <c r="J4890">
        <f t="shared" si="230"/>
        <v>1.0300000000000001E-3</v>
      </c>
    </row>
    <row r="4891" spans="1:10">
      <c r="A4891" t="s">
        <v>4973</v>
      </c>
      <c r="B4891">
        <v>31</v>
      </c>
      <c r="C4891" t="s">
        <v>9</v>
      </c>
      <c r="D4891">
        <v>2</v>
      </c>
      <c r="E4891">
        <v>32</v>
      </c>
      <c r="F4891">
        <v>2.9E-4</v>
      </c>
      <c r="G4891">
        <v>0</v>
      </c>
      <c r="H4891" t="str">
        <f t="shared" si="228"/>
        <v>30-39</v>
      </c>
      <c r="I4891" t="str">
        <f t="shared" si="229"/>
        <v>0-9</v>
      </c>
      <c r="J4891">
        <f t="shared" si="230"/>
        <v>2.9E-4</v>
      </c>
    </row>
    <row r="4892" spans="1:10">
      <c r="A4892" t="s">
        <v>4974</v>
      </c>
      <c r="B4892">
        <v>48</v>
      </c>
      <c r="C4892" t="s">
        <v>7</v>
      </c>
      <c r="D4892">
        <v>5</v>
      </c>
      <c r="E4892">
        <v>52</v>
      </c>
      <c r="F4892">
        <v>1.47E-3</v>
      </c>
      <c r="G4892">
        <v>0</v>
      </c>
      <c r="H4892" t="str">
        <f t="shared" si="228"/>
        <v>50-59</v>
      </c>
      <c r="I4892" t="str">
        <f t="shared" si="229"/>
        <v>0-9</v>
      </c>
      <c r="J4892">
        <f t="shared" si="230"/>
        <v>1.47E-3</v>
      </c>
    </row>
    <row r="4893" spans="1:10">
      <c r="A4893" t="s">
        <v>4975</v>
      </c>
      <c r="B4893">
        <v>53</v>
      </c>
      <c r="C4893" t="s">
        <v>9</v>
      </c>
      <c r="D4893">
        <v>25</v>
      </c>
      <c r="E4893">
        <v>77</v>
      </c>
      <c r="F4893">
        <v>3.7039999999999997E-2</v>
      </c>
      <c r="G4893">
        <v>0</v>
      </c>
      <c r="H4893" t="str">
        <f t="shared" si="228"/>
        <v>70-79</v>
      </c>
      <c r="I4893" t="str">
        <f t="shared" si="229"/>
        <v>20-29</v>
      </c>
      <c r="J4893">
        <f t="shared" si="230"/>
        <v>3.7039999999999997E-2</v>
      </c>
    </row>
    <row r="4894" spans="1:10">
      <c r="A4894" t="s">
        <v>4976</v>
      </c>
      <c r="B4894">
        <v>59</v>
      </c>
      <c r="C4894" t="s">
        <v>7</v>
      </c>
      <c r="D4894">
        <v>24</v>
      </c>
      <c r="E4894">
        <v>82</v>
      </c>
      <c r="F4894">
        <v>5.0599999999999999E-2</v>
      </c>
      <c r="G4894">
        <v>1</v>
      </c>
      <c r="H4894" t="str">
        <f t="shared" si="228"/>
        <v>80-89</v>
      </c>
      <c r="I4894" t="str">
        <f t="shared" si="229"/>
        <v>20-29</v>
      </c>
      <c r="J4894">
        <f t="shared" si="230"/>
        <v>5.0599999999999999E-2</v>
      </c>
    </row>
    <row r="4895" spans="1:10">
      <c r="A4895" t="s">
        <v>4977</v>
      </c>
      <c r="B4895">
        <v>56</v>
      </c>
      <c r="C4895" t="s">
        <v>9</v>
      </c>
      <c r="D4895">
        <v>7</v>
      </c>
      <c r="E4895">
        <v>62</v>
      </c>
      <c r="F4895">
        <v>6.5399999999999998E-3</v>
      </c>
      <c r="G4895">
        <v>0</v>
      </c>
      <c r="H4895" t="str">
        <f t="shared" si="228"/>
        <v>60-69</v>
      </c>
      <c r="I4895" t="str">
        <f t="shared" si="229"/>
        <v>0-9</v>
      </c>
      <c r="J4895">
        <f t="shared" si="230"/>
        <v>6.5399999999999998E-3</v>
      </c>
    </row>
    <row r="4896" spans="1:10">
      <c r="A4896" t="s">
        <v>4978</v>
      </c>
      <c r="B4896">
        <v>54</v>
      </c>
      <c r="C4896" t="s">
        <v>7</v>
      </c>
      <c r="D4896">
        <v>1</v>
      </c>
      <c r="E4896">
        <v>54</v>
      </c>
      <c r="F4896">
        <v>5.1000000000000004E-4</v>
      </c>
      <c r="G4896">
        <v>0</v>
      </c>
      <c r="H4896" t="str">
        <f t="shared" si="228"/>
        <v>50-59</v>
      </c>
      <c r="I4896" t="str">
        <f t="shared" si="229"/>
        <v>0-9</v>
      </c>
      <c r="J4896">
        <f t="shared" si="230"/>
        <v>5.1000000000000004E-4</v>
      </c>
    </row>
    <row r="4897" spans="1:10">
      <c r="A4897" t="s">
        <v>4979</v>
      </c>
      <c r="B4897">
        <v>62</v>
      </c>
      <c r="C4897" t="s">
        <v>9</v>
      </c>
      <c r="D4897">
        <v>26</v>
      </c>
      <c r="E4897">
        <v>87</v>
      </c>
      <c r="F4897">
        <v>0.11724</v>
      </c>
      <c r="G4897">
        <v>0</v>
      </c>
      <c r="H4897" t="str">
        <f t="shared" si="228"/>
        <v>80-89</v>
      </c>
      <c r="I4897" t="str">
        <f t="shared" si="229"/>
        <v>20-29</v>
      </c>
      <c r="J4897">
        <f t="shared" si="230"/>
        <v>0.11724</v>
      </c>
    </row>
    <row r="4898" spans="1:10">
      <c r="A4898" t="s">
        <v>4980</v>
      </c>
      <c r="B4898">
        <v>29</v>
      </c>
      <c r="C4898" t="s">
        <v>7</v>
      </c>
      <c r="D4898">
        <v>25</v>
      </c>
      <c r="E4898">
        <v>53</v>
      </c>
      <c r="F4898">
        <v>2.5899999999999999E-3</v>
      </c>
      <c r="G4898">
        <v>0</v>
      </c>
      <c r="H4898" t="str">
        <f t="shared" si="228"/>
        <v>50-59</v>
      </c>
      <c r="I4898" t="str">
        <f t="shared" si="229"/>
        <v>20-29</v>
      </c>
      <c r="J4898">
        <f t="shared" si="230"/>
        <v>2.5899999999999999E-3</v>
      </c>
    </row>
    <row r="4899" spans="1:10">
      <c r="A4899" t="s">
        <v>4981</v>
      </c>
      <c r="B4899">
        <v>25</v>
      </c>
      <c r="C4899" t="s">
        <v>9</v>
      </c>
      <c r="D4899">
        <v>10</v>
      </c>
      <c r="E4899">
        <v>34</v>
      </c>
      <c r="F4899">
        <v>6.6E-4</v>
      </c>
      <c r="G4899">
        <v>0</v>
      </c>
      <c r="H4899" t="str">
        <f t="shared" si="228"/>
        <v>30-39</v>
      </c>
      <c r="I4899" t="str">
        <f t="shared" si="229"/>
        <v>10-19</v>
      </c>
      <c r="J4899">
        <f t="shared" si="230"/>
        <v>6.6E-4</v>
      </c>
    </row>
    <row r="4900" spans="1:10">
      <c r="A4900" t="s">
        <v>4982</v>
      </c>
      <c r="B4900">
        <v>45</v>
      </c>
      <c r="C4900" t="s">
        <v>7</v>
      </c>
      <c r="D4900">
        <v>21</v>
      </c>
      <c r="E4900">
        <v>65</v>
      </c>
      <c r="F4900">
        <v>8.3099999999999997E-3</v>
      </c>
      <c r="G4900">
        <v>0</v>
      </c>
      <c r="H4900" t="str">
        <f t="shared" si="228"/>
        <v>60-69</v>
      </c>
      <c r="I4900" t="str">
        <f t="shared" si="229"/>
        <v>20-29</v>
      </c>
      <c r="J4900">
        <f t="shared" si="230"/>
        <v>8.3099999999999997E-3</v>
      </c>
    </row>
    <row r="4901" spans="1:10">
      <c r="A4901" t="s">
        <v>4983</v>
      </c>
      <c r="B4901">
        <v>20</v>
      </c>
      <c r="C4901" t="s">
        <v>7</v>
      </c>
      <c r="D4901">
        <v>19</v>
      </c>
      <c r="E4901">
        <v>38</v>
      </c>
      <c r="F4901">
        <v>1E-3</v>
      </c>
      <c r="G4901">
        <v>0</v>
      </c>
      <c r="H4901" t="str">
        <f t="shared" si="228"/>
        <v>30-39</v>
      </c>
      <c r="I4901" t="str">
        <f t="shared" si="229"/>
        <v>10-19</v>
      </c>
      <c r="J4901">
        <f t="shared" si="230"/>
        <v>1E-3</v>
      </c>
    </row>
    <row r="4902" spans="1:10">
      <c r="A4902" t="s">
        <v>4984</v>
      </c>
      <c r="B4902">
        <v>29</v>
      </c>
      <c r="C4902" t="s">
        <v>9</v>
      </c>
      <c r="D4902">
        <v>20</v>
      </c>
      <c r="E4902">
        <v>48</v>
      </c>
      <c r="F4902">
        <v>2.15E-3</v>
      </c>
      <c r="G4902">
        <v>0</v>
      </c>
      <c r="H4902" t="str">
        <f t="shared" si="228"/>
        <v>40-49</v>
      </c>
      <c r="I4902" t="str">
        <f t="shared" si="229"/>
        <v>20-29</v>
      </c>
      <c r="J4902">
        <f t="shared" si="230"/>
        <v>2.15E-3</v>
      </c>
    </row>
    <row r="4903" spans="1:10">
      <c r="A4903" t="s">
        <v>4985</v>
      </c>
      <c r="B4903">
        <v>57</v>
      </c>
      <c r="C4903" t="s">
        <v>7</v>
      </c>
      <c r="D4903">
        <v>7</v>
      </c>
      <c r="E4903">
        <v>63</v>
      </c>
      <c r="F4903">
        <v>4.81E-3</v>
      </c>
      <c r="G4903">
        <v>0</v>
      </c>
      <c r="H4903" t="str">
        <f t="shared" si="228"/>
        <v>60-69</v>
      </c>
      <c r="I4903" t="str">
        <f t="shared" si="229"/>
        <v>0-9</v>
      </c>
      <c r="J4903">
        <f t="shared" si="230"/>
        <v>4.81E-3</v>
      </c>
    </row>
    <row r="4904" spans="1:10">
      <c r="A4904" t="s">
        <v>4986</v>
      </c>
      <c r="B4904">
        <v>42</v>
      </c>
      <c r="C4904" t="s">
        <v>9</v>
      </c>
      <c r="D4904">
        <v>24</v>
      </c>
      <c r="E4904">
        <v>65</v>
      </c>
      <c r="F4904">
        <v>1.0449999999999999E-2</v>
      </c>
      <c r="G4904">
        <v>0</v>
      </c>
      <c r="H4904" t="str">
        <f t="shared" si="228"/>
        <v>60-69</v>
      </c>
      <c r="I4904" t="str">
        <f t="shared" si="229"/>
        <v>20-29</v>
      </c>
      <c r="J4904">
        <f t="shared" si="230"/>
        <v>1.0449999999999999E-2</v>
      </c>
    </row>
    <row r="4905" spans="1:10">
      <c r="A4905" t="s">
        <v>4987</v>
      </c>
      <c r="B4905">
        <v>61</v>
      </c>
      <c r="C4905" t="s">
        <v>7</v>
      </c>
      <c r="D4905">
        <v>1</v>
      </c>
      <c r="E4905">
        <v>61</v>
      </c>
      <c r="F4905">
        <v>8.3000000000000001E-4</v>
      </c>
      <c r="G4905">
        <v>0</v>
      </c>
      <c r="H4905" t="str">
        <f t="shared" si="228"/>
        <v>60-69</v>
      </c>
      <c r="I4905" t="str">
        <f t="shared" si="229"/>
        <v>0-9</v>
      </c>
      <c r="J4905">
        <f t="shared" si="230"/>
        <v>8.3000000000000001E-4</v>
      </c>
    </row>
    <row r="4906" spans="1:10">
      <c r="A4906" t="s">
        <v>4988</v>
      </c>
      <c r="B4906">
        <v>62</v>
      </c>
      <c r="C4906" t="s">
        <v>7</v>
      </c>
      <c r="D4906">
        <v>19</v>
      </c>
      <c r="E4906">
        <v>80</v>
      </c>
      <c r="F4906">
        <v>3.8629999999999998E-2</v>
      </c>
      <c r="G4906">
        <v>0</v>
      </c>
      <c r="H4906" t="str">
        <f t="shared" si="228"/>
        <v>80-89</v>
      </c>
      <c r="I4906" t="str">
        <f t="shared" si="229"/>
        <v>10-19</v>
      </c>
      <c r="J4906">
        <f t="shared" si="230"/>
        <v>3.8629999999999998E-2</v>
      </c>
    </row>
    <row r="4907" spans="1:10">
      <c r="A4907" t="s">
        <v>4989</v>
      </c>
      <c r="B4907">
        <v>64</v>
      </c>
      <c r="C4907" t="s">
        <v>9</v>
      </c>
      <c r="D4907">
        <v>19</v>
      </c>
      <c r="E4907">
        <v>82</v>
      </c>
      <c r="F4907">
        <v>6.2700000000000006E-2</v>
      </c>
      <c r="G4907">
        <v>1</v>
      </c>
      <c r="H4907" t="str">
        <f t="shared" si="228"/>
        <v>80-89</v>
      </c>
      <c r="I4907" t="str">
        <f t="shared" si="229"/>
        <v>10-19</v>
      </c>
      <c r="J4907">
        <f t="shared" si="230"/>
        <v>6.2700000000000006E-2</v>
      </c>
    </row>
    <row r="4908" spans="1:10">
      <c r="A4908" t="s">
        <v>4990</v>
      </c>
      <c r="B4908">
        <v>26</v>
      </c>
      <c r="C4908" t="s">
        <v>7</v>
      </c>
      <c r="D4908">
        <v>8</v>
      </c>
      <c r="E4908">
        <v>33</v>
      </c>
      <c r="F4908">
        <v>3.8000000000000002E-4</v>
      </c>
      <c r="G4908">
        <v>0</v>
      </c>
      <c r="H4908" t="str">
        <f t="shared" si="228"/>
        <v>30-39</v>
      </c>
      <c r="I4908" t="str">
        <f t="shared" si="229"/>
        <v>0-9</v>
      </c>
      <c r="J4908">
        <f t="shared" si="230"/>
        <v>3.8000000000000002E-4</v>
      </c>
    </row>
    <row r="4909" spans="1:10">
      <c r="A4909" t="s">
        <v>4991</v>
      </c>
      <c r="B4909">
        <v>37</v>
      </c>
      <c r="C4909" t="s">
        <v>9</v>
      </c>
      <c r="D4909">
        <v>7</v>
      </c>
      <c r="E4909">
        <v>43</v>
      </c>
      <c r="F4909">
        <v>1.0399999999999999E-3</v>
      </c>
      <c r="G4909">
        <v>0</v>
      </c>
      <c r="H4909" t="str">
        <f t="shared" si="228"/>
        <v>40-49</v>
      </c>
      <c r="I4909" t="str">
        <f t="shared" si="229"/>
        <v>0-9</v>
      </c>
      <c r="J4909">
        <f t="shared" si="230"/>
        <v>1.0399999999999999E-3</v>
      </c>
    </row>
    <row r="4910" spans="1:10">
      <c r="A4910" t="s">
        <v>4992</v>
      </c>
      <c r="B4910">
        <v>40</v>
      </c>
      <c r="C4910" t="s">
        <v>9</v>
      </c>
      <c r="D4910">
        <v>18</v>
      </c>
      <c r="E4910">
        <v>57</v>
      </c>
      <c r="F4910">
        <v>4.5900000000000003E-3</v>
      </c>
      <c r="G4910">
        <v>0</v>
      </c>
      <c r="H4910" t="str">
        <f t="shared" si="228"/>
        <v>50-59</v>
      </c>
      <c r="I4910" t="str">
        <f t="shared" si="229"/>
        <v>10-19</v>
      </c>
      <c r="J4910">
        <f t="shared" si="230"/>
        <v>4.5900000000000003E-3</v>
      </c>
    </row>
    <row r="4911" spans="1:10">
      <c r="A4911" t="s">
        <v>4993</v>
      </c>
      <c r="B4911">
        <v>28</v>
      </c>
      <c r="C4911" t="s">
        <v>7</v>
      </c>
      <c r="D4911">
        <v>7</v>
      </c>
      <c r="E4911">
        <v>34</v>
      </c>
      <c r="F4911">
        <v>3.6000000000000002E-4</v>
      </c>
      <c r="G4911">
        <v>0</v>
      </c>
      <c r="H4911" t="str">
        <f t="shared" si="228"/>
        <v>30-39</v>
      </c>
      <c r="I4911" t="str">
        <f t="shared" si="229"/>
        <v>0-9</v>
      </c>
      <c r="J4911">
        <f t="shared" si="230"/>
        <v>3.6000000000000002E-4</v>
      </c>
    </row>
    <row r="4912" spans="1:10">
      <c r="A4912" t="s">
        <v>4994</v>
      </c>
      <c r="B4912">
        <v>24</v>
      </c>
      <c r="C4912" t="s">
        <v>7</v>
      </c>
      <c r="D4912">
        <v>29</v>
      </c>
      <c r="E4912">
        <v>52</v>
      </c>
      <c r="F4912">
        <v>1.8699999999999999E-3</v>
      </c>
      <c r="G4912">
        <v>0</v>
      </c>
      <c r="H4912" t="str">
        <f t="shared" si="228"/>
        <v>50-59</v>
      </c>
      <c r="I4912" t="str">
        <f t="shared" si="229"/>
        <v>20-29</v>
      </c>
      <c r="J4912">
        <f t="shared" si="230"/>
        <v>1.8699999999999999E-3</v>
      </c>
    </row>
    <row r="4913" spans="1:10">
      <c r="A4913" t="s">
        <v>4995</v>
      </c>
      <c r="B4913">
        <v>29</v>
      </c>
      <c r="C4913" t="s">
        <v>7</v>
      </c>
      <c r="D4913">
        <v>16</v>
      </c>
      <c r="E4913">
        <v>44</v>
      </c>
      <c r="F4913">
        <v>1.15E-3</v>
      </c>
      <c r="G4913">
        <v>0</v>
      </c>
      <c r="H4913" t="str">
        <f t="shared" si="228"/>
        <v>40-49</v>
      </c>
      <c r="I4913" t="str">
        <f t="shared" si="229"/>
        <v>10-19</v>
      </c>
      <c r="J4913">
        <f t="shared" si="230"/>
        <v>1.15E-3</v>
      </c>
    </row>
    <row r="4914" spans="1:10">
      <c r="A4914" t="s">
        <v>4996</v>
      </c>
      <c r="B4914">
        <v>43</v>
      </c>
      <c r="C4914" t="s">
        <v>9</v>
      </c>
      <c r="D4914">
        <v>20</v>
      </c>
      <c r="E4914">
        <v>62</v>
      </c>
      <c r="F4914">
        <v>7.7400000000000004E-3</v>
      </c>
      <c r="G4914">
        <v>0</v>
      </c>
      <c r="H4914" t="str">
        <f t="shared" si="228"/>
        <v>60-69</v>
      </c>
      <c r="I4914" t="str">
        <f t="shared" si="229"/>
        <v>20-29</v>
      </c>
      <c r="J4914">
        <f t="shared" si="230"/>
        <v>7.7400000000000004E-3</v>
      </c>
    </row>
    <row r="4915" spans="1:10">
      <c r="A4915" t="s">
        <v>4997</v>
      </c>
      <c r="B4915">
        <v>51</v>
      </c>
      <c r="C4915" t="s">
        <v>9</v>
      </c>
      <c r="D4915">
        <v>9</v>
      </c>
      <c r="E4915">
        <v>59</v>
      </c>
      <c r="F4915">
        <v>5.1599999999999997E-3</v>
      </c>
      <c r="G4915">
        <v>0</v>
      </c>
      <c r="H4915" t="str">
        <f t="shared" si="228"/>
        <v>50-59</v>
      </c>
      <c r="I4915" t="str">
        <f t="shared" si="229"/>
        <v>0-9</v>
      </c>
      <c r="J4915">
        <f t="shared" si="230"/>
        <v>5.1599999999999997E-3</v>
      </c>
    </row>
    <row r="4916" spans="1:10">
      <c r="A4916" t="s">
        <v>4998</v>
      </c>
      <c r="B4916">
        <v>23</v>
      </c>
      <c r="C4916" t="s">
        <v>7</v>
      </c>
      <c r="D4916">
        <v>15</v>
      </c>
      <c r="E4916">
        <v>37</v>
      </c>
      <c r="F4916">
        <v>7.6000000000000004E-4</v>
      </c>
      <c r="G4916">
        <v>0</v>
      </c>
      <c r="H4916" t="str">
        <f t="shared" si="228"/>
        <v>30-39</v>
      </c>
      <c r="I4916" t="str">
        <f t="shared" si="229"/>
        <v>10-19</v>
      </c>
      <c r="J4916">
        <f t="shared" si="230"/>
        <v>7.6000000000000004E-4</v>
      </c>
    </row>
    <row r="4917" spans="1:10">
      <c r="A4917" t="s">
        <v>4999</v>
      </c>
      <c r="B4917">
        <v>47</v>
      </c>
      <c r="C4917" t="s">
        <v>7</v>
      </c>
      <c r="D4917">
        <v>14</v>
      </c>
      <c r="E4917">
        <v>60</v>
      </c>
      <c r="F4917">
        <v>4.5199999999999997E-3</v>
      </c>
      <c r="G4917">
        <v>0</v>
      </c>
      <c r="H4917" t="str">
        <f t="shared" si="228"/>
        <v>60-69</v>
      </c>
      <c r="I4917" t="str">
        <f t="shared" si="229"/>
        <v>10-19</v>
      </c>
      <c r="J4917">
        <f t="shared" si="230"/>
        <v>4.5199999999999997E-3</v>
      </c>
    </row>
    <row r="4918" spans="1:10">
      <c r="A4918" t="s">
        <v>5000</v>
      </c>
      <c r="B4918">
        <v>34</v>
      </c>
      <c r="C4918" t="s">
        <v>9</v>
      </c>
      <c r="D4918">
        <v>5</v>
      </c>
      <c r="E4918">
        <v>38</v>
      </c>
      <c r="F4918">
        <v>6.0999999999999997E-4</v>
      </c>
      <c r="G4918">
        <v>0</v>
      </c>
      <c r="H4918" t="str">
        <f t="shared" si="228"/>
        <v>30-39</v>
      </c>
      <c r="I4918" t="str">
        <f t="shared" si="229"/>
        <v>0-9</v>
      </c>
      <c r="J4918">
        <f t="shared" si="230"/>
        <v>6.0999999999999997E-4</v>
      </c>
    </row>
    <row r="4919" spans="1:10">
      <c r="A4919" t="s">
        <v>5001</v>
      </c>
      <c r="B4919">
        <v>61</v>
      </c>
      <c r="C4919" t="s">
        <v>9</v>
      </c>
      <c r="D4919">
        <v>29</v>
      </c>
      <c r="E4919">
        <v>89</v>
      </c>
      <c r="F4919">
        <v>0.10347000000000001</v>
      </c>
      <c r="G4919">
        <v>0</v>
      </c>
      <c r="H4919" t="str">
        <f t="shared" si="228"/>
        <v>80-89</v>
      </c>
      <c r="I4919" t="str">
        <f t="shared" si="229"/>
        <v>20-29</v>
      </c>
      <c r="J4919">
        <f t="shared" si="230"/>
        <v>0.10347000000000001</v>
      </c>
    </row>
    <row r="4920" spans="1:10">
      <c r="A4920" t="s">
        <v>5002</v>
      </c>
      <c r="B4920">
        <v>30</v>
      </c>
      <c r="C4920" t="s">
        <v>7</v>
      </c>
      <c r="D4920">
        <v>27</v>
      </c>
      <c r="E4920">
        <v>56</v>
      </c>
      <c r="F4920">
        <v>3.0799999999999998E-3</v>
      </c>
      <c r="G4920">
        <v>0</v>
      </c>
      <c r="H4920" t="str">
        <f t="shared" si="228"/>
        <v>50-59</v>
      </c>
      <c r="I4920" t="str">
        <f t="shared" si="229"/>
        <v>20-29</v>
      </c>
      <c r="J4920">
        <f t="shared" si="230"/>
        <v>3.0799999999999998E-3</v>
      </c>
    </row>
    <row r="4921" spans="1:10">
      <c r="A4921" t="s">
        <v>5003</v>
      </c>
      <c r="B4921">
        <v>20</v>
      </c>
      <c r="C4921" t="s">
        <v>7</v>
      </c>
      <c r="D4921">
        <v>8</v>
      </c>
      <c r="E4921">
        <v>27</v>
      </c>
      <c r="F4921">
        <v>3.2000000000000003E-4</v>
      </c>
      <c r="G4921">
        <v>0</v>
      </c>
      <c r="H4921" t="str">
        <f t="shared" si="228"/>
        <v>20-29</v>
      </c>
      <c r="I4921" t="str">
        <f t="shared" si="229"/>
        <v>0-9</v>
      </c>
      <c r="J4921">
        <f t="shared" si="230"/>
        <v>3.2000000000000003E-4</v>
      </c>
    </row>
    <row r="4922" spans="1:10">
      <c r="A4922" t="s">
        <v>5004</v>
      </c>
      <c r="B4922">
        <v>22</v>
      </c>
      <c r="C4922" t="s">
        <v>9</v>
      </c>
      <c r="D4922">
        <v>8</v>
      </c>
      <c r="E4922">
        <v>29</v>
      </c>
      <c r="F4922">
        <v>5.9000000000000003E-4</v>
      </c>
      <c r="G4922">
        <v>0</v>
      </c>
      <c r="H4922" t="str">
        <f t="shared" si="228"/>
        <v>20-29</v>
      </c>
      <c r="I4922" t="str">
        <f t="shared" si="229"/>
        <v>0-9</v>
      </c>
      <c r="J4922">
        <f t="shared" si="230"/>
        <v>5.9000000000000003E-4</v>
      </c>
    </row>
    <row r="4923" spans="1:10">
      <c r="A4923" t="s">
        <v>5005</v>
      </c>
      <c r="B4923">
        <v>43</v>
      </c>
      <c r="C4923" t="s">
        <v>7</v>
      </c>
      <c r="D4923">
        <v>30</v>
      </c>
      <c r="E4923">
        <v>72</v>
      </c>
      <c r="F4923">
        <v>1.141E-2</v>
      </c>
      <c r="G4923">
        <v>0</v>
      </c>
      <c r="H4923" t="str">
        <f t="shared" si="228"/>
        <v>70-79</v>
      </c>
      <c r="I4923" t="str">
        <f t="shared" si="229"/>
        <v>30-39</v>
      </c>
      <c r="J4923">
        <f t="shared" si="230"/>
        <v>1.141E-2</v>
      </c>
    </row>
    <row r="4924" spans="1:10">
      <c r="A4924" t="s">
        <v>5006</v>
      </c>
      <c r="B4924">
        <v>56</v>
      </c>
      <c r="C4924" t="s">
        <v>7</v>
      </c>
      <c r="D4924">
        <v>30</v>
      </c>
      <c r="E4924">
        <v>85</v>
      </c>
      <c r="F4924">
        <v>4.4880000000000003E-2</v>
      </c>
      <c r="G4924">
        <v>0</v>
      </c>
      <c r="H4924" t="str">
        <f t="shared" si="228"/>
        <v>80-89</v>
      </c>
      <c r="I4924" t="str">
        <f t="shared" si="229"/>
        <v>30-39</v>
      </c>
      <c r="J4924">
        <f t="shared" si="230"/>
        <v>4.4880000000000003E-2</v>
      </c>
    </row>
    <row r="4925" spans="1:10">
      <c r="A4925" t="s">
        <v>5007</v>
      </c>
      <c r="B4925">
        <v>47</v>
      </c>
      <c r="C4925" t="s">
        <v>7</v>
      </c>
      <c r="D4925">
        <v>29</v>
      </c>
      <c r="E4925">
        <v>75</v>
      </c>
      <c r="F4925">
        <v>1.7170000000000001E-2</v>
      </c>
      <c r="G4925">
        <v>0</v>
      </c>
      <c r="H4925" t="str">
        <f t="shared" si="228"/>
        <v>70-79</v>
      </c>
      <c r="I4925" t="str">
        <f t="shared" si="229"/>
        <v>20-29</v>
      </c>
      <c r="J4925">
        <f t="shared" si="230"/>
        <v>1.7170000000000001E-2</v>
      </c>
    </row>
    <row r="4926" spans="1:10">
      <c r="A4926" t="s">
        <v>5008</v>
      </c>
      <c r="B4926">
        <v>43</v>
      </c>
      <c r="C4926" t="s">
        <v>7</v>
      </c>
      <c r="D4926">
        <v>15</v>
      </c>
      <c r="E4926">
        <v>57</v>
      </c>
      <c r="F4926">
        <v>3.3700000000000002E-3</v>
      </c>
      <c r="G4926">
        <v>0</v>
      </c>
      <c r="H4926" t="str">
        <f t="shared" si="228"/>
        <v>50-59</v>
      </c>
      <c r="I4926" t="str">
        <f t="shared" si="229"/>
        <v>10-19</v>
      </c>
      <c r="J4926">
        <f t="shared" si="230"/>
        <v>3.3700000000000002E-3</v>
      </c>
    </row>
    <row r="4927" spans="1:10">
      <c r="A4927" t="s">
        <v>5009</v>
      </c>
      <c r="B4927">
        <v>42</v>
      </c>
      <c r="C4927" t="s">
        <v>9</v>
      </c>
      <c r="D4927">
        <v>12</v>
      </c>
      <c r="E4927">
        <v>53</v>
      </c>
      <c r="F4927">
        <v>2.8300000000000001E-3</v>
      </c>
      <c r="G4927">
        <v>0</v>
      </c>
      <c r="H4927" t="str">
        <f t="shared" si="228"/>
        <v>50-59</v>
      </c>
      <c r="I4927" t="str">
        <f t="shared" si="229"/>
        <v>10-19</v>
      </c>
      <c r="J4927">
        <f t="shared" si="230"/>
        <v>2.8300000000000001E-3</v>
      </c>
    </row>
    <row r="4928" spans="1:10">
      <c r="A4928" t="s">
        <v>5010</v>
      </c>
      <c r="B4928">
        <v>35</v>
      </c>
      <c r="C4928" t="s">
        <v>9</v>
      </c>
      <c r="D4928">
        <v>9</v>
      </c>
      <c r="E4928">
        <v>43</v>
      </c>
      <c r="F4928">
        <v>1.16E-3</v>
      </c>
      <c r="G4928">
        <v>0</v>
      </c>
      <c r="H4928" t="str">
        <f t="shared" si="228"/>
        <v>40-49</v>
      </c>
      <c r="I4928" t="str">
        <f t="shared" si="229"/>
        <v>0-9</v>
      </c>
      <c r="J4928">
        <f t="shared" si="230"/>
        <v>1.16E-3</v>
      </c>
    </row>
    <row r="4929" spans="1:10">
      <c r="A4929" t="s">
        <v>5011</v>
      </c>
      <c r="B4929">
        <v>36</v>
      </c>
      <c r="C4929" t="s">
        <v>9</v>
      </c>
      <c r="D4929">
        <v>15</v>
      </c>
      <c r="E4929">
        <v>50</v>
      </c>
      <c r="F4929">
        <v>2.3E-3</v>
      </c>
      <c r="G4929">
        <v>0</v>
      </c>
      <c r="H4929" t="str">
        <f t="shared" si="228"/>
        <v>50-59</v>
      </c>
      <c r="I4929" t="str">
        <f t="shared" si="229"/>
        <v>10-19</v>
      </c>
      <c r="J4929">
        <f t="shared" si="230"/>
        <v>2.3E-3</v>
      </c>
    </row>
    <row r="4930" spans="1:10">
      <c r="A4930" t="s">
        <v>5012</v>
      </c>
      <c r="B4930">
        <v>55</v>
      </c>
      <c r="C4930" t="s">
        <v>7</v>
      </c>
      <c r="D4930">
        <v>2</v>
      </c>
      <c r="E4930">
        <v>56</v>
      </c>
      <c r="F4930">
        <v>1.2600000000000001E-3</v>
      </c>
      <c r="G4930">
        <v>0</v>
      </c>
      <c r="H4930" t="str">
        <f t="shared" si="228"/>
        <v>50-59</v>
      </c>
      <c r="I4930" t="str">
        <f t="shared" si="229"/>
        <v>0-9</v>
      </c>
      <c r="J4930">
        <f t="shared" si="230"/>
        <v>1.2600000000000001E-3</v>
      </c>
    </row>
    <row r="4931" spans="1:10">
      <c r="A4931" t="s">
        <v>5013</v>
      </c>
      <c r="B4931">
        <v>52</v>
      </c>
      <c r="C4931" t="s">
        <v>9</v>
      </c>
      <c r="D4931">
        <v>4</v>
      </c>
      <c r="E4931">
        <v>55</v>
      </c>
      <c r="F4931">
        <v>2.7299999999999998E-3</v>
      </c>
      <c r="G4931">
        <v>0</v>
      </c>
      <c r="H4931" t="str">
        <f t="shared" ref="H4931:H4994" si="231">FLOOR(E4931,10) &amp; "-" &amp; FLOOR(E4931,10)+9</f>
        <v>50-59</v>
      </c>
      <c r="I4931" t="str">
        <f t="shared" ref="I4931:I4994" si="232">FLOOR(D4931, 10) &amp; "-"&amp;FLOOR(D4931, 10)+9</f>
        <v>0-9</v>
      </c>
      <c r="J4931">
        <f t="shared" ref="J4931:J4994" si="233">F4931</f>
        <v>2.7299999999999998E-3</v>
      </c>
    </row>
    <row r="4932" spans="1:10">
      <c r="A4932" t="s">
        <v>5014</v>
      </c>
      <c r="B4932">
        <v>46</v>
      </c>
      <c r="C4932" t="s">
        <v>9</v>
      </c>
      <c r="D4932">
        <v>18</v>
      </c>
      <c r="E4932">
        <v>63</v>
      </c>
      <c r="F4932">
        <v>8.4899999999999993E-3</v>
      </c>
      <c r="G4932">
        <v>0</v>
      </c>
      <c r="H4932" t="str">
        <f t="shared" si="231"/>
        <v>60-69</v>
      </c>
      <c r="I4932" t="str">
        <f t="shared" si="232"/>
        <v>10-19</v>
      </c>
      <c r="J4932">
        <f t="shared" si="233"/>
        <v>8.4899999999999993E-3</v>
      </c>
    </row>
    <row r="4933" spans="1:10">
      <c r="A4933" t="s">
        <v>5015</v>
      </c>
      <c r="B4933">
        <v>37</v>
      </c>
      <c r="C4933" t="s">
        <v>7</v>
      </c>
      <c r="D4933">
        <v>25</v>
      </c>
      <c r="E4933">
        <v>61</v>
      </c>
      <c r="F4933">
        <v>5.4599999999999996E-3</v>
      </c>
      <c r="G4933">
        <v>0</v>
      </c>
      <c r="H4933" t="str">
        <f t="shared" si="231"/>
        <v>60-69</v>
      </c>
      <c r="I4933" t="str">
        <f t="shared" si="232"/>
        <v>20-29</v>
      </c>
      <c r="J4933">
        <f t="shared" si="233"/>
        <v>5.4599999999999996E-3</v>
      </c>
    </row>
    <row r="4934" spans="1:10">
      <c r="A4934" t="s">
        <v>5016</v>
      </c>
      <c r="B4934">
        <v>47</v>
      </c>
      <c r="C4934" t="s">
        <v>9</v>
      </c>
      <c r="D4934">
        <v>17</v>
      </c>
      <c r="E4934">
        <v>63</v>
      </c>
      <c r="F4934">
        <v>8.4899999999999993E-3</v>
      </c>
      <c r="G4934">
        <v>0</v>
      </c>
      <c r="H4934" t="str">
        <f t="shared" si="231"/>
        <v>60-69</v>
      </c>
      <c r="I4934" t="str">
        <f t="shared" si="232"/>
        <v>10-19</v>
      </c>
      <c r="J4934">
        <f t="shared" si="233"/>
        <v>8.4899999999999993E-3</v>
      </c>
    </row>
    <row r="4935" spans="1:10">
      <c r="A4935" t="s">
        <v>5017</v>
      </c>
      <c r="B4935">
        <v>26</v>
      </c>
      <c r="C4935" t="s">
        <v>7</v>
      </c>
      <c r="D4935">
        <v>26</v>
      </c>
      <c r="E4935">
        <v>51</v>
      </c>
      <c r="F4935">
        <v>2.1900000000000001E-3</v>
      </c>
      <c r="G4935">
        <v>0</v>
      </c>
      <c r="H4935" t="str">
        <f t="shared" si="231"/>
        <v>50-59</v>
      </c>
      <c r="I4935" t="str">
        <f t="shared" si="232"/>
        <v>20-29</v>
      </c>
      <c r="J4935">
        <f t="shared" si="233"/>
        <v>2.1900000000000001E-3</v>
      </c>
    </row>
    <row r="4936" spans="1:10">
      <c r="A4936" t="s">
        <v>5018</v>
      </c>
      <c r="B4936">
        <v>26</v>
      </c>
      <c r="C4936" t="s">
        <v>7</v>
      </c>
      <c r="D4936">
        <v>5</v>
      </c>
      <c r="E4936">
        <v>30</v>
      </c>
      <c r="F4936">
        <v>2.5000000000000001E-4</v>
      </c>
      <c r="G4936">
        <v>0</v>
      </c>
      <c r="H4936" t="str">
        <f t="shared" si="231"/>
        <v>30-39</v>
      </c>
      <c r="I4936" t="str">
        <f t="shared" si="232"/>
        <v>0-9</v>
      </c>
      <c r="J4936">
        <f t="shared" si="233"/>
        <v>2.5000000000000001E-4</v>
      </c>
    </row>
    <row r="4937" spans="1:10">
      <c r="A4937" t="s">
        <v>5019</v>
      </c>
      <c r="B4937">
        <v>26</v>
      </c>
      <c r="C4937" t="s">
        <v>7</v>
      </c>
      <c r="D4937">
        <v>11</v>
      </c>
      <c r="E4937">
        <v>36</v>
      </c>
      <c r="F4937">
        <v>5.5999999999999995E-4</v>
      </c>
      <c r="G4937">
        <v>0</v>
      </c>
      <c r="H4937" t="str">
        <f t="shared" si="231"/>
        <v>30-39</v>
      </c>
      <c r="I4937" t="str">
        <f t="shared" si="232"/>
        <v>10-19</v>
      </c>
      <c r="J4937">
        <f t="shared" si="233"/>
        <v>5.5999999999999995E-4</v>
      </c>
    </row>
    <row r="4938" spans="1:10">
      <c r="A4938" t="s">
        <v>5020</v>
      </c>
      <c r="B4938">
        <v>32</v>
      </c>
      <c r="C4938" t="s">
        <v>9</v>
      </c>
      <c r="D4938">
        <v>17</v>
      </c>
      <c r="E4938">
        <v>48</v>
      </c>
      <c r="F4938">
        <v>2.1199999999999999E-3</v>
      </c>
      <c r="G4938">
        <v>0</v>
      </c>
      <c r="H4938" t="str">
        <f t="shared" si="231"/>
        <v>40-49</v>
      </c>
      <c r="I4938" t="str">
        <f t="shared" si="232"/>
        <v>10-19</v>
      </c>
      <c r="J4938">
        <f t="shared" si="233"/>
        <v>2.1199999999999999E-3</v>
      </c>
    </row>
    <row r="4939" spans="1:10">
      <c r="A4939" t="s">
        <v>5021</v>
      </c>
      <c r="B4939">
        <v>35</v>
      </c>
      <c r="C4939" t="s">
        <v>9</v>
      </c>
      <c r="D4939">
        <v>2</v>
      </c>
      <c r="E4939">
        <v>36</v>
      </c>
      <c r="F4939">
        <v>3.4000000000000002E-4</v>
      </c>
      <c r="G4939">
        <v>0</v>
      </c>
      <c r="H4939" t="str">
        <f t="shared" si="231"/>
        <v>30-39</v>
      </c>
      <c r="I4939" t="str">
        <f t="shared" si="232"/>
        <v>0-9</v>
      </c>
      <c r="J4939">
        <f t="shared" si="233"/>
        <v>3.4000000000000002E-4</v>
      </c>
    </row>
    <row r="4940" spans="1:10">
      <c r="A4940" t="s">
        <v>5022</v>
      </c>
      <c r="B4940">
        <v>25</v>
      </c>
      <c r="C4940" t="s">
        <v>7</v>
      </c>
      <c r="D4940">
        <v>2</v>
      </c>
      <c r="E4940">
        <v>26</v>
      </c>
      <c r="F4940">
        <v>1.9000000000000001E-4</v>
      </c>
      <c r="G4940">
        <v>0</v>
      </c>
      <c r="H4940" t="str">
        <f t="shared" si="231"/>
        <v>20-29</v>
      </c>
      <c r="I4940" t="str">
        <f t="shared" si="232"/>
        <v>0-9</v>
      </c>
      <c r="J4940">
        <f t="shared" si="233"/>
        <v>1.9000000000000001E-4</v>
      </c>
    </row>
    <row r="4941" spans="1:10">
      <c r="A4941" t="s">
        <v>5023</v>
      </c>
      <c r="B4941">
        <v>53</v>
      </c>
      <c r="C4941" t="s">
        <v>9</v>
      </c>
      <c r="D4941">
        <v>9</v>
      </c>
      <c r="E4941">
        <v>61</v>
      </c>
      <c r="F4941">
        <v>6.4200000000000004E-3</v>
      </c>
      <c r="G4941">
        <v>0</v>
      </c>
      <c r="H4941" t="str">
        <f t="shared" si="231"/>
        <v>60-69</v>
      </c>
      <c r="I4941" t="str">
        <f t="shared" si="232"/>
        <v>0-9</v>
      </c>
      <c r="J4941">
        <f t="shared" si="233"/>
        <v>6.4200000000000004E-3</v>
      </c>
    </row>
    <row r="4942" spans="1:10">
      <c r="A4942" t="s">
        <v>5024</v>
      </c>
      <c r="B4942">
        <v>45</v>
      </c>
      <c r="C4942" t="s">
        <v>9</v>
      </c>
      <c r="D4942">
        <v>6</v>
      </c>
      <c r="E4942">
        <v>50</v>
      </c>
      <c r="F4942">
        <v>1.74E-3</v>
      </c>
      <c r="G4942">
        <v>0</v>
      </c>
      <c r="H4942" t="str">
        <f t="shared" si="231"/>
        <v>50-59</v>
      </c>
      <c r="I4942" t="str">
        <f t="shared" si="232"/>
        <v>0-9</v>
      </c>
      <c r="J4942">
        <f t="shared" si="233"/>
        <v>1.74E-3</v>
      </c>
    </row>
    <row r="4943" spans="1:10">
      <c r="A4943" t="s">
        <v>5025</v>
      </c>
      <c r="B4943">
        <v>21</v>
      </c>
      <c r="C4943" t="s">
        <v>9</v>
      </c>
      <c r="D4943">
        <v>19</v>
      </c>
      <c r="E4943">
        <v>39</v>
      </c>
      <c r="F4943">
        <v>1.48E-3</v>
      </c>
      <c r="G4943">
        <v>0</v>
      </c>
      <c r="H4943" t="str">
        <f t="shared" si="231"/>
        <v>30-39</v>
      </c>
      <c r="I4943" t="str">
        <f t="shared" si="232"/>
        <v>10-19</v>
      </c>
      <c r="J4943">
        <f t="shared" si="233"/>
        <v>1.48E-3</v>
      </c>
    </row>
    <row r="4944" spans="1:10">
      <c r="A4944" t="s">
        <v>5026</v>
      </c>
      <c r="B4944">
        <v>53</v>
      </c>
      <c r="C4944" t="s">
        <v>9</v>
      </c>
      <c r="D4944">
        <v>22</v>
      </c>
      <c r="E4944">
        <v>74</v>
      </c>
      <c r="F4944">
        <v>2.657E-2</v>
      </c>
      <c r="G4944">
        <v>0</v>
      </c>
      <c r="H4944" t="str">
        <f t="shared" si="231"/>
        <v>70-79</v>
      </c>
      <c r="I4944" t="str">
        <f t="shared" si="232"/>
        <v>20-29</v>
      </c>
      <c r="J4944">
        <f t="shared" si="233"/>
        <v>2.657E-2</v>
      </c>
    </row>
    <row r="4945" spans="1:10">
      <c r="A4945" t="s">
        <v>5027</v>
      </c>
      <c r="B4945">
        <v>47</v>
      </c>
      <c r="C4945" t="s">
        <v>9</v>
      </c>
      <c r="D4945">
        <v>20</v>
      </c>
      <c r="E4945">
        <v>66</v>
      </c>
      <c r="F4945">
        <v>1.128E-2</v>
      </c>
      <c r="G4945">
        <v>0</v>
      </c>
      <c r="H4945" t="str">
        <f t="shared" si="231"/>
        <v>60-69</v>
      </c>
      <c r="I4945" t="str">
        <f t="shared" si="232"/>
        <v>20-29</v>
      </c>
      <c r="J4945">
        <f t="shared" si="233"/>
        <v>1.128E-2</v>
      </c>
    </row>
    <row r="4946" spans="1:10">
      <c r="A4946" t="s">
        <v>5028</v>
      </c>
      <c r="B4946">
        <v>27</v>
      </c>
      <c r="C4946" t="s">
        <v>9</v>
      </c>
      <c r="D4946">
        <v>18</v>
      </c>
      <c r="E4946">
        <v>44</v>
      </c>
      <c r="F4946">
        <v>1.7600000000000001E-3</v>
      </c>
      <c r="G4946">
        <v>0</v>
      </c>
      <c r="H4946" t="str">
        <f t="shared" si="231"/>
        <v>40-49</v>
      </c>
      <c r="I4946" t="str">
        <f t="shared" si="232"/>
        <v>10-19</v>
      </c>
      <c r="J4946">
        <f t="shared" si="233"/>
        <v>1.7600000000000001E-3</v>
      </c>
    </row>
    <row r="4947" spans="1:10">
      <c r="A4947" t="s">
        <v>5029</v>
      </c>
      <c r="B4947">
        <v>62</v>
      </c>
      <c r="C4947" t="s">
        <v>7</v>
      </c>
      <c r="D4947">
        <v>26</v>
      </c>
      <c r="E4947">
        <v>87</v>
      </c>
      <c r="F4947">
        <v>9.3240000000000003E-2</v>
      </c>
      <c r="G4947">
        <v>0</v>
      </c>
      <c r="H4947" t="str">
        <f t="shared" si="231"/>
        <v>80-89</v>
      </c>
      <c r="I4947" t="str">
        <f t="shared" si="232"/>
        <v>20-29</v>
      </c>
      <c r="J4947">
        <f t="shared" si="233"/>
        <v>9.3240000000000003E-2</v>
      </c>
    </row>
    <row r="4948" spans="1:10">
      <c r="A4948" t="s">
        <v>5030</v>
      </c>
      <c r="B4948">
        <v>45</v>
      </c>
      <c r="C4948" t="s">
        <v>7</v>
      </c>
      <c r="D4948">
        <v>6</v>
      </c>
      <c r="E4948">
        <v>50</v>
      </c>
      <c r="F4948">
        <v>1.2800000000000001E-3</v>
      </c>
      <c r="G4948">
        <v>0</v>
      </c>
      <c r="H4948" t="str">
        <f t="shared" si="231"/>
        <v>50-59</v>
      </c>
      <c r="I4948" t="str">
        <f t="shared" si="232"/>
        <v>0-9</v>
      </c>
      <c r="J4948">
        <f t="shared" si="233"/>
        <v>1.2800000000000001E-3</v>
      </c>
    </row>
    <row r="4949" spans="1:10">
      <c r="A4949" t="s">
        <v>5031</v>
      </c>
      <c r="B4949">
        <v>48</v>
      </c>
      <c r="C4949" t="s">
        <v>9</v>
      </c>
      <c r="D4949">
        <v>30</v>
      </c>
      <c r="E4949">
        <v>77</v>
      </c>
      <c r="F4949">
        <v>2.3939999999999999E-2</v>
      </c>
      <c r="G4949">
        <v>0</v>
      </c>
      <c r="H4949" t="str">
        <f t="shared" si="231"/>
        <v>70-79</v>
      </c>
      <c r="I4949" t="str">
        <f t="shared" si="232"/>
        <v>30-39</v>
      </c>
      <c r="J4949">
        <f t="shared" si="233"/>
        <v>2.3939999999999999E-2</v>
      </c>
    </row>
    <row r="4950" spans="1:10">
      <c r="A4950" t="s">
        <v>5032</v>
      </c>
      <c r="B4950">
        <v>45</v>
      </c>
      <c r="C4950" t="s">
        <v>7</v>
      </c>
      <c r="D4950">
        <v>14</v>
      </c>
      <c r="E4950">
        <v>58</v>
      </c>
      <c r="F4950">
        <v>3.6800000000000001E-3</v>
      </c>
      <c r="G4950">
        <v>0</v>
      </c>
      <c r="H4950" t="str">
        <f t="shared" si="231"/>
        <v>50-59</v>
      </c>
      <c r="I4950" t="str">
        <f t="shared" si="232"/>
        <v>10-19</v>
      </c>
      <c r="J4950">
        <f t="shared" si="233"/>
        <v>3.6800000000000001E-3</v>
      </c>
    </row>
    <row r="4951" spans="1:10">
      <c r="A4951" t="s">
        <v>5033</v>
      </c>
      <c r="B4951">
        <v>57</v>
      </c>
      <c r="C4951" t="s">
        <v>7</v>
      </c>
      <c r="D4951">
        <v>3</v>
      </c>
      <c r="E4951">
        <v>59</v>
      </c>
      <c r="F4951">
        <v>2E-3</v>
      </c>
      <c r="G4951">
        <v>0</v>
      </c>
      <c r="H4951" t="str">
        <f t="shared" si="231"/>
        <v>50-59</v>
      </c>
      <c r="I4951" t="str">
        <f t="shared" si="232"/>
        <v>0-9</v>
      </c>
      <c r="J4951">
        <f t="shared" si="233"/>
        <v>2E-3</v>
      </c>
    </row>
    <row r="4952" spans="1:10">
      <c r="A4952" t="s">
        <v>5034</v>
      </c>
      <c r="B4952">
        <v>64</v>
      </c>
      <c r="C4952" t="s">
        <v>9</v>
      </c>
      <c r="D4952">
        <v>28</v>
      </c>
      <c r="E4952">
        <v>91</v>
      </c>
      <c r="F4952">
        <v>0.14893999999999999</v>
      </c>
      <c r="G4952">
        <v>1</v>
      </c>
      <c r="H4952" t="str">
        <f t="shared" si="231"/>
        <v>90-99</v>
      </c>
      <c r="I4952" t="str">
        <f t="shared" si="232"/>
        <v>20-29</v>
      </c>
      <c r="J4952">
        <f t="shared" si="233"/>
        <v>0.14893999999999999</v>
      </c>
    </row>
    <row r="4953" spans="1:10">
      <c r="A4953" t="s">
        <v>5035</v>
      </c>
      <c r="B4953">
        <v>37</v>
      </c>
      <c r="C4953" t="s">
        <v>9</v>
      </c>
      <c r="D4953">
        <v>13</v>
      </c>
      <c r="E4953">
        <v>49</v>
      </c>
      <c r="F4953">
        <v>2E-3</v>
      </c>
      <c r="G4953">
        <v>0</v>
      </c>
      <c r="H4953" t="str">
        <f t="shared" si="231"/>
        <v>40-49</v>
      </c>
      <c r="I4953" t="str">
        <f t="shared" si="232"/>
        <v>10-19</v>
      </c>
      <c r="J4953">
        <f t="shared" si="233"/>
        <v>2E-3</v>
      </c>
    </row>
    <row r="4954" spans="1:10">
      <c r="A4954" t="s">
        <v>5036</v>
      </c>
      <c r="B4954">
        <v>41</v>
      </c>
      <c r="C4954" t="s">
        <v>7</v>
      </c>
      <c r="D4954">
        <v>21</v>
      </c>
      <c r="E4954">
        <v>61</v>
      </c>
      <c r="F4954">
        <v>5.4599999999999996E-3</v>
      </c>
      <c r="G4954">
        <v>0</v>
      </c>
      <c r="H4954" t="str">
        <f t="shared" si="231"/>
        <v>60-69</v>
      </c>
      <c r="I4954" t="str">
        <f t="shared" si="232"/>
        <v>20-29</v>
      </c>
      <c r="J4954">
        <f t="shared" si="233"/>
        <v>5.4599999999999996E-3</v>
      </c>
    </row>
    <row r="4955" spans="1:10">
      <c r="A4955" t="s">
        <v>5037</v>
      </c>
      <c r="B4955">
        <v>27</v>
      </c>
      <c r="C4955" t="s">
        <v>9</v>
      </c>
      <c r="D4955">
        <v>2</v>
      </c>
      <c r="E4955">
        <v>28</v>
      </c>
      <c r="F4955">
        <v>3.4000000000000002E-4</v>
      </c>
      <c r="G4955">
        <v>0</v>
      </c>
      <c r="H4955" t="str">
        <f t="shared" si="231"/>
        <v>20-29</v>
      </c>
      <c r="I4955" t="str">
        <f t="shared" si="232"/>
        <v>0-9</v>
      </c>
      <c r="J4955">
        <f t="shared" si="233"/>
        <v>3.4000000000000002E-4</v>
      </c>
    </row>
    <row r="4956" spans="1:10">
      <c r="A4956" t="s">
        <v>5038</v>
      </c>
      <c r="B4956">
        <v>49</v>
      </c>
      <c r="C4956" t="s">
        <v>7</v>
      </c>
      <c r="D4956">
        <v>4</v>
      </c>
      <c r="E4956">
        <v>52</v>
      </c>
      <c r="F4956">
        <v>1.4E-3</v>
      </c>
      <c r="G4956">
        <v>0</v>
      </c>
      <c r="H4956" t="str">
        <f t="shared" si="231"/>
        <v>50-59</v>
      </c>
      <c r="I4956" t="str">
        <f t="shared" si="232"/>
        <v>0-9</v>
      </c>
      <c r="J4956">
        <f t="shared" si="233"/>
        <v>1.4E-3</v>
      </c>
    </row>
    <row r="4957" spans="1:10">
      <c r="A4957" t="s">
        <v>5039</v>
      </c>
      <c r="B4957">
        <v>61</v>
      </c>
      <c r="C4957" t="s">
        <v>7</v>
      </c>
      <c r="D4957">
        <v>9</v>
      </c>
      <c r="E4957">
        <v>69</v>
      </c>
      <c r="F4957">
        <v>8.0199999999999994E-3</v>
      </c>
      <c r="G4957">
        <v>0</v>
      </c>
      <c r="H4957" t="str">
        <f t="shared" si="231"/>
        <v>60-69</v>
      </c>
      <c r="I4957" t="str">
        <f t="shared" si="232"/>
        <v>0-9</v>
      </c>
      <c r="J4957">
        <f t="shared" si="233"/>
        <v>8.0199999999999994E-3</v>
      </c>
    </row>
    <row r="4958" spans="1:10">
      <c r="A4958" t="s">
        <v>5040</v>
      </c>
      <c r="B4958">
        <v>55</v>
      </c>
      <c r="C4958" t="s">
        <v>7</v>
      </c>
      <c r="D4958">
        <v>3</v>
      </c>
      <c r="E4958">
        <v>57</v>
      </c>
      <c r="F4958">
        <v>1.8500000000000001E-3</v>
      </c>
      <c r="G4958">
        <v>0</v>
      </c>
      <c r="H4958" t="str">
        <f t="shared" si="231"/>
        <v>50-59</v>
      </c>
      <c r="I4958" t="str">
        <f t="shared" si="232"/>
        <v>0-9</v>
      </c>
      <c r="J4958">
        <f t="shared" si="233"/>
        <v>1.8500000000000001E-3</v>
      </c>
    </row>
    <row r="4959" spans="1:10">
      <c r="A4959" t="s">
        <v>5041</v>
      </c>
      <c r="B4959">
        <v>64</v>
      </c>
      <c r="C4959" t="s">
        <v>7</v>
      </c>
      <c r="D4959">
        <v>28</v>
      </c>
      <c r="E4959">
        <v>91</v>
      </c>
      <c r="F4959">
        <v>0.11754000000000001</v>
      </c>
      <c r="G4959">
        <v>0</v>
      </c>
      <c r="H4959" t="str">
        <f t="shared" si="231"/>
        <v>90-99</v>
      </c>
      <c r="I4959" t="str">
        <f t="shared" si="232"/>
        <v>20-29</v>
      </c>
      <c r="J4959">
        <f t="shared" si="233"/>
        <v>0.11754000000000001</v>
      </c>
    </row>
    <row r="4960" spans="1:10">
      <c r="A4960" t="s">
        <v>5042</v>
      </c>
      <c r="B4960">
        <v>56</v>
      </c>
      <c r="C4960" t="s">
        <v>9</v>
      </c>
      <c r="D4960">
        <v>1</v>
      </c>
      <c r="E4960">
        <v>56</v>
      </c>
      <c r="F4960">
        <v>1.1900000000000001E-3</v>
      </c>
      <c r="G4960">
        <v>0</v>
      </c>
      <c r="H4960" t="str">
        <f t="shared" si="231"/>
        <v>50-59</v>
      </c>
      <c r="I4960" t="str">
        <f t="shared" si="232"/>
        <v>0-9</v>
      </c>
      <c r="J4960">
        <f t="shared" si="233"/>
        <v>1.1900000000000001E-3</v>
      </c>
    </row>
    <row r="4961" spans="1:10">
      <c r="A4961" t="s">
        <v>5043</v>
      </c>
      <c r="B4961">
        <v>65</v>
      </c>
      <c r="C4961" t="s">
        <v>9</v>
      </c>
      <c r="D4961">
        <v>3</v>
      </c>
      <c r="E4961">
        <v>67</v>
      </c>
      <c r="F4961">
        <v>6.3400000000000001E-3</v>
      </c>
      <c r="G4961">
        <v>0</v>
      </c>
      <c r="H4961" t="str">
        <f t="shared" si="231"/>
        <v>60-69</v>
      </c>
      <c r="I4961" t="str">
        <f t="shared" si="232"/>
        <v>0-9</v>
      </c>
      <c r="J4961">
        <f t="shared" si="233"/>
        <v>6.3400000000000001E-3</v>
      </c>
    </row>
    <row r="4962" spans="1:10">
      <c r="A4962" t="s">
        <v>5044</v>
      </c>
      <c r="B4962">
        <v>36</v>
      </c>
      <c r="C4962" t="s">
        <v>7</v>
      </c>
      <c r="D4962">
        <v>20</v>
      </c>
      <c r="E4962">
        <v>55</v>
      </c>
      <c r="F4962">
        <v>3.0200000000000001E-3</v>
      </c>
      <c r="G4962">
        <v>0</v>
      </c>
      <c r="H4962" t="str">
        <f t="shared" si="231"/>
        <v>50-59</v>
      </c>
      <c r="I4962" t="str">
        <f t="shared" si="232"/>
        <v>20-29</v>
      </c>
      <c r="J4962">
        <f t="shared" si="233"/>
        <v>3.0200000000000001E-3</v>
      </c>
    </row>
    <row r="4963" spans="1:10">
      <c r="A4963" t="s">
        <v>5045</v>
      </c>
      <c r="B4963">
        <v>57</v>
      </c>
      <c r="C4963" t="s">
        <v>7</v>
      </c>
      <c r="D4963">
        <v>10</v>
      </c>
      <c r="E4963">
        <v>66</v>
      </c>
      <c r="F4963">
        <v>6.79E-3</v>
      </c>
      <c r="G4963">
        <v>0</v>
      </c>
      <c r="H4963" t="str">
        <f t="shared" si="231"/>
        <v>60-69</v>
      </c>
      <c r="I4963" t="str">
        <f t="shared" si="232"/>
        <v>10-19</v>
      </c>
      <c r="J4963">
        <f t="shared" si="233"/>
        <v>6.79E-3</v>
      </c>
    </row>
    <row r="4964" spans="1:10">
      <c r="A4964" t="s">
        <v>5046</v>
      </c>
      <c r="B4964">
        <v>51</v>
      </c>
      <c r="C4964" t="s">
        <v>7</v>
      </c>
      <c r="D4964">
        <v>30</v>
      </c>
      <c r="E4964">
        <v>80</v>
      </c>
      <c r="F4964">
        <v>2.58E-2</v>
      </c>
      <c r="G4964">
        <v>0</v>
      </c>
      <c r="H4964" t="str">
        <f t="shared" si="231"/>
        <v>80-89</v>
      </c>
      <c r="I4964" t="str">
        <f t="shared" si="232"/>
        <v>30-39</v>
      </c>
      <c r="J4964">
        <f t="shared" si="233"/>
        <v>2.58E-2</v>
      </c>
    </row>
    <row r="4965" spans="1:10">
      <c r="A4965" t="s">
        <v>5047</v>
      </c>
      <c r="B4965">
        <v>53</v>
      </c>
      <c r="C4965" t="s">
        <v>7</v>
      </c>
      <c r="D4965">
        <v>16</v>
      </c>
      <c r="E4965">
        <v>68</v>
      </c>
      <c r="F4965">
        <v>1.03E-2</v>
      </c>
      <c r="G4965">
        <v>0</v>
      </c>
      <c r="H4965" t="str">
        <f t="shared" si="231"/>
        <v>60-69</v>
      </c>
      <c r="I4965" t="str">
        <f t="shared" si="232"/>
        <v>10-19</v>
      </c>
      <c r="J4965">
        <f t="shared" si="233"/>
        <v>1.03E-2</v>
      </c>
    </row>
    <row r="4966" spans="1:10">
      <c r="A4966" t="s">
        <v>5048</v>
      </c>
      <c r="B4966">
        <v>32</v>
      </c>
      <c r="C4966" t="s">
        <v>7</v>
      </c>
      <c r="D4966">
        <v>15</v>
      </c>
      <c r="E4966">
        <v>46</v>
      </c>
      <c r="F4966">
        <v>1.2600000000000001E-3</v>
      </c>
      <c r="G4966">
        <v>0</v>
      </c>
      <c r="H4966" t="str">
        <f t="shared" si="231"/>
        <v>40-49</v>
      </c>
      <c r="I4966" t="str">
        <f t="shared" si="232"/>
        <v>10-19</v>
      </c>
      <c r="J4966">
        <f t="shared" si="233"/>
        <v>1.2600000000000001E-3</v>
      </c>
    </row>
    <row r="4967" spans="1:10">
      <c r="A4967" t="s">
        <v>5049</v>
      </c>
      <c r="B4967">
        <v>46</v>
      </c>
      <c r="C4967" t="s">
        <v>7</v>
      </c>
      <c r="D4967">
        <v>13</v>
      </c>
      <c r="E4967">
        <v>58</v>
      </c>
      <c r="F4967">
        <v>3.5999999999999999E-3</v>
      </c>
      <c r="G4967">
        <v>0</v>
      </c>
      <c r="H4967" t="str">
        <f t="shared" si="231"/>
        <v>50-59</v>
      </c>
      <c r="I4967" t="str">
        <f t="shared" si="232"/>
        <v>10-19</v>
      </c>
      <c r="J4967">
        <f t="shared" si="233"/>
        <v>3.5999999999999999E-3</v>
      </c>
    </row>
    <row r="4968" spans="1:10">
      <c r="A4968" t="s">
        <v>5050</v>
      </c>
      <c r="B4968">
        <v>26</v>
      </c>
      <c r="C4968" t="s">
        <v>7</v>
      </c>
      <c r="D4968">
        <v>14</v>
      </c>
      <c r="E4968">
        <v>39</v>
      </c>
      <c r="F4968">
        <v>8.5999999999999998E-4</v>
      </c>
      <c r="G4968">
        <v>0</v>
      </c>
      <c r="H4968" t="str">
        <f t="shared" si="231"/>
        <v>30-39</v>
      </c>
      <c r="I4968" t="str">
        <f t="shared" si="232"/>
        <v>10-19</v>
      </c>
      <c r="J4968">
        <f t="shared" si="233"/>
        <v>8.5999999999999998E-4</v>
      </c>
    </row>
    <row r="4969" spans="1:10">
      <c r="A4969" t="s">
        <v>5051</v>
      </c>
      <c r="B4969">
        <v>29</v>
      </c>
      <c r="C4969" t="s">
        <v>9</v>
      </c>
      <c r="D4969">
        <v>7</v>
      </c>
      <c r="E4969">
        <v>35</v>
      </c>
      <c r="F4969">
        <v>5.5999999999999995E-4</v>
      </c>
      <c r="G4969">
        <v>0</v>
      </c>
      <c r="H4969" t="str">
        <f t="shared" si="231"/>
        <v>30-39</v>
      </c>
      <c r="I4969" t="str">
        <f t="shared" si="232"/>
        <v>0-9</v>
      </c>
      <c r="J4969">
        <f t="shared" si="233"/>
        <v>5.5999999999999995E-4</v>
      </c>
    </row>
    <row r="4970" spans="1:10">
      <c r="A4970" t="s">
        <v>5052</v>
      </c>
      <c r="B4970">
        <v>51</v>
      </c>
      <c r="C4970" t="s">
        <v>7</v>
      </c>
      <c r="D4970">
        <v>16</v>
      </c>
      <c r="E4970">
        <v>66</v>
      </c>
      <c r="F4970">
        <v>8.5400000000000007E-3</v>
      </c>
      <c r="G4970">
        <v>0</v>
      </c>
      <c r="H4970" t="str">
        <f t="shared" si="231"/>
        <v>60-69</v>
      </c>
      <c r="I4970" t="str">
        <f t="shared" si="232"/>
        <v>10-19</v>
      </c>
      <c r="J4970">
        <f t="shared" si="233"/>
        <v>8.5400000000000007E-3</v>
      </c>
    </row>
    <row r="4971" spans="1:10">
      <c r="A4971" t="s">
        <v>5053</v>
      </c>
      <c r="B4971">
        <v>31</v>
      </c>
      <c r="C4971" t="s">
        <v>9</v>
      </c>
      <c r="D4971">
        <v>25</v>
      </c>
      <c r="E4971">
        <v>55</v>
      </c>
      <c r="F4971">
        <v>4.0499999999999998E-3</v>
      </c>
      <c r="G4971">
        <v>0</v>
      </c>
      <c r="H4971" t="str">
        <f t="shared" si="231"/>
        <v>50-59</v>
      </c>
      <c r="I4971" t="str">
        <f t="shared" si="232"/>
        <v>20-29</v>
      </c>
      <c r="J4971">
        <f t="shared" si="233"/>
        <v>4.0499999999999998E-3</v>
      </c>
    </row>
    <row r="4972" spans="1:10">
      <c r="A4972" t="s">
        <v>5054</v>
      </c>
      <c r="B4972">
        <v>64</v>
      </c>
      <c r="C4972" t="s">
        <v>7</v>
      </c>
      <c r="D4972">
        <v>17</v>
      </c>
      <c r="E4972">
        <v>80</v>
      </c>
      <c r="F4972">
        <v>3.73E-2</v>
      </c>
      <c r="G4972">
        <v>0</v>
      </c>
      <c r="H4972" t="str">
        <f t="shared" si="231"/>
        <v>80-89</v>
      </c>
      <c r="I4972" t="str">
        <f t="shared" si="232"/>
        <v>10-19</v>
      </c>
      <c r="J4972">
        <f t="shared" si="233"/>
        <v>3.73E-2</v>
      </c>
    </row>
    <row r="4973" spans="1:10">
      <c r="A4973" t="s">
        <v>5055</v>
      </c>
      <c r="B4973">
        <v>57</v>
      </c>
      <c r="C4973" t="s">
        <v>7</v>
      </c>
      <c r="D4973">
        <v>19</v>
      </c>
      <c r="E4973">
        <v>75</v>
      </c>
      <c r="F4973">
        <v>2.2349999999999998E-2</v>
      </c>
      <c r="G4973">
        <v>0</v>
      </c>
      <c r="H4973" t="str">
        <f t="shared" si="231"/>
        <v>70-79</v>
      </c>
      <c r="I4973" t="str">
        <f t="shared" si="232"/>
        <v>10-19</v>
      </c>
      <c r="J4973">
        <f t="shared" si="233"/>
        <v>2.2349999999999998E-2</v>
      </c>
    </row>
    <row r="4974" spans="1:10">
      <c r="A4974" t="s">
        <v>5056</v>
      </c>
      <c r="B4974">
        <v>48</v>
      </c>
      <c r="C4974" t="s">
        <v>9</v>
      </c>
      <c r="D4974">
        <v>26</v>
      </c>
      <c r="E4974">
        <v>73</v>
      </c>
      <c r="F4974">
        <v>2.3939999999999999E-2</v>
      </c>
      <c r="G4974">
        <v>0</v>
      </c>
      <c r="H4974" t="str">
        <f t="shared" si="231"/>
        <v>70-79</v>
      </c>
      <c r="I4974" t="str">
        <f t="shared" si="232"/>
        <v>20-29</v>
      </c>
      <c r="J4974">
        <f t="shared" si="233"/>
        <v>2.3939999999999999E-2</v>
      </c>
    </row>
    <row r="4975" spans="1:10">
      <c r="A4975" t="s">
        <v>5057</v>
      </c>
      <c r="B4975">
        <v>36</v>
      </c>
      <c r="C4975" t="s">
        <v>7</v>
      </c>
      <c r="D4975">
        <v>6</v>
      </c>
      <c r="E4975">
        <v>41</v>
      </c>
      <c r="F4975">
        <v>6.4999999999999997E-4</v>
      </c>
      <c r="G4975">
        <v>0</v>
      </c>
      <c r="H4975" t="str">
        <f t="shared" si="231"/>
        <v>40-49</v>
      </c>
      <c r="I4975" t="str">
        <f t="shared" si="232"/>
        <v>0-9</v>
      </c>
      <c r="J4975">
        <f t="shared" si="233"/>
        <v>6.4999999999999997E-4</v>
      </c>
    </row>
    <row r="4976" spans="1:10">
      <c r="A4976" t="s">
        <v>5058</v>
      </c>
      <c r="B4976">
        <v>62</v>
      </c>
      <c r="C4976" t="s">
        <v>9</v>
      </c>
      <c r="D4976">
        <v>5</v>
      </c>
      <c r="E4976">
        <v>66</v>
      </c>
      <c r="F4976">
        <v>7.9399999999999991E-3</v>
      </c>
      <c r="G4976">
        <v>0</v>
      </c>
      <c r="H4976" t="str">
        <f t="shared" si="231"/>
        <v>60-69</v>
      </c>
      <c r="I4976" t="str">
        <f t="shared" si="232"/>
        <v>0-9</v>
      </c>
      <c r="J4976">
        <f t="shared" si="233"/>
        <v>7.9399999999999991E-3</v>
      </c>
    </row>
    <row r="4977" spans="1:10">
      <c r="A4977" t="s">
        <v>5059</v>
      </c>
      <c r="B4977">
        <v>52</v>
      </c>
      <c r="C4977" t="s">
        <v>7</v>
      </c>
      <c r="D4977">
        <v>15</v>
      </c>
      <c r="E4977">
        <v>66</v>
      </c>
      <c r="F4977">
        <v>8.2400000000000008E-3</v>
      </c>
      <c r="G4977">
        <v>0</v>
      </c>
      <c r="H4977" t="str">
        <f t="shared" si="231"/>
        <v>60-69</v>
      </c>
      <c r="I4977" t="str">
        <f t="shared" si="232"/>
        <v>10-19</v>
      </c>
      <c r="J4977">
        <f t="shared" si="233"/>
        <v>8.2400000000000008E-3</v>
      </c>
    </row>
    <row r="4978" spans="1:10">
      <c r="A4978" t="s">
        <v>5060</v>
      </c>
      <c r="B4978">
        <v>30</v>
      </c>
      <c r="C4978" t="s">
        <v>9</v>
      </c>
      <c r="D4978">
        <v>4</v>
      </c>
      <c r="E4978">
        <v>33</v>
      </c>
      <c r="F4978">
        <v>4.2999999999999999E-4</v>
      </c>
      <c r="G4978">
        <v>0</v>
      </c>
      <c r="H4978" t="str">
        <f t="shared" si="231"/>
        <v>30-39</v>
      </c>
      <c r="I4978" t="str">
        <f t="shared" si="232"/>
        <v>0-9</v>
      </c>
      <c r="J4978">
        <f t="shared" si="233"/>
        <v>4.2999999999999999E-4</v>
      </c>
    </row>
    <row r="4979" spans="1:10">
      <c r="A4979" t="s">
        <v>5061</v>
      </c>
      <c r="B4979">
        <v>30</v>
      </c>
      <c r="C4979" t="s">
        <v>7</v>
      </c>
      <c r="D4979">
        <v>22</v>
      </c>
      <c r="E4979">
        <v>51</v>
      </c>
      <c r="F4979">
        <v>2.1900000000000001E-3</v>
      </c>
      <c r="G4979">
        <v>0</v>
      </c>
      <c r="H4979" t="str">
        <f t="shared" si="231"/>
        <v>50-59</v>
      </c>
      <c r="I4979" t="str">
        <f t="shared" si="232"/>
        <v>20-29</v>
      </c>
      <c r="J4979">
        <f t="shared" si="233"/>
        <v>2.1900000000000001E-3</v>
      </c>
    </row>
    <row r="4980" spans="1:10">
      <c r="A4980" t="s">
        <v>5062</v>
      </c>
      <c r="B4980">
        <v>62</v>
      </c>
      <c r="C4980" t="s">
        <v>9</v>
      </c>
      <c r="D4980">
        <v>21</v>
      </c>
      <c r="E4980">
        <v>82</v>
      </c>
      <c r="F4980">
        <v>6.3329999999999997E-2</v>
      </c>
      <c r="G4980">
        <v>0</v>
      </c>
      <c r="H4980" t="str">
        <f t="shared" si="231"/>
        <v>80-89</v>
      </c>
      <c r="I4980" t="str">
        <f t="shared" si="232"/>
        <v>20-29</v>
      </c>
      <c r="J4980">
        <f t="shared" si="233"/>
        <v>6.3329999999999997E-2</v>
      </c>
    </row>
    <row r="4981" spans="1:10">
      <c r="A4981" t="s">
        <v>5063</v>
      </c>
      <c r="B4981">
        <v>54</v>
      </c>
      <c r="C4981" t="s">
        <v>9</v>
      </c>
      <c r="D4981">
        <v>26</v>
      </c>
      <c r="E4981">
        <v>79</v>
      </c>
      <c r="F4981">
        <v>4.5769999999999998E-2</v>
      </c>
      <c r="G4981">
        <v>0</v>
      </c>
      <c r="H4981" t="str">
        <f t="shared" si="231"/>
        <v>70-79</v>
      </c>
      <c r="I4981" t="str">
        <f t="shared" si="232"/>
        <v>20-29</v>
      </c>
      <c r="J4981">
        <f t="shared" si="233"/>
        <v>4.5769999999999998E-2</v>
      </c>
    </row>
    <row r="4982" spans="1:10">
      <c r="A4982" t="s">
        <v>5064</v>
      </c>
      <c r="B4982">
        <v>64</v>
      </c>
      <c r="C4982" t="s">
        <v>7</v>
      </c>
      <c r="D4982">
        <v>25</v>
      </c>
      <c r="E4982">
        <v>88</v>
      </c>
      <c r="F4982">
        <v>0.10484</v>
      </c>
      <c r="G4982">
        <v>0</v>
      </c>
      <c r="H4982" t="str">
        <f t="shared" si="231"/>
        <v>80-89</v>
      </c>
      <c r="I4982" t="str">
        <f t="shared" si="232"/>
        <v>20-29</v>
      </c>
      <c r="J4982">
        <f t="shared" si="233"/>
        <v>0.10484</v>
      </c>
    </row>
    <row r="4983" spans="1:10">
      <c r="A4983" t="s">
        <v>5065</v>
      </c>
      <c r="B4983">
        <v>52</v>
      </c>
      <c r="C4983" t="s">
        <v>7</v>
      </c>
      <c r="D4983">
        <v>29</v>
      </c>
      <c r="E4983">
        <v>80</v>
      </c>
      <c r="F4983">
        <v>2.8719999999999999E-2</v>
      </c>
      <c r="G4983">
        <v>0</v>
      </c>
      <c r="H4983" t="str">
        <f t="shared" si="231"/>
        <v>80-89</v>
      </c>
      <c r="I4983" t="str">
        <f t="shared" si="232"/>
        <v>20-29</v>
      </c>
      <c r="J4983">
        <f t="shared" si="233"/>
        <v>2.8719999999999999E-2</v>
      </c>
    </row>
    <row r="4984" spans="1:10">
      <c r="A4984" t="s">
        <v>5066</v>
      </c>
      <c r="B4984">
        <v>29</v>
      </c>
      <c r="C4984" t="s">
        <v>9</v>
      </c>
      <c r="D4984">
        <v>29</v>
      </c>
      <c r="E4984">
        <v>57</v>
      </c>
      <c r="F4984">
        <v>3.7499999999999999E-3</v>
      </c>
      <c r="G4984">
        <v>0</v>
      </c>
      <c r="H4984" t="str">
        <f t="shared" si="231"/>
        <v>50-59</v>
      </c>
      <c r="I4984" t="str">
        <f t="shared" si="232"/>
        <v>20-29</v>
      </c>
      <c r="J4984">
        <f t="shared" si="233"/>
        <v>3.7499999999999999E-3</v>
      </c>
    </row>
    <row r="4985" spans="1:10">
      <c r="A4985" t="s">
        <v>5067</v>
      </c>
      <c r="B4985">
        <v>21</v>
      </c>
      <c r="C4985" t="s">
        <v>7</v>
      </c>
      <c r="D4985">
        <v>24</v>
      </c>
      <c r="E4985">
        <v>44</v>
      </c>
      <c r="F4985">
        <v>1.33E-3</v>
      </c>
      <c r="G4985">
        <v>0</v>
      </c>
      <c r="H4985" t="str">
        <f t="shared" si="231"/>
        <v>40-49</v>
      </c>
      <c r="I4985" t="str">
        <f t="shared" si="232"/>
        <v>20-29</v>
      </c>
      <c r="J4985">
        <f t="shared" si="233"/>
        <v>1.33E-3</v>
      </c>
    </row>
    <row r="4986" spans="1:10">
      <c r="A4986" t="s">
        <v>5068</v>
      </c>
      <c r="B4986">
        <v>57</v>
      </c>
      <c r="C4986" t="s">
        <v>7</v>
      </c>
      <c r="D4986">
        <v>10</v>
      </c>
      <c r="E4986">
        <v>66</v>
      </c>
      <c r="F4986">
        <v>6.79E-3</v>
      </c>
      <c r="G4986">
        <v>0</v>
      </c>
      <c r="H4986" t="str">
        <f t="shared" si="231"/>
        <v>60-69</v>
      </c>
      <c r="I4986" t="str">
        <f t="shared" si="232"/>
        <v>10-19</v>
      </c>
      <c r="J4986">
        <f t="shared" si="233"/>
        <v>6.79E-3</v>
      </c>
    </row>
    <row r="4987" spans="1:10">
      <c r="A4987" t="s">
        <v>5069</v>
      </c>
      <c r="B4987">
        <v>24</v>
      </c>
      <c r="C4987" t="s">
        <v>7</v>
      </c>
      <c r="D4987">
        <v>18</v>
      </c>
      <c r="E4987">
        <v>41</v>
      </c>
      <c r="F4987">
        <v>1.08E-3</v>
      </c>
      <c r="G4987">
        <v>0</v>
      </c>
      <c r="H4987" t="str">
        <f t="shared" si="231"/>
        <v>40-49</v>
      </c>
      <c r="I4987" t="str">
        <f t="shared" si="232"/>
        <v>10-19</v>
      </c>
      <c r="J4987">
        <f t="shared" si="233"/>
        <v>1.08E-3</v>
      </c>
    </row>
    <row r="4988" spans="1:10">
      <c r="A4988" t="s">
        <v>5070</v>
      </c>
      <c r="B4988">
        <v>39</v>
      </c>
      <c r="C4988" t="s">
        <v>9</v>
      </c>
      <c r="D4988">
        <v>18</v>
      </c>
      <c r="E4988">
        <v>56</v>
      </c>
      <c r="F4988">
        <v>4.13E-3</v>
      </c>
      <c r="G4988">
        <v>0</v>
      </c>
      <c r="H4988" t="str">
        <f t="shared" si="231"/>
        <v>50-59</v>
      </c>
      <c r="I4988" t="str">
        <f t="shared" si="232"/>
        <v>10-19</v>
      </c>
      <c r="J4988">
        <f t="shared" si="233"/>
        <v>4.13E-3</v>
      </c>
    </row>
    <row r="4989" spans="1:10">
      <c r="A4989" t="s">
        <v>5071</v>
      </c>
      <c r="B4989">
        <v>48</v>
      </c>
      <c r="C4989" t="s">
        <v>7</v>
      </c>
      <c r="D4989">
        <v>29</v>
      </c>
      <c r="E4989">
        <v>76</v>
      </c>
      <c r="F4989">
        <v>1.8970000000000001E-2</v>
      </c>
      <c r="G4989">
        <v>0</v>
      </c>
      <c r="H4989" t="str">
        <f t="shared" si="231"/>
        <v>70-79</v>
      </c>
      <c r="I4989" t="str">
        <f t="shared" si="232"/>
        <v>20-29</v>
      </c>
      <c r="J4989">
        <f t="shared" si="233"/>
        <v>1.8970000000000001E-2</v>
      </c>
    </row>
    <row r="4990" spans="1:10">
      <c r="A4990" t="s">
        <v>5072</v>
      </c>
      <c r="B4990">
        <v>34</v>
      </c>
      <c r="C4990" t="s">
        <v>7</v>
      </c>
      <c r="D4990">
        <v>19</v>
      </c>
      <c r="E4990">
        <v>52</v>
      </c>
      <c r="F4990">
        <v>2.2300000000000002E-3</v>
      </c>
      <c r="G4990">
        <v>0</v>
      </c>
      <c r="H4990" t="str">
        <f t="shared" si="231"/>
        <v>50-59</v>
      </c>
      <c r="I4990" t="str">
        <f t="shared" si="232"/>
        <v>10-19</v>
      </c>
      <c r="J4990">
        <f t="shared" si="233"/>
        <v>2.2300000000000002E-3</v>
      </c>
    </row>
    <row r="4991" spans="1:10">
      <c r="A4991" t="s">
        <v>5073</v>
      </c>
      <c r="B4991">
        <v>43</v>
      </c>
      <c r="C4991" t="s">
        <v>7</v>
      </c>
      <c r="D4991">
        <v>15</v>
      </c>
      <c r="E4991">
        <v>57</v>
      </c>
      <c r="F4991">
        <v>3.3700000000000002E-3</v>
      </c>
      <c r="G4991">
        <v>0</v>
      </c>
      <c r="H4991" t="str">
        <f t="shared" si="231"/>
        <v>50-59</v>
      </c>
      <c r="I4991" t="str">
        <f t="shared" si="232"/>
        <v>10-19</v>
      </c>
      <c r="J4991">
        <f t="shared" si="233"/>
        <v>3.3700000000000002E-3</v>
      </c>
    </row>
    <row r="4992" spans="1:10">
      <c r="A4992" t="s">
        <v>5074</v>
      </c>
      <c r="B4992">
        <v>23</v>
      </c>
      <c r="C4992" t="s">
        <v>9</v>
      </c>
      <c r="D4992">
        <v>26</v>
      </c>
      <c r="E4992">
        <v>48</v>
      </c>
      <c r="F4992">
        <v>2.7399999999999998E-3</v>
      </c>
      <c r="G4992">
        <v>0</v>
      </c>
      <c r="H4992" t="str">
        <f t="shared" si="231"/>
        <v>40-49</v>
      </c>
      <c r="I4992" t="str">
        <f t="shared" si="232"/>
        <v>20-29</v>
      </c>
      <c r="J4992">
        <f t="shared" si="233"/>
        <v>2.7399999999999998E-3</v>
      </c>
    </row>
    <row r="4993" spans="1:10">
      <c r="A4993" t="s">
        <v>5075</v>
      </c>
      <c r="B4993">
        <v>46</v>
      </c>
      <c r="C4993" t="s">
        <v>9</v>
      </c>
      <c r="D4993">
        <v>16</v>
      </c>
      <c r="E4993">
        <v>61</v>
      </c>
      <c r="F4993">
        <v>6.9199999999999999E-3</v>
      </c>
      <c r="G4993">
        <v>0</v>
      </c>
      <c r="H4993" t="str">
        <f t="shared" si="231"/>
        <v>60-69</v>
      </c>
      <c r="I4993" t="str">
        <f t="shared" si="232"/>
        <v>10-19</v>
      </c>
      <c r="J4993">
        <f t="shared" si="233"/>
        <v>6.9199999999999999E-3</v>
      </c>
    </row>
    <row r="4994" spans="1:10">
      <c r="A4994" t="s">
        <v>5076</v>
      </c>
      <c r="B4994">
        <v>31</v>
      </c>
      <c r="C4994" t="s">
        <v>9</v>
      </c>
      <c r="D4994">
        <v>27</v>
      </c>
      <c r="E4994">
        <v>57</v>
      </c>
      <c r="F4994">
        <v>4.3899999999999998E-3</v>
      </c>
      <c r="G4994">
        <v>0</v>
      </c>
      <c r="H4994" t="str">
        <f t="shared" si="231"/>
        <v>50-59</v>
      </c>
      <c r="I4994" t="str">
        <f t="shared" si="232"/>
        <v>20-29</v>
      </c>
      <c r="J4994">
        <f t="shared" si="233"/>
        <v>4.3899999999999998E-3</v>
      </c>
    </row>
    <row r="4995" spans="1:10">
      <c r="A4995" t="s">
        <v>5077</v>
      </c>
      <c r="B4995">
        <v>39</v>
      </c>
      <c r="C4995" t="s">
        <v>9</v>
      </c>
      <c r="D4995">
        <v>20</v>
      </c>
      <c r="E4995">
        <v>58</v>
      </c>
      <c r="F4995">
        <v>5.2199999999999998E-3</v>
      </c>
      <c r="G4995">
        <v>0</v>
      </c>
      <c r="H4995" t="str">
        <f t="shared" ref="H4995:H5001" si="234">FLOOR(E4995,10) &amp; "-" &amp; FLOOR(E4995,10)+9</f>
        <v>50-59</v>
      </c>
      <c r="I4995" t="str">
        <f t="shared" ref="I4995:I5001" si="235">FLOOR(D4995, 10) &amp; "-"&amp;FLOOR(D4995, 10)+9</f>
        <v>20-29</v>
      </c>
      <c r="J4995">
        <f t="shared" ref="J4995:J5001" si="236">F4995</f>
        <v>5.2199999999999998E-3</v>
      </c>
    </row>
    <row r="4996" spans="1:10">
      <c r="A4996" t="s">
        <v>5078</v>
      </c>
      <c r="B4996">
        <v>62</v>
      </c>
      <c r="C4996" t="s">
        <v>7</v>
      </c>
      <c r="D4996">
        <v>3</v>
      </c>
      <c r="E4996">
        <v>64</v>
      </c>
      <c r="F4996">
        <v>3.3300000000000001E-3</v>
      </c>
      <c r="G4996">
        <v>0</v>
      </c>
      <c r="H4996" t="str">
        <f t="shared" si="234"/>
        <v>60-69</v>
      </c>
      <c r="I4996" t="str">
        <f t="shared" si="235"/>
        <v>0-9</v>
      </c>
      <c r="J4996">
        <f t="shared" si="236"/>
        <v>3.3300000000000001E-3</v>
      </c>
    </row>
    <row r="4997" spans="1:10">
      <c r="A4997" t="s">
        <v>5079</v>
      </c>
      <c r="B4997">
        <v>51</v>
      </c>
      <c r="C4997" t="s">
        <v>7</v>
      </c>
      <c r="D4997">
        <v>22</v>
      </c>
      <c r="E4997">
        <v>72</v>
      </c>
      <c r="F4997">
        <v>1.7170000000000001E-2</v>
      </c>
      <c r="G4997">
        <v>0</v>
      </c>
      <c r="H4997" t="str">
        <f t="shared" si="234"/>
        <v>70-79</v>
      </c>
      <c r="I4997" t="str">
        <f t="shared" si="235"/>
        <v>20-29</v>
      </c>
      <c r="J4997">
        <f t="shared" si="236"/>
        <v>1.7170000000000001E-2</v>
      </c>
    </row>
    <row r="4998" spans="1:10">
      <c r="A4998" t="s">
        <v>5080</v>
      </c>
      <c r="B4998">
        <v>30</v>
      </c>
      <c r="C4998" t="s">
        <v>7</v>
      </c>
      <c r="D4998">
        <v>20</v>
      </c>
      <c r="E4998">
        <v>49</v>
      </c>
      <c r="F4998">
        <v>1.83E-3</v>
      </c>
      <c r="G4998">
        <v>0</v>
      </c>
      <c r="H4998" t="str">
        <f t="shared" si="234"/>
        <v>40-49</v>
      </c>
      <c r="I4998" t="str">
        <f t="shared" si="235"/>
        <v>20-29</v>
      </c>
      <c r="J4998">
        <f t="shared" si="236"/>
        <v>1.83E-3</v>
      </c>
    </row>
    <row r="4999" spans="1:10">
      <c r="A4999" t="s">
        <v>5081</v>
      </c>
      <c r="B4999">
        <v>52</v>
      </c>
      <c r="C4999" t="s">
        <v>9</v>
      </c>
      <c r="D4999">
        <v>5</v>
      </c>
      <c r="E4999">
        <v>56</v>
      </c>
      <c r="F4999">
        <v>3.2100000000000002E-3</v>
      </c>
      <c r="G4999">
        <v>0</v>
      </c>
      <c r="H4999" t="str">
        <f t="shared" si="234"/>
        <v>50-59</v>
      </c>
      <c r="I4999" t="str">
        <f t="shared" si="235"/>
        <v>0-9</v>
      </c>
      <c r="J4999">
        <f t="shared" si="236"/>
        <v>3.2100000000000002E-3</v>
      </c>
    </row>
    <row r="5000" spans="1:10">
      <c r="A5000" t="s">
        <v>5082</v>
      </c>
      <c r="B5000">
        <v>57</v>
      </c>
      <c r="C5000" t="s">
        <v>7</v>
      </c>
      <c r="D5000">
        <v>22</v>
      </c>
      <c r="E5000">
        <v>78</v>
      </c>
      <c r="F5000">
        <v>3.1989999999999998E-2</v>
      </c>
      <c r="G5000">
        <v>0</v>
      </c>
      <c r="H5000" t="str">
        <f t="shared" si="234"/>
        <v>70-79</v>
      </c>
      <c r="I5000" t="str">
        <f t="shared" si="235"/>
        <v>20-29</v>
      </c>
      <c r="J5000">
        <f t="shared" si="236"/>
        <v>3.1989999999999998E-2</v>
      </c>
    </row>
    <row r="5001" spans="1:10">
      <c r="A5001" t="s">
        <v>5083</v>
      </c>
      <c r="B5001">
        <v>60</v>
      </c>
      <c r="C5001" t="s">
        <v>9</v>
      </c>
      <c r="D5001">
        <v>2</v>
      </c>
      <c r="E5001">
        <v>61</v>
      </c>
      <c r="F5001">
        <v>2.8600000000000001E-3</v>
      </c>
      <c r="G5001">
        <v>0</v>
      </c>
      <c r="H5001" t="str">
        <f t="shared" si="234"/>
        <v>60-69</v>
      </c>
      <c r="I5001" t="str">
        <f t="shared" si="235"/>
        <v>0-9</v>
      </c>
      <c r="J5001">
        <f t="shared" si="236"/>
        <v>2.8600000000000001E-3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Mortality_Table_Male</vt:lpstr>
      <vt:lpstr>Mortality_Table_Female</vt:lpstr>
      <vt:lpstr>Lapse_Assumptions</vt:lpstr>
      <vt:lpstr>Expense_Assumptions</vt:lpstr>
      <vt:lpstr>Premium Calculation</vt:lpstr>
      <vt:lpstr>Reserve Calculation</vt:lpstr>
      <vt:lpstr>Premium Calculation (2)</vt:lpstr>
      <vt:lpstr>Policy_Data</vt:lpstr>
      <vt:lpstr>Experience Study</vt:lpstr>
      <vt:lpstr>Detail1</vt:lpstr>
      <vt:lpstr>Sheet1</vt:lpstr>
      <vt:lpstr>Experience_Study_Synthetic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ssharm47@student.ubc.ca</dc:creator>
  <cp:lastModifiedBy>ssharm47@student.ubc.ca</cp:lastModifiedBy>
  <cp:revision>0</cp:revision>
  <dcterms:created xsi:type="dcterms:W3CDTF">2026-06-27T22:15:51Z</dcterms:created>
  <dcterms:modified xsi:type="dcterms:W3CDTF">2026-07-14T18:15:14Z</dcterms:modified>
  <dc:language>en-US</dc:language>
</cp:coreProperties>
</file>